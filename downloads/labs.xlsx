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קרניאלי</t>
        </is>
      </c>
      <c r="B5" t="n">
        <v>0</v>
      </c>
      <c r="C5" t="n">
        <v>0</v>
      </c>
      <c r="D5" t="n">
        <v>0</v>
      </c>
    </row>
    <row r="6">
      <c r="A6" t="inlineStr">
        <is>
          <t>פרופ' בנעט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Chem 17 CLIP</t>
        </is>
      </c>
      <c r="C215" t="inlineStr">
        <is>
          <t>בדיקות כלליות</t>
        </is>
      </c>
      <c r="D215" t="inlineStr">
        <is>
          <t>CHEM17</t>
        </is>
      </c>
      <c r="E215" t="inlineStr">
        <is>
          <t>2025-01</t>
        </is>
      </c>
      <c r="F215" t="n">
        <v>197.2</v>
      </c>
      <c r="G215" t="n">
        <v>232.7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Chem 15 CLIP</t>
        </is>
      </c>
      <c r="C216" t="inlineStr">
        <is>
          <t>בדיקות כלליות</t>
        </is>
      </c>
      <c r="D216" t="inlineStr">
        <is>
          <t>CHEM15</t>
        </is>
      </c>
      <c r="E216" t="inlineStr">
        <is>
          <t>2025-01</t>
        </is>
      </c>
      <c r="F216" t="n">
        <v>191.4</v>
      </c>
      <c r="G216" t="n">
        <v>225.85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Chem 10 CLIP</t>
        </is>
      </c>
      <c r="C217" t="inlineStr">
        <is>
          <t>בדיקות כלליות</t>
        </is>
      </c>
      <c r="D217" t="inlineStr">
        <is>
          <t>CHEM10</t>
        </is>
      </c>
      <c r="E217" t="inlineStr">
        <is>
          <t>2025-01</t>
        </is>
      </c>
      <c r="F217" t="n">
        <v>133.4</v>
      </c>
      <c r="G217" t="n">
        <v>157.41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IDEXX CBC-Select</t>
        </is>
      </c>
      <c r="C218" t="inlineStr">
        <is>
          <t>בדיקות כלליות</t>
        </is>
      </c>
      <c r="D218" t="inlineStr">
        <is>
          <t>FBCS</t>
        </is>
      </c>
      <c r="E218" t="inlineStr">
        <is>
          <t>2025-01</t>
        </is>
      </c>
      <c r="F218" t="n">
        <v>223.3</v>
      </c>
      <c r="G218" t="n">
        <v>263.49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Basic Profile (Interpreted)</t>
        </is>
      </c>
      <c r="C219" t="inlineStr">
        <is>
          <t>פאנלים</t>
        </is>
      </c>
      <c r="D219" t="inlineStr">
        <is>
          <t>SP1I</t>
        </is>
      </c>
      <c r="E219" t="inlineStr">
        <is>
          <t>2025-01</t>
        </is>
      </c>
      <c r="F219" t="n">
        <v>319</v>
      </c>
      <c r="G219" t="n">
        <v>376.42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Standard Profile (Interpreted)</t>
        </is>
      </c>
      <c r="C220" t="inlineStr">
        <is>
          <t>פאנלים</t>
        </is>
      </c>
      <c r="D220" t="inlineStr">
        <is>
          <t>SP2I</t>
        </is>
      </c>
      <c r="E220" t="inlineStr">
        <is>
          <t>2025-01</t>
        </is>
      </c>
      <c r="F220" t="n">
        <v>548.1</v>
      </c>
      <c r="G220" t="n">
        <v>646.76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Extended Profile (Interpreted)</t>
        </is>
      </c>
      <c r="C221" t="inlineStr">
        <is>
          <t>פאנלים</t>
        </is>
      </c>
      <c r="D221" t="inlineStr">
        <is>
          <t>SP3I</t>
        </is>
      </c>
      <c r="E221" t="inlineStr">
        <is>
          <t>2025-01</t>
        </is>
      </c>
      <c r="F221" t="n">
        <v>713.4</v>
      </c>
      <c r="G221" t="n">
        <v>841.8099999999999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Cardiopet proBNP (Canine)</t>
        </is>
      </c>
      <c r="C222" t="inlineStr">
        <is>
          <t>לב</t>
        </is>
      </c>
      <c r="D222" t="inlineStr">
        <is>
          <t>CBNP</t>
        </is>
      </c>
      <c r="E222" t="inlineStr">
        <is>
          <t>2025-01</t>
        </is>
      </c>
      <c r="F222" t="n">
        <v>394.4</v>
      </c>
      <c r="G222" t="n">
        <v>465.39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Cardiopet proBNP (Feline)</t>
        </is>
      </c>
      <c r="C223" t="inlineStr">
        <is>
          <t>לב</t>
        </is>
      </c>
      <c r="D223" t="inlineStr">
        <is>
          <t>FBNP</t>
        </is>
      </c>
      <c r="E223" t="inlineStr">
        <is>
          <t>2025-01</t>
        </is>
      </c>
      <c r="F223" t="n">
        <v>394.4</v>
      </c>
      <c r="G223" t="n">
        <v>465.39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Spec cPL (Canine)</t>
        </is>
      </c>
      <c r="C224" t="inlineStr">
        <is>
          <t>לבלב</t>
        </is>
      </c>
      <c r="D224" t="inlineStr">
        <is>
          <t>CPLI</t>
        </is>
      </c>
      <c r="E224" t="inlineStr">
        <is>
          <t>2025-01</t>
        </is>
      </c>
      <c r="F224" t="n">
        <v>495.9</v>
      </c>
      <c r="G224" t="n">
        <v>585.16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Spec fPL (Feline)</t>
        </is>
      </c>
      <c r="C225" t="inlineStr">
        <is>
          <t>לבלב</t>
        </is>
      </c>
      <c r="D225" t="inlineStr">
        <is>
          <t>FPLI</t>
        </is>
      </c>
      <c r="E225" t="inlineStr">
        <is>
          <t>2025-01</t>
        </is>
      </c>
      <c r="F225" t="n">
        <v>495.9</v>
      </c>
      <c r="G225" t="n">
        <v>585.16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SDMA (Canine Feline)</t>
        </is>
      </c>
      <c r="C226" t="inlineStr">
        <is>
          <t>כליות</t>
        </is>
      </c>
      <c r="D226" t="inlineStr">
        <is>
          <t>SDMA</t>
        </is>
      </c>
      <c r="E226" t="inlineStr">
        <is>
          <t>2025-01</t>
        </is>
      </c>
      <c r="F226" t="n">
        <v>150.8</v>
      </c>
      <c r="G226" t="n">
        <v>177.94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FGF-23</t>
        </is>
      </c>
      <c r="C227" t="inlineStr">
        <is>
          <t>כליות</t>
        </is>
      </c>
      <c r="D227" t="inlineStr">
        <is>
          <t>FGF23</t>
        </is>
      </c>
      <c r="E227" t="inlineStr">
        <is>
          <t>2025-01</t>
        </is>
      </c>
      <c r="F227" t="n">
        <v>391.5</v>
      </c>
      <c r="G227" t="n">
        <v>461.97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Kidney Disease Monitoring Profile</t>
        </is>
      </c>
      <c r="C228" t="inlineStr">
        <is>
          <t>כליות</t>
        </is>
      </c>
      <c r="D228" t="inlineStr">
        <is>
          <t>KPI</t>
        </is>
      </c>
      <c r="E228" t="inlineStr">
        <is>
          <t>2025-01</t>
        </is>
      </c>
      <c r="F228" t="n">
        <v>234.9</v>
      </c>
      <c r="G228" t="n">
        <v>277.18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Total T4</t>
        </is>
      </c>
      <c r="C229" t="inlineStr">
        <is>
          <t>תיירואיד</t>
        </is>
      </c>
      <c r="D229" t="inlineStr">
        <is>
          <t>T4M</t>
        </is>
      </c>
      <c r="E229" t="inlineStr">
        <is>
          <t>2025-01</t>
        </is>
      </c>
      <c r="F229" t="n">
        <v>168.2</v>
      </c>
      <c r="G229" t="n">
        <v>198.48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Free T4 (Equilibrium Dialysis)</t>
        </is>
      </c>
      <c r="C230" t="inlineStr">
        <is>
          <t>תיירואיד</t>
        </is>
      </c>
      <c r="D230" t="inlineStr">
        <is>
          <t>FT4R</t>
        </is>
      </c>
      <c r="E230" t="inlineStr">
        <is>
          <t>2025-01</t>
        </is>
      </c>
      <c r="F230" t="n">
        <v>426.3</v>
      </c>
      <c r="G230" t="n">
        <v>503.03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Canine TSH and Total T4</t>
        </is>
      </c>
      <c r="C231" t="inlineStr">
        <is>
          <t>תיירואיד</t>
        </is>
      </c>
      <c r="D231" t="inlineStr">
        <is>
          <t>CTSH</t>
        </is>
      </c>
      <c r="E231" t="inlineStr">
        <is>
          <t>2025-01</t>
        </is>
      </c>
      <c r="F231" t="n">
        <v>348</v>
      </c>
      <c r="G231" t="n">
        <v>410.64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ACTH Stimulation Test</t>
        </is>
      </c>
      <c r="C232" t="inlineStr">
        <is>
          <t>הורמונים</t>
        </is>
      </c>
      <c r="D232" t="inlineStr">
        <is>
          <t>ACTH</t>
        </is>
      </c>
      <c r="E232" t="inlineStr">
        <is>
          <t>2025-01</t>
        </is>
      </c>
      <c r="F232" t="n">
        <v>365.4</v>
      </c>
      <c r="G232" t="n">
        <v>431.17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Cortisol (Basal)</t>
        </is>
      </c>
      <c r="C233" t="inlineStr">
        <is>
          <t>הורמונים</t>
        </is>
      </c>
      <c r="D233" t="inlineStr">
        <is>
          <t>CORT</t>
        </is>
      </c>
      <c r="E233" t="inlineStr">
        <is>
          <t>2025-01</t>
        </is>
      </c>
      <c r="F233" t="n">
        <v>240.7</v>
      </c>
      <c r="G233" t="n">
        <v>284.03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Dexamethasone Suppression Test Low Dose</t>
        </is>
      </c>
      <c r="C234" t="inlineStr">
        <is>
          <t>הורמונים</t>
        </is>
      </c>
      <c r="D234" t="inlineStr">
        <is>
          <t>DEXL</t>
        </is>
      </c>
      <c r="E234" t="inlineStr">
        <is>
          <t>2025-01</t>
        </is>
      </c>
      <c r="F234" t="n">
        <v>556.8</v>
      </c>
      <c r="G234" t="n">
        <v>657.02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Progesterone</t>
        </is>
      </c>
      <c r="C235" t="inlineStr">
        <is>
          <t>הורמונים</t>
        </is>
      </c>
      <c r="D235" t="inlineStr">
        <is>
          <t>PGT</t>
        </is>
      </c>
      <c r="E235" t="inlineStr">
        <is>
          <t>2025-01</t>
        </is>
      </c>
      <c r="F235" t="n">
        <v>292.9</v>
      </c>
      <c r="G235" t="n">
        <v>345.62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Basic Coagulation Profile</t>
        </is>
      </c>
      <c r="C236" t="inlineStr">
        <is>
          <t>קרישה</t>
        </is>
      </c>
      <c r="D236" t="inlineStr">
        <is>
          <t>COAG</t>
        </is>
      </c>
      <c r="E236" t="inlineStr">
        <is>
          <t>2025-01</t>
        </is>
      </c>
      <c r="F236" t="n">
        <v>411.8</v>
      </c>
      <c r="G236" t="n">
        <v>485.92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PT + APTT</t>
        </is>
      </c>
      <c r="C237" t="inlineStr">
        <is>
          <t>קרישה</t>
        </is>
      </c>
      <c r="D237" t="inlineStr">
        <is>
          <t>PTC</t>
        </is>
      </c>
      <c r="E237" t="inlineStr">
        <is>
          <t>2025-01</t>
        </is>
      </c>
      <c r="F237" t="n">
        <v>252.3</v>
      </c>
      <c r="G237" t="n">
        <v>297.71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FeLV Antigen &amp; FIV Antibody</t>
        </is>
      </c>
      <c r="C238" t="inlineStr">
        <is>
          <t>זיהומים</t>
        </is>
      </c>
      <c r="D238" t="inlineStr">
        <is>
          <t>FF</t>
        </is>
      </c>
      <c r="E238" t="inlineStr">
        <is>
          <t>2025-01</t>
        </is>
      </c>
      <c r="F238" t="n">
        <v>377</v>
      </c>
      <c r="G238" t="n">
        <v>444.86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Leishmania Serology (Canine)</t>
        </is>
      </c>
      <c r="C239" t="inlineStr">
        <is>
          <t>זיהומים</t>
        </is>
      </c>
      <c r="D239" t="inlineStr">
        <is>
          <t>LEI</t>
        </is>
      </c>
      <c r="E239" t="inlineStr">
        <is>
          <t>2025-01</t>
        </is>
      </c>
      <c r="F239" t="n">
        <v>342.2</v>
      </c>
      <c r="G239" t="n">
        <v>403.8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Parvovirus (CPV) Antigen</t>
        </is>
      </c>
      <c r="C240" t="inlineStr">
        <is>
          <t>זיהומים</t>
        </is>
      </c>
      <c r="D240" t="inlineStr">
        <is>
          <t>PARV</t>
        </is>
      </c>
      <c r="E240" t="inlineStr">
        <is>
          <t>2025-01</t>
        </is>
      </c>
      <c r="F240" t="n">
        <v>261</v>
      </c>
      <c r="G240" t="n">
        <v>307.98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Heartworm Antigen (Canine)</t>
        </is>
      </c>
      <c r="C241" t="inlineStr">
        <is>
          <t>זיהומים</t>
        </is>
      </c>
      <c r="D241" t="inlineStr">
        <is>
          <t>HW</t>
        </is>
      </c>
      <c r="E241" t="inlineStr">
        <is>
          <t>2025-01</t>
        </is>
      </c>
      <c r="F241" t="n">
        <v>229.1</v>
      </c>
      <c r="G241" t="n">
        <v>270.34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Urine Culture &amp; Sensitivity</t>
        </is>
      </c>
      <c r="C242" t="inlineStr">
        <is>
          <t>שתן</t>
        </is>
      </c>
      <c r="D242" t="inlineStr">
        <is>
          <t>UCUL</t>
        </is>
      </c>
      <c r="E242" t="inlineStr">
        <is>
          <t>2025-01</t>
        </is>
      </c>
      <c r="F242" t="n">
        <v>327.7</v>
      </c>
      <c r="G242" t="n">
        <v>386.69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Protein: Creatinine Ratio (Urine)</t>
        </is>
      </c>
      <c r="C243" t="inlineStr">
        <is>
          <t>שתן</t>
        </is>
      </c>
      <c r="D243" t="inlineStr">
        <is>
          <t>PCRU</t>
        </is>
      </c>
      <c r="E243" t="inlineStr">
        <is>
          <t>2025-01</t>
        </is>
      </c>
      <c r="F243" t="n">
        <v>185.6</v>
      </c>
      <c r="G243" t="n">
        <v>219.01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Histology - 1 Site</t>
        </is>
      </c>
      <c r="C244" t="inlineStr">
        <is>
          <t>פתולוגיה</t>
        </is>
      </c>
      <c r="D244" t="inlineStr">
        <is>
          <t>HIST1</t>
        </is>
      </c>
      <c r="E244" t="inlineStr">
        <is>
          <t>2025-01</t>
        </is>
      </c>
      <c r="F244" t="n">
        <v>609</v>
      </c>
      <c r="G244" t="n">
        <v>718.62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Cytology - 1 sampled site</t>
        </is>
      </c>
      <c r="C245" t="inlineStr">
        <is>
          <t>פתולוגיה</t>
        </is>
      </c>
      <c r="D245" t="inlineStr">
        <is>
          <t>CYTO1</t>
        </is>
      </c>
      <c r="E245" t="inlineStr">
        <is>
          <t>2025-01</t>
        </is>
      </c>
      <c r="F245" t="n">
        <v>510.4</v>
      </c>
      <c r="G245" t="n">
        <v>602.27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Phenobarbital</t>
        </is>
      </c>
      <c r="C246" t="inlineStr">
        <is>
          <t>תרופות</t>
        </is>
      </c>
      <c r="D246" t="inlineStr">
        <is>
          <t>PHEN</t>
        </is>
      </c>
      <c r="E246" t="inlineStr">
        <is>
          <t>2025-01</t>
        </is>
      </c>
      <c r="F246" t="n">
        <v>237.8</v>
      </c>
      <c r="G246" t="n">
        <v>280.6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Potassium Bromide</t>
        </is>
      </c>
      <c r="C247" t="inlineStr">
        <is>
          <t>תרופות</t>
        </is>
      </c>
      <c r="D247" t="inlineStr">
        <is>
          <t>KBR</t>
        </is>
      </c>
      <c r="E247" t="inlineStr">
        <is>
          <t>2025-01</t>
        </is>
      </c>
      <c r="F247" t="n">
        <v>313.2</v>
      </c>
      <c r="G247" t="n">
        <v>369.58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TLI (Canine)</t>
        </is>
      </c>
      <c r="C248" t="inlineStr">
        <is>
          <t>GI</t>
        </is>
      </c>
      <c r="D248" t="inlineStr">
        <is>
          <t>TLIC</t>
        </is>
      </c>
      <c r="E248" t="inlineStr">
        <is>
          <t>2025-01</t>
        </is>
      </c>
      <c r="F248" t="n">
        <v>342.2</v>
      </c>
      <c r="G248" t="n">
        <v>403.8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TLI Folate &amp; Cobalamin (Canine)</t>
        </is>
      </c>
      <c r="C249" t="inlineStr">
        <is>
          <t>GI</t>
        </is>
      </c>
      <c r="D249" t="inlineStr">
        <is>
          <t>TFCB</t>
        </is>
      </c>
      <c r="E249" t="inlineStr">
        <is>
          <t>2025-01</t>
        </is>
      </c>
      <c r="F249" t="n">
        <v>553.9</v>
      </c>
      <c r="G249" t="n">
        <v>653.6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C Reactive Protein (Canine)</t>
        </is>
      </c>
      <c r="C250" t="inlineStr">
        <is>
          <t>דלקת</t>
        </is>
      </c>
      <c r="D250" t="inlineStr">
        <is>
          <t>CRPR</t>
        </is>
      </c>
      <c r="E250" t="inlineStr">
        <is>
          <t>2025-01</t>
        </is>
      </c>
      <c r="F250" t="n">
        <v>118.9</v>
      </c>
      <c r="G250" t="n">
        <v>140.3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Vaccination Status (Canine)</t>
        </is>
      </c>
      <c r="C251" t="inlineStr">
        <is>
          <t>חיסון</t>
        </is>
      </c>
      <c r="D251" t="inlineStr">
        <is>
          <t>DAPS</t>
        </is>
      </c>
      <c r="E251" t="inlineStr">
        <is>
          <t>2025-01</t>
        </is>
      </c>
      <c r="F251" t="n">
        <v>751.1</v>
      </c>
      <c r="G251" t="n">
        <v>886.3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קרניאלי</t>
        </is>
      </c>
      <c r="B252" t="inlineStr">
        <is>
          <t>פאנל מחלות זואונוטיות</t>
        </is>
      </c>
      <c r="C252" t="inlineStr">
        <is>
          <t>פאנלים - עופות</t>
        </is>
      </c>
      <c r="E252" t="inlineStr">
        <is>
          <t>2025-01</t>
        </is>
      </c>
      <c r="F252" t="n">
        <v>160.68</v>
      </c>
      <c r="G252" t="n">
        <v>189.6</v>
      </c>
      <c r="H252">
        <f>הגדרות!B5</f>
        <v/>
      </c>
      <c r="I252">
        <f>F252*(1-H252/100)*1.18</f>
        <v/>
      </c>
      <c r="J252">
        <f>הגדרות!C5</f>
        <v/>
      </c>
      <c r="K252">
        <f>הגדרות!D5</f>
        <v/>
      </c>
      <c r="L252">
        <f>I252*(1+J252/100)+K252</f>
        <v/>
      </c>
    </row>
    <row r="253">
      <c r="A253" t="inlineStr">
        <is>
          <t>קרניאלי</t>
        </is>
      </c>
      <c r="B253" t="inlineStr">
        <is>
          <t>פאנל מערכת נשימה</t>
        </is>
      </c>
      <c r="C253" t="inlineStr">
        <is>
          <t>פאנלים - עופות</t>
        </is>
      </c>
      <c r="E253" t="inlineStr">
        <is>
          <t>2025-01</t>
        </is>
      </c>
      <c r="F253" t="n">
        <v>160.68</v>
      </c>
      <c r="G253" t="n">
        <v>189.6</v>
      </c>
      <c r="H253">
        <f>הגדרות!B5</f>
        <v/>
      </c>
      <c r="I253">
        <f>F253*(1-H253/100)*1.18</f>
        <v/>
      </c>
      <c r="J253">
        <f>הגדרות!C5</f>
        <v/>
      </c>
      <c r="K253">
        <f>הגדרות!D5</f>
        <v/>
      </c>
      <c r="L253">
        <f>I253*(1+J253/100)+K253</f>
        <v/>
      </c>
    </row>
    <row r="254">
      <c r="A254" t="inlineStr">
        <is>
          <t>קרניאלי</t>
        </is>
      </c>
      <c r="B254" t="inlineStr">
        <is>
          <t>פאנל שלשולים</t>
        </is>
      </c>
      <c r="C254" t="inlineStr">
        <is>
          <t>פאנלים - כלבים</t>
        </is>
      </c>
      <c r="E254" t="inlineStr">
        <is>
          <t>2025-01</t>
        </is>
      </c>
      <c r="F254" t="n">
        <v>602.5599999999999</v>
      </c>
      <c r="G254" t="n">
        <v>711.02</v>
      </c>
      <c r="H254">
        <f>הגדרות!B5</f>
        <v/>
      </c>
      <c r="I254">
        <f>F254*(1-H254/100)*1.18</f>
        <v/>
      </c>
      <c r="J254">
        <f>הגדרות!C5</f>
        <v/>
      </c>
      <c r="K254">
        <f>הגדרות!D5</f>
        <v/>
      </c>
      <c r="L254">
        <f>I254*(1+J254/100)+K254</f>
        <v/>
      </c>
    </row>
    <row r="255">
      <c r="A255" t="inlineStr">
        <is>
          <t>קרניאלי</t>
        </is>
      </c>
      <c r="B255" t="inlineStr">
        <is>
          <t>פאנל שלשולים מצומצם</t>
        </is>
      </c>
      <c r="C255" t="inlineStr">
        <is>
          <t>פאנלים - כלבים</t>
        </is>
      </c>
      <c r="E255" t="inlineStr">
        <is>
          <t>2025-01</t>
        </is>
      </c>
      <c r="F255" t="n">
        <v>367.52</v>
      </c>
      <c r="G255" t="n">
        <v>433.67</v>
      </c>
      <c r="H255">
        <f>הגדרות!B5</f>
        <v/>
      </c>
      <c r="I255">
        <f>F255*(1-H255/100)*1.18</f>
        <v/>
      </c>
      <c r="J255">
        <f>הגדרות!C5</f>
        <v/>
      </c>
      <c r="K255">
        <f>הגדרות!D5</f>
        <v/>
      </c>
      <c r="L255">
        <f>I255*(1+J255/100)+K255</f>
        <v/>
      </c>
    </row>
    <row r="256">
      <c r="A256" t="inlineStr">
        <is>
          <t>קרניאלי</t>
        </is>
      </c>
      <c r="B256" t="inlineStr">
        <is>
          <t>פאנל טפילי דם</t>
        </is>
      </c>
      <c r="C256" t="inlineStr">
        <is>
          <t>פאנלים - כלבים</t>
        </is>
      </c>
      <c r="E256" t="inlineStr">
        <is>
          <t>2025-01</t>
        </is>
      </c>
      <c r="F256" t="n">
        <v>405.98</v>
      </c>
      <c r="G256" t="n">
        <v>479.06</v>
      </c>
      <c r="H256">
        <f>הגדרות!B5</f>
        <v/>
      </c>
      <c r="I256">
        <f>F256*(1-H256/100)*1.18</f>
        <v/>
      </c>
      <c r="J256">
        <f>הגדרות!C5</f>
        <v/>
      </c>
      <c r="K256">
        <f>הגדרות!D5</f>
        <v/>
      </c>
      <c r="L256">
        <f>I256*(1+J256/100)+K256</f>
        <v/>
      </c>
    </row>
    <row r="257">
      <c r="A257" t="inlineStr">
        <is>
          <t>קרניאלי</t>
        </is>
      </c>
      <c r="B257" t="inlineStr">
        <is>
          <t>פאנל מחלות זואונוטיות</t>
        </is>
      </c>
      <c r="C257" t="inlineStr">
        <is>
          <t>פאנלים - חתולים</t>
        </is>
      </c>
      <c r="E257" t="inlineStr">
        <is>
          <t>2025-01</t>
        </is>
      </c>
      <c r="F257" t="n">
        <v>376.07</v>
      </c>
      <c r="G257" t="n">
        <v>443.76</v>
      </c>
      <c r="H257">
        <f>הגדרות!B5</f>
        <v/>
      </c>
      <c r="I257">
        <f>F257*(1-H257/100)*1.18</f>
        <v/>
      </c>
      <c r="J257">
        <f>הגדרות!C5</f>
        <v/>
      </c>
      <c r="K257">
        <f>הגדרות!D5</f>
        <v/>
      </c>
      <c r="L257">
        <f>I257*(1+J257/100)+K257</f>
        <v/>
      </c>
    </row>
    <row r="258">
      <c r="A258" t="inlineStr">
        <is>
          <t>קרניאלי</t>
        </is>
      </c>
      <c r="B258" t="inlineStr">
        <is>
          <t>פאנל מערכת נשימה</t>
        </is>
      </c>
      <c r="C258" t="inlineStr">
        <is>
          <t>פאנלים - חתולים</t>
        </is>
      </c>
      <c r="E258" t="inlineStr">
        <is>
          <t>2025-01</t>
        </is>
      </c>
      <c r="F258" t="n">
        <v>564.1</v>
      </c>
      <c r="G258" t="n">
        <v>665.64</v>
      </c>
      <c r="H258">
        <f>הגדרות!B5</f>
        <v/>
      </c>
      <c r="I258">
        <f>F258*(1-H258/100)*1.18</f>
        <v/>
      </c>
      <c r="J258">
        <f>הגדרות!C5</f>
        <v/>
      </c>
      <c r="K258">
        <f>הגדרות!D5</f>
        <v/>
      </c>
      <c r="L258">
        <f>I258*(1+J258/100)+K258</f>
        <v/>
      </c>
    </row>
    <row r="259">
      <c r="A259" t="inlineStr">
        <is>
          <t>קרניאלי</t>
        </is>
      </c>
      <c r="B259" t="inlineStr">
        <is>
          <t>פאנל שלשולים</t>
        </is>
      </c>
      <c r="C259" t="inlineStr">
        <is>
          <t>פאנלים - חתולים</t>
        </is>
      </c>
      <c r="E259" t="inlineStr">
        <is>
          <t>2025-01</t>
        </is>
      </c>
      <c r="F259" t="n">
        <v>367.52</v>
      </c>
      <c r="G259" t="n">
        <v>433.67</v>
      </c>
      <c r="H259">
        <f>הגדרות!B5</f>
        <v/>
      </c>
      <c r="I259">
        <f>F259*(1-H259/100)*1.18</f>
        <v/>
      </c>
      <c r="J259">
        <f>הגדרות!C5</f>
        <v/>
      </c>
      <c r="K259">
        <f>הגדרות!D5</f>
        <v/>
      </c>
      <c r="L259">
        <f>I259*(1+J259/100)+K259</f>
        <v/>
      </c>
    </row>
    <row r="260">
      <c r="A260" t="inlineStr">
        <is>
          <t>קרניאלי</t>
        </is>
      </c>
      <c r="B260" t="inlineStr">
        <is>
          <t>פאנל חתולים גזעיים</t>
        </is>
      </c>
      <c r="C260" t="inlineStr">
        <is>
          <t>פאנלים - חתולים</t>
        </is>
      </c>
      <c r="E260" t="inlineStr">
        <is>
          <t>2025-01</t>
        </is>
      </c>
      <c r="F260" t="n">
        <v>658.12</v>
      </c>
      <c r="G260" t="n">
        <v>776.58</v>
      </c>
      <c r="H260">
        <f>הגדרות!B5</f>
        <v/>
      </c>
      <c r="I260">
        <f>F260*(1-H260/100)*1.18</f>
        <v/>
      </c>
      <c r="J260">
        <f>הגדרות!C5</f>
        <v/>
      </c>
      <c r="K260">
        <f>הגדרות!D5</f>
        <v/>
      </c>
      <c r="L260">
        <f>I260*(1+J260/100)+K260</f>
        <v/>
      </c>
    </row>
    <row r="261">
      <c r="A261" t="inlineStr">
        <is>
          <t>פרופ' בנעט</t>
        </is>
      </c>
      <c r="B261" t="inlineStr">
        <is>
          <t>Ehrlichia spp.</t>
        </is>
      </c>
      <c r="C261" t="inlineStr">
        <is>
          <t>PCR</t>
        </is>
      </c>
      <c r="F261" t="n">
        <v>170.94</v>
      </c>
      <c r="G261" t="n">
        <v>201.71</v>
      </c>
      <c r="H261">
        <f>הגדרות!B6</f>
        <v/>
      </c>
      <c r="I261">
        <f>F261*(1-H261/100)*1.18</f>
        <v/>
      </c>
      <c r="J261">
        <f>הגדרות!C6</f>
        <v/>
      </c>
      <c r="K261">
        <f>הגדרות!D6</f>
        <v/>
      </c>
      <c r="L261">
        <f>I261*(1+J261/100)+K261</f>
        <v/>
      </c>
    </row>
    <row r="262">
      <c r="A262" t="inlineStr">
        <is>
          <t>פרופ' בנעט</t>
        </is>
      </c>
      <c r="B262" t="inlineStr">
        <is>
          <t>Babesia spp.</t>
        </is>
      </c>
      <c r="C262" t="inlineStr">
        <is>
          <t>PCR</t>
        </is>
      </c>
      <c r="F262" t="n">
        <v>170.94</v>
      </c>
      <c r="G262" t="n">
        <v>201.71</v>
      </c>
      <c r="H262">
        <f>הגדרות!B6</f>
        <v/>
      </c>
      <c r="I262">
        <f>F262*(1-H262/100)*1.18</f>
        <v/>
      </c>
      <c r="J262">
        <f>הגדרות!C6</f>
        <v/>
      </c>
      <c r="K262">
        <f>הגדרות!D6</f>
        <v/>
      </c>
      <c r="L262">
        <f>I262*(1+J262/100)+K262</f>
        <v/>
      </c>
    </row>
    <row r="263">
      <c r="A263" t="inlineStr">
        <is>
          <t>פרופ' בנעט</t>
        </is>
      </c>
      <c r="B263" t="inlineStr">
        <is>
          <t>Hepatozoon spp.</t>
        </is>
      </c>
      <c r="C263" t="inlineStr">
        <is>
          <t>PCR</t>
        </is>
      </c>
      <c r="F263" t="n">
        <v>170.94</v>
      </c>
      <c r="G263" t="n">
        <v>201.71</v>
      </c>
      <c r="H263">
        <f>הגדרות!B6</f>
        <v/>
      </c>
      <c r="I263">
        <f>F263*(1-H263/100)*1.18</f>
        <v/>
      </c>
      <c r="J263">
        <f>הגדרות!C6</f>
        <v/>
      </c>
      <c r="K263">
        <f>הגדרות!D6</f>
        <v/>
      </c>
      <c r="L263">
        <f>I263*(1+J263/100)+K263</f>
        <v/>
      </c>
    </row>
    <row r="264">
      <c r="A264" t="inlineStr">
        <is>
          <t>פרופ' בנעט</t>
        </is>
      </c>
      <c r="B264" t="inlineStr">
        <is>
          <t>Borrelia spp (Lyme)</t>
        </is>
      </c>
      <c r="C264" t="inlineStr">
        <is>
          <t>PCR</t>
        </is>
      </c>
      <c r="F264" t="n">
        <v>170.94</v>
      </c>
      <c r="G264" t="n">
        <v>201.71</v>
      </c>
      <c r="H264">
        <f>הגדרות!B6</f>
        <v/>
      </c>
      <c r="I264">
        <f>F264*(1-H264/100)*1.18</f>
        <v/>
      </c>
      <c r="J264">
        <f>הגדרות!C6</f>
        <v/>
      </c>
      <c r="K264">
        <f>הגדרות!D6</f>
        <v/>
      </c>
      <c r="L264">
        <f>I264*(1+J264/100)+K264</f>
        <v/>
      </c>
    </row>
    <row r="265">
      <c r="A265" t="inlineStr">
        <is>
          <t>פרופ' בנעט</t>
        </is>
      </c>
      <c r="B265" t="inlineStr">
        <is>
          <t>Rickettsia spp.</t>
        </is>
      </c>
      <c r="C265" t="inlineStr">
        <is>
          <t>PCR</t>
        </is>
      </c>
      <c r="F265" t="n">
        <v>170.94</v>
      </c>
      <c r="G265" t="n">
        <v>201.71</v>
      </c>
      <c r="H265">
        <f>הגדרות!B6</f>
        <v/>
      </c>
      <c r="I265">
        <f>F265*(1-H265/100)*1.18</f>
        <v/>
      </c>
      <c r="J265">
        <f>הגדרות!C6</f>
        <v/>
      </c>
      <c r="K265">
        <f>הגדרות!D6</f>
        <v/>
      </c>
      <c r="L265">
        <f>I265*(1+J265/100)+K265</f>
        <v/>
      </c>
    </row>
    <row r="266">
      <c r="A266" t="inlineStr">
        <is>
          <t>פרופ' בנעט</t>
        </is>
      </c>
      <c r="B266" t="inlineStr">
        <is>
          <t>Bartonella spp.</t>
        </is>
      </c>
      <c r="C266" t="inlineStr">
        <is>
          <t>PCR</t>
        </is>
      </c>
      <c r="F266" t="n">
        <v>170.94</v>
      </c>
      <c r="G266" t="n">
        <v>201.71</v>
      </c>
      <c r="H266">
        <f>הגדרות!B6</f>
        <v/>
      </c>
      <c r="I266">
        <f>F266*(1-H266/100)*1.18</f>
        <v/>
      </c>
      <c r="J266">
        <f>הגדרות!C6</f>
        <v/>
      </c>
      <c r="K266">
        <f>הגדרות!D6</f>
        <v/>
      </c>
      <c r="L266">
        <f>I266*(1+J266/100)+K266</f>
        <v/>
      </c>
    </row>
    <row r="267">
      <c r="A267" t="inlineStr">
        <is>
          <t>פרופ' בנעט</t>
        </is>
      </c>
      <c r="B267" t="inlineStr">
        <is>
          <t>Mycoplasma Hemofelis/Hemocanis</t>
        </is>
      </c>
      <c r="C267" t="inlineStr">
        <is>
          <t>PCR</t>
        </is>
      </c>
      <c r="F267" t="n">
        <v>170.94</v>
      </c>
      <c r="G267" t="n">
        <v>201.71</v>
      </c>
      <c r="H267">
        <f>הגדרות!B6</f>
        <v/>
      </c>
      <c r="I267">
        <f>F267*(1-H267/100)*1.18</f>
        <v/>
      </c>
      <c r="J267">
        <f>הגדרות!C6</f>
        <v/>
      </c>
      <c r="K267">
        <f>הגדרות!D6</f>
        <v/>
      </c>
      <c r="L267">
        <f>I267*(1+J267/100)+K267</f>
        <v/>
      </c>
    </row>
    <row r="268">
      <c r="A268" t="inlineStr">
        <is>
          <t>פרופ' בנעט</t>
        </is>
      </c>
      <c r="B268" t="inlineStr">
        <is>
          <t>Canine Parvo Virus</t>
        </is>
      </c>
      <c r="C268" t="inlineStr">
        <is>
          <t>PCR</t>
        </is>
      </c>
      <c r="F268" t="n">
        <v>170.94</v>
      </c>
      <c r="G268" t="n">
        <v>201.71</v>
      </c>
      <c r="H268">
        <f>הגדרות!B6</f>
        <v/>
      </c>
      <c r="I268">
        <f>F268*(1-H268/100)*1.18</f>
        <v/>
      </c>
      <c r="J268">
        <f>הגדרות!C6</f>
        <v/>
      </c>
      <c r="K268">
        <f>הגדרות!D6</f>
        <v/>
      </c>
      <c r="L268">
        <f>I268*(1+J268/100)+K268</f>
        <v/>
      </c>
    </row>
    <row r="269">
      <c r="A269" t="inlineStr">
        <is>
          <t>פרופ' בנעט</t>
        </is>
      </c>
      <c r="B269" t="inlineStr">
        <is>
          <t>Canine Distemper Virus</t>
        </is>
      </c>
      <c r="C269" t="inlineStr">
        <is>
          <t>PCR</t>
        </is>
      </c>
      <c r="F269" t="n">
        <v>222.22</v>
      </c>
      <c r="G269" t="n">
        <v>262.22</v>
      </c>
      <c r="H269">
        <f>הגדרות!B6</f>
        <v/>
      </c>
      <c r="I269">
        <f>F269*(1-H269/100)*1.18</f>
        <v/>
      </c>
      <c r="J269">
        <f>הגדרות!C6</f>
        <v/>
      </c>
      <c r="K269">
        <f>הגדרות!D6</f>
        <v/>
      </c>
      <c r="L269">
        <f>I269*(1+J269/100)+K269</f>
        <v/>
      </c>
    </row>
    <row r="270">
      <c r="A270" t="inlineStr">
        <is>
          <t>פרופ' בנעט</t>
        </is>
      </c>
      <c r="B270" t="inlineStr">
        <is>
          <t>Canine Herpes Virus</t>
        </is>
      </c>
      <c r="C270" t="inlineStr">
        <is>
          <t>PCR</t>
        </is>
      </c>
      <c r="F270" t="n">
        <v>170.94</v>
      </c>
      <c r="G270" t="n">
        <v>201.71</v>
      </c>
      <c r="H270">
        <f>הגדרות!B6</f>
        <v/>
      </c>
      <c r="I270">
        <f>F270*(1-H270/100)*1.18</f>
        <v/>
      </c>
      <c r="J270">
        <f>הגדרות!C6</f>
        <v/>
      </c>
      <c r="K270">
        <f>הגדרות!D6</f>
        <v/>
      </c>
      <c r="L270">
        <f>I270*(1+J270/100)+K270</f>
        <v/>
      </c>
    </row>
    <row r="271">
      <c r="A271" t="inlineStr">
        <is>
          <t>פרופ' בנעט</t>
        </is>
      </c>
      <c r="B271" t="inlineStr">
        <is>
          <t>Leishmania</t>
        </is>
      </c>
      <c r="C271" t="inlineStr">
        <is>
          <t>PCR</t>
        </is>
      </c>
      <c r="F271" t="n">
        <v>170.94</v>
      </c>
      <c r="G271" t="n">
        <v>201.71</v>
      </c>
      <c r="H271">
        <f>הגדרות!B6</f>
        <v/>
      </c>
      <c r="I271">
        <f>F271*(1-H271/100)*1.18</f>
        <v/>
      </c>
      <c r="J271">
        <f>הגדרות!C6</f>
        <v/>
      </c>
      <c r="K271">
        <f>הגדרות!D6</f>
        <v/>
      </c>
      <c r="L271">
        <f>I271*(1+J271/100)+K271</f>
        <v/>
      </c>
    </row>
    <row r="272">
      <c r="A272" t="inlineStr">
        <is>
          <t>פרופ' בנעט</t>
        </is>
      </c>
      <c r="B272" t="inlineStr">
        <is>
          <t>Corona Virus</t>
        </is>
      </c>
      <c r="C272" t="inlineStr">
        <is>
          <t>PCR</t>
        </is>
      </c>
      <c r="F272" t="n">
        <v>222.22</v>
      </c>
      <c r="G272" t="n">
        <v>262.22</v>
      </c>
      <c r="H272">
        <f>הגדרות!B6</f>
        <v/>
      </c>
      <c r="I272">
        <f>F272*(1-H272/100)*1.18</f>
        <v/>
      </c>
      <c r="J272">
        <f>הגדרות!C6</f>
        <v/>
      </c>
      <c r="K272">
        <f>הגדרות!D6</f>
        <v/>
      </c>
      <c r="L272">
        <f>I272*(1+J272/100)+K272</f>
        <v/>
      </c>
    </row>
    <row r="273">
      <c r="A273" t="inlineStr">
        <is>
          <t>פרופ' בנעט</t>
        </is>
      </c>
      <c r="B273" t="inlineStr">
        <is>
          <t>Corona Virus (FIP)</t>
        </is>
      </c>
      <c r="C273" t="inlineStr">
        <is>
          <t>PCR</t>
        </is>
      </c>
      <c r="F273" t="n">
        <v>222.22</v>
      </c>
      <c r="G273" t="n">
        <v>262.22</v>
      </c>
      <c r="H273">
        <f>הגדרות!B6</f>
        <v/>
      </c>
      <c r="I273">
        <f>F273*(1-H273/100)*1.18</f>
        <v/>
      </c>
      <c r="J273">
        <f>הגדרות!C6</f>
        <v/>
      </c>
      <c r="K273">
        <f>הגדרות!D6</f>
        <v/>
      </c>
      <c r="L273">
        <f>I273*(1+J273/100)+K273</f>
        <v/>
      </c>
    </row>
    <row r="274">
      <c r="A274" t="inlineStr">
        <is>
          <t>פרופ' בנעט</t>
        </is>
      </c>
      <c r="B274" t="inlineStr">
        <is>
          <t>Salmonella sp.</t>
        </is>
      </c>
      <c r="C274" t="inlineStr">
        <is>
          <t>PCR</t>
        </is>
      </c>
      <c r="F274" t="n">
        <v>170.94</v>
      </c>
      <c r="G274" t="n">
        <v>201.71</v>
      </c>
      <c r="H274">
        <f>הגדרות!B6</f>
        <v/>
      </c>
      <c r="I274">
        <f>F274*(1-H274/100)*1.18</f>
        <v/>
      </c>
      <c r="J274">
        <f>הגדרות!C6</f>
        <v/>
      </c>
      <c r="K274">
        <f>הגדרות!D6</f>
        <v/>
      </c>
      <c r="L274">
        <f>I274*(1+J274/100)+K274</f>
        <v/>
      </c>
    </row>
    <row r="275">
      <c r="A275" t="inlineStr">
        <is>
          <t>פרופ' בנעט</t>
        </is>
      </c>
      <c r="B275" t="inlineStr">
        <is>
          <t>Dirofilaria Immitis / Repens</t>
        </is>
      </c>
      <c r="C275" t="inlineStr">
        <is>
          <t>PCR</t>
        </is>
      </c>
      <c r="F275" t="n">
        <v>170.94</v>
      </c>
      <c r="G275" t="n">
        <v>201.71</v>
      </c>
      <c r="H275">
        <f>הגדרות!B6</f>
        <v/>
      </c>
      <c r="I275">
        <f>F275*(1-H275/100)*1.18</f>
        <v/>
      </c>
      <c r="J275">
        <f>הגדרות!C6</f>
        <v/>
      </c>
      <c r="K275">
        <f>הגדרות!D6</f>
        <v/>
      </c>
      <c r="L275">
        <f>I275*(1+J275/100)+K275</f>
        <v/>
      </c>
    </row>
    <row r="276">
      <c r="A276" t="inlineStr">
        <is>
          <t>פרופ' בנעט</t>
        </is>
      </c>
      <c r="B276" t="inlineStr">
        <is>
          <t>Neospora Caninum</t>
        </is>
      </c>
      <c r="C276" t="inlineStr">
        <is>
          <t>PCR</t>
        </is>
      </c>
      <c r="F276" t="n">
        <v>170.94</v>
      </c>
      <c r="G276" t="n">
        <v>201.71</v>
      </c>
      <c r="H276">
        <f>הגדרות!B6</f>
        <v/>
      </c>
      <c r="I276">
        <f>F276*(1-H276/100)*1.18</f>
        <v/>
      </c>
      <c r="J276">
        <f>הגדרות!C6</f>
        <v/>
      </c>
      <c r="K276">
        <f>הגדרות!D6</f>
        <v/>
      </c>
      <c r="L276">
        <f>I276*(1+J276/100)+K276</f>
        <v/>
      </c>
    </row>
    <row r="277">
      <c r="A277" t="inlineStr">
        <is>
          <t>פרופ' בנעט</t>
        </is>
      </c>
      <c r="B277" t="inlineStr">
        <is>
          <t>Feline Herpes Virus</t>
        </is>
      </c>
      <c r="C277" t="inlineStr">
        <is>
          <t>PCR</t>
        </is>
      </c>
      <c r="F277" t="n">
        <v>170.94</v>
      </c>
      <c r="G277" t="n">
        <v>201.71</v>
      </c>
      <c r="H277">
        <f>הגדרות!B6</f>
        <v/>
      </c>
      <c r="I277">
        <f>F277*(1-H277/100)*1.18</f>
        <v/>
      </c>
      <c r="J277">
        <f>הגדרות!C6</f>
        <v/>
      </c>
      <c r="K277">
        <f>הגדרות!D6</f>
        <v/>
      </c>
      <c r="L277">
        <f>I277*(1+J277/100)+K277</f>
        <v/>
      </c>
    </row>
    <row r="278">
      <c r="A278" t="inlineStr">
        <is>
          <t>פרופ' בנעט</t>
        </is>
      </c>
      <c r="B278" t="inlineStr">
        <is>
          <t>Feline Leukemia Virus (FeLV)</t>
        </is>
      </c>
      <c r="C278" t="inlineStr">
        <is>
          <t>PCR</t>
        </is>
      </c>
      <c r="F278" t="n">
        <v>170.94</v>
      </c>
      <c r="G278" t="n">
        <v>201.71</v>
      </c>
      <c r="H278">
        <f>הגדרות!B6</f>
        <v/>
      </c>
      <c r="I278">
        <f>F278*(1-H278/100)*1.18</f>
        <v/>
      </c>
      <c r="J278">
        <f>הגדרות!C6</f>
        <v/>
      </c>
      <c r="K278">
        <f>הגדרות!D6</f>
        <v/>
      </c>
      <c r="L278">
        <f>I278*(1+J278/100)+K278</f>
        <v/>
      </c>
    </row>
    <row r="279">
      <c r="A279" t="inlineStr">
        <is>
          <t>פרופ' בנעט</t>
        </is>
      </c>
      <c r="B279" t="inlineStr">
        <is>
          <t>Feline Immunodeficiency Virus (FIV)</t>
        </is>
      </c>
      <c r="C279" t="inlineStr">
        <is>
          <t>PCR</t>
        </is>
      </c>
      <c r="F279" t="n">
        <v>170.94</v>
      </c>
      <c r="G279" t="n">
        <v>201.71</v>
      </c>
      <c r="H279">
        <f>הגדרות!B6</f>
        <v/>
      </c>
      <c r="I279">
        <f>F279*(1-H279/100)*1.18</f>
        <v/>
      </c>
      <c r="J279">
        <f>הגדרות!C6</f>
        <v/>
      </c>
      <c r="K279">
        <f>הגדרות!D6</f>
        <v/>
      </c>
      <c r="L279">
        <f>I279*(1+J279/100)+K279</f>
        <v/>
      </c>
    </row>
    <row r="280">
      <c r="A280" t="inlineStr">
        <is>
          <t>פרופ' בנעט</t>
        </is>
      </c>
      <c r="B280" t="inlineStr">
        <is>
          <t>Toxoplasma</t>
        </is>
      </c>
      <c r="C280" t="inlineStr">
        <is>
          <t>PCR</t>
        </is>
      </c>
      <c r="F280" t="n">
        <v>170.94</v>
      </c>
      <c r="G280" t="n">
        <v>201.71</v>
      </c>
      <c r="H280">
        <f>הגדרות!B6</f>
        <v/>
      </c>
      <c r="I280">
        <f>F280*(1-H280/100)*1.18</f>
        <v/>
      </c>
      <c r="J280">
        <f>הגדרות!C6</f>
        <v/>
      </c>
      <c r="K280">
        <f>הגדרות!D6</f>
        <v/>
      </c>
      <c r="L280">
        <f>I280*(1+J280/100)+K280</f>
        <v/>
      </c>
    </row>
    <row r="281">
      <c r="A281" t="inlineStr">
        <is>
          <t>פרופ' בנעט</t>
        </is>
      </c>
      <c r="B281" t="inlineStr">
        <is>
          <t>Panleukopenia Parvo Virus</t>
        </is>
      </c>
      <c r="C281" t="inlineStr">
        <is>
          <t>PCR</t>
        </is>
      </c>
      <c r="F281" t="n">
        <v>170.94</v>
      </c>
      <c r="G281" t="n">
        <v>201.71</v>
      </c>
      <c r="H281">
        <f>הגדרות!B6</f>
        <v/>
      </c>
      <c r="I281">
        <f>F281*(1-H281/100)*1.18</f>
        <v/>
      </c>
      <c r="J281">
        <f>הגדרות!C6</f>
        <v/>
      </c>
      <c r="K281">
        <f>הגדרות!D6</f>
        <v/>
      </c>
      <c r="L281">
        <f>I281*(1+J281/100)+K281</f>
        <v/>
      </c>
    </row>
    <row r="282">
      <c r="A282" t="inlineStr">
        <is>
          <t>פרופ' בנעט</t>
        </is>
      </c>
      <c r="B282" t="inlineStr">
        <is>
          <t>Feline Calici Virus</t>
        </is>
      </c>
      <c r="C282" t="inlineStr">
        <is>
          <t>PCR</t>
        </is>
      </c>
      <c r="F282" t="n">
        <v>222.22</v>
      </c>
      <c r="G282" t="n">
        <v>262.22</v>
      </c>
      <c r="H282">
        <f>הגדרות!B6</f>
        <v/>
      </c>
      <c r="I282">
        <f>F282*(1-H282/100)*1.18</f>
        <v/>
      </c>
      <c r="J282">
        <f>הגדרות!C6</f>
        <v/>
      </c>
      <c r="K282">
        <f>הגדרות!D6</f>
        <v/>
      </c>
      <c r="L282">
        <f>I282*(1+J282/100)+K282</f>
        <v/>
      </c>
    </row>
    <row r="283">
      <c r="A283" t="inlineStr">
        <is>
          <t>פרופ' בנעט</t>
        </is>
      </c>
      <c r="B283" t="inlineStr">
        <is>
          <t>Chlamydophila Felis</t>
        </is>
      </c>
      <c r="C283" t="inlineStr">
        <is>
          <t>PCR</t>
        </is>
      </c>
      <c r="F283" t="n">
        <v>170.94</v>
      </c>
      <c r="G283" t="n">
        <v>201.71</v>
      </c>
      <c r="H283">
        <f>הגדרות!B6</f>
        <v/>
      </c>
      <c r="I283">
        <f>F283*(1-H283/100)*1.18</f>
        <v/>
      </c>
      <c r="J283">
        <f>הגדרות!C6</f>
        <v/>
      </c>
      <c r="K283">
        <f>הגדרות!D6</f>
        <v/>
      </c>
      <c r="L283">
        <f>I283*(1+J283/100)+K283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2026-08-26T09:35:18Z</dcterms:created>
  <dcterms:modified xmlns:dcterms="http://purl.org/dc/terms/" xmlns:xsi="http://www.w3.org/2001/XMLSchema-instance" xsi:type="dcterms:W3CDTF">2026-08-26T09:35:19Z</dcterms:modified>
</cp:coreProperties>
</file>