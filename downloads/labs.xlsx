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IDEXX — רפרנס</t>
        </is>
      </c>
      <c r="B5" t="n">
        <v>0</v>
      </c>
      <c r="C5" t="n">
        <v>0</v>
      </c>
      <c r="D5" t="n">
        <v>0</v>
      </c>
    </row>
    <row r="6">
      <c r="A6" t="inlineStr">
        <is>
          <t>קרניאלי</t>
        </is>
      </c>
      <c r="B6" t="n">
        <v>0</v>
      </c>
      <c r="C6" t="n">
        <v>0</v>
      </c>
      <c r="D6" t="n">
        <v>0</v>
      </c>
    </row>
    <row r="7">
      <c r="A7" t="inlineStr">
        <is>
          <t>פרופ' בנעט</t>
        </is>
      </c>
      <c r="B7" t="n">
        <v>0</v>
      </c>
      <c r="C7" t="n">
        <v>0</v>
      </c>
      <c r="D7" t="n">
        <v>0</v>
      </c>
    </row>
    <row r="9">
      <c r="A9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1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Fine Needle Aspirate Cytology</t>
        </is>
      </c>
      <c r="C215" t="inlineStr">
        <is>
          <t>Cytology</t>
        </is>
      </c>
      <c r="D215" t="inlineStr">
        <is>
          <t>CYTO1</t>
        </is>
      </c>
      <c r="E215" t="inlineStr">
        <is>
          <t>2026-01</t>
        </is>
      </c>
      <c r="F215" t="n">
        <v>551</v>
      </c>
      <c r="G215" t="n">
        <v>650.1799999999999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Fine Needle Aspirate Cytology</t>
        </is>
      </c>
      <c r="C216" t="inlineStr">
        <is>
          <t>Cytology</t>
        </is>
      </c>
      <c r="D216" t="inlineStr">
        <is>
          <t>CYTO2</t>
        </is>
      </c>
      <c r="E216" t="inlineStr">
        <is>
          <t>2026-01</t>
        </is>
      </c>
      <c r="F216" t="n">
        <v>652.5</v>
      </c>
      <c r="G216" t="n">
        <v>769.95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Fine Needle Aspirate Cytology</t>
        </is>
      </c>
      <c r="C217" t="inlineStr">
        <is>
          <t>Cytology</t>
        </is>
      </c>
      <c r="D217" t="inlineStr">
        <is>
          <t>CYTO3</t>
        </is>
      </c>
      <c r="E217" t="inlineStr">
        <is>
          <t>2026-01</t>
        </is>
      </c>
      <c r="F217" t="n">
        <v>794.6</v>
      </c>
      <c r="G217" t="n">
        <v>937.63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Fine Needle Aspirate Cytology</t>
        </is>
      </c>
      <c r="C218" t="inlineStr">
        <is>
          <t>Cytology</t>
        </is>
      </c>
      <c r="D218" t="inlineStr">
        <is>
          <t>CYTO4</t>
        </is>
      </c>
      <c r="E218" t="inlineStr">
        <is>
          <t>2026-01</t>
        </is>
      </c>
      <c r="F218" t="n">
        <v>936.7</v>
      </c>
      <c r="G218" t="n">
        <v>1105.31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Body Cavity Fluid Cytology</t>
        </is>
      </c>
      <c r="C219" t="inlineStr">
        <is>
          <t>Cytology</t>
        </is>
      </c>
      <c r="D219" t="inlineStr">
        <is>
          <t>BCFLD</t>
        </is>
      </c>
      <c r="E219" t="inlineStr">
        <is>
          <t>2026-01</t>
        </is>
      </c>
      <c r="F219" t="n">
        <v>771.4</v>
      </c>
      <c r="G219" t="n">
        <v>910.25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Body Cavity Fluid Cytology</t>
        </is>
      </c>
      <c r="C220" t="inlineStr">
        <is>
          <t>Cytology</t>
        </is>
      </c>
      <c r="D220" t="inlineStr">
        <is>
          <t>BCFLD2</t>
        </is>
      </c>
      <c r="E220" t="inlineStr">
        <is>
          <t>2026-01</t>
        </is>
      </c>
      <c r="F220" t="n">
        <v>872.9</v>
      </c>
      <c r="G220" t="n">
        <v>1030.02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Body Cavity Fluid Cytology</t>
        </is>
      </c>
      <c r="C221" t="inlineStr">
        <is>
          <t>Cytology</t>
        </is>
      </c>
      <c r="D221" t="inlineStr">
        <is>
          <t>BCFLD3</t>
        </is>
      </c>
      <c r="E221" t="inlineStr">
        <is>
          <t>2026-01</t>
        </is>
      </c>
      <c r="F221" t="n">
        <v>974.4</v>
      </c>
      <c r="G221" t="n">
        <v>1149.79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Body Cavity Fluid Cytology</t>
        </is>
      </c>
      <c r="C222" t="inlineStr">
        <is>
          <t>Cytology</t>
        </is>
      </c>
      <c r="D222" t="inlineStr">
        <is>
          <t>BCFLD4</t>
        </is>
      </c>
      <c r="E222" t="inlineStr">
        <is>
          <t>2026-01</t>
        </is>
      </c>
      <c r="F222" t="n">
        <v>1075.9</v>
      </c>
      <c r="G222" t="n">
        <v>1269.56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Bone Marrow Cytology</t>
        </is>
      </c>
      <c r="C223" t="inlineStr">
        <is>
          <t>Cytology</t>
        </is>
      </c>
      <c r="D223" t="inlineStr">
        <is>
          <t>BMEX</t>
        </is>
      </c>
      <c r="E223" t="inlineStr">
        <is>
          <t>2026-01</t>
        </is>
      </c>
      <c r="F223" t="n">
        <v>797.5</v>
      </c>
      <c r="G223" t="n">
        <v>941.05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Bone Marrow Cytology &amp; Histology</t>
        </is>
      </c>
      <c r="C224" t="inlineStr">
        <is>
          <t>Cytology</t>
        </is>
      </c>
      <c r="D224" t="inlineStr">
        <is>
          <t>BMEXH</t>
        </is>
      </c>
      <c r="E224" t="inlineStr">
        <is>
          <t>2026-01</t>
        </is>
      </c>
      <c r="F224" t="n">
        <v>1339.8</v>
      </c>
      <c r="G224" t="n">
        <v>1580.96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Cerebro-spinal Fluid Cytology - 1</t>
        </is>
      </c>
      <c r="C225" t="inlineStr">
        <is>
          <t>Cytology</t>
        </is>
      </c>
      <c r="D225" t="inlineStr">
        <is>
          <t>CSF</t>
        </is>
      </c>
      <c r="E225" t="inlineStr">
        <is>
          <t>2026-01</t>
        </is>
      </c>
      <c r="F225" t="n">
        <v>754</v>
      </c>
      <c r="G225" t="n">
        <v>889.72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Cerebro-spinal Fluid Cytology - 2</t>
        </is>
      </c>
      <c r="C226" t="inlineStr">
        <is>
          <t>Cytology</t>
        </is>
      </c>
      <c r="D226" t="inlineStr">
        <is>
          <t>CSF2</t>
        </is>
      </c>
      <c r="E226" t="inlineStr">
        <is>
          <t>2026-01</t>
        </is>
      </c>
      <c r="F226" t="n">
        <v>855.5</v>
      </c>
      <c r="G226" t="n">
        <v>1009.49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Flow cytometry (Blood)</t>
        </is>
      </c>
      <c r="C227" t="inlineStr">
        <is>
          <t>Cytology</t>
        </is>
      </c>
      <c r="D227" t="inlineStr">
        <is>
          <t>FCB</t>
        </is>
      </c>
      <c r="E227" t="inlineStr">
        <is>
          <t>2026-01</t>
        </is>
      </c>
      <c r="F227" t="n">
        <v>1516.7</v>
      </c>
      <c r="G227" t="n">
        <v>1789.71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Flow cytometry (Lymph node Canine)</t>
        </is>
      </c>
      <c r="C228" t="inlineStr">
        <is>
          <t>Cytology</t>
        </is>
      </c>
      <c r="D228" t="inlineStr">
        <is>
          <t>FCLNC</t>
        </is>
      </c>
      <c r="E228" t="inlineStr">
        <is>
          <t>2026-01</t>
        </is>
      </c>
      <c r="F228" t="n">
        <v>1415.2</v>
      </c>
      <c r="G228" t="n">
        <v>1669.94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Flow cytometry (Lymph node Canine)</t>
        </is>
      </c>
      <c r="C229" t="inlineStr">
        <is>
          <t>Cytology</t>
        </is>
      </c>
      <c r="D229" t="inlineStr">
        <is>
          <t>FCLNF</t>
        </is>
      </c>
      <c r="E229" t="inlineStr">
        <is>
          <t>2026-01</t>
        </is>
      </c>
      <c r="F229" t="n">
        <v>1415.2</v>
      </c>
      <c r="G229" t="n">
        <v>1669.94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Flush/Wash/Cystic Fluid Cytology - 1</t>
        </is>
      </c>
      <c r="C230" t="inlineStr">
        <is>
          <t>Cytology</t>
        </is>
      </c>
      <c r="D230" t="inlineStr">
        <is>
          <t>WASH</t>
        </is>
      </c>
      <c r="E230" t="inlineStr">
        <is>
          <t>2026-01</t>
        </is>
      </c>
      <c r="F230" t="n">
        <v>704.7</v>
      </c>
      <c r="G230" t="n">
        <v>831.55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Flush/Wash/Cystic Fluid Cytology - 2</t>
        </is>
      </c>
      <c r="C231" t="inlineStr">
        <is>
          <t>Cytology</t>
        </is>
      </c>
      <c r="D231" t="inlineStr">
        <is>
          <t>WASH2</t>
        </is>
      </c>
      <c r="E231" t="inlineStr">
        <is>
          <t>2026-01</t>
        </is>
      </c>
      <c r="F231" t="n">
        <v>806.2</v>
      </c>
      <c r="G231" t="n">
        <v>951.3200000000001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Flush/Wash/Cystic Fluid Cytology - 3</t>
        </is>
      </c>
      <c r="C232" t="inlineStr">
        <is>
          <t>Cytology</t>
        </is>
      </c>
      <c r="D232" t="inlineStr">
        <is>
          <t>WASH3</t>
        </is>
      </c>
      <c r="E232" t="inlineStr">
        <is>
          <t>2026-01</t>
        </is>
      </c>
      <c r="F232" t="n">
        <v>907.7</v>
      </c>
      <c r="G232" t="n">
        <v>1071.09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Immunocytochemistry - 2 markers</t>
        </is>
      </c>
      <c r="C233" t="inlineStr">
        <is>
          <t>Cytology</t>
        </is>
      </c>
      <c r="D233" t="inlineStr">
        <is>
          <t>ICCU2</t>
        </is>
      </c>
      <c r="E233" t="inlineStr">
        <is>
          <t>2026-01</t>
        </is>
      </c>
      <c r="F233" t="n">
        <v>907.7</v>
      </c>
      <c r="G233" t="n">
        <v>1071.09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Lymph Node Aspirate</t>
        </is>
      </c>
      <c r="C234" t="inlineStr">
        <is>
          <t>Cytology</t>
        </is>
      </c>
      <c r="D234" t="inlineStr">
        <is>
          <t>LNAS</t>
        </is>
      </c>
      <c r="E234" t="inlineStr">
        <is>
          <t>2026-01</t>
        </is>
      </c>
      <c r="F234" t="n">
        <v>693.1</v>
      </c>
      <c r="G234" t="n">
        <v>817.86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Lymph Node Aspirates and Fine</t>
        </is>
      </c>
      <c r="C235" t="inlineStr">
        <is>
          <t>Cytology</t>
        </is>
      </c>
      <c r="D235" t="inlineStr">
        <is>
          <t>LNCY1</t>
        </is>
      </c>
      <c r="E235" t="inlineStr">
        <is>
          <t>2026-01</t>
        </is>
      </c>
      <c r="F235" t="n">
        <v>835.2</v>
      </c>
      <c r="G235" t="n">
        <v>985.54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Lymph Node Aspirates and Fine</t>
        </is>
      </c>
      <c r="C236" t="inlineStr">
        <is>
          <t>Cytology</t>
        </is>
      </c>
      <c r="D236" t="inlineStr">
        <is>
          <t>LNCY2</t>
        </is>
      </c>
      <c r="E236" t="inlineStr">
        <is>
          <t>2026-01</t>
        </is>
      </c>
      <c r="F236" t="n">
        <v>936.7</v>
      </c>
      <c r="G236" t="n">
        <v>1105.31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Lymph Node Aspirates and Fine</t>
        </is>
      </c>
      <c r="C237" t="inlineStr">
        <is>
          <t>Cytology</t>
        </is>
      </c>
      <c r="D237" t="inlineStr">
        <is>
          <t>LNCY3</t>
        </is>
      </c>
      <c r="E237" t="inlineStr">
        <is>
          <t>2026-01</t>
        </is>
      </c>
      <c r="F237" t="n">
        <v>1038.2</v>
      </c>
      <c r="G237" t="n">
        <v>1225.08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Synovial Fluid Cytology - 1 Joint</t>
        </is>
      </c>
      <c r="C238" t="inlineStr">
        <is>
          <t>Cytology</t>
        </is>
      </c>
      <c r="D238" t="inlineStr">
        <is>
          <t>SYNO</t>
        </is>
      </c>
      <c r="E238" t="inlineStr">
        <is>
          <t>2026-01</t>
        </is>
      </c>
      <c r="F238" t="n">
        <v>652.5</v>
      </c>
      <c r="G238" t="n">
        <v>769.95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Synovial Fluid Cytology - 2 Joint</t>
        </is>
      </c>
      <c r="C239" t="inlineStr">
        <is>
          <t>Cytology</t>
        </is>
      </c>
      <c r="D239" t="inlineStr">
        <is>
          <t>SYNO2</t>
        </is>
      </c>
      <c r="E239" t="inlineStr">
        <is>
          <t>2026-01</t>
        </is>
      </c>
      <c r="F239" t="n">
        <v>754</v>
      </c>
      <c r="G239" t="n">
        <v>889.72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Synovial Fluid Cytology - 3 Joint</t>
        </is>
      </c>
      <c r="C240" t="inlineStr">
        <is>
          <t>Cytology</t>
        </is>
      </c>
      <c r="D240" t="inlineStr">
        <is>
          <t>SYNO3</t>
        </is>
      </c>
      <c r="E240" t="inlineStr">
        <is>
          <t>2026-01</t>
        </is>
      </c>
      <c r="F240" t="n">
        <v>855.5</v>
      </c>
      <c r="G240" t="n">
        <v>1009.49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Synovial Fluid Cytology -4 Joint</t>
        </is>
      </c>
      <c r="C241" t="inlineStr">
        <is>
          <t>Cytology</t>
        </is>
      </c>
      <c r="D241" t="inlineStr">
        <is>
          <t>SYNO4</t>
        </is>
      </c>
      <c r="E241" t="inlineStr">
        <is>
          <t>2026-01</t>
        </is>
      </c>
      <c r="F241" t="n">
        <v>957</v>
      </c>
      <c r="G241" t="n">
        <v>1129.26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Synovial Fluid Cytology with</t>
        </is>
      </c>
      <c r="C242" t="inlineStr">
        <is>
          <t>Cytology</t>
        </is>
      </c>
      <c r="D242" t="inlineStr">
        <is>
          <t>SYN2</t>
        </is>
      </c>
      <c r="E242" t="inlineStr">
        <is>
          <t>2026-01</t>
        </is>
      </c>
      <c r="F242" t="n">
        <v>1041.1</v>
      </c>
      <c r="G242" t="n">
        <v>1228.5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Synovial Fluid Cytology with</t>
        </is>
      </c>
      <c r="C243" t="inlineStr">
        <is>
          <t>Cytology</t>
        </is>
      </c>
      <c r="D243" t="inlineStr">
        <is>
          <t>UCYT</t>
        </is>
      </c>
      <c r="E243" t="inlineStr">
        <is>
          <t>2026-01</t>
        </is>
      </c>
      <c r="F243" t="n">
        <v>675.7</v>
      </c>
      <c r="G243" t="n">
        <v>797.33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NEW Priority Histology - 1 Site/Lesion</t>
        </is>
      </c>
      <c r="C244" t="inlineStr">
        <is>
          <t>Histology</t>
        </is>
      </c>
      <c r="D244" t="inlineStr">
        <is>
          <t>HIST1P</t>
        </is>
      </c>
      <c r="E244" t="inlineStr">
        <is>
          <t>2026-01</t>
        </is>
      </c>
      <c r="F244" t="n">
        <v>974.4</v>
      </c>
      <c r="G244" t="n">
        <v>1149.79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NEW Priority Histology -2 Site/Lesion</t>
        </is>
      </c>
      <c r="C245" t="inlineStr">
        <is>
          <t>Histology</t>
        </is>
      </c>
      <c r="D245" t="inlineStr">
        <is>
          <t>HIST2P</t>
        </is>
      </c>
      <c r="E245" t="inlineStr">
        <is>
          <t>2026-01</t>
        </is>
      </c>
      <c r="F245" t="n">
        <v>1052.7</v>
      </c>
      <c r="G245" t="n">
        <v>1242.19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NEW Priority Histology - 3 Site/Lesion</t>
        </is>
      </c>
      <c r="C246" t="inlineStr">
        <is>
          <t>Histology</t>
        </is>
      </c>
      <c r="D246" t="inlineStr">
        <is>
          <t>HIST3P</t>
        </is>
      </c>
      <c r="E246" t="inlineStr">
        <is>
          <t>2026-01</t>
        </is>
      </c>
      <c r="F246" t="n">
        <v>1197.7</v>
      </c>
      <c r="G246" t="n">
        <v>1413.29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NEW Priority Histology - 4 Site/Lesion</t>
        </is>
      </c>
      <c r="C247" t="inlineStr">
        <is>
          <t>Histology</t>
        </is>
      </c>
      <c r="D247" t="inlineStr">
        <is>
          <t>HIST4P</t>
        </is>
      </c>
      <c r="E247" t="inlineStr">
        <is>
          <t>2026-01</t>
        </is>
      </c>
      <c r="F247" t="n">
        <v>1342.7</v>
      </c>
      <c r="G247" t="n">
        <v>1584.39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Histology - 1 Site/Lesion</t>
        </is>
      </c>
      <c r="C248" t="inlineStr">
        <is>
          <t>Histology</t>
        </is>
      </c>
      <c r="D248" t="inlineStr">
        <is>
          <t>HIST1</t>
        </is>
      </c>
      <c r="E248" t="inlineStr">
        <is>
          <t>2026-01</t>
        </is>
      </c>
      <c r="F248" t="n">
        <v>649.6</v>
      </c>
      <c r="G248" t="n">
        <v>766.53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Histology - 2 Site/Lesion</t>
        </is>
      </c>
      <c r="C249" t="inlineStr">
        <is>
          <t>Histology</t>
        </is>
      </c>
      <c r="D249" t="inlineStr">
        <is>
          <t>HIST2</t>
        </is>
      </c>
      <c r="E249" t="inlineStr">
        <is>
          <t>2026-01</t>
        </is>
      </c>
      <c r="F249" t="n">
        <v>727.9</v>
      </c>
      <c r="G249" t="n">
        <v>858.92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Histology - 3 Site/Lesion</t>
        </is>
      </c>
      <c r="C250" t="inlineStr">
        <is>
          <t>Histology</t>
        </is>
      </c>
      <c r="D250" t="inlineStr">
        <is>
          <t>HIST3</t>
        </is>
      </c>
      <c r="E250" t="inlineStr">
        <is>
          <t>2026-01</t>
        </is>
      </c>
      <c r="F250" t="n">
        <v>872.9</v>
      </c>
      <c r="G250" t="n">
        <v>1030.02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Histology - 4 Site/Lesion</t>
        </is>
      </c>
      <c r="C251" t="inlineStr">
        <is>
          <t>Histology</t>
        </is>
      </c>
      <c r="D251" t="inlineStr">
        <is>
          <t>HIST4</t>
        </is>
      </c>
      <c r="E251" t="inlineStr">
        <is>
          <t>2026-01</t>
        </is>
      </c>
      <c r="F251" t="n">
        <v>1017.9</v>
      </c>
      <c r="G251" t="n">
        <v>1201.12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IDEXX</t>
        </is>
      </c>
      <c r="B252" t="inlineStr">
        <is>
          <t>Histology -</t>
        </is>
      </c>
      <c r="C252" t="inlineStr">
        <is>
          <t>Histology</t>
        </is>
      </c>
      <c r="D252" t="inlineStr">
        <is>
          <t>HISTLARGE</t>
        </is>
      </c>
      <c r="E252" t="inlineStr">
        <is>
          <t>2026-01</t>
        </is>
      </c>
      <c r="F252" t="n">
        <v>974.4</v>
      </c>
      <c r="G252" t="n">
        <v>1149.79</v>
      </c>
      <c r="H252">
        <f>הגדרות!B4</f>
        <v/>
      </c>
      <c r="I252">
        <f>F252*(1-H252/100)*1.18</f>
        <v/>
      </c>
      <c r="J252">
        <f>הגדרות!C4</f>
        <v/>
      </c>
      <c r="K252">
        <f>הגדרות!D4</f>
        <v/>
      </c>
      <c r="L252">
        <f>I252*(1+J252/100)+K252</f>
        <v/>
      </c>
    </row>
    <row r="253">
      <c r="A253" t="inlineStr">
        <is>
          <t>IDEXX</t>
        </is>
      </c>
      <c r="B253" t="inlineStr">
        <is>
          <t>Histology - GI tract Profile</t>
        </is>
      </c>
      <c r="C253" t="inlineStr">
        <is>
          <t>Histology</t>
        </is>
      </c>
      <c r="D253" t="inlineStr">
        <is>
          <t>HISTGI</t>
        </is>
      </c>
      <c r="E253" t="inlineStr">
        <is>
          <t>2026-01</t>
        </is>
      </c>
      <c r="F253" t="n">
        <v>974.4</v>
      </c>
      <c r="G253" t="n">
        <v>1149.79</v>
      </c>
      <c r="H253">
        <f>הגדרות!B4</f>
        <v/>
      </c>
      <c r="I253">
        <f>F253*(1-H253/100)*1.18</f>
        <v/>
      </c>
      <c r="J253">
        <f>הגדרות!C4</f>
        <v/>
      </c>
      <c r="K253">
        <f>הגדרות!D4</f>
        <v/>
      </c>
      <c r="L253">
        <f>I253*(1+J253/100)+K253</f>
        <v/>
      </c>
    </row>
    <row r="254">
      <c r="A254" t="inlineStr">
        <is>
          <t>IDEXX</t>
        </is>
      </c>
      <c r="B254" t="inlineStr">
        <is>
          <t>Histology - Liver Profile</t>
        </is>
      </c>
      <c r="C254" t="inlineStr">
        <is>
          <t>Histology</t>
        </is>
      </c>
      <c r="D254" t="inlineStr">
        <is>
          <t>HISTLIV</t>
        </is>
      </c>
      <c r="E254" t="inlineStr">
        <is>
          <t>2026-01</t>
        </is>
      </c>
      <c r="F254" t="n">
        <v>974.4</v>
      </c>
      <c r="G254" t="n">
        <v>1149.79</v>
      </c>
      <c r="H254">
        <f>הגדרות!B4</f>
        <v/>
      </c>
      <c r="I254">
        <f>F254*(1-H254/100)*1.18</f>
        <v/>
      </c>
      <c r="J254">
        <f>הגדרות!C4</f>
        <v/>
      </c>
      <c r="K254">
        <f>הגדרות!D4</f>
        <v/>
      </c>
      <c r="L254">
        <f>I254*(1+J254/100)+K254</f>
        <v/>
      </c>
    </row>
    <row r="255">
      <c r="A255" t="inlineStr">
        <is>
          <t>IDEXX</t>
        </is>
      </c>
      <c r="B255" t="inlineStr">
        <is>
          <t>Histology - Post Mortem Case</t>
        </is>
      </c>
      <c r="C255" t="inlineStr">
        <is>
          <t>Histology</t>
        </is>
      </c>
      <c r="D255" t="inlineStr">
        <is>
          <t>HISTPM</t>
        </is>
      </c>
      <c r="E255" t="inlineStr">
        <is>
          <t>2026-01</t>
        </is>
      </c>
      <c r="F255" t="n">
        <v>803.3</v>
      </c>
      <c r="G255" t="n">
        <v>947.89</v>
      </c>
      <c r="H255">
        <f>הגדרות!B4</f>
        <v/>
      </c>
      <c r="I255">
        <f>F255*(1-H255/100)*1.18</f>
        <v/>
      </c>
      <c r="J255">
        <f>הגדרות!C4</f>
        <v/>
      </c>
      <c r="K255">
        <f>הגדרות!D4</f>
        <v/>
      </c>
      <c r="L255">
        <f>I255*(1+J255/100)+K255</f>
        <v/>
      </c>
    </row>
    <row r="256">
      <c r="A256" t="inlineStr">
        <is>
          <t>IDEXX</t>
        </is>
      </c>
      <c r="B256" t="inlineStr">
        <is>
          <t>Histology Eye Examination (Large</t>
        </is>
      </c>
      <c r="C256" t="inlineStr">
        <is>
          <t>Histology</t>
        </is>
      </c>
      <c r="D256" t="inlineStr">
        <is>
          <t>HISTOCL</t>
        </is>
      </c>
      <c r="E256" t="inlineStr">
        <is>
          <t>2026-01</t>
        </is>
      </c>
      <c r="F256" t="n">
        <v>1299.2</v>
      </c>
      <c r="G256" t="n">
        <v>1533.06</v>
      </c>
      <c r="H256">
        <f>הגדרות!B4</f>
        <v/>
      </c>
      <c r="I256">
        <f>F256*(1-H256/100)*1.18</f>
        <v/>
      </c>
      <c r="J256">
        <f>הגדרות!C4</f>
        <v/>
      </c>
      <c r="K256">
        <f>הגדרות!D4</f>
        <v/>
      </c>
      <c r="L256">
        <f>I256*(1+J256/100)+K256</f>
        <v/>
      </c>
    </row>
    <row r="257">
      <c r="A257" t="inlineStr">
        <is>
          <t>IDEXX</t>
        </is>
      </c>
      <c r="B257" t="inlineStr">
        <is>
          <t>Histology Eye Examination (Small</t>
        </is>
      </c>
      <c r="C257" t="inlineStr">
        <is>
          <t>Histology</t>
        </is>
      </c>
      <c r="D257" t="inlineStr">
        <is>
          <t>HISTOC</t>
        </is>
      </c>
      <c r="E257" t="inlineStr">
        <is>
          <t>2026-01</t>
        </is>
      </c>
      <c r="F257" t="n">
        <v>1136.8</v>
      </c>
      <c r="G257" t="n">
        <v>1341.42</v>
      </c>
      <c r="H257">
        <f>הגדרות!B4</f>
        <v/>
      </c>
      <c r="I257">
        <f>F257*(1-H257/100)*1.18</f>
        <v/>
      </c>
      <c r="J257">
        <f>הגדרות!C4</f>
        <v/>
      </c>
      <c r="K257">
        <f>הגדרות!D4</f>
        <v/>
      </c>
      <c r="L257">
        <f>I257*(1+J257/100)+K257</f>
        <v/>
      </c>
    </row>
    <row r="258">
      <c r="A258" t="inlineStr">
        <is>
          <t>IDEXX</t>
        </is>
      </c>
      <c r="B258" t="inlineStr">
        <is>
          <t>Histology – Skin Profile</t>
        </is>
      </c>
      <c r="C258" t="inlineStr">
        <is>
          <t>Histology</t>
        </is>
      </c>
      <c r="D258" t="inlineStr">
        <is>
          <t>HISTSK</t>
        </is>
      </c>
      <c r="E258" t="inlineStr">
        <is>
          <t>2026-01</t>
        </is>
      </c>
      <c r="F258" t="n">
        <v>812</v>
      </c>
      <c r="G258" t="n">
        <v>958.16</v>
      </c>
      <c r="H258">
        <f>הגדרות!B4</f>
        <v/>
      </c>
      <c r="I258">
        <f>F258*(1-H258/100)*1.18</f>
        <v/>
      </c>
      <c r="J258">
        <f>הגדרות!C4</f>
        <v/>
      </c>
      <c r="K258">
        <f>הגדרות!D4</f>
        <v/>
      </c>
      <c r="L258">
        <f>I258*(1+J258/100)+K258</f>
        <v/>
      </c>
    </row>
    <row r="259">
      <c r="A259" t="inlineStr">
        <is>
          <t>IDEXX</t>
        </is>
      </c>
      <c r="B259" t="inlineStr">
        <is>
          <t>C-Kit PCR K9 Combo For Mast Cell</t>
        </is>
      </c>
      <c r="C259" t="inlineStr">
        <is>
          <t>Immunohistochemistry</t>
        </is>
      </c>
      <c r="D259" t="inlineStr">
        <is>
          <t>C-KITPCR</t>
        </is>
      </c>
      <c r="E259" t="inlineStr">
        <is>
          <t>2026-01</t>
        </is>
      </c>
      <c r="F259" t="n">
        <v>849.7</v>
      </c>
      <c r="G259" t="n">
        <v>1002.65</v>
      </c>
      <c r="H259">
        <f>הגדרות!B4</f>
        <v/>
      </c>
      <c r="I259">
        <f>F259*(1-H259/100)*1.18</f>
        <v/>
      </c>
      <c r="J259">
        <f>הגדרות!C4</f>
        <v/>
      </c>
      <c r="K259">
        <f>הגדרות!D4</f>
        <v/>
      </c>
      <c r="L259">
        <f>I259*(1+J259/100)+K259</f>
        <v/>
      </c>
    </row>
    <row r="260">
      <c r="A260" t="inlineStr">
        <is>
          <t>IDEXX</t>
        </is>
      </c>
      <c r="B260" t="inlineStr">
        <is>
          <t>Canine BRAF Mutation Detection</t>
        </is>
      </c>
      <c r="C260" t="inlineStr">
        <is>
          <t>Immunohistochemistry</t>
        </is>
      </c>
      <c r="D260" t="inlineStr">
        <is>
          <t>CBRAF</t>
        </is>
      </c>
      <c r="E260" t="inlineStr">
        <is>
          <t>2026-01</t>
        </is>
      </c>
      <c r="F260" t="n">
        <v>577.1</v>
      </c>
      <c r="G260" t="n">
        <v>680.98</v>
      </c>
      <c r="H260">
        <f>הגדרות!B4</f>
        <v/>
      </c>
      <c r="I260">
        <f>F260*(1-H260/100)*1.18</f>
        <v/>
      </c>
      <c r="J260">
        <f>הגדרות!C4</f>
        <v/>
      </c>
      <c r="K260">
        <f>הגדרות!D4</f>
        <v/>
      </c>
      <c r="L260">
        <f>I260*(1+J260/100)+K260</f>
        <v/>
      </c>
    </row>
    <row r="261">
      <c r="A261" t="inlineStr">
        <is>
          <t>IDEXX</t>
        </is>
      </c>
      <c r="B261" t="inlineStr">
        <is>
          <t>Immunohistochemistry - 1 Panel</t>
        </is>
      </c>
      <c r="C261" t="inlineStr">
        <is>
          <t>Immunohistochemistry</t>
        </is>
      </c>
      <c r="D261" t="inlineStr">
        <is>
          <t>IHCR1</t>
        </is>
      </c>
      <c r="E261" t="inlineStr">
        <is>
          <t>2026-01</t>
        </is>
      </c>
      <c r="F261" t="n">
        <v>524.9</v>
      </c>
      <c r="G261" t="n">
        <v>619.38</v>
      </c>
      <c r="H261">
        <f>הגדרות!B4</f>
        <v/>
      </c>
      <c r="I261">
        <f>F261*(1-H261/100)*1.18</f>
        <v/>
      </c>
      <c r="J261">
        <f>הגדרות!C4</f>
        <v/>
      </c>
      <c r="K261">
        <f>הגדרות!D4</f>
        <v/>
      </c>
      <c r="L261">
        <f>I261*(1+J261/100)+K261</f>
        <v/>
      </c>
    </row>
    <row r="262">
      <c r="A262" t="inlineStr">
        <is>
          <t>IDEXX</t>
        </is>
      </c>
      <c r="B262" t="inlineStr">
        <is>
          <t>Immunohistochemistry - 2 Panel</t>
        </is>
      </c>
      <c r="C262" t="inlineStr">
        <is>
          <t>Immunohistochemistry</t>
        </is>
      </c>
      <c r="D262" t="inlineStr">
        <is>
          <t>IHCR2</t>
        </is>
      </c>
      <c r="E262" t="inlineStr">
        <is>
          <t>2026-01</t>
        </is>
      </c>
      <c r="F262" t="n">
        <v>788.8</v>
      </c>
      <c r="G262" t="n">
        <v>930.78</v>
      </c>
      <c r="H262">
        <f>הגדרות!B4</f>
        <v/>
      </c>
      <c r="I262">
        <f>F262*(1-H262/100)*1.18</f>
        <v/>
      </c>
      <c r="J262">
        <f>הגדרות!C4</f>
        <v/>
      </c>
      <c r="K262">
        <f>הגדרות!D4</f>
        <v/>
      </c>
      <c r="L262">
        <f>I262*(1+J262/100)+K262</f>
        <v/>
      </c>
    </row>
    <row r="263">
      <c r="A263" t="inlineStr">
        <is>
          <t>IDEXX</t>
        </is>
      </c>
      <c r="B263" t="inlineStr">
        <is>
          <t>Immunohistochemistry - 3 Panel</t>
        </is>
      </c>
      <c r="C263" t="inlineStr">
        <is>
          <t>Immunohistochemistry</t>
        </is>
      </c>
      <c r="D263" t="inlineStr">
        <is>
          <t>IHCR3</t>
        </is>
      </c>
      <c r="E263" t="inlineStr">
        <is>
          <t>2026-01</t>
        </is>
      </c>
      <c r="F263" t="n">
        <v>1052.7</v>
      </c>
      <c r="G263" t="n">
        <v>1242.19</v>
      </c>
      <c r="H263">
        <f>הגדרות!B4</f>
        <v/>
      </c>
      <c r="I263">
        <f>F263*(1-H263/100)*1.18</f>
        <v/>
      </c>
      <c r="J263">
        <f>הגדרות!C4</f>
        <v/>
      </c>
      <c r="K263">
        <f>הגדרות!D4</f>
        <v/>
      </c>
      <c r="L263">
        <f>I263*(1+J263/100)+K263</f>
        <v/>
      </c>
    </row>
    <row r="264">
      <c r="A264" t="inlineStr">
        <is>
          <t>IDEXX</t>
        </is>
      </c>
      <c r="B264" t="inlineStr">
        <is>
          <t>Immunohistochemistry - 4 Panel</t>
        </is>
      </c>
      <c r="C264" t="inlineStr">
        <is>
          <t>Immunohistochemistry</t>
        </is>
      </c>
      <c r="D264" t="inlineStr">
        <is>
          <t>IHCR4</t>
        </is>
      </c>
      <c r="E264" t="inlineStr">
        <is>
          <t>2026-01</t>
        </is>
      </c>
      <c r="F264" t="n">
        <v>1316.6</v>
      </c>
      <c r="G264" t="n">
        <v>1553.59</v>
      </c>
      <c r="H264">
        <f>הגדרות!B4</f>
        <v/>
      </c>
      <c r="I264">
        <f>F264*(1-H264/100)*1.18</f>
        <v/>
      </c>
      <c r="J264">
        <f>הגדרות!C4</f>
        <v/>
      </c>
      <c r="K264">
        <f>הגדרות!D4</f>
        <v/>
      </c>
      <c r="L264">
        <f>I264*(1+J264/100)+K264</f>
        <v/>
      </c>
    </row>
    <row r="265">
      <c r="A265" t="inlineStr">
        <is>
          <t>IDEXX</t>
        </is>
      </c>
      <c r="B265" t="inlineStr">
        <is>
          <t>Immunohistochemistry - 5 Panel</t>
        </is>
      </c>
      <c r="C265" t="inlineStr">
        <is>
          <t>Immunohistochemistry</t>
        </is>
      </c>
      <c r="D265" t="inlineStr">
        <is>
          <t>IHCR5</t>
        </is>
      </c>
      <c r="E265" t="inlineStr">
        <is>
          <t>2026-01</t>
        </is>
      </c>
      <c r="F265" t="n">
        <v>1580.5</v>
      </c>
      <c r="G265" t="n">
        <v>1864.99</v>
      </c>
      <c r="H265">
        <f>הגדרות!B4</f>
        <v/>
      </c>
      <c r="I265">
        <f>F265*(1-H265/100)*1.18</f>
        <v/>
      </c>
      <c r="J265">
        <f>הגדרות!C4</f>
        <v/>
      </c>
      <c r="K265">
        <f>הגדרות!D4</f>
        <v/>
      </c>
      <c r="L265">
        <f>I265*(1+J265/100)+K265</f>
        <v/>
      </c>
    </row>
    <row r="266">
      <c r="A266" t="inlineStr">
        <is>
          <t>IDEXX</t>
        </is>
      </c>
      <c r="B266" t="inlineStr">
        <is>
          <t>KI67 For Mast Cell Tumour</t>
        </is>
      </c>
      <c r="C266" t="inlineStr">
        <is>
          <t>Immunohistochemistry</t>
        </is>
      </c>
      <c r="D266" t="inlineStr">
        <is>
          <t>KI67</t>
        </is>
      </c>
      <c r="E266" t="inlineStr">
        <is>
          <t>2026-01</t>
        </is>
      </c>
      <c r="F266" t="n">
        <v>655.4</v>
      </c>
      <c r="G266" t="n">
        <v>773.37</v>
      </c>
      <c r="H266">
        <f>הגדרות!B4</f>
        <v/>
      </c>
      <c r="I266">
        <f>F266*(1-H266/100)*1.18</f>
        <v/>
      </c>
      <c r="J266">
        <f>הגדרות!C4</f>
        <v/>
      </c>
      <c r="K266">
        <f>הגדרות!D4</f>
        <v/>
      </c>
      <c r="L266">
        <f>I266*(1+J266/100)+K266</f>
        <v/>
      </c>
    </row>
    <row r="267">
      <c r="A267" t="inlineStr">
        <is>
          <t>IDEXX</t>
        </is>
      </c>
      <c r="B267" t="inlineStr">
        <is>
          <t>KI67 For 2 Mast Cell Tumour</t>
        </is>
      </c>
      <c r="C267" t="inlineStr">
        <is>
          <t>Immunohistochemistry</t>
        </is>
      </c>
      <c r="D267" t="inlineStr">
        <is>
          <t>KI672</t>
        </is>
      </c>
      <c r="E267" t="inlineStr">
        <is>
          <t>2026-01</t>
        </is>
      </c>
      <c r="F267" t="n">
        <v>1247</v>
      </c>
      <c r="G267" t="n">
        <v>1471.46</v>
      </c>
      <c r="H267">
        <f>הגדרות!B4</f>
        <v/>
      </c>
      <c r="I267">
        <f>F267*(1-H267/100)*1.18</f>
        <v/>
      </c>
      <c r="J267">
        <f>הגדרות!C4</f>
        <v/>
      </c>
      <c r="K267">
        <f>הגדרות!D4</f>
        <v/>
      </c>
      <c r="L267">
        <f>I267*(1+J267/100)+K267</f>
        <v/>
      </c>
    </row>
    <row r="268">
      <c r="A268" t="inlineStr">
        <is>
          <t>IDEXX</t>
        </is>
      </c>
      <c r="B268" t="inlineStr">
        <is>
          <t>Melanoma Panel - Prognostic</t>
        </is>
      </c>
      <c r="C268" t="inlineStr">
        <is>
          <t>Immunohistochemistry</t>
        </is>
      </c>
      <c r="D268" t="inlineStr">
        <is>
          <t>MEL</t>
        </is>
      </c>
      <c r="E268" t="inlineStr">
        <is>
          <t>2026-01</t>
        </is>
      </c>
      <c r="F268" t="n">
        <v>510.4</v>
      </c>
      <c r="G268" t="n">
        <v>602.27</v>
      </c>
      <c r="H268">
        <f>הגדרות!B4</f>
        <v/>
      </c>
      <c r="I268">
        <f>F268*(1-H268/100)*1.18</f>
        <v/>
      </c>
      <c r="J268">
        <f>הגדרות!C4</f>
        <v/>
      </c>
      <c r="K268">
        <f>הגדרות!D4</f>
        <v/>
      </c>
      <c r="L268">
        <f>I268*(1+J268/100)+K268</f>
        <v/>
      </c>
    </row>
    <row r="269">
      <c r="A269" t="inlineStr">
        <is>
          <t>IDEXX</t>
        </is>
      </c>
      <c r="B269" t="inlineStr">
        <is>
          <t>PARR Molecular Clonality Assay for</t>
        </is>
      </c>
      <c r="C269" t="inlineStr">
        <is>
          <t>Immunohistochemistry</t>
        </is>
      </c>
      <c r="D269" t="inlineStr">
        <is>
          <t>PARR</t>
        </is>
      </c>
      <c r="E269" t="inlineStr">
        <is>
          <t>2026-01</t>
        </is>
      </c>
      <c r="F269" t="n">
        <v>751.1</v>
      </c>
      <c r="G269" t="n">
        <v>886.3</v>
      </c>
      <c r="H269">
        <f>הגדרות!B4</f>
        <v/>
      </c>
      <c r="I269">
        <f>F269*(1-H269/100)*1.18</f>
        <v/>
      </c>
      <c r="J269">
        <f>הגדרות!C4</f>
        <v/>
      </c>
      <c r="K269">
        <f>הגדרות!D4</f>
        <v/>
      </c>
      <c r="L269">
        <f>I269*(1+J269/100)+K269</f>
        <v/>
      </c>
    </row>
    <row r="270">
      <c r="A270" t="inlineStr">
        <is>
          <t>IDEXX</t>
        </is>
      </c>
      <c r="B270" t="inlineStr">
        <is>
          <t>PARR Molecular Clonality Assay for</t>
        </is>
      </c>
      <c r="C270" t="inlineStr">
        <is>
          <t>Immunohistochemistry</t>
        </is>
      </c>
      <c r="D270" t="inlineStr">
        <is>
          <t>PARRFX</t>
        </is>
      </c>
      <c r="E270" t="inlineStr">
        <is>
          <t>2026-01</t>
        </is>
      </c>
      <c r="F270" t="n">
        <v>957</v>
      </c>
      <c r="G270" t="n">
        <v>1129.26</v>
      </c>
      <c r="H270">
        <f>הגדרות!B4</f>
        <v/>
      </c>
      <c r="I270">
        <f>F270*(1-H270/100)*1.18</f>
        <v/>
      </c>
      <c r="J270">
        <f>הגדרות!C4</f>
        <v/>
      </c>
      <c r="K270">
        <f>הגדרות!D4</f>
        <v/>
      </c>
      <c r="L270">
        <f>I270*(1+J270/100)+K270</f>
        <v/>
      </c>
    </row>
    <row r="271">
      <c r="A271" t="inlineStr">
        <is>
          <t>IDEXX</t>
        </is>
      </c>
      <c r="B271" t="inlineStr">
        <is>
          <t>Ear Culture (One Ear)</t>
        </is>
      </c>
      <c r="C271" t="inlineStr">
        <is>
          <t>Ear Screens</t>
        </is>
      </c>
      <c r="D271" t="inlineStr">
        <is>
          <t>EARSW</t>
        </is>
      </c>
      <c r="E271" t="inlineStr">
        <is>
          <t>2026-01</t>
        </is>
      </c>
      <c r="F271" t="n">
        <v>353.8</v>
      </c>
      <c r="G271" t="n">
        <v>417.48</v>
      </c>
      <c r="H271">
        <f>הגדרות!B4</f>
        <v/>
      </c>
      <c r="I271">
        <f>F271*(1-H271/100)*1.18</f>
        <v/>
      </c>
      <c r="J271">
        <f>הגדרות!C4</f>
        <v/>
      </c>
      <c r="K271">
        <f>הגדרות!D4</f>
        <v/>
      </c>
      <c r="L271">
        <f>I271*(1+J271/100)+K271</f>
        <v/>
      </c>
    </row>
    <row r="272">
      <c r="A272" t="inlineStr">
        <is>
          <t>IDEXX</t>
        </is>
      </c>
      <c r="B272" t="inlineStr">
        <is>
          <t>Ear Culture (Two Ears)</t>
        </is>
      </c>
      <c r="C272" t="inlineStr">
        <is>
          <t>Ear Screens</t>
        </is>
      </c>
      <c r="D272" t="inlineStr">
        <is>
          <t>EARLR</t>
        </is>
      </c>
      <c r="E272" t="inlineStr">
        <is>
          <t>2026-01</t>
        </is>
      </c>
      <c r="F272" t="n">
        <v>530.7</v>
      </c>
      <c r="G272" t="n">
        <v>626.23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IDEXX</t>
        </is>
      </c>
      <c r="B273" t="inlineStr">
        <is>
          <t>Ear Culture + Gram Stain (One Ear)</t>
        </is>
      </c>
      <c r="C273" t="inlineStr">
        <is>
          <t>Ear Screens</t>
        </is>
      </c>
      <c r="D273" t="inlineStr">
        <is>
          <t>EARM</t>
        </is>
      </c>
      <c r="E273" t="inlineStr">
        <is>
          <t>2026-01</t>
        </is>
      </c>
      <c r="F273" t="n">
        <v>452.4</v>
      </c>
      <c r="G273" t="n">
        <v>533.83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IDEXX</t>
        </is>
      </c>
      <c r="B274" t="inlineStr">
        <is>
          <t>Ear Culture + Gram Stain (Two Ears)</t>
        </is>
      </c>
      <c r="C274" t="inlineStr">
        <is>
          <t>Ear Screens</t>
        </is>
      </c>
      <c r="D274" t="inlineStr">
        <is>
          <t>EARM2</t>
        </is>
      </c>
      <c r="E274" t="inlineStr">
        <is>
          <t>2026-01</t>
        </is>
      </c>
      <c r="F274" t="n">
        <v>672.8</v>
      </c>
      <c r="G274" t="n">
        <v>793.9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IDEXX</t>
        </is>
      </c>
      <c r="B275" t="inlineStr">
        <is>
          <t>Ear Culture + Cytology (One Ear)</t>
        </is>
      </c>
      <c r="C275" t="inlineStr">
        <is>
          <t>Ear Screens</t>
        </is>
      </c>
      <c r="D275" t="inlineStr">
        <is>
          <t>EARC</t>
        </is>
      </c>
      <c r="E275" t="inlineStr">
        <is>
          <t>2026-01</t>
        </is>
      </c>
      <c r="F275" t="n">
        <v>687.3</v>
      </c>
      <c r="G275" t="n">
        <v>811.01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IDEXX</t>
        </is>
      </c>
      <c r="B276" t="inlineStr">
        <is>
          <t>Ear Culture + Cytology (Two Ears)</t>
        </is>
      </c>
      <c r="C276" t="inlineStr">
        <is>
          <t>Ear Screens</t>
        </is>
      </c>
      <c r="D276" t="inlineStr">
        <is>
          <t>EARC2</t>
        </is>
      </c>
      <c r="E276" t="inlineStr">
        <is>
          <t>2026-01</t>
        </is>
      </c>
      <c r="F276" t="n">
        <v>907.7</v>
      </c>
      <c r="G276" t="n">
        <v>1071.09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IDEXX</t>
        </is>
      </c>
      <c r="B277" t="inlineStr">
        <is>
          <t>Allergy Screen (Canine/Feline)</t>
        </is>
      </c>
      <c r="C277" t="inlineStr">
        <is>
          <t>Allergy – Screens and Panels</t>
        </is>
      </c>
      <c r="D277" t="inlineStr">
        <is>
          <t>G_ALSC</t>
        </is>
      </c>
      <c r="E277" t="inlineStr">
        <is>
          <t>2026-01</t>
        </is>
      </c>
      <c r="F277" t="n">
        <v>310.3</v>
      </c>
      <c r="G277" t="n">
        <v>366.15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IDEXX</t>
        </is>
      </c>
      <c r="B278" t="inlineStr">
        <is>
          <t>Allergy Screen and Flea IgE</t>
        </is>
      </c>
      <c r="C278" t="inlineStr">
        <is>
          <t>Allergy – Screens and Panels</t>
        </is>
      </c>
      <c r="D278" t="inlineStr">
        <is>
          <t>G_ALSCF</t>
        </is>
      </c>
      <c r="E278" t="inlineStr">
        <is>
          <t>2026-01</t>
        </is>
      </c>
      <c r="F278" t="n">
        <v>359.6</v>
      </c>
      <c r="G278" t="n">
        <v>424.33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IDEXX</t>
        </is>
      </c>
      <c r="B279" t="inlineStr">
        <is>
          <t>Epidermal Allergy Panel (Canine) Cat</t>
        </is>
      </c>
      <c r="C279" t="inlineStr">
        <is>
          <t>Allergy – Screens and Panels</t>
        </is>
      </c>
      <c r="D279" t="inlineStr">
        <is>
          <t>G_EPIC</t>
        </is>
      </c>
      <c r="E279" t="inlineStr">
        <is>
          <t>2026-01</t>
        </is>
      </c>
      <c r="F279" t="n">
        <v>426.3</v>
      </c>
      <c r="G279" t="n">
        <v>503.03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IDEXX</t>
        </is>
      </c>
      <c r="B280" t="inlineStr">
        <is>
          <t>Epidermal Allergy Panel (Feline) Dog</t>
        </is>
      </c>
      <c r="C280" t="inlineStr">
        <is>
          <t>Allergy – Screens and Panels</t>
        </is>
      </c>
      <c r="D280" t="inlineStr">
        <is>
          <t>G_EPIF</t>
        </is>
      </c>
      <c r="E280" t="inlineStr">
        <is>
          <t>2026-01</t>
        </is>
      </c>
      <c r="F280" t="n">
        <v>426.3</v>
      </c>
      <c r="G280" t="n">
        <v>503.03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IDEXX</t>
        </is>
      </c>
      <c r="B281" t="inlineStr">
        <is>
          <t>Trees Allergy Panel</t>
        </is>
      </c>
      <c r="C281" t="inlineStr">
        <is>
          <t>Allergy – Screens and Panels</t>
        </is>
      </c>
      <c r="D281" t="inlineStr">
        <is>
          <t>G_ALE</t>
        </is>
      </c>
      <c r="E281" t="inlineStr">
        <is>
          <t>2026-01</t>
        </is>
      </c>
      <c r="F281" t="n">
        <v>675.7</v>
      </c>
      <c r="G281" t="n">
        <v>797.33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IDEXX</t>
        </is>
      </c>
      <c r="B282" t="inlineStr">
        <is>
          <t>Grasses &amp; Weeds Allergy Panel</t>
        </is>
      </c>
      <c r="C282" t="inlineStr">
        <is>
          <t>Allergy – Screens and Panels</t>
        </is>
      </c>
      <c r="D282" t="inlineStr">
        <is>
          <t>G_ALGUK</t>
        </is>
      </c>
      <c r="E282" t="inlineStr">
        <is>
          <t>2026-01</t>
        </is>
      </c>
      <c r="F282" t="n">
        <v>675.7</v>
      </c>
      <c r="G282" t="n">
        <v>797.33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IDEXX</t>
        </is>
      </c>
      <c r="B283" t="inlineStr">
        <is>
          <t>Indoor Allergy Panel (Mites &amp; Moulds)</t>
        </is>
      </c>
      <c r="C283" t="inlineStr">
        <is>
          <t>Allergy – Screens and Panels</t>
        </is>
      </c>
      <c r="D283" t="inlineStr">
        <is>
          <t>G_ALI</t>
        </is>
      </c>
      <c r="E283" t="inlineStr">
        <is>
          <t>2026-01</t>
        </is>
      </c>
      <c r="F283" t="n">
        <v>675.7</v>
      </c>
      <c r="G283" t="n">
        <v>797.33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IDEXX</t>
        </is>
      </c>
      <c r="B284" t="inlineStr">
        <is>
          <t>Food-specific IgG/IgE Panel</t>
        </is>
      </c>
      <c r="C284" t="inlineStr">
        <is>
          <t>Allergy – Screens and Panels</t>
        </is>
      </c>
      <c r="D284" t="inlineStr">
        <is>
          <t>SENSIC</t>
        </is>
      </c>
      <c r="E284" t="inlineStr">
        <is>
          <t>2026-01</t>
        </is>
      </c>
      <c r="F284" t="n">
        <v>887.4</v>
      </c>
      <c r="G284" t="n">
        <v>1047.13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IDEXX</t>
        </is>
      </c>
      <c r="B285" t="inlineStr">
        <is>
          <t>Indoor &amp; Epidermal Allergy Panel</t>
        </is>
      </c>
      <c r="C285" t="inlineStr">
        <is>
          <t>Allergy – Screens and Panels</t>
        </is>
      </c>
      <c r="D285" t="inlineStr">
        <is>
          <t>G_INDC</t>
        </is>
      </c>
      <c r="E285" t="inlineStr">
        <is>
          <t>2026-01</t>
        </is>
      </c>
      <c r="F285" t="n">
        <v>986</v>
      </c>
      <c r="G285" t="n">
        <v>1163.48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IDEXX</t>
        </is>
      </c>
      <c r="B286" t="inlineStr">
        <is>
          <t>Indoor &amp; Epidermal Allergy Panel</t>
        </is>
      </c>
      <c r="C286" t="inlineStr">
        <is>
          <t>Allergy – Screens and Panels</t>
        </is>
      </c>
      <c r="D286" t="inlineStr">
        <is>
          <t>G_INDF</t>
        </is>
      </c>
      <c r="E286" t="inlineStr">
        <is>
          <t>2026-01</t>
        </is>
      </c>
      <c r="F286" t="n">
        <v>986</v>
      </c>
      <c r="G286" t="n">
        <v>1163.48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IDEXX</t>
        </is>
      </c>
      <c r="B287" t="inlineStr">
        <is>
          <t>Grass, Weeds &amp; Trees Allergy Panel</t>
        </is>
      </c>
      <c r="C287" t="inlineStr">
        <is>
          <t>Allergy – Screens and Panels</t>
        </is>
      </c>
      <c r="D287" t="inlineStr">
        <is>
          <t>G_OUT</t>
        </is>
      </c>
      <c r="E287" t="inlineStr">
        <is>
          <t>2026-01</t>
        </is>
      </c>
      <c r="F287" t="n">
        <v>1215.1</v>
      </c>
      <c r="G287" t="n">
        <v>1433.82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IDEXX</t>
        </is>
      </c>
      <c r="B288" t="inlineStr">
        <is>
          <t>Comprehensive Allergy Panel</t>
        </is>
      </c>
      <c r="C288" t="inlineStr">
        <is>
          <t>Allergy – Screens and Panels</t>
        </is>
      </c>
      <c r="D288" t="inlineStr">
        <is>
          <t>G_COMP</t>
        </is>
      </c>
      <c r="E288" t="inlineStr">
        <is>
          <t>2026-01</t>
        </is>
      </c>
      <c r="F288" t="n">
        <v>1725.5</v>
      </c>
      <c r="G288" t="n">
        <v>2036.09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IDEXX</t>
        </is>
      </c>
      <c r="B289" t="inlineStr">
        <is>
          <t>Comprehensive Allergy Panel +</t>
        </is>
      </c>
      <c r="C289" t="inlineStr">
        <is>
          <t>Allergy – Screens and Panels</t>
        </is>
      </c>
      <c r="D289" t="inlineStr">
        <is>
          <t>G_COMPC</t>
        </is>
      </c>
      <c r="E289" t="inlineStr">
        <is>
          <t>2026-01</t>
        </is>
      </c>
      <c r="F289" t="n">
        <v>1937.2</v>
      </c>
      <c r="G289" t="n">
        <v>2285.9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IDEXX</t>
        </is>
      </c>
      <c r="B290" t="inlineStr">
        <is>
          <t>Comprehensive Allergy Panel Plus</t>
        </is>
      </c>
      <c r="C290" t="inlineStr">
        <is>
          <t>Allergy – Screens and Panels</t>
        </is>
      </c>
      <c r="D290" t="inlineStr">
        <is>
          <t>G_COMPIC</t>
        </is>
      </c>
      <c r="E290" t="inlineStr">
        <is>
          <t>2026-01</t>
        </is>
      </c>
      <c r="F290" t="n">
        <v>2108.3</v>
      </c>
      <c r="G290" t="n">
        <v>2487.79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IDEXX</t>
        </is>
      </c>
      <c r="B291" t="inlineStr">
        <is>
          <t>Comprehensive Allergy Panel Plus</t>
        </is>
      </c>
      <c r="C291" t="inlineStr">
        <is>
          <t>Allergy – Screens and Panels</t>
        </is>
      </c>
      <c r="D291" t="inlineStr">
        <is>
          <t>G_COMPIF</t>
        </is>
      </c>
      <c r="E291" t="inlineStr">
        <is>
          <t>2026-01</t>
        </is>
      </c>
      <c r="F291" t="n">
        <v>2108.3</v>
      </c>
      <c r="G291" t="n">
        <v>2487.79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IDEXX</t>
        </is>
      </c>
      <c r="B292" t="inlineStr">
        <is>
          <t>Rabies Serology</t>
        </is>
      </c>
      <c r="C292" t="inlineStr">
        <is>
          <t>General</t>
        </is>
      </c>
      <c r="D292" t="inlineStr">
        <is>
          <t>RABB</t>
        </is>
      </c>
      <c r="E292" t="inlineStr">
        <is>
          <t>2026-01</t>
        </is>
      </c>
      <c r="F292" t="n">
        <v>872.9</v>
      </c>
      <c r="G292" t="n">
        <v>1030.02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IDEXX</t>
        </is>
      </c>
      <c r="B293" t="inlineStr">
        <is>
          <t>Toxoplasma gondii (DNA) RealPCR™</t>
        </is>
      </c>
      <c r="C293" t="inlineStr">
        <is>
          <t>General</t>
        </is>
      </c>
      <c r="D293" t="inlineStr">
        <is>
          <t>TOPC</t>
        </is>
      </c>
      <c r="E293" t="inlineStr">
        <is>
          <t>2026-01</t>
        </is>
      </c>
      <c r="F293" t="n">
        <v>394.4</v>
      </c>
      <c r="G293" t="n">
        <v>465.39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IDEXX</t>
        </is>
      </c>
      <c r="B294" t="inlineStr">
        <is>
          <t>Canine Endemic Tick-Borne Disease</t>
        </is>
      </c>
      <c r="C294" t="inlineStr">
        <is>
          <t>General</t>
        </is>
      </c>
      <c r="D294" t="inlineStr">
        <is>
          <t>END1</t>
        </is>
      </c>
      <c r="E294" t="inlineStr">
        <is>
          <t>2026-01</t>
        </is>
      </c>
      <c r="F294" t="n">
        <v>814.9</v>
      </c>
      <c r="G294" t="n">
        <v>961.58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IDEXX</t>
        </is>
      </c>
      <c r="B295" t="inlineStr">
        <is>
          <t>Feline Endemic Tick-Borne Disease</t>
        </is>
      </c>
      <c r="C295" t="inlineStr">
        <is>
          <t>General</t>
        </is>
      </c>
      <c r="D295" t="inlineStr">
        <is>
          <t>END1F</t>
        </is>
      </c>
      <c r="E295" t="inlineStr">
        <is>
          <t>2026-01</t>
        </is>
      </c>
      <c r="F295" t="n">
        <v>806.2</v>
      </c>
      <c r="G295" t="n">
        <v>951.3200000000001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IDEXX</t>
        </is>
      </c>
      <c r="B296" t="inlineStr">
        <is>
          <t>Canine Travel Disease Profile - Recent</t>
        </is>
      </c>
      <c r="C296" t="inlineStr">
        <is>
          <t>General</t>
        </is>
      </c>
      <c r="D296" t="inlineStr">
        <is>
          <t>TRA</t>
        </is>
      </c>
      <c r="E296" t="inlineStr">
        <is>
          <t>2026-01</t>
        </is>
      </c>
      <c r="F296" t="n">
        <v>1032.4</v>
      </c>
      <c r="G296" t="n">
        <v>1218.23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IDEXX</t>
        </is>
      </c>
      <c r="B297" t="inlineStr">
        <is>
          <t>Canine travel disease profile - For</t>
        </is>
      </c>
      <c r="C297" t="inlineStr">
        <is>
          <t>General</t>
        </is>
      </c>
      <c r="D297" t="inlineStr">
        <is>
          <t>CTRA</t>
        </is>
      </c>
      <c r="E297" t="inlineStr">
        <is>
          <t>2026-01</t>
        </is>
      </c>
      <c r="F297" t="n">
        <v>1038.2</v>
      </c>
      <c r="G297" t="n">
        <v>1225.08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IDEXX</t>
        </is>
      </c>
      <c r="B298" t="inlineStr">
        <is>
          <t>Urine Culture &amp; Sensitivity</t>
        </is>
      </c>
      <c r="C298" t="inlineStr">
        <is>
          <t>General</t>
        </is>
      </c>
      <c r="D298" t="inlineStr">
        <is>
          <t>UCUL</t>
        </is>
      </c>
      <c r="E298" t="inlineStr">
        <is>
          <t>2026-01</t>
        </is>
      </c>
      <c r="F298" t="n">
        <v>350.9</v>
      </c>
      <c r="G298" t="n">
        <v>414.06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IDEXX</t>
        </is>
      </c>
      <c r="B299" t="inlineStr">
        <is>
          <t>Swab (Culture and Sensitivity)</t>
        </is>
      </c>
      <c r="C299" t="inlineStr">
        <is>
          <t>General</t>
        </is>
      </c>
      <c r="D299" t="inlineStr">
        <is>
          <t>SW</t>
        </is>
      </c>
      <c r="E299" t="inlineStr">
        <is>
          <t>2026-01</t>
        </is>
      </c>
      <c r="F299" t="n">
        <v>353.8</v>
      </c>
      <c r="G299" t="n">
        <v>417.48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IDEXX</t>
        </is>
      </c>
      <c r="B300" t="inlineStr">
        <is>
          <t>Protein Electrophoresis (Serum)</t>
        </is>
      </c>
      <c r="C300" t="inlineStr">
        <is>
          <t>Biochemistry</t>
        </is>
      </c>
      <c r="D300" t="inlineStr">
        <is>
          <t>SPE</t>
        </is>
      </c>
      <c r="E300" t="inlineStr">
        <is>
          <t>2026-01</t>
        </is>
      </c>
      <c r="F300" t="n">
        <v>226.2</v>
      </c>
      <c r="G300" t="n">
        <v>266.92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IDEXX</t>
        </is>
      </c>
      <c r="B301" t="inlineStr">
        <is>
          <t>Fluid Protein Electrophoresis</t>
        </is>
      </c>
      <c r="C301" t="inlineStr">
        <is>
          <t>Biochemistry</t>
        </is>
      </c>
      <c r="D301" t="inlineStr">
        <is>
          <t>FPE</t>
        </is>
      </c>
      <c r="E301" t="inlineStr">
        <is>
          <t>2026-01</t>
        </is>
      </c>
      <c r="F301" t="n">
        <v>226.2</v>
      </c>
      <c r="G301" t="n">
        <v>266.92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IDEXX</t>
        </is>
      </c>
      <c r="B302" t="inlineStr">
        <is>
          <t>Protein Electrophoresis (Urine) Boric</t>
        </is>
      </c>
      <c r="C302" t="inlineStr">
        <is>
          <t>Biochemistry</t>
        </is>
      </c>
      <c r="D302" t="inlineStr">
        <is>
          <t>UPE</t>
        </is>
      </c>
      <c r="E302" t="inlineStr">
        <is>
          <t>2026-01</t>
        </is>
      </c>
      <c r="F302" t="n">
        <v>330.6</v>
      </c>
      <c r="G302" t="n">
        <v>390.11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IDEXX</t>
        </is>
      </c>
      <c r="B303" t="inlineStr">
        <is>
          <t>Von Willebrand‘s Factor</t>
        </is>
      </c>
      <c r="C303" t="inlineStr">
        <is>
          <t>Biochemistry</t>
        </is>
      </c>
      <c r="D303" t="inlineStr">
        <is>
          <t>VON</t>
        </is>
      </c>
      <c r="E303" t="inlineStr">
        <is>
          <t>2026-01</t>
        </is>
      </c>
      <c r="F303" t="n">
        <v>617.7</v>
      </c>
      <c r="G303" t="n">
        <v>728.89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IDEXX</t>
        </is>
      </c>
      <c r="B304" t="inlineStr">
        <is>
          <t>Acetylcholine Receptor Antibodies</t>
        </is>
      </c>
      <c r="C304" t="inlineStr">
        <is>
          <t>Biochemistry</t>
        </is>
      </c>
      <c r="D304" t="inlineStr">
        <is>
          <t>ARA</t>
        </is>
      </c>
      <c r="E304" t="inlineStr">
        <is>
          <t>2026-01</t>
        </is>
      </c>
      <c r="F304" t="n">
        <v>1821.2</v>
      </c>
      <c r="G304" t="n">
        <v>2149.02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IDEXX</t>
        </is>
      </c>
      <c r="B305" t="inlineStr">
        <is>
          <t>Antinuclear Antibodies (Canine)</t>
        </is>
      </c>
      <c r="C305" t="inlineStr">
        <is>
          <t>Biochemistry</t>
        </is>
      </c>
      <c r="D305" t="inlineStr">
        <is>
          <t>ANF</t>
        </is>
      </c>
      <c r="E305" t="inlineStr">
        <is>
          <t>2026-01</t>
        </is>
      </c>
      <c r="F305" t="n">
        <v>382.8</v>
      </c>
      <c r="G305" t="n">
        <v>451.7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IDEXX</t>
        </is>
      </c>
      <c r="B306" t="inlineStr">
        <is>
          <t>Antinuclear Antibodies (Feline)</t>
        </is>
      </c>
      <c r="C306" t="inlineStr">
        <is>
          <t>Biochemistry</t>
        </is>
      </c>
      <c r="D306" t="inlineStr">
        <is>
          <t>RATKO</t>
        </is>
      </c>
      <c r="E306" t="inlineStr">
        <is>
          <t>2026-01</t>
        </is>
      </c>
      <c r="F306" t="n">
        <v>649.6</v>
      </c>
      <c r="G306" t="n">
        <v>766.53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IDEXX</t>
        </is>
      </c>
      <c r="B307" t="inlineStr">
        <is>
          <t>Masticatory Muscle Myositis Antibody</t>
        </is>
      </c>
      <c r="C307" t="inlineStr">
        <is>
          <t>Biochemistry</t>
        </is>
      </c>
      <c r="D307" t="inlineStr">
        <is>
          <t>MMM</t>
        </is>
      </c>
      <c r="E307" t="inlineStr">
        <is>
          <t>2026-01</t>
        </is>
      </c>
      <c r="F307" t="n">
        <v>1232.5</v>
      </c>
      <c r="G307" t="n">
        <v>1454.35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IDEXX</t>
        </is>
      </c>
      <c r="B308" t="inlineStr">
        <is>
          <t>Cortisol (Basal)</t>
        </is>
      </c>
      <c r="C308" t="inlineStr">
        <is>
          <t>Adrenal / Pituitary</t>
        </is>
      </c>
      <c r="D308" t="inlineStr">
        <is>
          <t>CORT</t>
        </is>
      </c>
      <c r="E308" t="inlineStr">
        <is>
          <t>2026-01</t>
        </is>
      </c>
      <c r="F308" t="n">
        <v>252.3</v>
      </c>
      <c r="G308" t="n">
        <v>297.71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IDEXX</t>
        </is>
      </c>
      <c r="B309" t="inlineStr">
        <is>
          <t>Cortisol (Pre Trilostane Pill)</t>
        </is>
      </c>
      <c r="C309" t="inlineStr">
        <is>
          <t>Adrenal / Pituitary</t>
        </is>
      </c>
      <c r="D309" t="inlineStr">
        <is>
          <t>CORTPP</t>
        </is>
      </c>
      <c r="E309" t="inlineStr">
        <is>
          <t>2026-01</t>
        </is>
      </c>
      <c r="F309" t="n">
        <v>252.3</v>
      </c>
      <c r="G309" t="n">
        <v>297.71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IDEXX</t>
        </is>
      </c>
      <c r="B310" t="inlineStr">
        <is>
          <t>Urine Cortisol/Creatinine Ratio</t>
        </is>
      </c>
      <c r="C310" t="inlineStr">
        <is>
          <t>Adrenal / Pituitary</t>
        </is>
      </c>
      <c r="D310" t="inlineStr">
        <is>
          <t>UCCR</t>
        </is>
      </c>
      <c r="E310" t="inlineStr">
        <is>
          <t>2026-01</t>
        </is>
      </c>
      <c r="F310" t="n">
        <v>429.2</v>
      </c>
      <c r="G310" t="n">
        <v>506.46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IDEXX</t>
        </is>
      </c>
      <c r="B311" t="inlineStr">
        <is>
          <t>Endogenous ACTH</t>
        </is>
      </c>
      <c r="C311" t="inlineStr">
        <is>
          <t>Adrenal / Pituitary</t>
        </is>
      </c>
      <c r="D311" t="inlineStr">
        <is>
          <t>EACTH</t>
        </is>
      </c>
      <c r="E311" t="inlineStr">
        <is>
          <t>2026-01</t>
        </is>
      </c>
      <c r="F311" t="n">
        <v>379.9</v>
      </c>
      <c r="G311" t="n">
        <v>448.28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IDEXX</t>
        </is>
      </c>
      <c r="B312" t="inlineStr">
        <is>
          <t>ACTH Stimulation Test</t>
        </is>
      </c>
      <c r="C312" t="inlineStr">
        <is>
          <t>Adrenal / Pituitary</t>
        </is>
      </c>
      <c r="D312" t="inlineStr">
        <is>
          <t>ACTH</t>
        </is>
      </c>
      <c r="E312" t="inlineStr">
        <is>
          <t>2026-01</t>
        </is>
      </c>
      <c r="F312" t="n">
        <v>403.1</v>
      </c>
      <c r="G312" t="n">
        <v>475.66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IDEXX</t>
        </is>
      </c>
      <c r="B313" t="inlineStr">
        <is>
          <t>ACTH Stimulation Test (Trilostane)</t>
        </is>
      </c>
      <c r="C313" t="inlineStr">
        <is>
          <t>Adrenal / Pituitary</t>
        </is>
      </c>
      <c r="D313" t="inlineStr">
        <is>
          <t>ACTV</t>
        </is>
      </c>
      <c r="E313" t="inlineStr">
        <is>
          <t>2026-01</t>
        </is>
      </c>
      <c r="F313" t="n">
        <v>403.1</v>
      </c>
      <c r="G313" t="n">
        <v>475.66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IDEXX</t>
        </is>
      </c>
      <c r="B314" t="inlineStr">
        <is>
          <t>ACTH Stimulation Test (Feline)</t>
        </is>
      </c>
      <c r="C314" t="inlineStr">
        <is>
          <t>Adrenal / Pituitary</t>
        </is>
      </c>
      <c r="D314" t="inlineStr">
        <is>
          <t>FACT</t>
        </is>
      </c>
      <c r="E314" t="inlineStr">
        <is>
          <t>2026-01</t>
        </is>
      </c>
      <c r="F314" t="n">
        <v>539.4</v>
      </c>
      <c r="G314" t="n">
        <v>636.49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IDEXX</t>
        </is>
      </c>
      <c r="B315" t="inlineStr">
        <is>
          <t>Canine TSH</t>
        </is>
      </c>
      <c r="C315" t="inlineStr">
        <is>
          <t>Thyroid</t>
        </is>
      </c>
      <c r="D315" t="inlineStr">
        <is>
          <t>TSHS</t>
        </is>
      </c>
      <c r="E315" t="inlineStr">
        <is>
          <t>2026-01</t>
        </is>
      </c>
      <c r="F315" t="n">
        <v>229.1</v>
      </c>
      <c r="G315" t="n">
        <v>270.34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IDEXX</t>
        </is>
      </c>
      <c r="B316" t="inlineStr">
        <is>
          <t>Feline TSH</t>
        </is>
      </c>
      <c r="C316" t="inlineStr">
        <is>
          <t>Thyroid</t>
        </is>
      </c>
      <c r="D316" t="inlineStr">
        <is>
          <t>FTSH</t>
        </is>
      </c>
      <c r="E316" t="inlineStr">
        <is>
          <t>2026-01</t>
        </is>
      </c>
      <c r="F316" t="n">
        <v>229.1</v>
      </c>
      <c r="G316" t="n">
        <v>270.34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IDEXX</t>
        </is>
      </c>
      <c r="B317" t="inlineStr">
        <is>
          <t>Thyroglobulin Autoantibodies (Canine)</t>
        </is>
      </c>
      <c r="C317" t="inlineStr">
        <is>
          <t>Thyroid</t>
        </is>
      </c>
      <c r="D317" t="inlineStr">
        <is>
          <t>TGAA</t>
        </is>
      </c>
      <c r="E317" t="inlineStr">
        <is>
          <t>2026-01</t>
        </is>
      </c>
      <c r="F317" t="n">
        <v>290</v>
      </c>
      <c r="G317" t="n">
        <v>342.2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IDEXX</t>
        </is>
      </c>
      <c r="B318" t="inlineStr">
        <is>
          <t>Canine TSH and Total T4</t>
        </is>
      </c>
      <c r="C318" t="inlineStr">
        <is>
          <t>Thyroid</t>
        </is>
      </c>
      <c r="D318" t="inlineStr">
        <is>
          <t>CTSH</t>
        </is>
      </c>
      <c r="E318" t="inlineStr">
        <is>
          <t>2026-01</t>
        </is>
      </c>
      <c r="F318" t="n">
        <v>345.1</v>
      </c>
      <c r="G318" t="n">
        <v>407.22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IDEXX</t>
        </is>
      </c>
      <c r="B319" t="inlineStr">
        <is>
          <t>Canine Thyroid Panel</t>
        </is>
      </c>
      <c r="C319" t="inlineStr">
        <is>
          <t>Thyroid</t>
        </is>
      </c>
      <c r="D319" t="inlineStr">
        <is>
          <t>CTPV</t>
        </is>
      </c>
      <c r="E319" t="inlineStr">
        <is>
          <t>2026-01</t>
        </is>
      </c>
      <c r="F319" t="n">
        <v>623.5</v>
      </c>
      <c r="G319" t="n">
        <v>735.73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IDEXX</t>
        </is>
      </c>
      <c r="B320" t="inlineStr">
        <is>
          <t>Canine Premium Thyroid Panel</t>
        </is>
      </c>
      <c r="C320" t="inlineStr">
        <is>
          <t>Thyroid</t>
        </is>
      </c>
      <c r="D320" t="inlineStr">
        <is>
          <t>CTPR</t>
        </is>
      </c>
      <c r="E320" t="inlineStr">
        <is>
          <t>2026-01</t>
        </is>
      </c>
      <c r="F320" t="n">
        <v>742.4</v>
      </c>
      <c r="G320" t="n">
        <v>876.03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IDEXX</t>
        </is>
      </c>
      <c r="B321" t="inlineStr">
        <is>
          <t>Feline Thyroid Panel Total T4,</t>
        </is>
      </c>
      <c r="C321" t="inlineStr">
        <is>
          <t>Thyroid</t>
        </is>
      </c>
      <c r="D321" t="inlineStr">
        <is>
          <t>FTPV</t>
        </is>
      </c>
      <c r="E321" t="inlineStr">
        <is>
          <t>2026-01</t>
        </is>
      </c>
      <c r="F321" t="n">
        <v>406</v>
      </c>
      <c r="G321" t="n">
        <v>479.08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IDEXX</t>
        </is>
      </c>
      <c r="B322" t="inlineStr">
        <is>
          <t>Feline Premium Thyroid Panel</t>
        </is>
      </c>
      <c r="C322" t="inlineStr">
        <is>
          <t>Thyroid</t>
        </is>
      </c>
      <c r="D322" t="inlineStr">
        <is>
          <t>FTPR</t>
        </is>
      </c>
      <c r="E322" t="inlineStr">
        <is>
          <t>2026-01</t>
        </is>
      </c>
      <c r="F322" t="n">
        <v>562.6</v>
      </c>
      <c r="G322" t="n">
        <v>663.87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IDEXX</t>
        </is>
      </c>
      <c r="B323" t="inlineStr">
        <is>
          <t>Anti-Mullerian Hormone</t>
        </is>
      </c>
      <c r="C323" t="inlineStr">
        <is>
          <t>Reproduction</t>
        </is>
      </c>
      <c r="D323" t="inlineStr">
        <is>
          <t>AMH</t>
        </is>
      </c>
      <c r="E323" t="inlineStr">
        <is>
          <t>2026-01</t>
        </is>
      </c>
      <c r="F323" t="n">
        <v>632.2</v>
      </c>
      <c r="G323" t="n">
        <v>746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IDEXX</t>
        </is>
      </c>
      <c r="B324" t="inlineStr">
        <is>
          <t>Progesterone Equine:</t>
        </is>
      </c>
      <c r="C324" t="inlineStr">
        <is>
          <t>Reproduction</t>
        </is>
      </c>
      <c r="D324" t="inlineStr">
        <is>
          <t>PGT</t>
        </is>
      </c>
      <c r="E324" t="inlineStr">
        <is>
          <t>2026-01</t>
        </is>
      </c>
      <c r="F324" t="n">
        <v>307.4</v>
      </c>
      <c r="G324" t="n">
        <v>362.73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IDEXX</t>
        </is>
      </c>
      <c r="B325" t="inlineStr">
        <is>
          <t>Progesterone and Anti-Mullerian</t>
        </is>
      </c>
      <c r="C325" t="inlineStr">
        <is>
          <t>Reproduction</t>
        </is>
      </c>
      <c r="D325" t="inlineStr">
        <is>
          <t>PGT+AMH</t>
        </is>
      </c>
      <c r="E325" t="inlineStr">
        <is>
          <t>2026-01</t>
        </is>
      </c>
      <c r="F325" t="n">
        <v>855.5</v>
      </c>
      <c r="G325" t="n">
        <v>1009.49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IDEXX</t>
        </is>
      </c>
      <c r="B326" t="inlineStr">
        <is>
          <t>Oestradiol</t>
        </is>
      </c>
      <c r="C326" t="inlineStr">
        <is>
          <t>Reproduction</t>
        </is>
      </c>
      <c r="D326" t="inlineStr">
        <is>
          <t>OEST</t>
        </is>
      </c>
      <c r="E326" t="inlineStr">
        <is>
          <t>2026-01</t>
        </is>
      </c>
      <c r="F326" t="n">
        <v>759.8</v>
      </c>
      <c r="G326" t="n">
        <v>896.5599999999999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IDEXX</t>
        </is>
      </c>
      <c r="B327" t="inlineStr">
        <is>
          <t>Testosterone</t>
        </is>
      </c>
      <c r="C327" t="inlineStr">
        <is>
          <t>Reproduction</t>
        </is>
      </c>
      <c r="D327" t="inlineStr">
        <is>
          <t>TEST</t>
        </is>
      </c>
      <c r="E327" t="inlineStr">
        <is>
          <t>2026-01</t>
        </is>
      </c>
      <c r="F327" t="n">
        <v>353.8</v>
      </c>
      <c r="G327" t="n">
        <v>417.48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IDEXX</t>
        </is>
      </c>
      <c r="B328" t="inlineStr">
        <is>
          <t>Insulin (Canine)</t>
        </is>
      </c>
      <c r="C328" t="inlineStr">
        <is>
          <t>Other Hormones</t>
        </is>
      </c>
      <c r="D328" t="inlineStr">
        <is>
          <t>IN</t>
        </is>
      </c>
      <c r="E328" t="inlineStr">
        <is>
          <t>2026-01</t>
        </is>
      </c>
      <c r="F328" t="n">
        <v>348</v>
      </c>
      <c r="G328" t="n">
        <v>410.64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IDEXX</t>
        </is>
      </c>
      <c r="B329" t="inlineStr">
        <is>
          <t>Insulin (Equine)</t>
        </is>
      </c>
      <c r="C329" t="inlineStr">
        <is>
          <t>Other Hormones</t>
        </is>
      </c>
      <c r="D329" t="inlineStr">
        <is>
          <t>INEQ</t>
        </is>
      </c>
      <c r="E329" t="inlineStr">
        <is>
          <t>2026-01</t>
        </is>
      </c>
      <c r="F329" t="n">
        <v>394.4</v>
      </c>
      <c r="G329" t="n">
        <v>465.39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IDEXX</t>
        </is>
      </c>
      <c r="B330" t="inlineStr">
        <is>
          <t>Feline Insulin</t>
        </is>
      </c>
      <c r="C330" t="inlineStr">
        <is>
          <t>Other Hormones</t>
        </is>
      </c>
      <c r="D330" t="inlineStr">
        <is>
          <t>FIN</t>
        </is>
      </c>
      <c r="E330" t="inlineStr">
        <is>
          <t>2026-01</t>
        </is>
      </c>
      <c r="F330" t="n">
        <v>655.4</v>
      </c>
      <c r="G330" t="n">
        <v>773.37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IDEXX</t>
        </is>
      </c>
      <c r="B331" t="inlineStr">
        <is>
          <t>Insulin-like Growth factor (IGF1)</t>
        </is>
      </c>
      <c r="C331" t="inlineStr">
        <is>
          <t>Other Hormones</t>
        </is>
      </c>
      <c r="D331" t="inlineStr">
        <is>
          <t>IGF1</t>
        </is>
      </c>
      <c r="E331" t="inlineStr">
        <is>
          <t>2026-01</t>
        </is>
      </c>
      <c r="F331" t="n">
        <v>1157.1</v>
      </c>
      <c r="G331" t="n">
        <v>1365.38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IDEXX</t>
        </is>
      </c>
      <c r="B332" t="inlineStr">
        <is>
          <t>Canine Diarrhoea Panel</t>
        </is>
      </c>
      <c r="C332" t="inlineStr">
        <is>
          <t>Infectious Disease</t>
        </is>
      </c>
      <c r="D332" t="inlineStr">
        <is>
          <t>CDPP</t>
        </is>
      </c>
      <c r="E332" t="inlineStr">
        <is>
          <t>2026-01</t>
        </is>
      </c>
      <c r="F332" t="n">
        <v>977.3</v>
      </c>
      <c r="G332" t="n">
        <v>1153.21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IDEXX</t>
        </is>
      </c>
      <c r="B333" t="inlineStr">
        <is>
          <t>Diarrhoea PCR Panel (Feline)</t>
        </is>
      </c>
      <c r="C333" t="inlineStr">
        <is>
          <t>Infectious Disease</t>
        </is>
      </c>
      <c r="D333" t="inlineStr">
        <is>
          <t>FDPP</t>
        </is>
      </c>
      <c r="E333" t="inlineStr">
        <is>
          <t>2026-01</t>
        </is>
      </c>
      <c r="F333" t="n">
        <v>1035.3</v>
      </c>
      <c r="G333" t="n">
        <v>1221.65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IDEXX</t>
        </is>
      </c>
      <c r="B334" t="inlineStr">
        <is>
          <t>Infectious Disease Screen (Feline)</t>
        </is>
      </c>
      <c r="C334" t="inlineStr">
        <is>
          <t>Infectious Disease</t>
        </is>
      </c>
      <c r="D334" t="inlineStr">
        <is>
          <t>FFFT</t>
        </is>
      </c>
      <c r="E334" t="inlineStr">
        <is>
          <t>2026-01</t>
        </is>
      </c>
      <c r="F334" t="n">
        <v>829.4</v>
      </c>
      <c r="G334" t="n">
        <v>978.6900000000001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IDEXX</t>
        </is>
      </c>
      <c r="B335" t="inlineStr">
        <is>
          <t>Coronavirus (FIP) (RNA) RealPCR™</t>
        </is>
      </c>
      <c r="C335" t="inlineStr">
        <is>
          <t>Infectious Disease</t>
        </is>
      </c>
      <c r="D335" t="inlineStr">
        <is>
          <t>FIPVP</t>
        </is>
      </c>
      <c r="E335" t="inlineStr">
        <is>
          <t>2026-01</t>
        </is>
      </c>
      <c r="F335" t="n">
        <v>394.4</v>
      </c>
      <c r="G335" t="n">
        <v>465.39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IDEXX</t>
        </is>
      </c>
      <c r="B336" t="inlineStr">
        <is>
          <t>Herpesvirus Antibodies (Feline)</t>
        </is>
      </c>
      <c r="C336" t="inlineStr">
        <is>
          <t>Infectious Disease</t>
        </is>
      </c>
      <c r="D336" t="inlineStr">
        <is>
          <t>FHVS</t>
        </is>
      </c>
      <c r="E336" t="inlineStr">
        <is>
          <t>2026-01</t>
        </is>
      </c>
      <c r="F336" t="n">
        <v>817.8</v>
      </c>
      <c r="G336" t="n">
        <v>965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IDEXX</t>
        </is>
      </c>
      <c r="B337" t="inlineStr">
        <is>
          <t>Herpesvirus FHV-1 (DNA) RealPCR</t>
        </is>
      </c>
      <c r="C337" t="inlineStr">
        <is>
          <t>Infectious Disease</t>
        </is>
      </c>
      <c r="D337" t="inlineStr">
        <is>
          <t>FHV1Q</t>
        </is>
      </c>
      <c r="E337" t="inlineStr">
        <is>
          <t>2026-01</t>
        </is>
      </c>
      <c r="F337" t="n">
        <v>394.4</v>
      </c>
      <c r="G337" t="n">
        <v>465.39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IDEXX</t>
        </is>
      </c>
      <c r="B338" t="inlineStr">
        <is>
          <t>FeLV Antigen</t>
        </is>
      </c>
      <c r="C338" t="inlineStr">
        <is>
          <t>Infectious Disease</t>
        </is>
      </c>
      <c r="D338" t="inlineStr">
        <is>
          <t>FELV</t>
        </is>
      </c>
      <c r="E338" t="inlineStr">
        <is>
          <t>2026-01</t>
        </is>
      </c>
      <c r="F338" t="n">
        <v>237.8</v>
      </c>
      <c r="G338" t="n">
        <v>280.6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IDEXX</t>
        </is>
      </c>
      <c r="B339" t="inlineStr">
        <is>
          <t>FeLV Quantitative (DNA) PCR</t>
        </is>
      </c>
      <c r="C339" t="inlineStr">
        <is>
          <t>Infectious Disease</t>
        </is>
      </c>
      <c r="D339" t="inlineStr">
        <is>
          <t>FLVP</t>
        </is>
      </c>
      <c r="E339" t="inlineStr">
        <is>
          <t>2026-01</t>
        </is>
      </c>
      <c r="F339" t="n">
        <v>394.4</v>
      </c>
      <c r="G339" t="n">
        <v>465.39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IDEXX</t>
        </is>
      </c>
      <c r="B340" t="inlineStr">
        <is>
          <t>FeLV Antigen and PCR panel</t>
        </is>
      </c>
      <c r="C340" t="inlineStr">
        <is>
          <t>Infectious Disease</t>
        </is>
      </c>
      <c r="D340" t="inlineStr">
        <is>
          <t>FELP</t>
        </is>
      </c>
      <c r="E340" t="inlineStr">
        <is>
          <t>2026-01</t>
        </is>
      </c>
      <c r="F340" t="n">
        <v>565.5</v>
      </c>
      <c r="G340" t="n">
        <v>667.29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IDEXX</t>
        </is>
      </c>
      <c r="B341" t="inlineStr">
        <is>
          <t>FIV Antibody</t>
        </is>
      </c>
      <c r="C341" t="inlineStr">
        <is>
          <t>Infectious Disease</t>
        </is>
      </c>
      <c r="D341" t="inlineStr">
        <is>
          <t>FIV</t>
        </is>
      </c>
      <c r="E341" t="inlineStr">
        <is>
          <t>2026-01</t>
        </is>
      </c>
      <c r="F341" t="n">
        <v>237.8</v>
      </c>
      <c r="G341" t="n">
        <v>280.6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IDEXX</t>
        </is>
      </c>
      <c r="B342" t="inlineStr">
        <is>
          <t>Mycoplasma felis (DNA) RealPCR™</t>
        </is>
      </c>
      <c r="C342" t="inlineStr">
        <is>
          <t>Infectious Disease</t>
        </is>
      </c>
      <c r="D342" t="inlineStr">
        <is>
          <t>MPCC</t>
        </is>
      </c>
      <c r="E342" t="inlineStr">
        <is>
          <t>2026-01</t>
        </is>
      </c>
      <c r="F342" t="n">
        <v>394.4</v>
      </c>
      <c r="G342" t="n">
        <v>465.39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IDEXX</t>
        </is>
      </c>
      <c r="B343" t="inlineStr">
        <is>
          <t>Toxoplasma IgG / IgM</t>
        </is>
      </c>
      <c r="C343" t="inlineStr">
        <is>
          <t>Infectious Disease</t>
        </is>
      </c>
      <c r="D343" t="inlineStr">
        <is>
          <t>TOXO</t>
        </is>
      </c>
      <c r="E343" t="inlineStr">
        <is>
          <t>2026-01</t>
        </is>
      </c>
      <c r="F343" t="n">
        <v>507.5</v>
      </c>
      <c r="G343" t="n">
        <v>598.85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IDEXX</t>
        </is>
      </c>
      <c r="B344" t="inlineStr">
        <is>
          <t>Arenavirus RNA PCR</t>
        </is>
      </c>
      <c r="C344" t="inlineStr">
        <is>
          <t>Infectious Disease</t>
        </is>
      </c>
      <c r="D344" t="inlineStr">
        <is>
          <t>ARVP</t>
        </is>
      </c>
      <c r="E344" t="inlineStr">
        <is>
          <t>2026-01</t>
        </is>
      </c>
      <c r="F344" t="n">
        <v>835.2</v>
      </c>
      <c r="G344" t="n">
        <v>985.54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IDEXX</t>
        </is>
      </c>
      <c r="B345" t="inlineStr">
        <is>
          <t>Tritrichomonas foetus (DNA)</t>
        </is>
      </c>
      <c r="C345" t="inlineStr">
        <is>
          <t>Infectious Disease</t>
        </is>
      </c>
      <c r="D345" t="inlineStr">
        <is>
          <t>TTFF</t>
        </is>
      </c>
      <c r="E345" t="inlineStr">
        <is>
          <t>2026-01</t>
        </is>
      </c>
      <c r="F345" t="n">
        <v>394.4</v>
      </c>
      <c r="G345" t="n">
        <v>465.39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IDEXX</t>
        </is>
      </c>
      <c r="B346" t="inlineStr">
        <is>
          <t>Von Willebrand Disease PCR (Canine)</t>
        </is>
      </c>
      <c r="C346" t="inlineStr">
        <is>
          <t>Genetic Disease PCR</t>
        </is>
      </c>
      <c r="D346" t="inlineStr">
        <is>
          <t>VONP</t>
        </is>
      </c>
      <c r="E346" t="inlineStr">
        <is>
          <t>2026-01</t>
        </is>
      </c>
      <c r="F346" t="n">
        <v>397.3</v>
      </c>
      <c r="G346" t="n">
        <v>468.81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IDEXX</t>
        </is>
      </c>
      <c r="B347" t="inlineStr">
        <is>
          <t>Haemophilia A (Canine)</t>
        </is>
      </c>
      <c r="C347" t="inlineStr">
        <is>
          <t>Genetic Disease PCR</t>
        </is>
      </c>
      <c r="D347" t="inlineStr">
        <is>
          <t>GDHA</t>
        </is>
      </c>
      <c r="E347" t="inlineStr">
        <is>
          <t>2026-01</t>
        </is>
      </c>
      <c r="F347" t="n">
        <v>687.3</v>
      </c>
      <c r="G347" t="n">
        <v>811.01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IDEXX</t>
        </is>
      </c>
      <c r="B348" t="inlineStr">
        <is>
          <t>Haemophilia B (Canine)</t>
        </is>
      </c>
      <c r="C348" t="inlineStr">
        <is>
          <t>Genetic Disease PCR</t>
        </is>
      </c>
      <c r="D348" t="inlineStr">
        <is>
          <t>GDHB</t>
        </is>
      </c>
      <c r="E348" t="inlineStr">
        <is>
          <t>2026-01</t>
        </is>
      </c>
      <c r="F348" t="n">
        <v>687.3</v>
      </c>
      <c r="G348" t="n">
        <v>811.01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IDEXX</t>
        </is>
      </c>
      <c r="B349" t="inlineStr">
        <is>
          <t>Hypertrophic Cardiomyopathy (HCM)</t>
        </is>
      </c>
      <c r="C349" t="inlineStr">
        <is>
          <t>Genetic Disease PCR</t>
        </is>
      </c>
      <c r="D349" t="inlineStr">
        <is>
          <t>GD16</t>
        </is>
      </c>
      <c r="E349" t="inlineStr">
        <is>
          <t>2026-01</t>
        </is>
      </c>
      <c r="F349" t="n">
        <v>397.3</v>
      </c>
      <c r="G349" t="n">
        <v>468.81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IDEXX</t>
        </is>
      </c>
      <c r="B350" t="inlineStr">
        <is>
          <t>Polycystic Kidney Disease (PKD) PCR</t>
        </is>
      </c>
      <c r="C350" t="inlineStr">
        <is>
          <t>Genetic Disease PCR</t>
        </is>
      </c>
      <c r="D350" t="inlineStr">
        <is>
          <t>GD26</t>
        </is>
      </c>
      <c r="E350" t="inlineStr">
        <is>
          <t>2026-01</t>
        </is>
      </c>
      <c r="F350" t="n">
        <v>835.2</v>
      </c>
      <c r="G350" t="n">
        <v>985.54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IDEXX</t>
        </is>
      </c>
      <c r="B351" t="inlineStr">
        <is>
          <t>Progressive Retinal Atrophy (PRA)</t>
        </is>
      </c>
      <c r="C351" t="inlineStr">
        <is>
          <t>Genetic Disease PCR</t>
        </is>
      </c>
      <c r="D351" t="inlineStr">
        <is>
          <t>GD58</t>
        </is>
      </c>
      <c r="E351" t="inlineStr">
        <is>
          <t>2026-01</t>
        </is>
      </c>
      <c r="F351" t="n">
        <v>359.6</v>
      </c>
      <c r="G351" t="n">
        <v>424.33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IDEXX — רפרנס</t>
        </is>
      </c>
      <c r="B352" t="inlineStr">
        <is>
          <t>Angio Detect™ Test (Lungworm) (Canine) - Add-On</t>
        </is>
      </c>
      <c r="D352" t="inlineStr">
        <is>
          <t>AANGIO</t>
        </is>
      </c>
      <c r="E352" t="inlineStr">
        <is>
          <t>2025-01</t>
        </is>
      </c>
      <c r="F352" t="n">
        <v>110.2</v>
      </c>
      <c r="G352" t="n">
        <v>130.04</v>
      </c>
      <c r="H352">
        <f>הגדרות!B5</f>
        <v/>
      </c>
      <c r="I352">
        <f>F352*(1-H352/100)*1.18</f>
        <v/>
      </c>
      <c r="J352">
        <f>הגדרות!C5</f>
        <v/>
      </c>
      <c r="K352">
        <f>הגדרות!D5</f>
        <v/>
      </c>
      <c r="L352">
        <f>I352*(1+J352/100)+K352</f>
        <v/>
      </c>
    </row>
    <row r="353">
      <c r="A353" t="inlineStr">
        <is>
          <t>IDEXX — רפרנס</t>
        </is>
      </c>
      <c r="B353" t="inlineStr">
        <is>
          <t>Bile Acid Stimulation Test - Add-On</t>
        </is>
      </c>
      <c r="D353" t="inlineStr">
        <is>
          <t>ABAS</t>
        </is>
      </c>
      <c r="E353" t="inlineStr">
        <is>
          <t>2025-01</t>
        </is>
      </c>
      <c r="F353" t="n">
        <v>124.7</v>
      </c>
      <c r="G353" t="n">
        <v>147.15</v>
      </c>
      <c r="H353">
        <f>הגדרות!B5</f>
        <v/>
      </c>
      <c r="I353">
        <f>F353*(1-H353/100)*1.18</f>
        <v/>
      </c>
      <c r="J353">
        <f>הגדרות!C5</f>
        <v/>
      </c>
      <c r="K353">
        <f>הגדרות!D5</f>
        <v/>
      </c>
      <c r="L353">
        <f>I353*(1+J353/100)+K353</f>
        <v/>
      </c>
    </row>
    <row r="354">
      <c r="A354" t="inlineStr">
        <is>
          <t>IDEXX — רפרנס</t>
        </is>
      </c>
      <c r="B354" t="inlineStr">
        <is>
          <t>Total Bilirubin - Add-On</t>
        </is>
      </c>
      <c r="D354" t="inlineStr">
        <is>
          <t>ABILT</t>
        </is>
      </c>
      <c r="E354" t="inlineStr">
        <is>
          <t>2025-01</t>
        </is>
      </c>
      <c r="F354" t="n">
        <v>37.7</v>
      </c>
      <c r="G354" t="n">
        <v>44.49</v>
      </c>
      <c r="H354">
        <f>הגדרות!B5</f>
        <v/>
      </c>
      <c r="I354">
        <f>F354*(1-H354/100)*1.18</f>
        <v/>
      </c>
      <c r="J354">
        <f>הגדרות!C5</f>
        <v/>
      </c>
      <c r="K354">
        <f>הגדרות!D5</f>
        <v/>
      </c>
      <c r="L354">
        <f>I354*(1+J354/100)+K354</f>
        <v/>
      </c>
    </row>
    <row r="355">
      <c r="A355" t="inlineStr">
        <is>
          <t>IDEXX — רפרנס</t>
        </is>
      </c>
      <c r="B355" t="inlineStr">
        <is>
          <t>Cardiopet® proBNP (Feline) - Add-On</t>
        </is>
      </c>
      <c r="D355" t="inlineStr">
        <is>
          <t>ABNF</t>
        </is>
      </c>
      <c r="E355" t="inlineStr">
        <is>
          <t>2025-01</t>
        </is>
      </c>
      <c r="F355" t="n">
        <v>237.8</v>
      </c>
      <c r="G355" t="n">
        <v>280.6</v>
      </c>
      <c r="H355">
        <f>הגדרות!B5</f>
        <v/>
      </c>
      <c r="I355">
        <f>F355*(1-H355/100)*1.18</f>
        <v/>
      </c>
      <c r="J355">
        <f>הגדרות!C5</f>
        <v/>
      </c>
      <c r="K355">
        <f>הגדרות!D5</f>
        <v/>
      </c>
      <c r="L355">
        <f>I355*(1+J355/100)+K355</f>
        <v/>
      </c>
    </row>
    <row r="356">
      <c r="A356" t="inlineStr">
        <is>
          <t>IDEXX — רפרנס</t>
        </is>
      </c>
      <c r="B356" t="inlineStr">
        <is>
          <t>Cardiopet® proBNP (Canine) - Add-On</t>
        </is>
      </c>
      <c r="D356" t="inlineStr">
        <is>
          <t>ABNP</t>
        </is>
      </c>
      <c r="E356" t="inlineStr">
        <is>
          <t>2025-01</t>
        </is>
      </c>
      <c r="F356" t="n">
        <v>237.8</v>
      </c>
      <c r="G356" t="n">
        <v>280.6</v>
      </c>
      <c r="H356">
        <f>הגדרות!B5</f>
        <v/>
      </c>
      <c r="I356">
        <f>F356*(1-H356/100)*1.18</f>
        <v/>
      </c>
      <c r="J356">
        <f>הגדרות!C5</f>
        <v/>
      </c>
      <c r="K356">
        <f>הגדרות!D5</f>
        <v/>
      </c>
      <c r="L356">
        <f>I356*(1+J356/100)+K356</f>
        <v/>
      </c>
    </row>
    <row r="357">
      <c r="A357" t="inlineStr">
        <is>
          <t>IDEXX — רפרנס</t>
        </is>
      </c>
      <c r="B357" t="inlineStr">
        <is>
          <t>Avian Bornavirus Cloacal PCR</t>
        </is>
      </c>
      <c r="D357" t="inlineStr">
        <is>
          <t>ABVP</t>
        </is>
      </c>
      <c r="E357" t="inlineStr">
        <is>
          <t>2025-01</t>
        </is>
      </c>
      <c r="F357" t="n">
        <v>368.3</v>
      </c>
      <c r="G357" t="n">
        <v>434.59</v>
      </c>
      <c r="H357">
        <f>הגדרות!B5</f>
        <v/>
      </c>
      <c r="I357">
        <f>F357*(1-H357/100)*1.18</f>
        <v/>
      </c>
      <c r="J357">
        <f>הגדרות!C5</f>
        <v/>
      </c>
      <c r="K357">
        <f>הגדרות!D5</f>
        <v/>
      </c>
      <c r="L357">
        <f>I357*(1+J357/100)+K357</f>
        <v/>
      </c>
    </row>
    <row r="358">
      <c r="A358" t="inlineStr">
        <is>
          <t>IDEXX — רפרנס</t>
        </is>
      </c>
      <c r="B358" t="inlineStr">
        <is>
          <t>Coombs' Test (Canine) - Add-On</t>
        </is>
      </c>
      <c r="D358" t="inlineStr">
        <is>
          <t>ACC</t>
        </is>
      </c>
      <c r="E358" t="inlineStr">
        <is>
          <t>2025-01</t>
        </is>
      </c>
      <c r="F358" t="n">
        <v>159.5</v>
      </c>
      <c r="G358" t="n">
        <v>188.21</v>
      </c>
      <c r="H358">
        <f>הגדרות!B5</f>
        <v/>
      </c>
      <c r="I358">
        <f>F358*(1-H358/100)*1.18</f>
        <v/>
      </c>
      <c r="J358">
        <f>הגדרות!C5</f>
        <v/>
      </c>
      <c r="K358">
        <f>הגדרות!D5</f>
        <v/>
      </c>
      <c r="L358">
        <f>I358*(1+J358/100)+K358</f>
        <v/>
      </c>
    </row>
    <row r="359">
      <c r="A359" t="inlineStr">
        <is>
          <t>IDEXX — רפרנס</t>
        </is>
      </c>
      <c r="B359" t="inlineStr">
        <is>
          <t>Basic Coagulation Screen - Add-On</t>
        </is>
      </c>
      <c r="D359" t="inlineStr">
        <is>
          <t>ACOA</t>
        </is>
      </c>
      <c r="E359" t="inlineStr">
        <is>
          <t>2025-01</t>
        </is>
      </c>
      <c r="F359" t="n">
        <v>319</v>
      </c>
      <c r="G359" t="n">
        <v>376.42</v>
      </c>
      <c r="H359">
        <f>הגדרות!B5</f>
        <v/>
      </c>
      <c r="I359">
        <f>F359*(1-H359/100)*1.18</f>
        <v/>
      </c>
      <c r="J359">
        <f>הגדרות!C5</f>
        <v/>
      </c>
      <c r="K359">
        <f>הגדרות!D5</f>
        <v/>
      </c>
      <c r="L359">
        <f>I359*(1+J359/100)+K359</f>
        <v/>
      </c>
    </row>
    <row r="360">
      <c r="A360" t="inlineStr">
        <is>
          <t>IDEXX — רפרנס</t>
        </is>
      </c>
      <c r="B360" t="inlineStr">
        <is>
          <t>Cortisol - Add-On</t>
        </is>
      </c>
      <c r="D360" t="inlineStr">
        <is>
          <t>ACORT</t>
        </is>
      </c>
      <c r="E360" t="inlineStr">
        <is>
          <t>2025-01</t>
        </is>
      </c>
      <c r="F360" t="n">
        <v>145</v>
      </c>
      <c r="G360" t="n">
        <v>171.1</v>
      </c>
      <c r="H360">
        <f>הגדרות!B5</f>
        <v/>
      </c>
      <c r="I360">
        <f>F360*(1-H360/100)*1.18</f>
        <v/>
      </c>
      <c r="J360">
        <f>הגדרות!C5</f>
        <v/>
      </c>
      <c r="K360">
        <f>הגדרות!D5</f>
        <v/>
      </c>
      <c r="L360">
        <f>I360*(1+J360/100)+K360</f>
        <v/>
      </c>
    </row>
    <row r="361">
      <c r="A361" t="inlineStr">
        <is>
          <t>IDEXX — רפרנס</t>
        </is>
      </c>
      <c r="B361" t="inlineStr">
        <is>
          <t>Spec cPL® (Canine) - Add-On</t>
        </is>
      </c>
      <c r="D361" t="inlineStr">
        <is>
          <t>ACPL</t>
        </is>
      </c>
      <c r="E361" t="inlineStr">
        <is>
          <t>2025-01</t>
        </is>
      </c>
      <c r="F361" t="n">
        <v>298.7</v>
      </c>
      <c r="G361" t="n">
        <v>352.47</v>
      </c>
      <c r="H361">
        <f>הגדרות!B5</f>
        <v/>
      </c>
      <c r="I361">
        <f>F361*(1-H361/100)*1.18</f>
        <v/>
      </c>
      <c r="J361">
        <f>הגדרות!C5</f>
        <v/>
      </c>
      <c r="K361">
        <f>הגדרות!D5</f>
        <v/>
      </c>
      <c r="L361">
        <f>I361*(1+J361/100)+K361</f>
        <v/>
      </c>
    </row>
    <row r="362">
      <c r="A362" t="inlineStr">
        <is>
          <t>IDEXX — רפרנס</t>
        </is>
      </c>
      <c r="B362" t="inlineStr">
        <is>
          <t>C Reactive Protein (Canine) - Add-On</t>
        </is>
      </c>
      <c r="D362" t="inlineStr">
        <is>
          <t>ACRP</t>
        </is>
      </c>
      <c r="E362" t="inlineStr">
        <is>
          <t>2025-01</t>
        </is>
      </c>
      <c r="F362" t="n">
        <v>72.5</v>
      </c>
      <c r="G362" t="n">
        <v>85.55</v>
      </c>
      <c r="H362">
        <f>הגדרות!B5</f>
        <v/>
      </c>
      <c r="I362">
        <f>F362*(1-H362/100)*1.18</f>
        <v/>
      </c>
      <c r="J362">
        <f>הגדרות!C5</f>
        <v/>
      </c>
      <c r="K362">
        <f>הגדרות!D5</f>
        <v/>
      </c>
      <c r="L362">
        <f>I362*(1+J362/100)+K362</f>
        <v/>
      </c>
    </row>
    <row r="363">
      <c r="A363" t="inlineStr">
        <is>
          <t>IDEXX — רפרנס</t>
        </is>
      </c>
      <c r="B363" t="inlineStr">
        <is>
          <t>Spec cPL®, TLI, Folate &amp; Cobalamin (Canine) - Add-O</t>
        </is>
      </c>
      <c r="D363" t="inlineStr">
        <is>
          <t>nACTF</t>
        </is>
      </c>
      <c r="E363" t="inlineStr">
        <is>
          <t>2025-01</t>
        </is>
      </c>
      <c r="F363" t="n">
        <v>507.5</v>
      </c>
      <c r="G363" t="n">
        <v>598.85</v>
      </c>
      <c r="H363">
        <f>הגדרות!B5</f>
        <v/>
      </c>
      <c r="I363">
        <f>F363*(1-H363/100)*1.18</f>
        <v/>
      </c>
      <c r="J363">
        <f>הגדרות!C5</f>
        <v/>
      </c>
      <c r="K363">
        <f>הגדרות!D5</f>
        <v/>
      </c>
      <c r="L363">
        <f>I363*(1+J363/100)+K363</f>
        <v/>
      </c>
    </row>
    <row r="364">
      <c r="A364" t="inlineStr">
        <is>
          <t>IDEXX — רפרנס</t>
        </is>
      </c>
      <c r="B364" t="inlineStr">
        <is>
          <t>Cystatin B (Canine/Feline) - Add-On</t>
        </is>
      </c>
      <c r="D364" t="inlineStr">
        <is>
          <t>ACYSB</t>
        </is>
      </c>
      <c r="E364" t="inlineStr">
        <is>
          <t>2025-01</t>
        </is>
      </c>
      <c r="F364" t="n">
        <v>89.90000000000001</v>
      </c>
      <c r="G364" t="n">
        <v>106.08</v>
      </c>
      <c r="H364">
        <f>הגדרות!B5</f>
        <v/>
      </c>
      <c r="I364">
        <f>F364*(1-H364/100)*1.18</f>
        <v/>
      </c>
      <c r="J364">
        <f>הגדרות!C5</f>
        <v/>
      </c>
      <c r="K364">
        <f>הגדרות!D5</f>
        <v/>
      </c>
      <c r="L364">
        <f>I364*(1+J364/100)+K364</f>
        <v/>
      </c>
    </row>
    <row r="365">
      <c r="A365" t="inlineStr">
        <is>
          <t>IDEXX — רפרנס</t>
        </is>
      </c>
      <c r="B365" t="inlineStr">
        <is>
          <t>Adenovirus DNA PCR</t>
        </is>
      </c>
      <c r="D365" t="inlineStr">
        <is>
          <t>ADVP</t>
        </is>
      </c>
      <c r="E365" t="inlineStr">
        <is>
          <t>2025-01</t>
        </is>
      </c>
      <c r="F365" t="n">
        <v>368.3</v>
      </c>
      <c r="G365" t="n">
        <v>434.59</v>
      </c>
      <c r="H365">
        <f>הגדרות!B5</f>
        <v/>
      </c>
      <c r="I365">
        <f>F365*(1-H365/100)*1.18</f>
        <v/>
      </c>
      <c r="J365">
        <f>הגדרות!C5</f>
        <v/>
      </c>
      <c r="K365">
        <f>הגדרות!D5</f>
        <v/>
      </c>
      <c r="L365">
        <f>I365*(1+J365/100)+K365</f>
        <v/>
      </c>
    </row>
    <row r="366">
      <c r="A366" t="inlineStr">
        <is>
          <t>IDEXX — רפרנס</t>
        </is>
      </c>
      <c r="B366" t="inlineStr">
        <is>
          <t>Comprehensive Haematology - Add-On</t>
        </is>
      </c>
      <c r="D366" t="inlineStr">
        <is>
          <t>AFBC</t>
        </is>
      </c>
      <c r="E366" t="inlineStr">
        <is>
          <t>2025-01</t>
        </is>
      </c>
      <c r="F366" t="n">
        <v>145</v>
      </c>
      <c r="G366" t="n">
        <v>171.1</v>
      </c>
      <c r="H366">
        <f>הגדרות!B5</f>
        <v/>
      </c>
      <c r="I366">
        <f>F366*(1-H366/100)*1.18</f>
        <v/>
      </c>
      <c r="J366">
        <f>הגדרות!C5</f>
        <v/>
      </c>
      <c r="K366">
        <f>הגדרות!D5</f>
        <v/>
      </c>
      <c r="L366">
        <f>I366*(1+J366/100)+K366</f>
        <v/>
      </c>
    </row>
    <row r="367">
      <c r="A367" t="inlineStr">
        <is>
          <t>IDEXX — רפרנס</t>
        </is>
      </c>
      <c r="B367" t="inlineStr">
        <is>
          <t>Coombs' Test (Feline) - Add-On</t>
        </is>
      </c>
      <c r="D367" t="inlineStr">
        <is>
          <t>AFC</t>
        </is>
      </c>
      <c r="E367" t="inlineStr">
        <is>
          <t>2025-01</t>
        </is>
      </c>
      <c r="F367" t="n">
        <v>159.5</v>
      </c>
      <c r="G367" t="n">
        <v>188.21</v>
      </c>
      <c r="H367">
        <f>הגדרות!B5</f>
        <v/>
      </c>
      <c r="I367">
        <f>F367*(1-H367/100)*1.18</f>
        <v/>
      </c>
      <c r="J367">
        <f>הגדרות!C5</f>
        <v/>
      </c>
      <c r="K367">
        <f>הגדרות!D5</f>
        <v/>
      </c>
      <c r="L367">
        <f>I367*(1+J367/100)+K367</f>
        <v/>
      </c>
    </row>
    <row r="368">
      <c r="A368" t="inlineStr">
        <is>
          <t>IDEXX — רפרנס</t>
        </is>
      </c>
      <c r="B368" t="inlineStr">
        <is>
          <t>Spec fPL®, Folate &amp; Cobalamin (Feline) - Add-On</t>
        </is>
      </c>
      <c r="D368" t="inlineStr">
        <is>
          <t>AFCS</t>
        </is>
      </c>
      <c r="E368" t="inlineStr">
        <is>
          <t>2025-01</t>
        </is>
      </c>
      <c r="F368" t="n">
        <v>417.6</v>
      </c>
      <c r="G368" t="n">
        <v>492.77</v>
      </c>
      <c r="H368">
        <f>הגדרות!B5</f>
        <v/>
      </c>
      <c r="I368">
        <f>F368*(1-H368/100)*1.18</f>
        <v/>
      </c>
      <c r="J368">
        <f>הגדרות!C5</f>
        <v/>
      </c>
      <c r="K368">
        <f>הגדרות!D5</f>
        <v/>
      </c>
      <c r="L368">
        <f>I368*(1+J368/100)+K368</f>
        <v/>
      </c>
    </row>
    <row r="369">
      <c r="A369" t="inlineStr">
        <is>
          <t>IDEXX — רפרנס</t>
        </is>
      </c>
      <c r="B369" t="inlineStr">
        <is>
          <t>Faecal Dx® Antigen Panel - Add-On</t>
        </is>
      </c>
      <c r="D369" t="inlineStr">
        <is>
          <t>AFET</t>
        </is>
      </c>
      <c r="E369" t="inlineStr">
        <is>
          <t>2025-01</t>
        </is>
      </c>
      <c r="F369" t="n">
        <v>87</v>
      </c>
      <c r="G369" t="n">
        <v>102.66</v>
      </c>
      <c r="H369">
        <f>הגדרות!B5</f>
        <v/>
      </c>
      <c r="I369">
        <f>F369*(1-H369/100)*1.18</f>
        <v/>
      </c>
      <c r="J369">
        <f>הגדרות!C5</f>
        <v/>
      </c>
      <c r="K369">
        <f>הגדרות!D5</f>
        <v/>
      </c>
      <c r="L369">
        <f>I369*(1+J369/100)+K369</f>
        <v/>
      </c>
    </row>
    <row r="370">
      <c r="A370" t="inlineStr">
        <is>
          <t>IDEXX — רפרנס</t>
        </is>
      </c>
      <c r="B370" t="inlineStr">
        <is>
          <t>FeLV &amp; FIV - Add-On</t>
        </is>
      </c>
      <c r="D370" t="inlineStr">
        <is>
          <t>AFF</t>
        </is>
      </c>
      <c r="E370" t="inlineStr">
        <is>
          <t>2025-01</t>
        </is>
      </c>
      <c r="F370" t="n">
        <v>350.9</v>
      </c>
      <c r="G370" t="n">
        <v>414.06</v>
      </c>
      <c r="H370">
        <f>הגדרות!B5</f>
        <v/>
      </c>
      <c r="I370">
        <f>F370*(1-H370/100)*1.18</f>
        <v/>
      </c>
      <c r="J370">
        <f>הגדרות!C5</f>
        <v/>
      </c>
      <c r="K370">
        <f>הגדרות!D5</f>
        <v/>
      </c>
      <c r="L370">
        <f>I370*(1+J370/100)+K370</f>
        <v/>
      </c>
    </row>
    <row r="371">
      <c r="A371" t="inlineStr">
        <is>
          <t>IDEXX — רפרנס</t>
        </is>
      </c>
      <c r="B371" t="inlineStr">
        <is>
          <t>FGF-23 (Feline) - Add-On</t>
        </is>
      </c>
      <c r="D371" t="inlineStr">
        <is>
          <t>AFGF23</t>
        </is>
      </c>
      <c r="E371" t="inlineStr">
        <is>
          <t>2025-01</t>
        </is>
      </c>
      <c r="F371" t="n">
        <v>234.9</v>
      </c>
      <c r="G371" t="n">
        <v>277.18</v>
      </c>
      <c r="H371">
        <f>הגדרות!B5</f>
        <v/>
      </c>
      <c r="I371">
        <f>F371*(1-H371/100)*1.18</f>
        <v/>
      </c>
      <c r="J371">
        <f>הגדרות!C5</f>
        <v/>
      </c>
      <c r="K371">
        <f>הגדרות!D5</f>
        <v/>
      </c>
      <c r="L371">
        <f>I371*(1+J371/100)+K371</f>
        <v/>
      </c>
    </row>
    <row r="372">
      <c r="A372" t="inlineStr">
        <is>
          <t>IDEXX — רפרנס</t>
        </is>
      </c>
      <c r="B372" t="inlineStr">
        <is>
          <t>Blood Film Examination - Add-On</t>
        </is>
      </c>
      <c r="D372" t="inlineStr">
        <is>
          <t>AFILM</t>
        </is>
      </c>
      <c r="E372" t="inlineStr">
        <is>
          <t>2025-01</t>
        </is>
      </c>
      <c r="F372" t="n">
        <v>98.59999999999999</v>
      </c>
      <c r="G372" t="n">
        <v>116.35</v>
      </c>
      <c r="H372">
        <f>הגדרות!B5</f>
        <v/>
      </c>
      <c r="I372">
        <f>F372*(1-H372/100)*1.18</f>
        <v/>
      </c>
      <c r="J372">
        <f>הגדרות!C5</f>
        <v/>
      </c>
      <c r="K372">
        <f>הגדרות!D5</f>
        <v/>
      </c>
      <c r="L372">
        <f>I372*(1+J372/100)+K372</f>
        <v/>
      </c>
    </row>
    <row r="373">
      <c r="A373" t="inlineStr">
        <is>
          <t>IDEXX — רפרנס</t>
        </is>
      </c>
      <c r="B373" t="inlineStr">
        <is>
          <t>Folate &amp; Cobalamin - Add-On</t>
        </is>
      </c>
      <c r="D373" t="inlineStr">
        <is>
          <t>AFOLCB</t>
        </is>
      </c>
      <c r="E373" t="inlineStr">
        <is>
          <t>2025-01</t>
        </is>
      </c>
      <c r="F373" t="n">
        <v>203</v>
      </c>
      <c r="G373" t="n">
        <v>239.54</v>
      </c>
      <c r="H373">
        <f>הגדרות!B5</f>
        <v/>
      </c>
      <c r="I373">
        <f>F373*(1-H373/100)*1.18</f>
        <v/>
      </c>
      <c r="J373">
        <f>הגדרות!C5</f>
        <v/>
      </c>
      <c r="K373">
        <f>הגדרות!D5</f>
        <v/>
      </c>
      <c r="L373">
        <f>I373*(1+J373/100)+K373</f>
        <v/>
      </c>
    </row>
    <row r="374">
      <c r="A374" t="inlineStr">
        <is>
          <t>IDEXX — רפרנס</t>
        </is>
      </c>
      <c r="B374" t="inlineStr">
        <is>
          <t>Spec fPL® (Feline) - Add-On</t>
        </is>
      </c>
      <c r="D374" t="inlineStr">
        <is>
          <t>AFPL</t>
        </is>
      </c>
      <c r="E374" t="inlineStr">
        <is>
          <t>2025-01</t>
        </is>
      </c>
      <c r="F374" t="n">
        <v>298.7</v>
      </c>
      <c r="G374" t="n">
        <v>352.47</v>
      </c>
      <c r="H374">
        <f>הגדרות!B5</f>
        <v/>
      </c>
      <c r="I374">
        <f>F374*(1-H374/100)*1.18</f>
        <v/>
      </c>
      <c r="J374">
        <f>הגדרות!C5</f>
        <v/>
      </c>
      <c r="K374">
        <f>הגדרות!D5</f>
        <v/>
      </c>
      <c r="L374">
        <f>I374*(1+J374/100)+K374</f>
        <v/>
      </c>
    </row>
    <row r="375">
      <c r="A375" t="inlineStr">
        <is>
          <t>IDEXX — רפרנס</t>
        </is>
      </c>
      <c r="B375" t="inlineStr">
        <is>
          <t>Fructosamine - Add-On</t>
        </is>
      </c>
      <c r="D375" t="inlineStr">
        <is>
          <t>AFRU</t>
        </is>
      </c>
      <c r="E375" t="inlineStr">
        <is>
          <t>2025-01</t>
        </is>
      </c>
      <c r="F375" t="n">
        <v>89.90000000000001</v>
      </c>
      <c r="G375" t="n">
        <v>106.08</v>
      </c>
      <c r="H375">
        <f>הגדרות!B5</f>
        <v/>
      </c>
      <c r="I375">
        <f>F375*(1-H375/100)*1.18</f>
        <v/>
      </c>
      <c r="J375">
        <f>הגדרות!C5</f>
        <v/>
      </c>
      <c r="K375">
        <f>הגדרות!D5</f>
        <v/>
      </c>
      <c r="L375">
        <f>I375*(1+J375/100)+K375</f>
        <v/>
      </c>
    </row>
    <row r="376">
      <c r="A376" t="inlineStr">
        <is>
          <t>IDEXX — רפרנס</t>
        </is>
      </c>
      <c r="B376" t="inlineStr">
        <is>
          <t>Free T4 by Equilibrium Dialysis - Add-On</t>
        </is>
      </c>
      <c r="D376" t="inlineStr">
        <is>
          <t>AFT4</t>
        </is>
      </c>
      <c r="E376" t="inlineStr">
        <is>
          <t>2025-01</t>
        </is>
      </c>
      <c r="F376" t="n">
        <v>255.2</v>
      </c>
      <c r="G376" t="n">
        <v>301.14</v>
      </c>
      <c r="H376">
        <f>הגדרות!B5</f>
        <v/>
      </c>
      <c r="I376">
        <f>F376*(1-H376/100)*1.18</f>
        <v/>
      </c>
      <c r="J376">
        <f>הגדרות!C5</f>
        <v/>
      </c>
      <c r="K376">
        <f>הגדרות!D5</f>
        <v/>
      </c>
      <c r="L376">
        <f>I376*(1+J376/100)+K376</f>
        <v/>
      </c>
    </row>
    <row r="377">
      <c r="A377" t="inlineStr">
        <is>
          <t>IDEXX — רפרנס</t>
        </is>
      </c>
      <c r="B377" t="inlineStr">
        <is>
          <t>Spec fPL®, TLI, Folate &amp; Cobalamin (Feline) - Add-On</t>
        </is>
      </c>
      <c r="D377" t="inlineStr">
        <is>
          <t>AFTC</t>
        </is>
      </c>
      <c r="E377" t="inlineStr">
        <is>
          <t>2025-01</t>
        </is>
      </c>
      <c r="F377" t="n">
        <v>611.9</v>
      </c>
      <c r="G377" t="n">
        <v>722.04</v>
      </c>
      <c r="H377">
        <f>הגדרות!B5</f>
        <v/>
      </c>
      <c r="I377">
        <f>F377*(1-H377/100)*1.18</f>
        <v/>
      </c>
      <c r="J377">
        <f>הגדרות!C5</f>
        <v/>
      </c>
      <c r="K377">
        <f>הגדרות!D5</f>
        <v/>
      </c>
      <c r="L377">
        <f>I377*(1+J377/100)+K377</f>
        <v/>
      </c>
    </row>
    <row r="378">
      <c r="A378" t="inlineStr">
        <is>
          <t>IDEXX — רפרנס</t>
        </is>
      </c>
      <c r="B378" t="inlineStr">
        <is>
          <t>GGT - Add-On</t>
        </is>
      </c>
      <c r="D378" t="inlineStr">
        <is>
          <t>AGGT</t>
        </is>
      </c>
      <c r="E378" t="inlineStr">
        <is>
          <t>2025-01</t>
        </is>
      </c>
      <c r="F378" t="n">
        <v>37.7</v>
      </c>
      <c r="G378" t="n">
        <v>44.49</v>
      </c>
      <c r="H378">
        <f>הגדרות!B5</f>
        <v/>
      </c>
      <c r="I378">
        <f>F378*(1-H378/100)*1.18</f>
        <v/>
      </c>
      <c r="J378">
        <f>הגדרות!C5</f>
        <v/>
      </c>
      <c r="K378">
        <f>הגדרות!D5</f>
        <v/>
      </c>
      <c r="L378">
        <f>I378*(1+J378/100)+K378</f>
        <v/>
      </c>
    </row>
    <row r="379">
      <c r="A379" t="inlineStr">
        <is>
          <t>IDEXX — רפרנס</t>
        </is>
      </c>
      <c r="B379" t="inlineStr">
        <is>
          <t>Add Histology to a Dermatology Investigative Profile</t>
        </is>
      </c>
      <c r="D379" t="inlineStr">
        <is>
          <t>AHIS</t>
        </is>
      </c>
      <c r="E379" t="inlineStr">
        <is>
          <t>2025-01</t>
        </is>
      </c>
      <c r="F379" t="n">
        <v>513.3</v>
      </c>
      <c r="G379" t="n">
        <v>605.6900000000001</v>
      </c>
      <c r="H379">
        <f>הגדרות!B5</f>
        <v/>
      </c>
      <c r="I379">
        <f>F379*(1-H379/100)*1.18</f>
        <v/>
      </c>
      <c r="J379">
        <f>הגדרות!C5</f>
        <v/>
      </c>
      <c r="K379">
        <f>הגדרות!D5</f>
        <v/>
      </c>
      <c r="L379">
        <f>I379*(1+J379/100)+K379</f>
        <v/>
      </c>
    </row>
    <row r="380">
      <c r="A380" t="inlineStr">
        <is>
          <t>IDEXX — רפרנס</t>
        </is>
      </c>
      <c r="B380" t="inlineStr">
        <is>
          <t>Glucose and Insulin (Canine)</t>
        </is>
      </c>
      <c r="D380" t="inlineStr">
        <is>
          <t>AIGR</t>
        </is>
      </c>
      <c r="E380" t="inlineStr">
        <is>
          <t>2025-01</t>
        </is>
      </c>
      <c r="F380" t="n">
        <v>368.3</v>
      </c>
      <c r="G380" t="n">
        <v>434.59</v>
      </c>
      <c r="H380">
        <f>הגדרות!B5</f>
        <v/>
      </c>
      <c r="I380">
        <f>F380*(1-H380/100)*1.18</f>
        <v/>
      </c>
      <c r="J380">
        <f>הגדרות!C5</f>
        <v/>
      </c>
      <c r="K380">
        <f>הגדרות!D5</f>
        <v/>
      </c>
      <c r="L380">
        <f>I380*(1+J380/100)+K380</f>
        <v/>
      </c>
    </row>
    <row r="381">
      <c r="A381" t="inlineStr">
        <is>
          <t>IDEXX — רפרנס</t>
        </is>
      </c>
      <c r="B381" t="inlineStr">
        <is>
          <t>Leishmania serology (Canine) - Add-On</t>
        </is>
      </c>
      <c r="D381" t="inlineStr">
        <is>
          <t>ALEI</t>
        </is>
      </c>
      <c r="E381" t="inlineStr">
        <is>
          <t>2025-01</t>
        </is>
      </c>
      <c r="F381" t="n">
        <v>205.9</v>
      </c>
      <c r="G381" t="n">
        <v>242.96</v>
      </c>
      <c r="H381">
        <f>הגדרות!B5</f>
        <v/>
      </c>
      <c r="I381">
        <f>F381*(1-H381/100)*1.18</f>
        <v/>
      </c>
      <c r="J381">
        <f>הגדרות!C5</f>
        <v/>
      </c>
      <c r="K381">
        <f>הגדרות!D5</f>
        <v/>
      </c>
      <c r="L381">
        <f>I381*(1+J381/100)+K381</f>
        <v/>
      </c>
    </row>
    <row r="382">
      <c r="A382" t="inlineStr">
        <is>
          <t>IDEXX — רפרנס</t>
        </is>
      </c>
      <c r="B382" t="inlineStr">
        <is>
          <t>Aleutian Mink Disease (Parvovirus)</t>
        </is>
      </c>
      <c r="D382" t="inlineStr">
        <is>
          <t>AMD</t>
        </is>
      </c>
      <c r="E382" t="inlineStr">
        <is>
          <t>2025-01</t>
        </is>
      </c>
      <c r="F382" t="n">
        <v>1058.5</v>
      </c>
      <c r="G382" t="n">
        <v>1249.03</v>
      </c>
      <c r="H382">
        <f>הגדרות!B5</f>
        <v/>
      </c>
      <c r="I382">
        <f>F382*(1-H382/100)*1.18</f>
        <v/>
      </c>
      <c r="J382">
        <f>הגדרות!C5</f>
        <v/>
      </c>
      <c r="K382">
        <f>הגדרות!D5</f>
        <v/>
      </c>
      <c r="L382">
        <f>I382*(1+J382/100)+K382</f>
        <v/>
      </c>
    </row>
    <row r="383">
      <c r="A383" t="inlineStr">
        <is>
          <t>IDEXX — רפרנס</t>
        </is>
      </c>
      <c r="B383" t="inlineStr">
        <is>
          <t>Haemotropic Mycoplasma PCR Panel (Feline) - Add-O</t>
        </is>
      </c>
      <c r="D383" t="inlineStr">
        <is>
          <t>nAMPC</t>
        </is>
      </c>
      <c r="E383" t="inlineStr">
        <is>
          <t>2025-01</t>
        </is>
      </c>
      <c r="F383" t="n">
        <v>582.9</v>
      </c>
      <c r="G383" t="n">
        <v>687.8200000000001</v>
      </c>
      <c r="H383">
        <f>הגדרות!B5</f>
        <v/>
      </c>
      <c r="I383">
        <f>F383*(1-H383/100)*1.18</f>
        <v/>
      </c>
      <c r="J383">
        <f>הגדרות!C5</f>
        <v/>
      </c>
      <c r="K383">
        <f>הגדרות!D5</f>
        <v/>
      </c>
      <c r="L383">
        <f>I383*(1+J383/100)+K383</f>
        <v/>
      </c>
    </row>
    <row r="384">
      <c r="A384" t="inlineStr">
        <is>
          <t>IDEXX — רפרנס</t>
        </is>
      </c>
      <c r="B384" t="inlineStr">
        <is>
          <t>Angio Detect™ Test (Lungworm) (Canine)</t>
        </is>
      </c>
      <c r="D384" t="inlineStr">
        <is>
          <t>ANGIO</t>
        </is>
      </c>
      <c r="E384" t="inlineStr">
        <is>
          <t>2025-01</t>
        </is>
      </c>
      <c r="F384" t="n">
        <v>185.6</v>
      </c>
      <c r="G384" t="n">
        <v>219.01</v>
      </c>
      <c r="H384">
        <f>הגדרות!B5</f>
        <v/>
      </c>
      <c r="I384">
        <f>F384*(1-H384/100)*1.18</f>
        <v/>
      </c>
      <c r="J384">
        <f>הגדרות!C5</f>
        <v/>
      </c>
      <c r="K384">
        <f>הגדרות!D5</f>
        <v/>
      </c>
      <c r="L384">
        <f>I384*(1+J384/100)+K384</f>
        <v/>
      </c>
    </row>
    <row r="385">
      <c r="A385" t="inlineStr">
        <is>
          <t>IDEXX — רפרנס</t>
        </is>
      </c>
      <c r="B385" t="inlineStr">
        <is>
          <t>Urine Protein:Creatinine Ratio - Add-On</t>
        </is>
      </c>
      <c r="D385" t="inlineStr">
        <is>
          <t>APCR</t>
        </is>
      </c>
      <c r="E385" t="inlineStr">
        <is>
          <t>2025-01</t>
        </is>
      </c>
      <c r="F385" t="n">
        <v>150.8</v>
      </c>
      <c r="G385" t="n">
        <v>177.94</v>
      </c>
      <c r="H385">
        <f>הגדרות!B5</f>
        <v/>
      </c>
      <c r="I385">
        <f>F385*(1-H385/100)*1.18</f>
        <v/>
      </c>
      <c r="J385">
        <f>הגדרות!C5</f>
        <v/>
      </c>
      <c r="K385">
        <f>הגדרות!D5</f>
        <v/>
      </c>
      <c r="L385">
        <f>I385*(1+J385/100)+K385</f>
        <v/>
      </c>
    </row>
    <row r="386">
      <c r="A386" t="inlineStr">
        <is>
          <t>IDEXX — רפרנס</t>
        </is>
      </c>
      <c r="B386" t="inlineStr">
        <is>
          <t>Basic Faecal Screen plus Giardia Antigen - Add-On</t>
        </is>
      </c>
      <c r="D386" t="inlineStr">
        <is>
          <t>ASARCG</t>
        </is>
      </c>
      <c r="E386" t="inlineStr">
        <is>
          <t>2025-01</t>
        </is>
      </c>
      <c r="F386" t="n">
        <v>278.4</v>
      </c>
      <c r="G386" t="n">
        <v>328.51</v>
      </c>
      <c r="H386">
        <f>הגדרות!B5</f>
        <v/>
      </c>
      <c r="I386">
        <f>F386*(1-H386/100)*1.18</f>
        <v/>
      </c>
      <c r="J386">
        <f>הגדרות!C5</f>
        <v/>
      </c>
      <c r="K386">
        <f>הגדרות!D5</f>
        <v/>
      </c>
      <c r="L386">
        <f>I386*(1+J386/100)+K386</f>
        <v/>
      </c>
    </row>
    <row r="387">
      <c r="A387" t="inlineStr">
        <is>
          <t>IDEXX — רפרנס</t>
        </is>
      </c>
      <c r="B387" t="inlineStr">
        <is>
          <t>SDMA - Add-On</t>
        </is>
      </c>
      <c r="D387" t="inlineStr">
        <is>
          <t>ASDMA</t>
        </is>
      </c>
      <c r="E387" t="inlineStr">
        <is>
          <t>2025-01</t>
        </is>
      </c>
      <c r="F387" t="n">
        <v>89.90000000000001</v>
      </c>
      <c r="G387" t="n">
        <v>106.08</v>
      </c>
      <c r="H387">
        <f>הגדרות!B5</f>
        <v/>
      </c>
      <c r="I387">
        <f>F387*(1-H387/100)*1.18</f>
        <v/>
      </c>
      <c r="J387">
        <f>הגדרות!C5</f>
        <v/>
      </c>
      <c r="K387">
        <f>הגדרות!D5</f>
        <v/>
      </c>
      <c r="L387">
        <f>I387*(1+J387/100)+K387</f>
        <v/>
      </c>
    </row>
    <row r="388">
      <c r="A388" t="inlineStr">
        <is>
          <t>IDEXX — רפרנס</t>
        </is>
      </c>
      <c r="B388" t="inlineStr">
        <is>
          <t>Serum Protein Electrophoresis - Add-On</t>
        </is>
      </c>
      <c r="D388" t="inlineStr">
        <is>
          <t>ASPE</t>
        </is>
      </c>
      <c r="E388" t="inlineStr">
        <is>
          <t>2025-01</t>
        </is>
      </c>
      <c r="F388" t="n">
        <v>127.6</v>
      </c>
      <c r="G388" t="n">
        <v>150.57</v>
      </c>
      <c r="H388">
        <f>הגדרות!B5</f>
        <v/>
      </c>
      <c r="I388">
        <f>F388*(1-H388/100)*1.18</f>
        <v/>
      </c>
      <c r="J388">
        <f>הגדרות!C5</f>
        <v/>
      </c>
      <c r="K388">
        <f>הגדרות!D5</f>
        <v/>
      </c>
      <c r="L388">
        <f>I388*(1+J388/100)+K388</f>
        <v/>
      </c>
    </row>
    <row r="389">
      <c r="A389" t="inlineStr">
        <is>
          <t>IDEXX — רפרנס</t>
        </is>
      </c>
      <c r="B389" t="inlineStr">
        <is>
          <t>Aspergillus Antibody</t>
        </is>
      </c>
      <c r="D389" t="inlineStr">
        <is>
          <t>ASPS</t>
        </is>
      </c>
      <c r="E389" t="inlineStr">
        <is>
          <t>2025-01</t>
        </is>
      </c>
      <c r="F389" t="n">
        <v>472.7</v>
      </c>
      <c r="G389" t="n">
        <v>557.79</v>
      </c>
      <c r="H389">
        <f>הגדרות!B5</f>
        <v/>
      </c>
      <c r="I389">
        <f>F389*(1-H389/100)*1.18</f>
        <v/>
      </c>
      <c r="J389">
        <f>הגדרות!C5</f>
        <v/>
      </c>
      <c r="K389">
        <f>הגדרות!D5</f>
        <v/>
      </c>
      <c r="L389">
        <f>I389*(1+J389/100)+K389</f>
        <v/>
      </c>
    </row>
    <row r="390">
      <c r="A390" t="inlineStr">
        <is>
          <t>IDEXX — רפרנס</t>
        </is>
      </c>
      <c r="B390" t="inlineStr">
        <is>
          <t>Total T4 - Add-On</t>
        </is>
      </c>
      <c r="D390" t="inlineStr">
        <is>
          <t>AT4</t>
        </is>
      </c>
      <c r="E390" t="inlineStr">
        <is>
          <t>2025-01</t>
        </is>
      </c>
      <c r="F390" t="n">
        <v>58</v>
      </c>
      <c r="G390" t="n">
        <v>68.44</v>
      </c>
      <c r="H390">
        <f>הגדרות!B5</f>
        <v/>
      </c>
      <c r="I390">
        <f>F390*(1-H390/100)*1.18</f>
        <v/>
      </c>
      <c r="J390">
        <f>הגדרות!C5</f>
        <v/>
      </c>
      <c r="K390">
        <f>הגדרות!D5</f>
        <v/>
      </c>
      <c r="L390">
        <f>I390*(1+J390/100)+K390</f>
        <v/>
      </c>
    </row>
    <row r="391">
      <c r="A391" t="inlineStr">
        <is>
          <t>IDEXX — רפרנס</t>
        </is>
      </c>
      <c r="B391" t="inlineStr">
        <is>
          <t>TLI, Folate &amp; Cobalamin (Canine) - Add-On</t>
        </is>
      </c>
      <c r="D391" t="inlineStr">
        <is>
          <t>ATFC</t>
        </is>
      </c>
      <c r="E391" t="inlineStr">
        <is>
          <t>2025-01</t>
        </is>
      </c>
      <c r="F391" t="n">
        <v>333.5</v>
      </c>
      <c r="G391" t="n">
        <v>393.53</v>
      </c>
      <c r="H391">
        <f>הגדרות!B5</f>
        <v/>
      </c>
      <c r="I391">
        <f>F391*(1-H391/100)*1.18</f>
        <v/>
      </c>
      <c r="J391">
        <f>הגדרות!C5</f>
        <v/>
      </c>
      <c r="K391">
        <f>הגדרות!D5</f>
        <v/>
      </c>
      <c r="L391">
        <f>I391*(1+J391/100)+K391</f>
        <v/>
      </c>
    </row>
    <row r="392">
      <c r="A392" t="inlineStr">
        <is>
          <t>IDEXX — רפרנס</t>
        </is>
      </c>
      <c r="B392" t="inlineStr">
        <is>
          <t>TLI, Folate &amp; Cobalamin (Feline) - Add-On</t>
        </is>
      </c>
      <c r="D392" t="inlineStr">
        <is>
          <t>ATFF</t>
        </is>
      </c>
      <c r="E392" t="inlineStr">
        <is>
          <t>2025-01</t>
        </is>
      </c>
      <c r="F392" t="n">
        <v>403.1</v>
      </c>
      <c r="G392" t="n">
        <v>475.66</v>
      </c>
      <c r="H392">
        <f>הגדרות!B5</f>
        <v/>
      </c>
      <c r="I392">
        <f>F392*(1-H392/100)*1.18</f>
        <v/>
      </c>
      <c r="J392">
        <f>הגדרות!C5</f>
        <v/>
      </c>
      <c r="K392">
        <f>הגדרות!D5</f>
        <v/>
      </c>
      <c r="L392">
        <f>I392*(1+J392/100)+K392</f>
        <v/>
      </c>
    </row>
    <row r="393">
      <c r="A393" t="inlineStr">
        <is>
          <t>IDEXX — רפרנס</t>
        </is>
      </c>
      <c r="B393" t="inlineStr">
        <is>
          <t>TLI (Canine) - Add-On</t>
        </is>
      </c>
      <c r="D393" t="inlineStr">
        <is>
          <t>ATLIC</t>
        </is>
      </c>
      <c r="E393" t="inlineStr">
        <is>
          <t>2025-01</t>
        </is>
      </c>
      <c r="F393" t="n">
        <v>205.9</v>
      </c>
      <c r="G393" t="n">
        <v>242.96</v>
      </c>
      <c r="H393">
        <f>הגדרות!B5</f>
        <v/>
      </c>
      <c r="I393">
        <f>F393*(1-H393/100)*1.18</f>
        <v/>
      </c>
      <c r="J393">
        <f>הגדרות!C5</f>
        <v/>
      </c>
      <c r="K393">
        <f>הגדרות!D5</f>
        <v/>
      </c>
      <c r="L393">
        <f>I393*(1+J393/100)+K393</f>
        <v/>
      </c>
    </row>
    <row r="394">
      <c r="A394" t="inlineStr">
        <is>
          <t>IDEXX — רפרנס</t>
        </is>
      </c>
      <c r="B394" t="inlineStr">
        <is>
          <t>TLI (Feline) - Add-On</t>
        </is>
      </c>
      <c r="D394" t="inlineStr">
        <is>
          <t>ATLIF</t>
        </is>
      </c>
      <c r="E394" t="inlineStr">
        <is>
          <t>2025-01</t>
        </is>
      </c>
      <c r="F394" t="n">
        <v>269.7</v>
      </c>
      <c r="G394" t="n">
        <v>318.25</v>
      </c>
      <c r="H394">
        <f>הגדרות!B5</f>
        <v/>
      </c>
      <c r="I394">
        <f>F394*(1-H394/100)*1.18</f>
        <v/>
      </c>
      <c r="J394">
        <f>הגדרות!C5</f>
        <v/>
      </c>
      <c r="K394">
        <f>הגדרות!D5</f>
        <v/>
      </c>
      <c r="L394">
        <f>I394*(1+J394/100)+K394</f>
        <v/>
      </c>
    </row>
    <row r="395">
      <c r="A395" t="inlineStr">
        <is>
          <t>IDEXX — רפרנס</t>
        </is>
      </c>
      <c r="B395" t="inlineStr">
        <is>
          <t>Atopy Investigative Panel</t>
        </is>
      </c>
      <c r="D395" t="inlineStr">
        <is>
          <t>ATOPY</t>
        </is>
      </c>
      <c r="E395" t="inlineStr">
        <is>
          <t>2025-01</t>
        </is>
      </c>
      <c r="F395" t="n">
        <v>1513.8</v>
      </c>
      <c r="G395" t="n">
        <v>1786.28</v>
      </c>
      <c r="H395">
        <f>הגדרות!B5</f>
        <v/>
      </c>
      <c r="I395">
        <f>F395*(1-H395/100)*1.18</f>
        <v/>
      </c>
      <c r="J395">
        <f>הגדרות!C5</f>
        <v/>
      </c>
      <c r="K395">
        <f>הגדרות!D5</f>
        <v/>
      </c>
      <c r="L395">
        <f>I395*(1+J395/100)+K395</f>
        <v/>
      </c>
    </row>
    <row r="396">
      <c r="A396" t="inlineStr">
        <is>
          <t>IDEXX — רפרנס</t>
        </is>
      </c>
      <c r="B396" t="inlineStr">
        <is>
          <t>Urine Chemistry, Microscopy &amp; Culture - Add-On</t>
        </is>
      </c>
      <c r="D396" t="inlineStr">
        <is>
          <t>AUCE</t>
        </is>
      </c>
      <c r="E396" t="inlineStr">
        <is>
          <t>2025-01</t>
        </is>
      </c>
      <c r="F396" t="n">
        <v>290</v>
      </c>
      <c r="G396" t="n">
        <v>342.2</v>
      </c>
      <c r="H396">
        <f>הגדרות!B5</f>
        <v/>
      </c>
      <c r="I396">
        <f>F396*(1-H396/100)*1.18</f>
        <v/>
      </c>
      <c r="J396">
        <f>הגדרות!C5</f>
        <v/>
      </c>
      <c r="K396">
        <f>הגדרות!D5</f>
        <v/>
      </c>
      <c r="L396">
        <f>I396*(1+J396/100)+K396</f>
        <v/>
      </c>
    </row>
    <row r="397">
      <c r="A397" t="inlineStr">
        <is>
          <t>IDEXX — רפרנס</t>
        </is>
      </c>
      <c r="B397" t="inlineStr">
        <is>
          <t>Urine Culture - Add-On</t>
        </is>
      </c>
      <c r="D397" t="inlineStr">
        <is>
          <t>AUCUL</t>
        </is>
      </c>
      <c r="E397" t="inlineStr">
        <is>
          <t>2025-01</t>
        </is>
      </c>
      <c r="F397" t="n">
        <v>197.2</v>
      </c>
      <c r="G397" t="n">
        <v>232.7</v>
      </c>
      <c r="H397">
        <f>הגדרות!B5</f>
        <v/>
      </c>
      <c r="I397">
        <f>F397*(1-H397/100)*1.18</f>
        <v/>
      </c>
      <c r="J397">
        <f>הגדרות!C5</f>
        <v/>
      </c>
      <c r="K397">
        <f>הגדרות!D5</f>
        <v/>
      </c>
      <c r="L397">
        <f>I397*(1+J397/100)+K397</f>
        <v/>
      </c>
    </row>
    <row r="398">
      <c r="A398" t="inlineStr">
        <is>
          <t>IDEXX — רפרנס</t>
        </is>
      </c>
      <c r="B398" t="inlineStr">
        <is>
          <t>Urine Minimum Database - Add-On</t>
        </is>
      </c>
      <c r="D398" t="inlineStr">
        <is>
          <t>AUENC</t>
        </is>
      </c>
      <c r="E398" t="inlineStr">
        <is>
          <t>2025-01</t>
        </is>
      </c>
      <c r="F398" t="n">
        <v>145</v>
      </c>
      <c r="G398" t="n">
        <v>171.1</v>
      </c>
      <c r="H398">
        <f>הגדרות!B5</f>
        <v/>
      </c>
      <c r="I398">
        <f>F398*(1-H398/100)*1.18</f>
        <v/>
      </c>
      <c r="J398">
        <f>הגדרות!C5</f>
        <v/>
      </c>
      <c r="K398">
        <f>הגדרות!D5</f>
        <v/>
      </c>
      <c r="L398">
        <f>I398*(1+J398/100)+K398</f>
        <v/>
      </c>
    </row>
    <row r="399">
      <c r="A399" t="inlineStr">
        <is>
          <t>IDEXX — רפרנס</t>
        </is>
      </c>
      <c r="B399" t="inlineStr">
        <is>
          <t>Basic Avian Faecal Screen</t>
        </is>
      </c>
      <c r="D399" t="inlineStr">
        <is>
          <t>AV</t>
        </is>
      </c>
      <c r="E399" t="inlineStr">
        <is>
          <t>2025-01</t>
        </is>
      </c>
      <c r="F399" t="n">
        <v>313.2</v>
      </c>
      <c r="G399" t="n">
        <v>369.58</v>
      </c>
      <c r="H399">
        <f>הגדרות!B5</f>
        <v/>
      </c>
      <c r="I399">
        <f>F399*(1-H399/100)*1.18</f>
        <v/>
      </c>
      <c r="J399">
        <f>הגדרות!C5</f>
        <v/>
      </c>
      <c r="K399">
        <f>הגדרות!D5</f>
        <v/>
      </c>
      <c r="L399">
        <f>I399*(1+J399/100)+K399</f>
        <v/>
      </c>
    </row>
    <row r="400">
      <c r="A400" t="inlineStr">
        <is>
          <t>IDEXX — רפרנס</t>
        </is>
      </c>
      <c r="B400" t="inlineStr">
        <is>
          <t>Avian Basic Profile</t>
        </is>
      </c>
      <c r="D400" t="inlineStr">
        <is>
          <t>AVB</t>
        </is>
      </c>
      <c r="E400" t="inlineStr">
        <is>
          <t>2025-01</t>
        </is>
      </c>
      <c r="F400" t="n">
        <v>464</v>
      </c>
      <c r="G400" t="n">
        <v>547.52</v>
      </c>
      <c r="H400">
        <f>הגדרות!B5</f>
        <v/>
      </c>
      <c r="I400">
        <f>F400*(1-H400/100)*1.18</f>
        <v/>
      </c>
      <c r="J400">
        <f>הגדרות!C5</f>
        <v/>
      </c>
      <c r="K400">
        <f>הגדרות!D5</f>
        <v/>
      </c>
      <c r="L400">
        <f>I400*(1+J400/100)+K400</f>
        <v/>
      </c>
    </row>
    <row r="401">
      <c r="A401" t="inlineStr">
        <is>
          <t>IDEXX — רפרנס</t>
        </is>
      </c>
      <c r="B401" t="inlineStr">
        <is>
          <t>Comprehensive Avian Faecal Screen</t>
        </is>
      </c>
      <c r="D401" t="inlineStr">
        <is>
          <t>AVCC</t>
        </is>
      </c>
      <c r="E401" t="inlineStr">
        <is>
          <t>2025-01</t>
        </is>
      </c>
      <c r="F401" t="n">
        <v>640.9</v>
      </c>
      <c r="G401" t="n">
        <v>756.26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IDEXX — רפרנס</t>
        </is>
      </c>
      <c r="B402" t="inlineStr">
        <is>
          <t>Comprehensive Avian Profile</t>
        </is>
      </c>
      <c r="D402" t="inlineStr">
        <is>
          <t>AVE</t>
        </is>
      </c>
      <c r="E402" t="inlineStr">
        <is>
          <t>2025-01</t>
        </is>
      </c>
      <c r="F402" t="n">
        <v>609</v>
      </c>
      <c r="G402" t="n">
        <v>718.62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IDEXX — רפרנס</t>
        </is>
      </c>
      <c r="B403" t="inlineStr">
        <is>
          <t>Avian Panel 1</t>
        </is>
      </c>
      <c r="D403" t="inlineStr">
        <is>
          <t>AVP1</t>
        </is>
      </c>
      <c r="E403" t="inlineStr">
        <is>
          <t>2025-01</t>
        </is>
      </c>
      <c r="F403" t="n">
        <v>487.2</v>
      </c>
      <c r="G403" t="n">
        <v>574.9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IDEXX — רפרנס</t>
        </is>
      </c>
      <c r="B404" t="inlineStr">
        <is>
          <t>Avian Panel 2</t>
        </is>
      </c>
      <c r="D404" t="inlineStr">
        <is>
          <t>AVP2</t>
        </is>
      </c>
      <c r="E404" t="inlineStr">
        <is>
          <t>2025-01</t>
        </is>
      </c>
      <c r="F404" t="n">
        <v>582.9</v>
      </c>
      <c r="G404" t="n">
        <v>687.8200000000001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IDEXX — רפרנס</t>
        </is>
      </c>
      <c r="B405" t="inlineStr">
        <is>
          <t>Avian Panel 3</t>
        </is>
      </c>
      <c r="D405" t="inlineStr">
        <is>
          <t>AVP3</t>
        </is>
      </c>
      <c r="E405" t="inlineStr">
        <is>
          <t>2025-01</t>
        </is>
      </c>
      <c r="F405" t="n">
        <v>582.9</v>
      </c>
      <c r="G405" t="n">
        <v>687.8200000000001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IDEXX — רפרנס</t>
        </is>
      </c>
      <c r="B406" t="inlineStr">
        <is>
          <t>Avian Panel 4</t>
        </is>
      </c>
      <c r="D406" t="inlineStr">
        <is>
          <t>AVP4</t>
        </is>
      </c>
      <c r="E406" t="inlineStr">
        <is>
          <t>2025-01</t>
        </is>
      </c>
      <c r="F406" t="n">
        <v>667</v>
      </c>
      <c r="G406" t="n">
        <v>787.0599999999999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IDEXX — רפרנס</t>
        </is>
      </c>
      <c r="B407" t="inlineStr">
        <is>
          <t>Free T4 by immunoassay - Add-On</t>
        </is>
      </c>
      <c r="D407" t="inlineStr">
        <is>
          <t>AVT4</t>
        </is>
      </c>
      <c r="E407" t="inlineStr">
        <is>
          <t>2025-01</t>
        </is>
      </c>
      <c r="F407" t="n">
        <v>176.9</v>
      </c>
      <c r="G407" t="n">
        <v>208.74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IDEXX — רפרנס</t>
        </is>
      </c>
      <c r="B408" t="inlineStr">
        <is>
          <t>Bile Acid (Fasting)</t>
        </is>
      </c>
      <c r="D408" t="inlineStr">
        <is>
          <t>BA</t>
        </is>
      </c>
      <c r="E408" t="inlineStr">
        <is>
          <t>2025-01</t>
        </is>
      </c>
      <c r="F408" t="n">
        <v>118.9</v>
      </c>
      <c r="G408" t="n">
        <v>140.3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IDEXX — רפרנס</t>
        </is>
      </c>
      <c r="B409" t="inlineStr">
        <is>
          <t>Baermann Test for Lungworm - Add-On</t>
        </is>
      </c>
      <c r="D409" t="inlineStr">
        <is>
          <t>BAEA</t>
        </is>
      </c>
      <c r="E409" t="inlineStr">
        <is>
          <t>2025-01</t>
        </is>
      </c>
      <c r="F409" t="n">
        <v>150.8</v>
      </c>
      <c r="G409" t="n">
        <v>177.94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IDEXX — רפרנס</t>
        </is>
      </c>
      <c r="B410" t="inlineStr">
        <is>
          <t>Baermann Test for Lungworm</t>
        </is>
      </c>
      <c r="D410" t="inlineStr">
        <is>
          <t>BAER</t>
        </is>
      </c>
      <c r="E410" t="inlineStr">
        <is>
          <t>2025-01</t>
        </is>
      </c>
      <c r="F410" t="n">
        <v>249.4</v>
      </c>
      <c r="G410" t="n">
        <v>294.29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IDEXX — רפרנס</t>
        </is>
      </c>
      <c r="B411" t="inlineStr">
        <is>
          <t>Bile Acid (Post Feed) - Add-On</t>
        </is>
      </c>
      <c r="D411" t="inlineStr">
        <is>
          <t>BAP</t>
        </is>
      </c>
      <c r="E411" t="inlineStr">
        <is>
          <t>2025-01</t>
        </is>
      </c>
      <c r="F411" t="n">
        <v>72.5</v>
      </c>
      <c r="G411" t="n">
        <v>85.55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IDEXX — רפרנס</t>
        </is>
      </c>
      <c r="B412" t="inlineStr">
        <is>
          <t>Bile Acid (Post Feed)</t>
        </is>
      </c>
      <c r="D412" t="inlineStr">
        <is>
          <t>BAPOST</t>
        </is>
      </c>
      <c r="E412" t="inlineStr">
        <is>
          <t>2025-01</t>
        </is>
      </c>
      <c r="F412" t="n">
        <v>118.9</v>
      </c>
      <c r="G412" t="n">
        <v>140.3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IDEXX — רפרנס</t>
        </is>
      </c>
      <c r="B413" t="inlineStr">
        <is>
          <t>Bile Acid Stimulation Test</t>
        </is>
      </c>
      <c r="D413" t="inlineStr">
        <is>
          <t>BAS</t>
        </is>
      </c>
      <c r="E413" t="inlineStr">
        <is>
          <t>2025-01</t>
        </is>
      </c>
      <c r="F413" t="n">
        <v>205.9</v>
      </c>
      <c r="G413" t="n">
        <v>242.96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IDEXX — רפרנס</t>
        </is>
      </c>
      <c r="B414" t="inlineStr">
        <is>
          <t>Blood Culture</t>
        </is>
      </c>
      <c r="D414" t="inlineStr">
        <is>
          <t>BC</t>
        </is>
      </c>
      <c r="E414" t="inlineStr">
        <is>
          <t>2025-01</t>
        </is>
      </c>
      <c r="F414" t="n">
        <v>429.2</v>
      </c>
      <c r="G414" t="n">
        <v>506.46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IDEXX — רפרנס</t>
        </is>
      </c>
      <c r="B415" t="inlineStr">
        <is>
          <t>Body Cavity Fluid Cytology (Ascitic/Pericardial/Pleura</t>
        </is>
      </c>
      <c r="D415" t="inlineStr">
        <is>
          <t>lB) C- 1F LFDluid/S</t>
        </is>
      </c>
      <c r="E415" t="inlineStr">
        <is>
          <t>2025-01</t>
        </is>
      </c>
      <c r="F415" t="n">
        <v>690.2</v>
      </c>
      <c r="G415" t="n">
        <v>814.4400000000001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IDEXX — רפרנס</t>
        </is>
      </c>
      <c r="B416" t="inlineStr">
        <is>
          <t>Body Cavity Fluid Cytology (Ascitic/Pericardial/Pleura</t>
        </is>
      </c>
      <c r="D416" t="inlineStr">
        <is>
          <t>lB) C- 2F LFDlu2ids/</t>
        </is>
      </c>
      <c r="E416" t="inlineStr">
        <is>
          <t>2025-01</t>
        </is>
      </c>
      <c r="F416" t="n">
        <v>777.2</v>
      </c>
      <c r="G416" t="n">
        <v>917.1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IDEXX — רפרנס</t>
        </is>
      </c>
      <c r="B417" t="inlineStr">
        <is>
          <t>Body Cavity Fluid Cytology (Ascitic/Pericardial/Pleura</t>
        </is>
      </c>
      <c r="D417" t="inlineStr">
        <is>
          <t>lB) C- 3F LFDlu3ids/</t>
        </is>
      </c>
      <c r="E417" t="inlineStr">
        <is>
          <t>2025-01</t>
        </is>
      </c>
      <c r="F417" t="n">
        <v>864.2</v>
      </c>
      <c r="G417" t="n">
        <v>1019.76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IDEXX — רפרנס</t>
        </is>
      </c>
      <c r="B418" t="inlineStr">
        <is>
          <t>Body Cavity Fluid Cytology (Ascitic/Pericardial/Pleura</t>
        </is>
      </c>
      <c r="D418" t="inlineStr">
        <is>
          <t>lB) C- 4F LFDlu4ids/</t>
        </is>
      </c>
      <c r="E418" t="inlineStr">
        <is>
          <t>2025-01</t>
        </is>
      </c>
      <c r="F418" t="n">
        <v>951.2</v>
      </c>
      <c r="G418" t="n">
        <v>1122.42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IDEXX — רפרנס</t>
        </is>
      </c>
      <c r="B419" t="inlineStr">
        <is>
          <t>Total Bilirubin</t>
        </is>
      </c>
      <c r="D419" t="inlineStr">
        <is>
          <t>BILT</t>
        </is>
      </c>
      <c r="E419" t="inlineStr">
        <is>
          <t>2025-01</t>
        </is>
      </c>
      <c r="F419" t="n">
        <v>63.8</v>
      </c>
      <c r="G419" t="n">
        <v>75.28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IDEXX — רפרנס</t>
        </is>
      </c>
      <c r="B420" t="inlineStr">
        <is>
          <t>Bovine Metabolic Profile</t>
        </is>
      </c>
      <c r="D420" t="inlineStr">
        <is>
          <t>BMET</t>
        </is>
      </c>
      <c r="E420" t="inlineStr">
        <is>
          <t>2025-01</t>
        </is>
      </c>
      <c r="F420" t="n">
        <v>223.3</v>
      </c>
      <c r="G420" t="n">
        <v>263.49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IDEXX — רפרנס</t>
        </is>
      </c>
      <c r="B421" t="inlineStr">
        <is>
          <t>Lyme (Borrelia spp.) (DNA) RealPCR™</t>
        </is>
      </c>
      <c r="D421" t="inlineStr">
        <is>
          <t>BPCR</t>
        </is>
      </c>
      <c r="E421" t="inlineStr">
        <is>
          <t>2025-01</t>
        </is>
      </c>
      <c r="F421" t="n">
        <v>368.3</v>
      </c>
      <c r="G421" t="n">
        <v>434.59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IDEXX — רפרנס</t>
        </is>
      </c>
      <c r="B422" t="inlineStr">
        <is>
          <t>Borrelia PCR (Equine)</t>
        </is>
      </c>
      <c r="D422" t="inlineStr">
        <is>
          <t>BPCRE</t>
        </is>
      </c>
      <c r="E422" t="inlineStr">
        <is>
          <t>2025-01</t>
        </is>
      </c>
      <c r="F422" t="n">
        <v>368.3</v>
      </c>
      <c r="G422" t="n">
        <v>434.59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IDEXX — רפרנס</t>
        </is>
      </c>
      <c r="B423" t="inlineStr">
        <is>
          <t>Bovine Pregnancy Test</t>
        </is>
      </c>
      <c r="D423" t="inlineStr">
        <is>
          <t>BPRE</t>
        </is>
      </c>
      <c r="E423" t="inlineStr">
        <is>
          <t>2025-01</t>
        </is>
      </c>
      <c r="F423" t="n">
        <v>46.4</v>
      </c>
      <c r="G423" t="n">
        <v>54.75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IDEXX — רפרנס</t>
        </is>
      </c>
      <c r="B424" t="inlineStr">
        <is>
          <t>Basic Rabbit Profile</t>
        </is>
      </c>
      <c r="D424" t="inlineStr">
        <is>
          <t>BRP</t>
        </is>
      </c>
      <c r="E424" t="inlineStr">
        <is>
          <t>2025-01</t>
        </is>
      </c>
      <c r="F424" t="n">
        <v>379.9</v>
      </c>
      <c r="G424" t="n">
        <v>448.28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IDEXX — רפרנס</t>
        </is>
      </c>
      <c r="B425" t="inlineStr">
        <is>
          <t>Brucella spp. (DNA) PCR</t>
        </is>
      </c>
      <c r="D425" t="inlineStr">
        <is>
          <t>BRUCSP</t>
        </is>
      </c>
      <c r="E425" t="inlineStr">
        <is>
          <t>2025-01</t>
        </is>
      </c>
      <c r="F425" t="n">
        <v>577.1</v>
      </c>
      <c r="G425" t="n">
        <v>680.98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IDEXX — רפרנס</t>
        </is>
      </c>
      <c r="B426" t="inlineStr">
        <is>
          <t>Brucella canis Antibody Test</t>
        </is>
      </c>
      <c r="D426" t="inlineStr">
        <is>
          <t>BRULA</t>
        </is>
      </c>
      <c r="E426" t="inlineStr">
        <is>
          <t>2025-01</t>
        </is>
      </c>
      <c r="F426" t="n">
        <v>504.6</v>
      </c>
      <c r="G426" t="n">
        <v>595.4299999999999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IDEXX — רפרנס</t>
        </is>
      </c>
      <c r="B427" t="inlineStr">
        <is>
          <t>Calicivirus (RNA) RealPCR™</t>
        </is>
      </c>
      <c r="D427" t="inlineStr">
        <is>
          <t>CALF</t>
        </is>
      </c>
      <c r="E427" t="inlineStr">
        <is>
          <t>2025-01</t>
        </is>
      </c>
      <c r="F427" t="n">
        <v>368.3</v>
      </c>
      <c r="G427" t="n">
        <v>434.59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IDEXX — רפרנס</t>
        </is>
      </c>
      <c r="B428" t="inlineStr">
        <is>
          <t>Campylobacter Culture</t>
        </is>
      </c>
      <c r="D428" t="inlineStr">
        <is>
          <t>CAMP</t>
        </is>
      </c>
      <c r="E428" t="inlineStr">
        <is>
          <t>2025-01</t>
        </is>
      </c>
      <c r="F428" t="n">
        <v>197.2</v>
      </c>
      <c r="G428" t="n">
        <v>232.7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IDEXX — רפרנס</t>
        </is>
      </c>
      <c r="B429" t="inlineStr">
        <is>
          <t>Canine Cardiac Profile (Interpreted)</t>
        </is>
      </c>
      <c r="D429" t="inlineStr">
        <is>
          <t>CARDI</t>
        </is>
      </c>
      <c r="E429" t="inlineStr">
        <is>
          <t>2025-01</t>
        </is>
      </c>
      <c r="F429" t="n">
        <v>722.1</v>
      </c>
      <c r="G429" t="n">
        <v>852.08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IDEXX — רפרנס</t>
        </is>
      </c>
      <c r="B430" t="inlineStr">
        <is>
          <t>Canine Cardiac Screen (Non-Interpreted)</t>
        </is>
      </c>
      <c r="D430" t="inlineStr">
        <is>
          <t>CARDN</t>
        </is>
      </c>
      <c r="E430" t="inlineStr">
        <is>
          <t>2025-01</t>
        </is>
      </c>
      <c r="F430" t="n">
        <v>669.9</v>
      </c>
      <c r="G430" t="n">
        <v>790.48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IDEXX — רפרנס</t>
        </is>
      </c>
      <c r="B431" t="inlineStr">
        <is>
          <t>Canine Cardiac Plus Profile (Interpreted)</t>
        </is>
      </c>
      <c r="D431" t="inlineStr">
        <is>
          <t>CARDT</t>
        </is>
      </c>
      <c r="E431" t="inlineStr">
        <is>
          <t>2025-01</t>
        </is>
      </c>
      <c r="F431" t="n">
        <v>864.2</v>
      </c>
      <c r="G431" t="n">
        <v>1019.76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IDEXX — רפרנס</t>
        </is>
      </c>
      <c r="B432" t="inlineStr">
        <is>
          <t>Feline Cardiac Profile (Interpreted)</t>
        </is>
      </c>
      <c r="D432" t="inlineStr">
        <is>
          <t>CARFI</t>
        </is>
      </c>
      <c r="E432" t="inlineStr">
        <is>
          <t>2025-01</t>
        </is>
      </c>
      <c r="F432" t="n">
        <v>722.1</v>
      </c>
      <c r="G432" t="n">
        <v>852.08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IDEXX — רפרנס</t>
        </is>
      </c>
      <c r="B433" t="inlineStr">
        <is>
          <t>Feline Cardiac Screen (Non-Interpreted)</t>
        </is>
      </c>
      <c r="D433" t="inlineStr">
        <is>
          <t>CARFN</t>
        </is>
      </c>
      <c r="E433" t="inlineStr">
        <is>
          <t>2025-01</t>
        </is>
      </c>
      <c r="F433" t="n">
        <v>669.9</v>
      </c>
      <c r="G433" t="n">
        <v>790.48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IDEXX — רפרנס</t>
        </is>
      </c>
      <c r="B434" t="inlineStr">
        <is>
          <t>Feline Cardiac Plus Profile (Interpreted)</t>
        </is>
      </c>
      <c r="D434" t="inlineStr">
        <is>
          <t>CARFT</t>
        </is>
      </c>
      <c r="E434" t="inlineStr">
        <is>
          <t>2025-01</t>
        </is>
      </c>
      <c r="F434" t="n">
        <v>864.2</v>
      </c>
      <c r="G434" t="n">
        <v>1019.76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IDEXX — רפרנס</t>
        </is>
      </c>
      <c r="B435" t="inlineStr">
        <is>
          <t>Canine Anaemia Profile (Interpreted)</t>
        </is>
      </c>
      <c r="D435" t="inlineStr">
        <is>
          <t>CAS</t>
        </is>
      </c>
      <c r="E435" t="inlineStr">
        <is>
          <t>2025-01</t>
        </is>
      </c>
      <c r="F435" t="n">
        <v>472.7</v>
      </c>
      <c r="G435" t="n">
        <v>557.79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IDEXX — רפרנס</t>
        </is>
      </c>
      <c r="B436" t="inlineStr">
        <is>
          <t>Cardiopet proBNP (Canine)</t>
        </is>
      </c>
      <c r="D436" t="inlineStr">
        <is>
          <t>CBNP</t>
        </is>
      </c>
      <c r="E436" t="inlineStr">
        <is>
          <t>2025-01</t>
        </is>
      </c>
      <c r="F436" t="n">
        <v>394.4</v>
      </c>
      <c r="G436" t="n">
        <v>465.39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IDEXX — רפרנס</t>
        </is>
      </c>
      <c r="B437" t="inlineStr">
        <is>
          <t>Cardiopet® proBNP and Troponin I HS (Canine) - Add-</t>
        </is>
      </c>
      <c r="D437" t="inlineStr">
        <is>
          <t>COBnTP</t>
        </is>
      </c>
      <c r="E437" t="inlineStr">
        <is>
          <t>2025-01</t>
        </is>
      </c>
      <c r="F437" t="n">
        <v>368.3</v>
      </c>
      <c r="G437" t="n">
        <v>434.59</v>
      </c>
      <c r="H437">
        <f>הגדרות!B5</f>
        <v/>
      </c>
      <c r="I437">
        <f>F437*(1-H437/100)*1.18</f>
        <v/>
      </c>
      <c r="J437">
        <f>הגדרות!C5</f>
        <v/>
      </c>
      <c r="K437">
        <f>הגדרות!D5</f>
        <v/>
      </c>
      <c r="L437">
        <f>I437*(1+J437/100)+K437</f>
        <v/>
      </c>
    </row>
    <row r="438">
      <c r="A438" t="inlineStr">
        <is>
          <t>IDEXX — רפרנס</t>
        </is>
      </c>
      <c r="B438" t="inlineStr">
        <is>
          <t>Coombs' (Canine)</t>
        </is>
      </c>
      <c r="D438" t="inlineStr">
        <is>
          <t>CC</t>
        </is>
      </c>
      <c r="E438" t="inlineStr">
        <is>
          <t>2025-01</t>
        </is>
      </c>
      <c r="F438" t="n">
        <v>266.8</v>
      </c>
      <c r="G438" t="n">
        <v>314.82</v>
      </c>
      <c r="H438">
        <f>הגדרות!B5</f>
        <v/>
      </c>
      <c r="I438">
        <f>F438*(1-H438/100)*1.18</f>
        <v/>
      </c>
      <c r="J438">
        <f>הגדרות!C5</f>
        <v/>
      </c>
      <c r="K438">
        <f>הגדרות!D5</f>
        <v/>
      </c>
      <c r="L438">
        <f>I438*(1+J438/100)+K438</f>
        <v/>
      </c>
    </row>
    <row r="439">
      <c r="A439" t="inlineStr">
        <is>
          <t>IDEXX — רפרנס</t>
        </is>
      </c>
      <c r="B439" t="inlineStr">
        <is>
          <t>Respiratory Coronavirus CRCoV (RNA) RealPCR™</t>
        </is>
      </c>
      <c r="D439" t="inlineStr">
        <is>
          <t>CCPV</t>
        </is>
      </c>
      <c r="E439" t="inlineStr">
        <is>
          <t>2025-01</t>
        </is>
      </c>
      <c r="F439" t="n">
        <v>365.4</v>
      </c>
      <c r="G439" t="n">
        <v>431.17</v>
      </c>
      <c r="H439">
        <f>הגדרות!B5</f>
        <v/>
      </c>
      <c r="I439">
        <f>F439*(1-H439/100)*1.18</f>
        <v/>
      </c>
      <c r="J439">
        <f>הגדרות!C5</f>
        <v/>
      </c>
      <c r="K439">
        <f>הגדרות!D5</f>
        <v/>
      </c>
      <c r="L439">
        <f>I439*(1+J439/100)+K439</f>
        <v/>
      </c>
    </row>
    <row r="440">
      <c r="A440" t="inlineStr">
        <is>
          <t>IDEXX — רפרנס</t>
        </is>
      </c>
      <c r="B440" t="inlineStr">
        <is>
          <t>C. difficile toxin A and B PCR</t>
        </is>
      </c>
      <c r="D440" t="inlineStr">
        <is>
          <t>CDPCR</t>
        </is>
      </c>
      <c r="E440" t="inlineStr">
        <is>
          <t>2025-01</t>
        </is>
      </c>
      <c r="F440" t="n">
        <v>487.2</v>
      </c>
      <c r="G440" t="n">
        <v>574.9</v>
      </c>
      <c r="H440">
        <f>הגדרות!B5</f>
        <v/>
      </c>
      <c r="I440">
        <f>F440*(1-H440/100)*1.18</f>
        <v/>
      </c>
      <c r="J440">
        <f>הגדרות!C5</f>
        <v/>
      </c>
      <c r="K440">
        <f>הגדרות!D5</f>
        <v/>
      </c>
      <c r="L440">
        <f>I440*(1+J440/100)+K440</f>
        <v/>
      </c>
    </row>
    <row r="441">
      <c r="A441" t="inlineStr">
        <is>
          <t>IDEXX — רפרנס</t>
        </is>
      </c>
      <c r="B441" t="inlineStr">
        <is>
          <t>CEM Swab</t>
        </is>
      </c>
      <c r="D441" t="inlineStr">
        <is>
          <t>CEM1</t>
        </is>
      </c>
      <c r="E441" t="inlineStr">
        <is>
          <t>2025-01</t>
        </is>
      </c>
      <c r="F441" t="n">
        <v>165.3</v>
      </c>
      <c r="G441" t="n">
        <v>195.05</v>
      </c>
      <c r="H441">
        <f>הגדרות!B5</f>
        <v/>
      </c>
      <c r="I441">
        <f>F441*(1-H441/100)*1.18</f>
        <v/>
      </c>
      <c r="J441">
        <f>הגדרות!C5</f>
        <v/>
      </c>
      <c r="K441">
        <f>הגדרות!D5</f>
        <v/>
      </c>
      <c r="L441">
        <f>I441*(1+J441/100)+K441</f>
        <v/>
      </c>
    </row>
    <row r="442">
      <c r="A442" t="inlineStr">
        <is>
          <t>IDEXX — רפרנס</t>
        </is>
      </c>
      <c r="B442" t="inlineStr">
        <is>
          <t>Comprehensive Faecal Screen Includes Giardia Antig</t>
        </is>
      </c>
      <c r="D442" t="inlineStr">
        <is>
          <t>eCnFG</t>
        </is>
      </c>
      <c r="E442" t="inlineStr">
        <is>
          <t>2025-01</t>
        </is>
      </c>
      <c r="F442" t="n">
        <v>649.6</v>
      </c>
      <c r="G442" t="n">
        <v>766.53</v>
      </c>
      <c r="H442">
        <f>הגדרות!B5</f>
        <v/>
      </c>
      <c r="I442">
        <f>F442*(1-H442/100)*1.18</f>
        <v/>
      </c>
      <c r="J442">
        <f>הגדרות!C5</f>
        <v/>
      </c>
      <c r="K442">
        <f>הגדרות!D5</f>
        <v/>
      </c>
      <c r="L442">
        <f>I442*(1+J442/100)+K442</f>
        <v/>
      </c>
    </row>
    <row r="443">
      <c r="A443" t="inlineStr">
        <is>
          <t>IDEXX — רפרנס</t>
        </is>
      </c>
      <c r="B443" t="inlineStr">
        <is>
          <t>Comprehensive Faecal Screen Plus Faecal Dx® Antig</t>
        </is>
      </c>
      <c r="D443" t="inlineStr">
        <is>
          <t>eCnF PGa+nel</t>
        </is>
      </c>
      <c r="E443" t="inlineStr">
        <is>
          <t>2025-01</t>
        </is>
      </c>
      <c r="F443" t="n">
        <v>913.5</v>
      </c>
      <c r="G443" t="n">
        <v>1077.93</v>
      </c>
      <c r="H443">
        <f>הגדרות!B5</f>
        <v/>
      </c>
      <c r="I443">
        <f>F443*(1-H443/100)*1.18</f>
        <v/>
      </c>
      <c r="J443">
        <f>הגדרות!C5</f>
        <v/>
      </c>
      <c r="K443">
        <f>הגדרות!D5</f>
        <v/>
      </c>
      <c r="L443">
        <f>I443*(1+J443/100)+K443</f>
        <v/>
      </c>
    </row>
    <row r="444">
      <c r="A444" t="inlineStr">
        <is>
          <t>IDEXX — רפרנס</t>
        </is>
      </c>
      <c r="B444" t="inlineStr">
        <is>
          <t>Spec cPL, Folate &amp; Cobalamin, TLI (Canine)</t>
        </is>
      </c>
      <c r="D444" t="inlineStr">
        <is>
          <t>CFTC</t>
        </is>
      </c>
      <c r="E444" t="inlineStr">
        <is>
          <t>2025-01</t>
        </is>
      </c>
      <c r="F444" t="n">
        <v>846.8</v>
      </c>
      <c r="G444" t="n">
        <v>999.22</v>
      </c>
      <c r="H444">
        <f>הגדרות!B5</f>
        <v/>
      </c>
      <c r="I444">
        <f>F444*(1-H444/100)*1.18</f>
        <v/>
      </c>
      <c r="J444">
        <f>הגדרות!C5</f>
        <v/>
      </c>
      <c r="K444">
        <f>הגדרות!D5</f>
        <v/>
      </c>
      <c r="L444">
        <f>I444*(1+J444/100)+K444</f>
        <v/>
      </c>
    </row>
    <row r="445">
      <c r="A445" t="inlineStr">
        <is>
          <t>IDEXX — רפרנס</t>
        </is>
      </c>
      <c r="B445" t="inlineStr">
        <is>
          <t>Blood Typing (Canine)</t>
        </is>
      </c>
      <c r="D445" t="inlineStr">
        <is>
          <t>CGP</t>
        </is>
      </c>
      <c r="E445" t="inlineStr">
        <is>
          <t>2025-01</t>
        </is>
      </c>
      <c r="F445" t="n">
        <v>403.1</v>
      </c>
      <c r="G445" t="n">
        <v>475.66</v>
      </c>
      <c r="H445">
        <f>הגדרות!B5</f>
        <v/>
      </c>
      <c r="I445">
        <f>F445*(1-H445/100)*1.18</f>
        <v/>
      </c>
      <c r="J445">
        <f>הגדרות!C5</f>
        <v/>
      </c>
      <c r="K445">
        <f>הגדרות!D5</f>
        <v/>
      </c>
      <c r="L445">
        <f>I445*(1+J445/100)+K445</f>
        <v/>
      </c>
    </row>
    <row r="446">
      <c r="A446" t="inlineStr">
        <is>
          <t>IDEXX — רפרנס</t>
        </is>
      </c>
      <c r="B446" t="inlineStr">
        <is>
          <t>Chem 10 CLIP</t>
        </is>
      </c>
      <c r="D446" t="inlineStr">
        <is>
          <t>CHEM10</t>
        </is>
      </c>
      <c r="E446" t="inlineStr">
        <is>
          <t>2025-01</t>
        </is>
      </c>
      <c r="F446" t="n">
        <v>133.4</v>
      </c>
      <c r="G446" t="n">
        <v>157.41</v>
      </c>
      <c r="H446">
        <f>הגדרות!B5</f>
        <v/>
      </c>
      <c r="I446">
        <f>F446*(1-H446/100)*1.18</f>
        <v/>
      </c>
      <c r="J446">
        <f>הגדרות!C5</f>
        <v/>
      </c>
      <c r="K446">
        <f>הגדרות!D5</f>
        <v/>
      </c>
      <c r="L446">
        <f>I446*(1+J446/100)+K446</f>
        <v/>
      </c>
    </row>
    <row r="447">
      <c r="A447" t="inlineStr">
        <is>
          <t>IDEXX — רפרנס</t>
        </is>
      </c>
      <c r="B447" t="inlineStr">
        <is>
          <t>Chem 15 CLIP</t>
        </is>
      </c>
      <c r="D447" t="inlineStr">
        <is>
          <t>CHEM15</t>
        </is>
      </c>
      <c r="E447" t="inlineStr">
        <is>
          <t>2025-01</t>
        </is>
      </c>
      <c r="F447" t="n">
        <v>191.4</v>
      </c>
      <c r="G447" t="n">
        <v>225.85</v>
      </c>
      <c r="H447">
        <f>הגדרות!B5</f>
        <v/>
      </c>
      <c r="I447">
        <f>F447*(1-H447/100)*1.18</f>
        <v/>
      </c>
      <c r="J447">
        <f>הגדרות!C5</f>
        <v/>
      </c>
      <c r="K447">
        <f>הגדרות!D5</f>
        <v/>
      </c>
      <c r="L447">
        <f>I447*(1+J447/100)+K447</f>
        <v/>
      </c>
    </row>
    <row r="448">
      <c r="A448" t="inlineStr">
        <is>
          <t>IDEXX — רפרנס</t>
        </is>
      </c>
      <c r="B448" t="inlineStr">
        <is>
          <t>Chem 17 CLIP</t>
        </is>
      </c>
      <c r="D448" t="inlineStr">
        <is>
          <t>CHEM17</t>
        </is>
      </c>
      <c r="E448" t="inlineStr">
        <is>
          <t>2025-01</t>
        </is>
      </c>
      <c r="F448" t="n">
        <v>197.2</v>
      </c>
      <c r="G448" t="n">
        <v>232.7</v>
      </c>
      <c r="H448">
        <f>הגדרות!B5</f>
        <v/>
      </c>
      <c r="I448">
        <f>F448*(1-H448/100)*1.18</f>
        <v/>
      </c>
      <c r="J448">
        <f>הגדרות!C5</f>
        <v/>
      </c>
      <c r="K448">
        <f>הגדרות!D5</f>
        <v/>
      </c>
      <c r="L448">
        <f>I448*(1+J448/100)+K448</f>
        <v/>
      </c>
    </row>
    <row r="449">
      <c r="A449" t="inlineStr">
        <is>
          <t>IDEXX — רפרנס</t>
        </is>
      </c>
      <c r="B449" t="inlineStr">
        <is>
          <t>Feline Calici and Herpesvirus RealPCR™ panel</t>
        </is>
      </c>
      <c r="D449" t="inlineStr">
        <is>
          <t>CHP</t>
        </is>
      </c>
      <c r="E449" t="inlineStr">
        <is>
          <t>2025-01</t>
        </is>
      </c>
      <c r="F449" t="n">
        <v>487.2</v>
      </c>
      <c r="G449" t="n">
        <v>574.9</v>
      </c>
      <c r="H449">
        <f>הגדרות!B5</f>
        <v/>
      </c>
      <c r="I449">
        <f>F449*(1-H449/100)*1.18</f>
        <v/>
      </c>
      <c r="J449">
        <f>הגדרות!C5</f>
        <v/>
      </c>
      <c r="K449">
        <f>הגדרות!D5</f>
        <v/>
      </c>
      <c r="L449">
        <f>I449*(1+J449/100)+K449</f>
        <v/>
      </c>
    </row>
    <row r="450">
      <c r="A450" t="inlineStr">
        <is>
          <t>IDEXX — רפרנס</t>
        </is>
      </c>
      <c r="B450" t="inlineStr">
        <is>
          <t>Infectious Hepatitis Antibody</t>
        </is>
      </c>
      <c r="D450" t="inlineStr">
        <is>
          <t>CIH</t>
        </is>
      </c>
      <c r="E450" t="inlineStr">
        <is>
          <t>2025-01</t>
        </is>
      </c>
      <c r="F450" t="n">
        <v>394.4</v>
      </c>
      <c r="G450" t="n">
        <v>465.39</v>
      </c>
      <c r="H450">
        <f>הגדרות!B5</f>
        <v/>
      </c>
      <c r="I450">
        <f>F450*(1-H450/100)*1.18</f>
        <v/>
      </c>
      <c r="J450">
        <f>הגדרות!C5</f>
        <v/>
      </c>
      <c r="K450">
        <f>הגדרות!D5</f>
        <v/>
      </c>
      <c r="L450">
        <f>I450*(1+J450/100)+K450</f>
        <v/>
      </c>
    </row>
    <row r="451">
      <c r="A451" t="inlineStr">
        <is>
          <t>IDEXX — רפרנס</t>
        </is>
      </c>
      <c r="B451" t="inlineStr">
        <is>
          <t>Canine Lower Respiratory Panel</t>
        </is>
      </c>
      <c r="D451" t="inlineStr">
        <is>
          <t>CLRP</t>
        </is>
      </c>
      <c r="E451" t="inlineStr">
        <is>
          <t>2025-01</t>
        </is>
      </c>
      <c r="F451" t="n">
        <v>809.1</v>
      </c>
      <c r="G451" t="n">
        <v>954.74</v>
      </c>
      <c r="H451">
        <f>הגדרות!B5</f>
        <v/>
      </c>
      <c r="I451">
        <f>F451*(1-H451/100)*1.18</f>
        <v/>
      </c>
      <c r="J451">
        <f>הגדרות!C5</f>
        <v/>
      </c>
      <c r="K451">
        <f>הגדרות!D5</f>
        <v/>
      </c>
      <c r="L451">
        <f>I451*(1+J451/100)+K451</f>
        <v/>
      </c>
    </row>
    <row r="452">
      <c r="A452" t="inlineStr">
        <is>
          <t>IDEXX — רפרנס</t>
        </is>
      </c>
      <c r="B452" t="inlineStr">
        <is>
          <t>Basic Coagulation Profile</t>
        </is>
      </c>
      <c r="D452" t="inlineStr">
        <is>
          <t>COAG</t>
        </is>
      </c>
      <c r="E452" t="inlineStr">
        <is>
          <t>2025-01</t>
        </is>
      </c>
      <c r="F452" t="n">
        <v>411.8</v>
      </c>
      <c r="G452" t="n">
        <v>485.92</v>
      </c>
      <c r="H452">
        <f>הגדרות!B5</f>
        <v/>
      </c>
      <c r="I452">
        <f>F452*(1-H452/100)*1.18</f>
        <v/>
      </c>
      <c r="J452">
        <f>הגדרות!C5</f>
        <v/>
      </c>
      <c r="K452">
        <f>הגדרות!D5</f>
        <v/>
      </c>
      <c r="L452">
        <f>I452*(1+J452/100)+K452</f>
        <v/>
      </c>
    </row>
    <row r="453">
      <c r="A453" t="inlineStr">
        <is>
          <t>IDEXX — רפרנס</t>
        </is>
      </c>
      <c r="B453" t="inlineStr">
        <is>
          <t>Chlamydia psittaci (DNA) RealPCR™</t>
        </is>
      </c>
      <c r="D453" t="inlineStr">
        <is>
          <t>CPCR</t>
        </is>
      </c>
      <c r="E453" t="inlineStr">
        <is>
          <t>2025-01</t>
        </is>
      </c>
      <c r="F453" t="n">
        <v>368.3</v>
      </c>
      <c r="G453" t="n">
        <v>434.59</v>
      </c>
      <c r="H453">
        <f>הגדרות!B5</f>
        <v/>
      </c>
      <c r="I453">
        <f>F453*(1-H453/100)*1.18</f>
        <v/>
      </c>
      <c r="J453">
        <f>הגדרות!C5</f>
        <v/>
      </c>
      <c r="K453">
        <f>הגדרות!D5</f>
        <v/>
      </c>
      <c r="L453">
        <f>I453*(1+J453/100)+K453</f>
        <v/>
      </c>
    </row>
    <row r="454">
      <c r="A454" t="inlineStr">
        <is>
          <t>IDEXX — רפרנס</t>
        </is>
      </c>
      <c r="B454" t="inlineStr">
        <is>
          <t>Spec cPL (Canine)</t>
        </is>
      </c>
      <c r="D454" t="inlineStr">
        <is>
          <t>CPLI</t>
        </is>
      </c>
      <c r="E454" t="inlineStr">
        <is>
          <t>2025-01</t>
        </is>
      </c>
      <c r="F454" t="n">
        <v>495.9</v>
      </c>
      <c r="G454" t="n">
        <v>585.16</v>
      </c>
      <c r="H454">
        <f>הגדרות!B5</f>
        <v/>
      </c>
      <c r="I454">
        <f>F454*(1-H454/100)*1.18</f>
        <v/>
      </c>
      <c r="J454">
        <f>הגדרות!C5</f>
        <v/>
      </c>
      <c r="K454">
        <f>הגדרות!D5</f>
        <v/>
      </c>
      <c r="L454">
        <f>I454*(1+J454/100)+K454</f>
        <v/>
      </c>
    </row>
    <row r="455">
      <c r="A455" t="inlineStr">
        <is>
          <t>IDEXX — רפרנס</t>
        </is>
      </c>
      <c r="B455" t="inlineStr">
        <is>
          <t>Parvovirus (DNA) RealPCR™</t>
        </is>
      </c>
      <c r="D455" t="inlineStr">
        <is>
          <t>CPPC</t>
        </is>
      </c>
      <c r="E455" t="inlineStr">
        <is>
          <t>2025-01</t>
        </is>
      </c>
      <c r="F455" t="n">
        <v>368.3</v>
      </c>
      <c r="G455" t="n">
        <v>434.59</v>
      </c>
      <c r="H455">
        <f>הגדרות!B5</f>
        <v/>
      </c>
      <c r="I455">
        <f>F455*(1-H455/100)*1.18</f>
        <v/>
      </c>
      <c r="J455">
        <f>הגדרות!C5</f>
        <v/>
      </c>
      <c r="K455">
        <f>הגדרות!D5</f>
        <v/>
      </c>
      <c r="L455">
        <f>I455*(1+J455/100)+K455</f>
        <v/>
      </c>
    </row>
    <row r="456">
      <c r="A456" t="inlineStr">
        <is>
          <t>IDEXX — רפרנס</t>
        </is>
      </c>
      <c r="B456" t="inlineStr">
        <is>
          <t>Clostridium Perfringens Toxin PCR (Quantitative)</t>
        </is>
      </c>
      <c r="D456" t="inlineStr">
        <is>
          <t>CPTP</t>
        </is>
      </c>
      <c r="E456" t="inlineStr">
        <is>
          <t>2025-01</t>
        </is>
      </c>
      <c r="F456" t="n">
        <v>475.6</v>
      </c>
      <c r="G456" t="n">
        <v>561.21</v>
      </c>
      <c r="H456">
        <f>הגדרות!B5</f>
        <v/>
      </c>
      <c r="I456">
        <f>F456*(1-H456/100)*1.18</f>
        <v/>
      </c>
      <c r="J456">
        <f>הגדרות!C5</f>
        <v/>
      </c>
      <c r="K456">
        <f>הגדרות!D5</f>
        <v/>
      </c>
      <c r="L456">
        <f>I456*(1+J456/100)+K456</f>
        <v/>
      </c>
    </row>
    <row r="457">
      <c r="A457" t="inlineStr">
        <is>
          <t>IDEXX — רפרנס</t>
        </is>
      </c>
      <c r="B457" t="inlineStr">
        <is>
          <t>Canine Pyrexia of Unknown Origin Profile (Interpreted</t>
        </is>
      </c>
      <c r="D457" t="inlineStr">
        <is>
          <t>C) PUOI</t>
        </is>
      </c>
      <c r="E457" t="inlineStr">
        <is>
          <t>2025-01</t>
        </is>
      </c>
      <c r="F457" t="n">
        <v>771.4</v>
      </c>
      <c r="G457" t="n">
        <v>910.25</v>
      </c>
      <c r="H457">
        <f>הגדרות!B5</f>
        <v/>
      </c>
      <c r="I457">
        <f>F457*(1-H457/100)*1.18</f>
        <v/>
      </c>
      <c r="J457">
        <f>הגדרות!C5</f>
        <v/>
      </c>
      <c r="K457">
        <f>הגדרות!D5</f>
        <v/>
      </c>
      <c r="L457">
        <f>I457*(1+J457/100)+K457</f>
        <v/>
      </c>
    </row>
    <row r="458">
      <c r="A458" t="inlineStr">
        <is>
          <t>IDEXX — רפרנס</t>
        </is>
      </c>
      <c r="B458" t="inlineStr">
        <is>
          <t>Comprehensive Rabbit Profile</t>
        </is>
      </c>
      <c r="D458" t="inlineStr">
        <is>
          <t>CRP</t>
        </is>
      </c>
      <c r="E458" t="inlineStr">
        <is>
          <t>2025-01</t>
        </is>
      </c>
      <c r="F458" t="n">
        <v>559.7</v>
      </c>
      <c r="G458" t="n">
        <v>660.45</v>
      </c>
      <c r="H458">
        <f>הגדרות!B5</f>
        <v/>
      </c>
      <c r="I458">
        <f>F458*(1-H458/100)*1.18</f>
        <v/>
      </c>
      <c r="J458">
        <f>הגדרות!C5</f>
        <v/>
      </c>
      <c r="K458">
        <f>הגדרות!D5</f>
        <v/>
      </c>
      <c r="L458">
        <f>I458*(1+J458/100)+K458</f>
        <v/>
      </c>
    </row>
    <row r="459">
      <c r="A459" t="inlineStr">
        <is>
          <t>IDEXX — רפרנס</t>
        </is>
      </c>
      <c r="B459" t="inlineStr">
        <is>
          <t>Canine Upper Respiratory Panel</t>
        </is>
      </c>
      <c r="D459" t="inlineStr">
        <is>
          <t>CRP1</t>
        </is>
      </c>
      <c r="E459" t="inlineStr">
        <is>
          <t>2025-01</t>
        </is>
      </c>
      <c r="F459" t="n">
        <v>872.9</v>
      </c>
      <c r="G459" t="n">
        <v>1030.02</v>
      </c>
      <c r="H459">
        <f>הגדרות!B5</f>
        <v/>
      </c>
      <c r="I459">
        <f>F459*(1-H459/100)*1.18</f>
        <v/>
      </c>
      <c r="J459">
        <f>הגדרות!C5</f>
        <v/>
      </c>
      <c r="K459">
        <f>הגדרות!D5</f>
        <v/>
      </c>
      <c r="L459">
        <f>I459*(1+J459/100)+K459</f>
        <v/>
      </c>
    </row>
    <row r="460">
      <c r="A460" t="inlineStr">
        <is>
          <t>IDEXX — רפרנס</t>
        </is>
      </c>
      <c r="B460" t="inlineStr">
        <is>
          <t>Canine Upper Respiratory Panel plus bacterial culture</t>
        </is>
      </c>
      <c r="D460" t="inlineStr">
        <is>
          <t>CRPC</t>
        </is>
      </c>
      <c r="E460" t="inlineStr">
        <is>
          <t>2025-01</t>
        </is>
      </c>
      <c r="F460" t="n">
        <v>1073</v>
      </c>
      <c r="G460" t="n">
        <v>1266.14</v>
      </c>
      <c r="H460">
        <f>הגדרות!B5</f>
        <v/>
      </c>
      <c r="I460">
        <f>F460*(1-H460/100)*1.18</f>
        <v/>
      </c>
      <c r="J460">
        <f>הגדרות!C5</f>
        <v/>
      </c>
      <c r="K460">
        <f>הגדרות!D5</f>
        <v/>
      </c>
      <c r="L460">
        <f>I460*(1+J460/100)+K460</f>
        <v/>
      </c>
    </row>
    <row r="461">
      <c r="A461" t="inlineStr">
        <is>
          <t>IDEXX — רפרנס</t>
        </is>
      </c>
      <c r="B461" t="inlineStr">
        <is>
          <t>C Reactive Protein (Canine Only)</t>
        </is>
      </c>
      <c r="D461" t="inlineStr">
        <is>
          <t>CRPR</t>
        </is>
      </c>
      <c r="E461" t="inlineStr">
        <is>
          <t>2025-01</t>
        </is>
      </c>
      <c r="F461" t="n">
        <v>118.9</v>
      </c>
      <c r="G461" t="n">
        <v>140.3</v>
      </c>
      <c r="H461">
        <f>הגדרות!B5</f>
        <v/>
      </c>
      <c r="I461">
        <f>F461*(1-H461/100)*1.18</f>
        <v/>
      </c>
      <c r="J461">
        <f>הגדרות!C5</f>
        <v/>
      </c>
      <c r="K461">
        <f>הגדרות!D5</f>
        <v/>
      </c>
      <c r="L461">
        <f>I461*(1+J461/100)+K461</f>
        <v/>
      </c>
    </row>
    <row r="462">
      <c r="A462" t="inlineStr">
        <is>
          <t>IDEXX — רפרנס</t>
        </is>
      </c>
      <c r="B462" t="inlineStr">
        <is>
          <t>Cryptosporidium PCR</t>
        </is>
      </c>
      <c r="D462" t="inlineStr">
        <is>
          <t>CRYDP</t>
        </is>
      </c>
      <c r="E462" t="inlineStr">
        <is>
          <t>2025-01</t>
        </is>
      </c>
      <c r="F462" t="n">
        <v>368.3</v>
      </c>
      <c r="G462" t="n">
        <v>434.59</v>
      </c>
      <c r="H462">
        <f>הגדרות!B5</f>
        <v/>
      </c>
      <c r="I462">
        <f>F462*(1-H462/100)*1.18</f>
        <v/>
      </c>
      <c r="J462">
        <f>הגדרות!C5</f>
        <v/>
      </c>
      <c r="K462">
        <f>הגדרות!D5</f>
        <v/>
      </c>
      <c r="L462">
        <f>I462*(1+J462/100)+K462</f>
        <v/>
      </c>
    </row>
    <row r="463">
      <c r="A463" t="inlineStr">
        <is>
          <t>IDEXX — רפרנס</t>
        </is>
      </c>
      <c r="B463" t="inlineStr">
        <is>
          <t>Protein Electrophoresis (CSF)</t>
        </is>
      </c>
      <c r="D463" t="inlineStr">
        <is>
          <t>CSPE</t>
        </is>
      </c>
      <c r="E463" t="inlineStr">
        <is>
          <t>2025-01</t>
        </is>
      </c>
      <c r="F463" t="n">
        <v>316.1</v>
      </c>
      <c r="G463" t="n">
        <v>373</v>
      </c>
      <c r="H463">
        <f>הגדרות!B5</f>
        <v/>
      </c>
      <c r="I463">
        <f>F463*(1-H463/100)*1.18</f>
        <v/>
      </c>
      <c r="J463">
        <f>הגדרות!C5</f>
        <v/>
      </c>
      <c r="K463">
        <f>הגדרות!D5</f>
        <v/>
      </c>
      <c r="L463">
        <f>I463*(1+J463/100)+K463</f>
        <v/>
      </c>
    </row>
    <row r="464">
      <c r="A464" t="inlineStr">
        <is>
          <t>IDEXX — רפרנס</t>
        </is>
      </c>
      <c r="B464" t="inlineStr">
        <is>
          <t>Cardiopet proBNP &amp; Troponin I HS (Canine)</t>
        </is>
      </c>
      <c r="D464" t="inlineStr">
        <is>
          <t>CTNI</t>
        </is>
      </c>
      <c r="E464" t="inlineStr">
        <is>
          <t>2025-01</t>
        </is>
      </c>
      <c r="F464" t="n">
        <v>600.3</v>
      </c>
      <c r="G464" t="n">
        <v>708.35</v>
      </c>
      <c r="H464">
        <f>הגדרות!B5</f>
        <v/>
      </c>
      <c r="I464">
        <f>F464*(1-H464/100)*1.18</f>
        <v/>
      </c>
      <c r="J464">
        <f>הגדרות!C5</f>
        <v/>
      </c>
      <c r="K464">
        <f>הגדרות!D5</f>
        <v/>
      </c>
      <c r="L464">
        <f>I464*(1+J464/100)+K464</f>
        <v/>
      </c>
    </row>
    <row r="465">
      <c r="A465" t="inlineStr">
        <is>
          <t>IDEXX — רפרנס</t>
        </is>
      </c>
      <c r="B465" t="inlineStr">
        <is>
          <t>Canine travel disease profile - For chronic disease or</t>
        </is>
      </c>
      <c r="D465" t="inlineStr">
        <is>
          <t>fCreTqRuAent tra</t>
        </is>
      </c>
      <c r="E465" t="inlineStr">
        <is>
          <t>2025-01</t>
        </is>
      </c>
      <c r="F465" t="n">
        <v>965.7</v>
      </c>
      <c r="G465" t="n">
        <v>1139.53</v>
      </c>
      <c r="H465">
        <f>הגדרות!B5</f>
        <v/>
      </c>
      <c r="I465">
        <f>F465*(1-H465/100)*1.18</f>
        <v/>
      </c>
      <c r="J465">
        <f>הגדרות!C5</f>
        <v/>
      </c>
      <c r="K465">
        <f>הגדרות!D5</f>
        <v/>
      </c>
      <c r="L465">
        <f>I465*(1+J465/100)+K465</f>
        <v/>
      </c>
    </row>
    <row r="466">
      <c r="A466" t="inlineStr">
        <is>
          <t>IDEXX — רפרנס</t>
        </is>
      </c>
      <c r="B466" t="inlineStr">
        <is>
          <t>Clostridial Toxin Screen (Canine &amp; Feline)</t>
        </is>
      </c>
      <c r="D466" t="inlineStr">
        <is>
          <t>CTS</t>
        </is>
      </c>
      <c r="E466" t="inlineStr">
        <is>
          <t>2025-01</t>
        </is>
      </c>
      <c r="F466" t="n">
        <v>667</v>
      </c>
      <c r="G466" t="n">
        <v>787.0599999999999</v>
      </c>
      <c r="H466">
        <f>הגדרות!B5</f>
        <v/>
      </c>
      <c r="I466">
        <f>F466*(1-H466/100)*1.18</f>
        <v/>
      </c>
      <c r="J466">
        <f>הגדרות!C5</f>
        <v/>
      </c>
      <c r="K466">
        <f>הגדרות!D5</f>
        <v/>
      </c>
      <c r="L466">
        <f>I466*(1+J466/100)+K466</f>
        <v/>
      </c>
    </row>
    <row r="467">
      <c r="A467" t="inlineStr">
        <is>
          <t>IDEXX — רפרנס</t>
        </is>
      </c>
      <c r="B467" t="inlineStr">
        <is>
          <t>Cyclosporine A</t>
        </is>
      </c>
      <c r="D467" t="inlineStr">
        <is>
          <t>CYCR</t>
        </is>
      </c>
      <c r="E467" t="inlineStr">
        <is>
          <t>2025-01</t>
        </is>
      </c>
      <c r="F467" t="n">
        <v>675.7</v>
      </c>
      <c r="G467" t="n">
        <v>797.33</v>
      </c>
      <c r="H467">
        <f>הגדרות!B5</f>
        <v/>
      </c>
      <c r="I467">
        <f>F467*(1-H467/100)*1.18</f>
        <v/>
      </c>
      <c r="J467">
        <f>הגדרות!C5</f>
        <v/>
      </c>
      <c r="K467">
        <f>הגדרות!D5</f>
        <v/>
      </c>
      <c r="L467">
        <f>I467*(1+J467/100)+K467</f>
        <v/>
      </c>
    </row>
    <row r="468">
      <c r="A468" t="inlineStr">
        <is>
          <t>IDEXX — רפרנס</t>
        </is>
      </c>
      <c r="B468" t="inlineStr">
        <is>
          <t>Cystatin B</t>
        </is>
      </c>
      <c r="D468" t="inlineStr">
        <is>
          <t>CYSB</t>
        </is>
      </c>
      <c r="E468" t="inlineStr">
        <is>
          <t>2025-01</t>
        </is>
      </c>
      <c r="F468" t="n">
        <v>150.8</v>
      </c>
      <c r="G468" t="n">
        <v>177.94</v>
      </c>
      <c r="H468">
        <f>הגדרות!B5</f>
        <v/>
      </c>
      <c r="I468">
        <f>F468*(1-H468/100)*1.18</f>
        <v/>
      </c>
      <c r="J468">
        <f>הגדרות!C5</f>
        <v/>
      </c>
      <c r="K468">
        <f>הגדרות!D5</f>
        <v/>
      </c>
      <c r="L468">
        <f>I468*(1+J468/100)+K468</f>
        <v/>
      </c>
    </row>
    <row r="469">
      <c r="A469" t="inlineStr">
        <is>
          <t>IDEXX — רפרנס</t>
        </is>
      </c>
      <c r="B469" t="inlineStr">
        <is>
          <t>Cytology - 5 sampled sites - up to 4 slides/site</t>
        </is>
      </c>
      <c r="D469" t="inlineStr">
        <is>
          <t>CYTO5</t>
        </is>
      </c>
      <c r="E469" t="inlineStr">
        <is>
          <t>2025-01</t>
        </is>
      </c>
      <c r="F469" t="n">
        <v>800.4</v>
      </c>
      <c r="G469" t="n">
        <v>944.47</v>
      </c>
      <c r="H469">
        <f>הגדרות!B5</f>
        <v/>
      </c>
      <c r="I469">
        <f>F469*(1-H469/100)*1.18</f>
        <v/>
      </c>
      <c r="J469">
        <f>הגדרות!C5</f>
        <v/>
      </c>
      <c r="K469">
        <f>הגדרות!D5</f>
        <v/>
      </c>
      <c r="L469">
        <f>I469*(1+J469/100)+K469</f>
        <v/>
      </c>
    </row>
    <row r="470">
      <c r="A470" t="inlineStr">
        <is>
          <t>IDEXX — רפרנס</t>
        </is>
      </c>
      <c r="B470" t="inlineStr">
        <is>
          <t>Cytology - 6 sampled sites - up to 4 slides/site</t>
        </is>
      </c>
      <c r="D470" t="inlineStr">
        <is>
          <t>CYTO6</t>
        </is>
      </c>
      <c r="E470" t="inlineStr">
        <is>
          <t>2025-01</t>
        </is>
      </c>
      <c r="F470" t="n">
        <v>887.4</v>
      </c>
      <c r="G470" t="n">
        <v>1047.13</v>
      </c>
      <c r="H470">
        <f>הגדרות!B5</f>
        <v/>
      </c>
      <c r="I470">
        <f>F470*(1-H470/100)*1.18</f>
        <v/>
      </c>
      <c r="J470">
        <f>הגדרות!C5</f>
        <v/>
      </c>
      <c r="K470">
        <f>הגדרות!D5</f>
        <v/>
      </c>
      <c r="L470">
        <f>I470*(1+J470/100)+K470</f>
        <v/>
      </c>
    </row>
    <row r="471">
      <c r="A471" t="inlineStr">
        <is>
          <t>IDEXX — רפרנס</t>
        </is>
      </c>
      <c r="B471" t="inlineStr">
        <is>
          <t>Cytology - 7 sampled sites - up to 4 slides/site</t>
        </is>
      </c>
      <c r="D471" t="inlineStr">
        <is>
          <t>CYTO7</t>
        </is>
      </c>
      <c r="E471" t="inlineStr">
        <is>
          <t>2025-01</t>
        </is>
      </c>
      <c r="F471" t="n">
        <v>974.4</v>
      </c>
      <c r="G471" t="n">
        <v>1149.79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IDEXX — רפרנס</t>
        </is>
      </c>
      <c r="B472" t="inlineStr">
        <is>
          <t>Cytology - 8 sampled sites - up to 4 slides/site</t>
        </is>
      </c>
      <c r="D472" t="inlineStr">
        <is>
          <t>CYTO8</t>
        </is>
      </c>
      <c r="E472" t="inlineStr">
        <is>
          <t>2025-01</t>
        </is>
      </c>
      <c r="F472" t="n">
        <v>1061.4</v>
      </c>
      <c r="G472" t="n">
        <v>1252.45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IDEXX — רפרנס</t>
        </is>
      </c>
      <c r="B473" t="inlineStr">
        <is>
          <t>Cytology - 9 or more sampled sites - up to 4 slides/sit</t>
        </is>
      </c>
      <c r="D473" t="inlineStr">
        <is>
          <t>eCYTX</t>
        </is>
      </c>
      <c r="E473" t="inlineStr">
        <is>
          <t>2025-01</t>
        </is>
      </c>
      <c r="F473" t="n">
        <v>1148.4</v>
      </c>
      <c r="G473" t="n">
        <v>1355.11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IDEXX — רפרנס</t>
        </is>
      </c>
      <c r="B474" t="inlineStr">
        <is>
          <t>Vaccination Status (Canine)</t>
        </is>
      </c>
      <c r="D474" t="inlineStr">
        <is>
          <t>DAPS</t>
        </is>
      </c>
      <c r="E474" t="inlineStr">
        <is>
          <t>2025-01</t>
        </is>
      </c>
      <c r="F474" t="n">
        <v>751.1</v>
      </c>
      <c r="G474" t="n">
        <v>886.3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IDEXX — רפרנס</t>
        </is>
      </c>
      <c r="B475" t="inlineStr">
        <is>
          <t>D Dimer (Canine only)</t>
        </is>
      </c>
      <c r="D475" t="inlineStr">
        <is>
          <t>DDIM</t>
        </is>
      </c>
      <c r="E475" t="inlineStr">
        <is>
          <t>2025-01</t>
        </is>
      </c>
      <c r="F475" t="n">
        <v>617.7</v>
      </c>
      <c r="G475" t="n">
        <v>728.89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IDEXX — רפרנס</t>
        </is>
      </c>
      <c r="B476" t="inlineStr">
        <is>
          <t>Dermatology Investigative Profile (Feline)</t>
        </is>
      </c>
      <c r="D476" t="inlineStr">
        <is>
          <t>DEF2</t>
        </is>
      </c>
      <c r="E476" t="inlineStr">
        <is>
          <t>2025-01</t>
        </is>
      </c>
      <c r="F476" t="n">
        <v>661.2</v>
      </c>
      <c r="G476" t="n">
        <v>780.22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IDEXX — רפרנס</t>
        </is>
      </c>
      <c r="B477" t="inlineStr">
        <is>
          <t>Dermatology Investigative Profile 1 (Canine)</t>
        </is>
      </c>
      <c r="D477" t="inlineStr">
        <is>
          <t>DER1</t>
        </is>
      </c>
      <c r="E477" t="inlineStr">
        <is>
          <t>2025-01</t>
        </is>
      </c>
      <c r="F477" t="n">
        <v>928</v>
      </c>
      <c r="G477" t="n">
        <v>1095.04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IDEXX — רפרנס</t>
        </is>
      </c>
      <c r="B478" t="inlineStr">
        <is>
          <t>Dermatology Investigative Profile 2 (Canine)</t>
        </is>
      </c>
      <c r="D478" t="inlineStr">
        <is>
          <t>DER2</t>
        </is>
      </c>
      <c r="E478" t="inlineStr">
        <is>
          <t>2025-01</t>
        </is>
      </c>
      <c r="F478" t="n">
        <v>1044</v>
      </c>
      <c r="G478" t="n">
        <v>1231.92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IDEXX — רפרנס</t>
        </is>
      </c>
      <c r="B479" t="inlineStr">
        <is>
          <t>Dermatology Investigative Profile 3 (Canine)</t>
        </is>
      </c>
      <c r="D479" t="inlineStr">
        <is>
          <t>DER3</t>
        </is>
      </c>
      <c r="E479" t="inlineStr">
        <is>
          <t>2025-01</t>
        </is>
      </c>
      <c r="F479" t="n">
        <v>1148.4</v>
      </c>
      <c r="G479" t="n">
        <v>1355.11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IDEXX — רפרנס</t>
        </is>
      </c>
      <c r="B480" t="inlineStr">
        <is>
          <t>Dermatology Investigative Profile 4 (Canine)</t>
        </is>
      </c>
      <c r="D480" t="inlineStr">
        <is>
          <t>DER4</t>
        </is>
      </c>
      <c r="E480" t="inlineStr">
        <is>
          <t>2025-01</t>
        </is>
      </c>
      <c r="F480" t="n">
        <v>1223.8</v>
      </c>
      <c r="G480" t="n">
        <v>1444.08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IDEXX — רפרנס</t>
        </is>
      </c>
      <c r="B481" t="inlineStr">
        <is>
          <t>Dermatophyte RealPCR™ Panel (Canine &amp; Feline)</t>
        </is>
      </c>
      <c r="D481" t="inlineStr">
        <is>
          <t>DERMP</t>
        </is>
      </c>
      <c r="E481" t="inlineStr">
        <is>
          <t>2025-01</t>
        </is>
      </c>
      <c r="F481" t="n">
        <v>368.3</v>
      </c>
      <c r="G481" t="n">
        <v>434.59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IDEXX — רפרנס</t>
        </is>
      </c>
      <c r="B482" t="inlineStr">
        <is>
          <t>Dexamethasone Suppression Test (Canine) - High Do</t>
        </is>
      </c>
      <c r="D482" t="inlineStr">
        <is>
          <t>sDeEXH</t>
        </is>
      </c>
      <c r="E482" t="inlineStr">
        <is>
          <t>2025-01</t>
        </is>
      </c>
      <c r="F482" t="n">
        <v>556.8</v>
      </c>
      <c r="G482" t="n">
        <v>657.02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IDEXX — רפרנס</t>
        </is>
      </c>
      <c r="B483" t="inlineStr">
        <is>
          <t>Dexamethasone Suppression Test (Canine) - Low Dos</t>
        </is>
      </c>
      <c r="D483" t="inlineStr">
        <is>
          <t>DeEXL</t>
        </is>
      </c>
      <c r="E483" t="inlineStr">
        <is>
          <t>2025-01</t>
        </is>
      </c>
      <c r="F483" t="n">
        <v>556.8</v>
      </c>
      <c r="G483" t="n">
        <v>657.02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IDEXX — רפרנס</t>
        </is>
      </c>
      <c r="B484" t="inlineStr">
        <is>
          <t>Diabetes Monitoring Profile (Interpreted)</t>
        </is>
      </c>
      <c r="D484" t="inlineStr">
        <is>
          <t>DIABI</t>
        </is>
      </c>
      <c r="E484" t="inlineStr">
        <is>
          <t>2025-01</t>
        </is>
      </c>
      <c r="F484" t="n">
        <v>295.8</v>
      </c>
      <c r="G484" t="n">
        <v>349.04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IDEXX — רפרנס</t>
        </is>
      </c>
      <c r="B485" t="inlineStr">
        <is>
          <t>Diabetes Monitoring Screen (Non-Interpreted)</t>
        </is>
      </c>
      <c r="D485" t="inlineStr">
        <is>
          <t>DIABN</t>
        </is>
      </c>
      <c r="E485" t="inlineStr">
        <is>
          <t>2025-01</t>
        </is>
      </c>
      <c r="F485" t="n">
        <v>226.2</v>
      </c>
      <c r="G485" t="n">
        <v>266.92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IDEXX — רפרנס</t>
        </is>
      </c>
      <c r="B486" t="inlineStr">
        <is>
          <t>Canine Diarrhoea Profile (Interpreted)</t>
        </is>
      </c>
      <c r="D486" t="inlineStr">
        <is>
          <t>DIARCI</t>
        </is>
      </c>
      <c r="E486" t="inlineStr">
        <is>
          <t>2025-01</t>
        </is>
      </c>
      <c r="F486" t="n">
        <v>1360.1</v>
      </c>
      <c r="G486" t="n">
        <v>1604.92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IDEXX — רפרנס</t>
        </is>
      </c>
      <c r="B487" t="inlineStr">
        <is>
          <t>Canine Diarrhoea Screen (Non-Interpreted)</t>
        </is>
      </c>
      <c r="D487" t="inlineStr">
        <is>
          <t>DIARCN</t>
        </is>
      </c>
      <c r="E487" t="inlineStr">
        <is>
          <t>2025-01</t>
        </is>
      </c>
      <c r="F487" t="n">
        <v>1299.2</v>
      </c>
      <c r="G487" t="n">
        <v>1533.06</v>
      </c>
      <c r="H487">
        <f>הגדרות!B5</f>
        <v/>
      </c>
      <c r="I487">
        <f>F487*(1-H487/100)*1.18</f>
        <v/>
      </c>
      <c r="J487">
        <f>הגדרות!C5</f>
        <v/>
      </c>
      <c r="K487">
        <f>הגדרות!D5</f>
        <v/>
      </c>
      <c r="L487">
        <f>I487*(1+J487/100)+K487</f>
        <v/>
      </c>
    </row>
    <row r="488">
      <c r="A488" t="inlineStr">
        <is>
          <t>IDEXX — רפרנס</t>
        </is>
      </c>
      <c r="B488" t="inlineStr">
        <is>
          <t>Feline Diarrhoea Profile (Interpreted)</t>
        </is>
      </c>
      <c r="D488" t="inlineStr">
        <is>
          <t>DIARFI</t>
        </is>
      </c>
      <c r="E488" t="inlineStr">
        <is>
          <t>2025-01</t>
        </is>
      </c>
      <c r="F488" t="n">
        <v>1154.2</v>
      </c>
      <c r="G488" t="n">
        <v>1361.96</v>
      </c>
      <c r="H488">
        <f>הגדרות!B5</f>
        <v/>
      </c>
      <c r="I488">
        <f>F488*(1-H488/100)*1.18</f>
        <v/>
      </c>
      <c r="J488">
        <f>הגדרות!C5</f>
        <v/>
      </c>
      <c r="K488">
        <f>הגדרות!D5</f>
        <v/>
      </c>
      <c r="L488">
        <f>I488*(1+J488/100)+K488</f>
        <v/>
      </c>
    </row>
    <row r="489">
      <c r="A489" t="inlineStr">
        <is>
          <t>IDEXX — רפרנס</t>
        </is>
      </c>
      <c r="B489" t="inlineStr">
        <is>
          <t>Feline Diarrhoea Screen (Non-Interpreted)</t>
        </is>
      </c>
      <c r="D489" t="inlineStr">
        <is>
          <t>DIARFN</t>
        </is>
      </c>
      <c r="E489" t="inlineStr">
        <is>
          <t>2025-01</t>
        </is>
      </c>
      <c r="F489" t="n">
        <v>1093.3</v>
      </c>
      <c r="G489" t="n">
        <v>1290.09</v>
      </c>
      <c r="H489">
        <f>הגדרות!B5</f>
        <v/>
      </c>
      <c r="I489">
        <f>F489*(1-H489/100)*1.18</f>
        <v/>
      </c>
      <c r="J489">
        <f>הגדרות!C5</f>
        <v/>
      </c>
      <c r="K489">
        <f>הגדרות!D5</f>
        <v/>
      </c>
      <c r="L489">
        <f>I489*(1+J489/100)+K489</f>
        <v/>
      </c>
    </row>
    <row r="490">
      <c r="A490" t="inlineStr">
        <is>
          <t>IDEXX — רפרנס</t>
        </is>
      </c>
      <c r="B490" t="inlineStr">
        <is>
          <t>Digoxin</t>
        </is>
      </c>
      <c r="D490" t="inlineStr">
        <is>
          <t>DIG</t>
        </is>
      </c>
      <c r="E490" t="inlineStr">
        <is>
          <t>2025-01</t>
        </is>
      </c>
      <c r="F490" t="n">
        <v>275.5</v>
      </c>
      <c r="G490" t="n">
        <v>325.09</v>
      </c>
      <c r="H490">
        <f>הגדרות!B5</f>
        <v/>
      </c>
      <c r="I490">
        <f>F490*(1-H490/100)*1.18</f>
        <v/>
      </c>
      <c r="J490">
        <f>הגדרות!C5</f>
        <v/>
      </c>
      <c r="K490">
        <f>הגדרות!D5</f>
        <v/>
      </c>
      <c r="L490">
        <f>I490*(1+J490/100)+K490</f>
        <v/>
      </c>
    </row>
    <row r="491">
      <c r="A491" t="inlineStr">
        <is>
          <t>IDEXX — רפרנס</t>
        </is>
      </c>
      <c r="B491" t="inlineStr">
        <is>
          <t>Canine Digoxin Profile (Interpreted)</t>
        </is>
      </c>
      <c r="D491" t="inlineStr">
        <is>
          <t>DIGM</t>
        </is>
      </c>
      <c r="E491" t="inlineStr">
        <is>
          <t>2025-01</t>
        </is>
      </c>
      <c r="F491" t="n">
        <v>777.2</v>
      </c>
      <c r="G491" t="n">
        <v>917.1</v>
      </c>
      <c r="H491">
        <f>הגדרות!B5</f>
        <v/>
      </c>
      <c r="I491">
        <f>F491*(1-H491/100)*1.18</f>
        <v/>
      </c>
      <c r="J491">
        <f>הגדרות!C5</f>
        <v/>
      </c>
      <c r="K491">
        <f>הגדרות!D5</f>
        <v/>
      </c>
      <c r="L491">
        <f>I491*(1+J491/100)+K491</f>
        <v/>
      </c>
    </row>
    <row r="492">
      <c r="A492" t="inlineStr">
        <is>
          <t>IDEXX — רפרנס</t>
        </is>
      </c>
      <c r="B492" t="inlineStr">
        <is>
          <t>Feline Digoxin Profile (Interpreted)</t>
        </is>
      </c>
      <c r="D492" t="inlineStr">
        <is>
          <t>DIGMF</t>
        </is>
      </c>
      <c r="E492" t="inlineStr">
        <is>
          <t>2025-01</t>
        </is>
      </c>
      <c r="F492" t="n">
        <v>777.2</v>
      </c>
      <c r="G492" t="n">
        <v>917.1</v>
      </c>
      <c r="H492">
        <f>הגדרות!B5</f>
        <v/>
      </c>
      <c r="I492">
        <f>F492*(1-H492/100)*1.18</f>
        <v/>
      </c>
      <c r="J492">
        <f>הגדרות!C5</f>
        <v/>
      </c>
      <c r="K492">
        <f>הגדרות!D5</f>
        <v/>
      </c>
      <c r="L492">
        <f>I492*(1+J492/100)+K492</f>
        <v/>
      </c>
    </row>
    <row r="493">
      <c r="A493" t="inlineStr">
        <is>
          <t>IDEXX — רפרנס</t>
        </is>
      </c>
      <c r="B493" t="inlineStr">
        <is>
          <t>Dexamethasone Suppression Test (Feline)</t>
        </is>
      </c>
      <c r="D493" t="inlineStr">
        <is>
          <t>DSTC</t>
        </is>
      </c>
      <c r="E493" t="inlineStr">
        <is>
          <t>2025-01</t>
        </is>
      </c>
      <c r="F493" t="n">
        <v>556.8</v>
      </c>
      <c r="G493" t="n">
        <v>657.02</v>
      </c>
      <c r="H493">
        <f>הגדרות!B5</f>
        <v/>
      </c>
      <c r="I493">
        <f>F493*(1-H493/100)*1.18</f>
        <v/>
      </c>
      <c r="J493">
        <f>הגדרות!C5</f>
        <v/>
      </c>
      <c r="K493">
        <f>הגדרות!D5</f>
        <v/>
      </c>
      <c r="L493">
        <f>I493*(1+J493/100)+K493</f>
        <v/>
      </c>
    </row>
    <row r="494">
      <c r="A494" t="inlineStr">
        <is>
          <t>IDEXX — רפרנס</t>
        </is>
      </c>
      <c r="B494" t="inlineStr">
        <is>
          <t>E. coli O157 culture</t>
        </is>
      </c>
      <c r="D494" t="inlineStr">
        <is>
          <t>EC157</t>
        </is>
      </c>
      <c r="E494" t="inlineStr">
        <is>
          <t>2025-01</t>
        </is>
      </c>
      <c r="F494" t="n">
        <v>365.4</v>
      </c>
      <c r="G494" t="n">
        <v>431.17</v>
      </c>
      <c r="H494">
        <f>הגדרות!B5</f>
        <v/>
      </c>
      <c r="I494">
        <f>F494*(1-H494/100)*1.18</f>
        <v/>
      </c>
      <c r="J494">
        <f>הגדרות!C5</f>
        <v/>
      </c>
      <c r="K494">
        <f>הגדרות!D5</f>
        <v/>
      </c>
      <c r="L494">
        <f>I494*(1+J494/100)+K494</f>
        <v/>
      </c>
    </row>
    <row r="495">
      <c r="A495" t="inlineStr">
        <is>
          <t>IDEXX — רפרנס</t>
        </is>
      </c>
      <c r="B495" t="inlineStr">
        <is>
          <t>Clostridial Toxin Screen (Equine)</t>
        </is>
      </c>
      <c r="D495" t="inlineStr">
        <is>
          <t>ECTS</t>
        </is>
      </c>
      <c r="E495" t="inlineStr">
        <is>
          <t>2025-01</t>
        </is>
      </c>
      <c r="F495" t="n">
        <v>577.1</v>
      </c>
      <c r="G495" t="n">
        <v>680.98</v>
      </c>
      <c r="H495">
        <f>הגדרות!B5</f>
        <v/>
      </c>
      <c r="I495">
        <f>F495*(1-H495/100)*1.18</f>
        <v/>
      </c>
      <c r="J495">
        <f>הגדרות!C5</f>
        <v/>
      </c>
      <c r="K495">
        <f>הגדרות!D5</f>
        <v/>
      </c>
      <c r="L495">
        <f>I495*(1+J495/100)+K495</f>
        <v/>
      </c>
    </row>
    <row r="496">
      <c r="A496" t="inlineStr">
        <is>
          <t>IDEXX — רפרנס</t>
        </is>
      </c>
      <c r="B496" t="inlineStr">
        <is>
          <t>Dexamethasone Suppression (Equine)</t>
        </is>
      </c>
      <c r="D496" t="inlineStr">
        <is>
          <t>EDEX</t>
        </is>
      </c>
      <c r="E496" t="inlineStr">
        <is>
          <t>2025-01</t>
        </is>
      </c>
      <c r="F496" t="n">
        <v>408.9</v>
      </c>
      <c r="G496" t="n">
        <v>482.5</v>
      </c>
      <c r="H496">
        <f>הגדרות!B5</f>
        <v/>
      </c>
      <c r="I496">
        <f>F496*(1-H496/100)*1.18</f>
        <v/>
      </c>
      <c r="J496">
        <f>הגדרות!C5</f>
        <v/>
      </c>
      <c r="K496">
        <f>הגדרות!D5</f>
        <v/>
      </c>
      <c r="L496">
        <f>I496*(1+J496/100)+K496</f>
        <v/>
      </c>
    </row>
    <row r="497">
      <c r="A497" t="inlineStr">
        <is>
          <t>IDEXX — רפרנס</t>
        </is>
      </c>
      <c r="B497" t="inlineStr">
        <is>
          <t>Equine Diarrhoea Panel</t>
        </is>
      </c>
      <c r="D497" t="inlineStr">
        <is>
          <t>EDPP</t>
        </is>
      </c>
      <c r="E497" t="inlineStr">
        <is>
          <t>2025-01</t>
        </is>
      </c>
      <c r="F497" t="n">
        <v>1099.1</v>
      </c>
      <c r="G497" t="n">
        <v>1296.94</v>
      </c>
      <c r="H497">
        <f>הגדרות!B5</f>
        <v/>
      </c>
      <c r="I497">
        <f>F497*(1-H497/100)*1.18</f>
        <v/>
      </c>
      <c r="J497">
        <f>הגדרות!C5</f>
        <v/>
      </c>
      <c r="K497">
        <f>הגדרות!D5</f>
        <v/>
      </c>
      <c r="L497">
        <f>I497*(1+J497/100)+K497</f>
        <v/>
      </c>
    </row>
    <row r="498">
      <c r="A498" t="inlineStr">
        <is>
          <t>IDEXX — רפרנס</t>
        </is>
      </c>
      <c r="B498" t="inlineStr">
        <is>
          <t>Fitness Profile</t>
        </is>
      </c>
      <c r="D498" t="inlineStr">
        <is>
          <t>EF</t>
        </is>
      </c>
      <c r="E498" t="inlineStr">
        <is>
          <t>2025-01</t>
        </is>
      </c>
      <c r="F498" t="n">
        <v>362.5</v>
      </c>
      <c r="G498" t="n">
        <v>427.75</v>
      </c>
      <c r="H498">
        <f>הגדרות!B5</f>
        <v/>
      </c>
      <c r="I498">
        <f>F498*(1-H498/100)*1.18</f>
        <v/>
      </c>
      <c r="J498">
        <f>הגדרות!C5</f>
        <v/>
      </c>
      <c r="K498">
        <f>הגדרות!D5</f>
        <v/>
      </c>
      <c r="L498">
        <f>I498*(1+J498/100)+K498</f>
        <v/>
      </c>
    </row>
    <row r="499">
      <c r="A499" t="inlineStr">
        <is>
          <t>IDEXX — רפרנס</t>
        </is>
      </c>
      <c r="B499" t="inlineStr">
        <is>
          <t>Herpes Antibody</t>
        </is>
      </c>
      <c r="D499" t="inlineStr">
        <is>
          <t>EHV</t>
        </is>
      </c>
      <c r="E499" t="inlineStr">
        <is>
          <t>2025-01</t>
        </is>
      </c>
      <c r="F499" t="n">
        <v>716.3</v>
      </c>
      <c r="G499" t="n">
        <v>845.23</v>
      </c>
      <c r="H499">
        <f>הגדרות!B5</f>
        <v/>
      </c>
      <c r="I499">
        <f>F499*(1-H499/100)*1.18</f>
        <v/>
      </c>
      <c r="J499">
        <f>הגדרות!C5</f>
        <v/>
      </c>
      <c r="K499">
        <f>הגדרות!D5</f>
        <v/>
      </c>
      <c r="L499">
        <f>I499*(1+J499/100)+K499</f>
        <v/>
      </c>
    </row>
    <row r="500">
      <c r="A500" t="inlineStr">
        <is>
          <t>IDEXX — רפרנס</t>
        </is>
      </c>
      <c r="B500" t="inlineStr">
        <is>
          <t>Equine Lead</t>
        </is>
      </c>
      <c r="D500" t="inlineStr">
        <is>
          <t>ELEAD</t>
        </is>
      </c>
      <c r="E500" t="inlineStr">
        <is>
          <t>2025-01</t>
        </is>
      </c>
      <c r="F500" t="n">
        <v>211.7</v>
      </c>
      <c r="G500" t="n">
        <v>249.81</v>
      </c>
      <c r="H500">
        <f>הגדרות!B5</f>
        <v/>
      </c>
      <c r="I500">
        <f>F500*(1-H500/100)*1.18</f>
        <v/>
      </c>
      <c r="J500">
        <f>הגדרות!C5</f>
        <v/>
      </c>
      <c r="K500">
        <f>הגדרות!D5</f>
        <v/>
      </c>
      <c r="L500">
        <f>I500*(1+J500/100)+K500</f>
        <v/>
      </c>
    </row>
    <row r="501">
      <c r="A501" t="inlineStr">
        <is>
          <t>IDEXX — רפרנס</t>
        </is>
      </c>
      <c r="B501" t="inlineStr">
        <is>
          <t>Equine Lyme and Anaplasma Antibody Screen</t>
        </is>
      </c>
      <c r="D501" t="inlineStr">
        <is>
          <t>ELYAN</t>
        </is>
      </c>
      <c r="E501" t="inlineStr">
        <is>
          <t>2025-01</t>
        </is>
      </c>
      <c r="F501" t="n">
        <v>490.1</v>
      </c>
      <c r="G501" t="n">
        <v>578.3200000000001</v>
      </c>
      <c r="H501">
        <f>הגדרות!B5</f>
        <v/>
      </c>
      <c r="I501">
        <f>F501*(1-H501/100)*1.18</f>
        <v/>
      </c>
      <c r="J501">
        <f>הגדרות!C5</f>
        <v/>
      </c>
      <c r="K501">
        <f>הגדרות!D5</f>
        <v/>
      </c>
      <c r="L501">
        <f>I501*(1+J501/100)+K501</f>
        <v/>
      </c>
    </row>
    <row r="502">
      <c r="A502" t="inlineStr">
        <is>
          <t>IDEXX — רפרנס</t>
        </is>
      </c>
      <c r="B502" t="inlineStr">
        <is>
          <t>Encephalitozoon Cuniculi PCR</t>
        </is>
      </c>
      <c r="D502" t="inlineStr">
        <is>
          <t>ENCPCR</t>
        </is>
      </c>
      <c r="E502" t="inlineStr">
        <is>
          <t>2025-01</t>
        </is>
      </c>
      <c r="F502" t="n">
        <v>368.3</v>
      </c>
      <c r="G502" t="n">
        <v>434.59</v>
      </c>
      <c r="H502">
        <f>הגדרות!B5</f>
        <v/>
      </c>
      <c r="I502">
        <f>F502*(1-H502/100)*1.18</f>
        <v/>
      </c>
      <c r="J502">
        <f>הגדרות!C5</f>
        <v/>
      </c>
      <c r="K502">
        <f>הגדרות!D5</f>
        <v/>
      </c>
      <c r="L502">
        <f>I502*(1+J502/100)+K502</f>
        <v/>
      </c>
    </row>
    <row r="503">
      <c r="A503" t="inlineStr">
        <is>
          <t>IDEXX — רפרנס</t>
        </is>
      </c>
      <c r="B503" t="inlineStr">
        <is>
          <t>Encephalitozoon Cuniculi Antibody</t>
        </is>
      </c>
      <c r="D503" t="inlineStr">
        <is>
          <t>ENCR</t>
        </is>
      </c>
      <c r="E503" t="inlineStr">
        <is>
          <t>2025-01</t>
        </is>
      </c>
      <c r="F503" t="n">
        <v>719.2</v>
      </c>
      <c r="G503" t="n">
        <v>848.66</v>
      </c>
      <c r="H503">
        <f>הגדרות!B5</f>
        <v/>
      </c>
      <c r="I503">
        <f>F503*(1-H503/100)*1.18</f>
        <v/>
      </c>
      <c r="J503">
        <f>הגדרות!C5</f>
        <v/>
      </c>
      <c r="K503">
        <f>הגדרות!D5</f>
        <v/>
      </c>
      <c r="L503">
        <f>I503*(1+J503/100)+K503</f>
        <v/>
      </c>
    </row>
    <row r="504">
      <c r="A504" t="inlineStr">
        <is>
          <t>IDEXX — רפרנס</t>
        </is>
      </c>
      <c r="B504" t="inlineStr">
        <is>
          <t>Energy / Protein Profile</t>
        </is>
      </c>
      <c r="D504" t="inlineStr">
        <is>
          <t>ENP</t>
        </is>
      </c>
      <c r="E504" t="inlineStr">
        <is>
          <t>2025-01</t>
        </is>
      </c>
      <c r="F504" t="n">
        <v>150.8</v>
      </c>
      <c r="G504" t="n">
        <v>177.94</v>
      </c>
      <c r="H504">
        <f>הגדרות!B5</f>
        <v/>
      </c>
      <c r="I504">
        <f>F504*(1-H504/100)*1.18</f>
        <v/>
      </c>
      <c r="J504">
        <f>הגדרות!C5</f>
        <v/>
      </c>
      <c r="K504">
        <f>הגדרות!D5</f>
        <v/>
      </c>
      <c r="L504">
        <f>I504*(1+J504/100)+K504</f>
        <v/>
      </c>
    </row>
    <row r="505">
      <c r="A505" t="inlineStr">
        <is>
          <t>IDEXX — רפרנס</t>
        </is>
      </c>
      <c r="B505" t="inlineStr">
        <is>
          <t>Basic Profile</t>
        </is>
      </c>
      <c r="D505" t="inlineStr">
        <is>
          <t>EP</t>
        </is>
      </c>
      <c r="E505" t="inlineStr">
        <is>
          <t>2025-01</t>
        </is>
      </c>
      <c r="F505" t="n">
        <v>420.5</v>
      </c>
      <c r="G505" t="n">
        <v>496.19</v>
      </c>
      <c r="H505">
        <f>הגדרות!B5</f>
        <v/>
      </c>
      <c r="I505">
        <f>F505*(1-H505/100)*1.18</f>
        <v/>
      </c>
      <c r="J505">
        <f>הגדרות!C5</f>
        <v/>
      </c>
      <c r="K505">
        <f>הגדרות!D5</f>
        <v/>
      </c>
      <c r="L505">
        <f>I505*(1+J505/100)+K505</f>
        <v/>
      </c>
    </row>
    <row r="506">
      <c r="A506" t="inlineStr">
        <is>
          <t>IDEXX — רפרנס</t>
        </is>
      </c>
      <c r="B506" t="inlineStr">
        <is>
          <t>Equine Upper Respiratory Panel</t>
        </is>
      </c>
      <c r="D506" t="inlineStr">
        <is>
          <t>EUR1</t>
        </is>
      </c>
      <c r="E506" t="inlineStr">
        <is>
          <t>2025-01</t>
        </is>
      </c>
      <c r="F506" t="n">
        <v>872.9</v>
      </c>
      <c r="G506" t="n">
        <v>1030.02</v>
      </c>
      <c r="H506">
        <f>הגדרות!B5</f>
        <v/>
      </c>
      <c r="I506">
        <f>F506*(1-H506/100)*1.18</f>
        <v/>
      </c>
      <c r="J506">
        <f>הגדרות!C5</f>
        <v/>
      </c>
      <c r="K506">
        <f>הגדרות!D5</f>
        <v/>
      </c>
      <c r="L506">
        <f>I506*(1+J506/100)+K506</f>
        <v/>
      </c>
    </row>
    <row r="507">
      <c r="A507" t="inlineStr">
        <is>
          <t>IDEXX — רפרנס</t>
        </is>
      </c>
      <c r="B507" t="inlineStr">
        <is>
          <t>Comprehensive Profile</t>
        </is>
      </c>
      <c r="D507" t="inlineStr">
        <is>
          <t>EX</t>
        </is>
      </c>
      <c r="E507" t="inlineStr">
        <is>
          <t>2025-01</t>
        </is>
      </c>
      <c r="F507" t="n">
        <v>548.1</v>
      </c>
      <c r="G507" t="n">
        <v>646.76</v>
      </c>
      <c r="H507">
        <f>הגדרות!B5</f>
        <v/>
      </c>
      <c r="I507">
        <f>F507*(1-H507/100)*1.18</f>
        <v/>
      </c>
      <c r="J507">
        <f>הגדרות!C5</f>
        <v/>
      </c>
      <c r="K507">
        <f>הגדרות!D5</f>
        <v/>
      </c>
      <c r="L507">
        <f>I507*(1+J507/100)+K507</f>
        <v/>
      </c>
    </row>
    <row r="508">
      <c r="A508" t="inlineStr">
        <is>
          <t>IDEXX — רפרנס</t>
        </is>
      </c>
      <c r="B508" t="inlineStr">
        <is>
          <t>Cobalamin &amp; Folate (Canine)</t>
        </is>
      </c>
      <c r="D508" t="inlineStr">
        <is>
          <t>F/CB</t>
        </is>
      </c>
      <c r="E508" t="inlineStr">
        <is>
          <t>2025-01</t>
        </is>
      </c>
      <c r="F508" t="n">
        <v>339.3</v>
      </c>
      <c r="G508" t="n">
        <v>400.37</v>
      </c>
      <c r="H508">
        <f>הגדרות!B5</f>
        <v/>
      </c>
      <c r="I508">
        <f>F508*(1-H508/100)*1.18</f>
        <v/>
      </c>
      <c r="J508">
        <f>הגדרות!C5</f>
        <v/>
      </c>
      <c r="K508">
        <f>הגדרות!D5</f>
        <v/>
      </c>
      <c r="L508">
        <f>I508*(1+J508/100)+K508</f>
        <v/>
      </c>
    </row>
    <row r="509">
      <c r="A509" t="inlineStr">
        <is>
          <t>IDEXX — רפרנס</t>
        </is>
      </c>
      <c r="B509" t="inlineStr">
        <is>
          <t>Ferret Adrenal Panel</t>
        </is>
      </c>
      <c r="D509" t="inlineStr">
        <is>
          <t>FAP2</t>
        </is>
      </c>
      <c r="E509" t="inlineStr">
        <is>
          <t>2025-01</t>
        </is>
      </c>
      <c r="F509" t="n">
        <v>1612.4</v>
      </c>
      <c r="G509" t="n">
        <v>1902.63</v>
      </c>
      <c r="H509">
        <f>הגדרות!B5</f>
        <v/>
      </c>
      <c r="I509">
        <f>F509*(1-H509/100)*1.18</f>
        <v/>
      </c>
      <c r="J509">
        <f>הגדרות!C5</f>
        <v/>
      </c>
      <c r="K509">
        <f>הגדרות!D5</f>
        <v/>
      </c>
      <c r="L509">
        <f>I509*(1+J509/100)+K509</f>
        <v/>
      </c>
    </row>
    <row r="510">
      <c r="A510" t="inlineStr">
        <is>
          <t>IDEXX — רפרנס</t>
        </is>
      </c>
      <c r="B510" t="inlineStr">
        <is>
          <t>Feline Anaemia Profile (Interpreted)</t>
        </is>
      </c>
      <c r="D510" t="inlineStr">
        <is>
          <t>FAS</t>
        </is>
      </c>
      <c r="E510" t="inlineStr">
        <is>
          <t>2025-01</t>
        </is>
      </c>
      <c r="F510" t="n">
        <v>1281.8</v>
      </c>
      <c r="G510" t="n">
        <v>1512.52</v>
      </c>
      <c r="H510">
        <f>הגדרות!B5</f>
        <v/>
      </c>
      <c r="I510">
        <f>F510*(1-H510/100)*1.18</f>
        <v/>
      </c>
      <c r="J510">
        <f>הגדרות!C5</f>
        <v/>
      </c>
      <c r="K510">
        <f>הגדרות!D5</f>
        <v/>
      </c>
      <c r="L510">
        <f>I510*(1+J510/100)+K510</f>
        <v/>
      </c>
    </row>
    <row r="511">
      <c r="A511" t="inlineStr">
        <is>
          <t>IDEXX — רפרנס</t>
        </is>
      </c>
      <c r="B511" t="inlineStr">
        <is>
          <t>IDEXX CBC-Select (Avian/Reptile)</t>
        </is>
      </c>
      <c r="D511" t="inlineStr">
        <is>
          <t>FBCE</t>
        </is>
      </c>
      <c r="E511" t="inlineStr">
        <is>
          <t>2025-01</t>
        </is>
      </c>
      <c r="F511" t="n">
        <v>310.3</v>
      </c>
      <c r="G511" t="n">
        <v>366.15</v>
      </c>
      <c r="H511">
        <f>הגדרות!B5</f>
        <v/>
      </c>
      <c r="I511">
        <f>F511*(1-H511/100)*1.18</f>
        <v/>
      </c>
      <c r="J511">
        <f>הגדרות!C5</f>
        <v/>
      </c>
      <c r="K511">
        <f>הגדרות!D5</f>
        <v/>
      </c>
      <c r="L511">
        <f>I511*(1+J511/100)+K511</f>
        <v/>
      </c>
    </row>
    <row r="512">
      <c r="A512" t="inlineStr">
        <is>
          <t>IDEXX — רפרנס</t>
        </is>
      </c>
      <c r="B512" t="inlineStr">
        <is>
          <t>IDEXX CBC-Select (Equine)</t>
        </is>
      </c>
      <c r="D512" t="inlineStr">
        <is>
          <t>FBCL</t>
        </is>
      </c>
      <c r="E512" t="inlineStr">
        <is>
          <t>2025-01</t>
        </is>
      </c>
      <c r="F512" t="n">
        <v>223.3</v>
      </c>
      <c r="G512" t="n">
        <v>263.49</v>
      </c>
      <c r="H512">
        <f>הגדרות!B5</f>
        <v/>
      </c>
      <c r="I512">
        <f>F512*(1-H512/100)*1.18</f>
        <v/>
      </c>
      <c r="J512">
        <f>הגדרות!C5</f>
        <v/>
      </c>
      <c r="K512">
        <f>הגדרות!D5</f>
        <v/>
      </c>
      <c r="L512">
        <f>I512*(1+J512/100)+K512</f>
        <v/>
      </c>
    </row>
    <row r="513">
      <c r="A513" t="inlineStr">
        <is>
          <t>IDEXX — רפרנס</t>
        </is>
      </c>
      <c r="B513" t="inlineStr">
        <is>
          <t>IDEXX CBC-Select (Livestock)</t>
        </is>
      </c>
      <c r="D513" t="inlineStr">
        <is>
          <t>FBCLPD</t>
        </is>
      </c>
      <c r="E513" t="inlineStr">
        <is>
          <t>2025-01</t>
        </is>
      </c>
      <c r="F513" t="n">
        <v>223.3</v>
      </c>
      <c r="G513" t="n">
        <v>263.49</v>
      </c>
      <c r="H513">
        <f>הגדרות!B5</f>
        <v/>
      </c>
      <c r="I513">
        <f>F513*(1-H513/100)*1.18</f>
        <v/>
      </c>
      <c r="J513">
        <f>הגדרות!C5</f>
        <v/>
      </c>
      <c r="K513">
        <f>הגדרות!D5</f>
        <v/>
      </c>
      <c r="L513">
        <f>I513*(1+J513/100)+K513</f>
        <v/>
      </c>
    </row>
    <row r="514">
      <c r="A514" t="inlineStr">
        <is>
          <t>IDEXX — רפרנס</t>
        </is>
      </c>
      <c r="B514" t="inlineStr">
        <is>
          <t>IDEXX CBC-Select</t>
        </is>
      </c>
      <c r="D514" t="inlineStr">
        <is>
          <t>FBCS</t>
        </is>
      </c>
      <c r="E514" t="inlineStr">
        <is>
          <t>2025-01</t>
        </is>
      </c>
      <c r="F514" t="n">
        <v>223.3</v>
      </c>
      <c r="G514" t="n">
        <v>263.49</v>
      </c>
      <c r="H514">
        <f>הגדרות!B5</f>
        <v/>
      </c>
      <c r="I514">
        <f>F514*(1-H514/100)*1.18</f>
        <v/>
      </c>
      <c r="J514">
        <f>הגדרות!C5</f>
        <v/>
      </c>
      <c r="K514">
        <f>הגדרות!D5</f>
        <v/>
      </c>
      <c r="L514">
        <f>I514*(1+J514/100)+K514</f>
        <v/>
      </c>
    </row>
    <row r="515">
      <c r="A515" t="inlineStr">
        <is>
          <t>IDEXX — רפרנס</t>
        </is>
      </c>
      <c r="B515" t="inlineStr">
        <is>
          <t>Cardiopet proBNP (Feline)</t>
        </is>
      </c>
      <c r="D515" t="inlineStr">
        <is>
          <t>FBNP</t>
        </is>
      </c>
      <c r="E515" t="inlineStr">
        <is>
          <t>2025-01</t>
        </is>
      </c>
      <c r="F515" t="n">
        <v>394.4</v>
      </c>
      <c r="G515" t="n">
        <v>465.39</v>
      </c>
      <c r="H515">
        <f>הגדרות!B5</f>
        <v/>
      </c>
      <c r="I515">
        <f>F515*(1-H515/100)*1.18</f>
        <v/>
      </c>
      <c r="J515">
        <f>הגדרות!C5</f>
        <v/>
      </c>
      <c r="K515">
        <f>הגדרות!D5</f>
        <v/>
      </c>
      <c r="L515">
        <f>I515*(1+J515/100)+K515</f>
        <v/>
      </c>
    </row>
    <row r="516">
      <c r="A516" t="inlineStr">
        <is>
          <t>IDEXX — רפרנס</t>
        </is>
      </c>
      <c r="B516" t="inlineStr">
        <is>
          <t>Coombs' (Feline)</t>
        </is>
      </c>
      <c r="D516" t="inlineStr">
        <is>
          <t>FC</t>
        </is>
      </c>
      <c r="E516" t="inlineStr">
        <is>
          <t>2025-01</t>
        </is>
      </c>
      <c r="F516" t="n">
        <v>266.8</v>
      </c>
      <c r="G516" t="n">
        <v>314.82</v>
      </c>
      <c r="H516">
        <f>הגדרות!B5</f>
        <v/>
      </c>
      <c r="I516">
        <f>F516*(1-H516/100)*1.18</f>
        <v/>
      </c>
      <c r="J516">
        <f>הגדרות!C5</f>
        <v/>
      </c>
      <c r="K516">
        <f>הגדרות!D5</f>
        <v/>
      </c>
      <c r="L516">
        <f>I516*(1+J516/100)+K516</f>
        <v/>
      </c>
    </row>
    <row r="517">
      <c r="A517" t="inlineStr">
        <is>
          <t>IDEXX — רפרנס</t>
        </is>
      </c>
      <c r="B517" t="inlineStr">
        <is>
          <t>Feline Coronavirus (RNA) RealPCR™</t>
        </is>
      </c>
      <c r="D517" t="inlineStr">
        <is>
          <t>FCOP</t>
        </is>
      </c>
      <c r="E517" t="inlineStr">
        <is>
          <t>2025-01</t>
        </is>
      </c>
      <c r="F517" t="n">
        <v>368.3</v>
      </c>
      <c r="G517" t="n">
        <v>434.59</v>
      </c>
      <c r="H517">
        <f>הגדרות!B5</f>
        <v/>
      </c>
      <c r="I517">
        <f>F517*(1-H517/100)*1.18</f>
        <v/>
      </c>
      <c r="J517">
        <f>הגדרות!C5</f>
        <v/>
      </c>
      <c r="K517">
        <f>הגדרות!D5</f>
        <v/>
      </c>
      <c r="L517">
        <f>I517*(1+J517/100)+K517</f>
        <v/>
      </c>
    </row>
    <row r="518">
      <c r="A518" t="inlineStr">
        <is>
          <t>IDEXX — רפרנס</t>
        </is>
      </c>
      <c r="B518" t="inlineStr">
        <is>
          <t>Dermatophyte Culture &amp; Identification</t>
        </is>
      </c>
      <c r="D518" t="inlineStr">
        <is>
          <t>FCUL</t>
        </is>
      </c>
      <c r="E518" t="inlineStr">
        <is>
          <t>2025-01</t>
        </is>
      </c>
      <c r="F518" t="n">
        <v>208.8</v>
      </c>
      <c r="G518" t="n">
        <v>246.38</v>
      </c>
      <c r="H518">
        <f>הגדרות!B5</f>
        <v/>
      </c>
      <c r="I518">
        <f>F518*(1-H518/100)*1.18</f>
        <v/>
      </c>
      <c r="J518">
        <f>הגדרות!C5</f>
        <v/>
      </c>
      <c r="K518">
        <f>הגדרות!D5</f>
        <v/>
      </c>
      <c r="L518">
        <f>I518*(1+J518/100)+K518</f>
        <v/>
      </c>
    </row>
    <row r="519">
      <c r="A519" t="inlineStr">
        <is>
          <t>IDEXX — רפרנס</t>
        </is>
      </c>
      <c r="B519" t="inlineStr">
        <is>
          <t>Basic Equine Faecal Screen</t>
        </is>
      </c>
      <c r="D519" t="inlineStr">
        <is>
          <t>FEA</t>
        </is>
      </c>
      <c r="E519" t="inlineStr">
        <is>
          <t>2025-01</t>
        </is>
      </c>
      <c r="F519" t="n">
        <v>290</v>
      </c>
      <c r="G519" t="n">
        <v>342.2</v>
      </c>
      <c r="H519">
        <f>הגדרות!B5</f>
        <v/>
      </c>
      <c r="I519">
        <f>F519*(1-H519/100)*1.18</f>
        <v/>
      </c>
      <c r="J519">
        <f>הגדרות!C5</f>
        <v/>
      </c>
      <c r="K519">
        <f>הגדרות!D5</f>
        <v/>
      </c>
      <c r="L519">
        <f>I519*(1+J519/100)+K519</f>
        <v/>
      </c>
    </row>
    <row r="520">
      <c r="A520" t="inlineStr">
        <is>
          <t>IDEXX — רפרנס</t>
        </is>
      </c>
      <c r="B520" t="inlineStr">
        <is>
          <t>Comprehensive Equine Faecal Screen</t>
        </is>
      </c>
      <c r="D520" t="inlineStr">
        <is>
          <t>FEAF</t>
        </is>
      </c>
      <c r="E520" t="inlineStr">
        <is>
          <t>2025-01</t>
        </is>
      </c>
      <c r="F520" t="n">
        <v>414.7</v>
      </c>
      <c r="G520" t="n">
        <v>489.35</v>
      </c>
      <c r="H520">
        <f>הגדרות!B5</f>
        <v/>
      </c>
      <c r="I520">
        <f>F520*(1-H520/100)*1.18</f>
        <v/>
      </c>
      <c r="J520">
        <f>הגדרות!C5</f>
        <v/>
      </c>
      <c r="K520">
        <f>הגדרות!D5</f>
        <v/>
      </c>
      <c r="L520">
        <f>I520*(1+J520/100)+K520</f>
        <v/>
      </c>
    </row>
    <row r="521">
      <c r="A521" t="inlineStr">
        <is>
          <t>IDEXX — רפרנס</t>
        </is>
      </c>
      <c r="B521" t="inlineStr">
        <is>
          <t>Faecal Dx® Antigen Panel with Giardia</t>
        </is>
      </c>
      <c r="D521" t="inlineStr">
        <is>
          <t>FECGP</t>
        </is>
      </c>
      <c r="E521" t="inlineStr">
        <is>
          <t>2025-01</t>
        </is>
      </c>
      <c r="F521" t="n">
        <v>301.6</v>
      </c>
      <c r="G521" t="n">
        <v>355.89</v>
      </c>
      <c r="H521">
        <f>הגדרות!B5</f>
        <v/>
      </c>
      <c r="I521">
        <f>F521*(1-H521/100)*1.18</f>
        <v/>
      </c>
      <c r="J521">
        <f>הגדרות!C5</f>
        <v/>
      </c>
      <c r="K521">
        <f>הגדרות!D5</f>
        <v/>
      </c>
      <c r="L521">
        <f>I521*(1+J521/100)+K521</f>
        <v/>
      </c>
    </row>
    <row r="522">
      <c r="A522" t="inlineStr">
        <is>
          <t>IDEXX — רפרנס</t>
        </is>
      </c>
      <c r="B522" t="inlineStr">
        <is>
          <t>Basic Equine Faecal - Foal</t>
        </is>
      </c>
      <c r="D522" t="inlineStr">
        <is>
          <t>FEF</t>
        </is>
      </c>
      <c r="E522" t="inlineStr">
        <is>
          <t>2025-01</t>
        </is>
      </c>
      <c r="F522" t="n">
        <v>458.2</v>
      </c>
      <c r="G522" t="n">
        <v>540.6799999999999</v>
      </c>
      <c r="H522">
        <f>הגדרות!B5</f>
        <v/>
      </c>
      <c r="I522">
        <f>F522*(1-H522/100)*1.18</f>
        <v/>
      </c>
      <c r="J522">
        <f>הגדרות!C5</f>
        <v/>
      </c>
      <c r="K522">
        <f>הגדרות!D5</f>
        <v/>
      </c>
      <c r="L522">
        <f>I522*(1+J522/100)+K522</f>
        <v/>
      </c>
    </row>
    <row r="523">
      <c r="A523" t="inlineStr">
        <is>
          <t>IDEXX — רפרנס</t>
        </is>
      </c>
      <c r="B523" t="inlineStr">
        <is>
          <t>Feline Eye Panel 1</t>
        </is>
      </c>
      <c r="D523" t="inlineStr">
        <is>
          <t>FEP1</t>
        </is>
      </c>
      <c r="E523" t="inlineStr">
        <is>
          <t>2025-01</t>
        </is>
      </c>
      <c r="F523" t="n">
        <v>487.2</v>
      </c>
      <c r="G523" t="n">
        <v>574.9</v>
      </c>
      <c r="H523">
        <f>הגדרות!B5</f>
        <v/>
      </c>
      <c r="I523">
        <f>F523*(1-H523/100)*1.18</f>
        <v/>
      </c>
      <c r="J523">
        <f>הגדרות!C5</f>
        <v/>
      </c>
      <c r="K523">
        <f>הגדרות!D5</f>
        <v/>
      </c>
      <c r="L523">
        <f>I523*(1+J523/100)+K523</f>
        <v/>
      </c>
    </row>
    <row r="524">
      <c r="A524" t="inlineStr">
        <is>
          <t>IDEXX — רפרנס</t>
        </is>
      </c>
      <c r="B524" t="inlineStr">
        <is>
          <t>Feline Eye Panel 1 plus bacterial culture</t>
        </is>
      </c>
      <c r="D524" t="inlineStr">
        <is>
          <t>FEPC</t>
        </is>
      </c>
      <c r="E524" t="inlineStr">
        <is>
          <t>2025-01</t>
        </is>
      </c>
      <c r="F524" t="n">
        <v>678.6</v>
      </c>
      <c r="G524" t="n">
        <v>800.75</v>
      </c>
      <c r="H524">
        <f>הגדרות!B5</f>
        <v/>
      </c>
      <c r="I524">
        <f>F524*(1-H524/100)*1.18</f>
        <v/>
      </c>
      <c r="J524">
        <f>הגדרות!C5</f>
        <v/>
      </c>
      <c r="K524">
        <f>הגדרות!D5</f>
        <v/>
      </c>
      <c r="L524">
        <f>I524*(1+J524/100)+K524</f>
        <v/>
      </c>
    </row>
    <row r="525">
      <c r="A525" t="inlineStr">
        <is>
          <t>IDEXX — רפרנס</t>
        </is>
      </c>
      <c r="B525" t="inlineStr">
        <is>
          <t>Fertility</t>
        </is>
      </c>
      <c r="D525" t="inlineStr">
        <is>
          <t>FERT</t>
        </is>
      </c>
      <c r="E525" t="inlineStr">
        <is>
          <t>2025-01</t>
        </is>
      </c>
      <c r="F525" t="n">
        <v>310.3</v>
      </c>
      <c r="G525" t="n">
        <v>366.15</v>
      </c>
      <c r="H525">
        <f>הגדרות!B5</f>
        <v/>
      </c>
      <c r="I525">
        <f>F525*(1-H525/100)*1.18</f>
        <v/>
      </c>
      <c r="J525">
        <f>הגדרות!C5</f>
        <v/>
      </c>
      <c r="K525">
        <f>הגדרות!D5</f>
        <v/>
      </c>
      <c r="L525">
        <f>I525*(1+J525/100)+K525</f>
        <v/>
      </c>
    </row>
    <row r="526">
      <c r="A526" t="inlineStr">
        <is>
          <t>IDEXX — רפרנס</t>
        </is>
      </c>
      <c r="B526" t="inlineStr">
        <is>
          <t>Faecal Dx® Antigen Panel</t>
        </is>
      </c>
      <c r="D526" t="inlineStr">
        <is>
          <t>FET</t>
        </is>
      </c>
      <c r="E526" t="inlineStr">
        <is>
          <t>2025-01</t>
        </is>
      </c>
      <c r="F526" t="n">
        <v>107.3</v>
      </c>
      <c r="G526" t="n">
        <v>126.61</v>
      </c>
      <c r="H526">
        <f>הגדרות!B5</f>
        <v/>
      </c>
      <c r="I526">
        <f>F526*(1-H526/100)*1.18</f>
        <v/>
      </c>
      <c r="J526">
        <f>הגדרות!C5</f>
        <v/>
      </c>
      <c r="K526">
        <f>הגדרות!D5</f>
        <v/>
      </c>
      <c r="L526">
        <f>I526*(1+J526/100)+K526</f>
        <v/>
      </c>
    </row>
    <row r="527">
      <c r="A527" t="inlineStr">
        <is>
          <t>IDEXX — רפרנס</t>
        </is>
      </c>
      <c r="B527" t="inlineStr">
        <is>
          <t>FeLV Antigen &amp; FIV Antibody</t>
        </is>
      </c>
      <c r="D527" t="inlineStr">
        <is>
          <t>FF</t>
        </is>
      </c>
      <c r="E527" t="inlineStr">
        <is>
          <t>2025-01</t>
        </is>
      </c>
      <c r="F527" t="n">
        <v>377</v>
      </c>
      <c r="G527" t="n">
        <v>444.86</v>
      </c>
      <c r="H527">
        <f>הגדרות!B5</f>
        <v/>
      </c>
      <c r="I527">
        <f>F527*(1-H527/100)*1.18</f>
        <v/>
      </c>
      <c r="J527">
        <f>הגדרות!C5</f>
        <v/>
      </c>
      <c r="K527">
        <f>הגדרות!D5</f>
        <v/>
      </c>
      <c r="L527">
        <f>I527*(1+J527/100)+K527</f>
        <v/>
      </c>
    </row>
    <row r="528">
      <c r="A528" t="inlineStr">
        <is>
          <t>IDEXX — רפרנס</t>
        </is>
      </c>
      <c r="B528" t="inlineStr">
        <is>
          <t>Cobalamin &amp; Folate (Feline)</t>
        </is>
      </c>
      <c r="D528" t="inlineStr">
        <is>
          <t>FFC</t>
        </is>
      </c>
      <c r="E528" t="inlineStr">
        <is>
          <t>2025-01</t>
        </is>
      </c>
      <c r="F528" t="n">
        <v>339.3</v>
      </c>
      <c r="G528" t="n">
        <v>400.37</v>
      </c>
      <c r="H528">
        <f>הגדרות!B5</f>
        <v/>
      </c>
      <c r="I528">
        <f>F528*(1-H528/100)*1.18</f>
        <v/>
      </c>
      <c r="J528">
        <f>הגדרות!C5</f>
        <v/>
      </c>
      <c r="K528">
        <f>הגדרות!D5</f>
        <v/>
      </c>
      <c r="L528">
        <f>I528*(1+J528/100)+K528</f>
        <v/>
      </c>
    </row>
    <row r="529">
      <c r="A529" t="inlineStr">
        <is>
          <t>IDEXX — רפרנס</t>
        </is>
      </c>
      <c r="B529" t="inlineStr">
        <is>
          <t>FeLV Antigen, FIV &amp; Coronavirus Antibody</t>
        </is>
      </c>
      <c r="D529" t="inlineStr">
        <is>
          <t>FFF</t>
        </is>
      </c>
      <c r="E529" t="inlineStr">
        <is>
          <t>2025-01</t>
        </is>
      </c>
      <c r="F529" t="n">
        <v>548.1</v>
      </c>
      <c r="G529" t="n">
        <v>646.76</v>
      </c>
      <c r="H529">
        <f>הגדרות!B5</f>
        <v/>
      </c>
      <c r="I529">
        <f>F529*(1-H529/100)*1.18</f>
        <v/>
      </c>
      <c r="J529">
        <f>הגדרות!C5</f>
        <v/>
      </c>
      <c r="K529">
        <f>הגדרות!D5</f>
        <v/>
      </c>
      <c r="L529">
        <f>I529*(1+J529/100)+K529</f>
        <v/>
      </c>
    </row>
    <row r="530">
      <c r="A530" t="inlineStr">
        <is>
          <t>IDEXX — רפרנס</t>
        </is>
      </c>
      <c r="B530" t="inlineStr">
        <is>
          <t>Spec fPL, Folate &amp; Cobalamin (Feline)</t>
        </is>
      </c>
      <c r="D530" t="inlineStr">
        <is>
          <t>FFFC</t>
        </is>
      </c>
      <c r="E530" t="inlineStr">
        <is>
          <t>2025-01</t>
        </is>
      </c>
      <c r="F530" t="n">
        <v>696</v>
      </c>
      <c r="G530" t="n">
        <v>821.28</v>
      </c>
      <c r="H530">
        <f>הגדרות!B5</f>
        <v/>
      </c>
      <c r="I530">
        <f>F530*(1-H530/100)*1.18</f>
        <v/>
      </c>
      <c r="J530">
        <f>הגדרות!C5</f>
        <v/>
      </c>
      <c r="K530">
        <f>הגדרות!D5</f>
        <v/>
      </c>
      <c r="L530">
        <f>I530*(1+J530/100)+K530</f>
        <v/>
      </c>
    </row>
    <row r="531">
      <c r="A531" t="inlineStr">
        <is>
          <t>IDEXX — רפרנס</t>
        </is>
      </c>
      <c r="B531" t="inlineStr">
        <is>
          <t>Feline Faecal Screen</t>
        </is>
      </c>
      <c r="D531" t="inlineStr">
        <is>
          <t>FFS</t>
        </is>
      </c>
      <c r="E531" t="inlineStr">
        <is>
          <t>2025-01</t>
        </is>
      </c>
      <c r="F531" t="n">
        <v>771.4</v>
      </c>
      <c r="G531" t="n">
        <v>910.25</v>
      </c>
      <c r="H531">
        <f>הגדרות!B5</f>
        <v/>
      </c>
      <c r="I531">
        <f>F531*(1-H531/100)*1.18</f>
        <v/>
      </c>
      <c r="J531">
        <f>הגדרות!C5</f>
        <v/>
      </c>
      <c r="K531">
        <f>הגדרות!D5</f>
        <v/>
      </c>
      <c r="L531">
        <f>I531*(1+J531/100)+K531</f>
        <v/>
      </c>
    </row>
    <row r="532">
      <c r="A532" t="inlineStr">
        <is>
          <t>IDEXX — רפרנס</t>
        </is>
      </c>
      <c r="B532" t="inlineStr">
        <is>
          <t>Gingivitis Profile</t>
        </is>
      </c>
      <c r="D532" t="inlineStr">
        <is>
          <t>FFURS</t>
        </is>
      </c>
      <c r="E532" t="inlineStr">
        <is>
          <t>2025-01</t>
        </is>
      </c>
      <c r="F532" t="n">
        <v>698.9</v>
      </c>
      <c r="G532" t="n">
        <v>824.7</v>
      </c>
      <c r="H532">
        <f>הגדרות!B5</f>
        <v/>
      </c>
      <c r="I532">
        <f>F532*(1-H532/100)*1.18</f>
        <v/>
      </c>
      <c r="J532">
        <f>הגדרות!C5</f>
        <v/>
      </c>
      <c r="K532">
        <f>הגדרות!D5</f>
        <v/>
      </c>
      <c r="L532">
        <f>I532*(1+J532/100)+K532</f>
        <v/>
      </c>
    </row>
    <row r="533">
      <c r="A533" t="inlineStr">
        <is>
          <t>IDEXX — רפרנס</t>
        </is>
      </c>
      <c r="B533" t="inlineStr">
        <is>
          <t>FGF-23</t>
        </is>
      </c>
      <c r="D533" t="inlineStr">
        <is>
          <t>FGF23</t>
        </is>
      </c>
      <c r="E533" t="inlineStr">
        <is>
          <t>2025-01</t>
        </is>
      </c>
      <c r="F533" t="n">
        <v>391.5</v>
      </c>
      <c r="G533" t="n">
        <v>461.97</v>
      </c>
      <c r="H533">
        <f>הגדרות!B5</f>
        <v/>
      </c>
      <c r="I533">
        <f>F533*(1-H533/100)*1.18</f>
        <v/>
      </c>
      <c r="J533">
        <f>הגדרות!C5</f>
        <v/>
      </c>
      <c r="K533">
        <f>הגדרות!D5</f>
        <v/>
      </c>
      <c r="L533">
        <f>I533*(1+J533/100)+K533</f>
        <v/>
      </c>
    </row>
    <row r="534">
      <c r="A534" t="inlineStr">
        <is>
          <t>IDEXX — רפרנס</t>
        </is>
      </c>
      <c r="B534" t="inlineStr">
        <is>
          <t>Blood Typing (Feline)</t>
        </is>
      </c>
      <c r="D534" t="inlineStr">
        <is>
          <t>FGP</t>
        </is>
      </c>
      <c r="E534" t="inlineStr">
        <is>
          <t>2025-01</t>
        </is>
      </c>
      <c r="F534" t="n">
        <v>403.1</v>
      </c>
      <c r="G534" t="n">
        <v>475.66</v>
      </c>
      <c r="H534">
        <f>הגדרות!B5</f>
        <v/>
      </c>
      <c r="I534">
        <f>F534*(1-H534/100)*1.18</f>
        <v/>
      </c>
      <c r="J534">
        <f>הגדרות!C5</f>
        <v/>
      </c>
      <c r="K534">
        <f>הגדרות!D5</f>
        <v/>
      </c>
      <c r="L534">
        <f>I534*(1+J534/100)+K534</f>
        <v/>
      </c>
    </row>
    <row r="535">
      <c r="A535" t="inlineStr">
        <is>
          <t>IDEXX — רפרנס</t>
        </is>
      </c>
      <c r="B535" t="inlineStr">
        <is>
          <t>Heartworm Antibody and Antigen Screen (Feline)</t>
        </is>
      </c>
      <c r="D535" t="inlineStr">
        <is>
          <t>FHW</t>
        </is>
      </c>
      <c r="E535" t="inlineStr">
        <is>
          <t>2025-01</t>
        </is>
      </c>
      <c r="F535" t="n">
        <v>397.3</v>
      </c>
      <c r="G535" t="n">
        <v>468.81</v>
      </c>
      <c r="H535">
        <f>הגדרות!B5</f>
        <v/>
      </c>
      <c r="I535">
        <f>F535*(1-H535/100)*1.18</f>
        <v/>
      </c>
      <c r="J535">
        <f>הגדרות!C5</f>
        <v/>
      </c>
      <c r="K535">
        <f>הגדרות!D5</f>
        <v/>
      </c>
      <c r="L535">
        <f>I535*(1+J535/100)+K535</f>
        <v/>
      </c>
    </row>
    <row r="536">
      <c r="A536" t="inlineStr">
        <is>
          <t>IDEXX — רפרנס</t>
        </is>
      </c>
      <c r="B536" t="inlineStr">
        <is>
          <t>Fibrinogen (Canine &amp; Feline)</t>
        </is>
      </c>
      <c r="D536" t="inlineStr">
        <is>
          <t>FIBC</t>
        </is>
      </c>
      <c r="E536" t="inlineStr">
        <is>
          <t>2025-01</t>
        </is>
      </c>
      <c r="F536" t="n">
        <v>156.6</v>
      </c>
      <c r="G536" t="n">
        <v>184.79</v>
      </c>
      <c r="H536">
        <f>הגדרות!B5</f>
        <v/>
      </c>
      <c r="I536">
        <f>F536*(1-H536/100)*1.18</f>
        <v/>
      </c>
      <c r="J536">
        <f>הגדרות!C5</f>
        <v/>
      </c>
      <c r="K536">
        <f>הגדרות!D5</f>
        <v/>
      </c>
      <c r="L536">
        <f>I536*(1+J536/100)+K536</f>
        <v/>
      </c>
    </row>
    <row r="537">
      <c r="A537" t="inlineStr">
        <is>
          <t>IDEXX — רפרנס</t>
        </is>
      </c>
      <c r="B537" t="inlineStr">
        <is>
          <t>Blood Film Examination</t>
        </is>
      </c>
      <c r="D537" t="inlineStr">
        <is>
          <t>FILM</t>
        </is>
      </c>
      <c r="E537" t="inlineStr">
        <is>
          <t>2025-01</t>
        </is>
      </c>
      <c r="F537" t="n">
        <v>165.3</v>
      </c>
      <c r="G537" t="n">
        <v>195.05</v>
      </c>
      <c r="H537">
        <f>הגדרות!B5</f>
        <v/>
      </c>
      <c r="I537">
        <f>F537*(1-H537/100)*1.18</f>
        <v/>
      </c>
      <c r="J537">
        <f>הגדרות!C5</f>
        <v/>
      </c>
      <c r="K537">
        <f>הגדרות!D5</f>
        <v/>
      </c>
      <c r="L537">
        <f>I537*(1+J537/100)+K537</f>
        <v/>
      </c>
    </row>
    <row r="538">
      <c r="A538" t="inlineStr">
        <is>
          <t>IDEXX — רפרנס</t>
        </is>
      </c>
      <c r="B538" t="inlineStr">
        <is>
          <t>Blood Film Examination (Avian / Reptile)</t>
        </is>
      </c>
      <c r="D538" t="inlineStr">
        <is>
          <t>FILME</t>
        </is>
      </c>
      <c r="E538" t="inlineStr">
        <is>
          <t>2025-01</t>
        </is>
      </c>
      <c r="F538" t="n">
        <v>165.3</v>
      </c>
      <c r="G538" t="n">
        <v>195.05</v>
      </c>
      <c r="H538">
        <f>הגדרות!B5</f>
        <v/>
      </c>
      <c r="I538">
        <f>F538*(1-H538/100)*1.18</f>
        <v/>
      </c>
      <c r="J538">
        <f>הגדרות!C5</f>
        <v/>
      </c>
      <c r="K538">
        <f>הגדרות!D5</f>
        <v/>
      </c>
      <c r="L538">
        <f>I538*(1+J538/100)+K538</f>
        <v/>
      </c>
    </row>
    <row r="539">
      <c r="A539" t="inlineStr">
        <is>
          <t>IDEXX — רפרנס</t>
        </is>
      </c>
      <c r="B539" t="inlineStr">
        <is>
          <t>Vaccination Status (Feline)</t>
        </is>
      </c>
      <c r="D539" t="inlineStr">
        <is>
          <t>FIMM</t>
        </is>
      </c>
      <c r="E539" t="inlineStr">
        <is>
          <t>2025-01</t>
        </is>
      </c>
      <c r="F539" t="n">
        <v>1690.7</v>
      </c>
      <c r="G539" t="n">
        <v>1995.03</v>
      </c>
      <c r="H539">
        <f>הגדרות!B5</f>
        <v/>
      </c>
      <c r="I539">
        <f>F539*(1-H539/100)*1.18</f>
        <v/>
      </c>
      <c r="J539">
        <f>הגדרות!C5</f>
        <v/>
      </c>
      <c r="K539">
        <f>הגדרות!D5</f>
        <v/>
      </c>
      <c r="L539">
        <f>I539*(1+J539/100)+K539</f>
        <v/>
      </c>
    </row>
    <row r="540">
      <c r="A540" t="inlineStr">
        <is>
          <t>IDEXX — רפרנס</t>
        </is>
      </c>
      <c r="B540" t="inlineStr">
        <is>
          <t>Feline Coronavirus Antibody</t>
        </is>
      </c>
      <c r="D540" t="inlineStr">
        <is>
          <t>FIP</t>
        </is>
      </c>
      <c r="E540" t="inlineStr">
        <is>
          <t>2025-01</t>
        </is>
      </c>
      <c r="F540" t="n">
        <v>252.3</v>
      </c>
      <c r="G540" t="n">
        <v>297.71</v>
      </c>
      <c r="H540">
        <f>הגדרות!B5</f>
        <v/>
      </c>
      <c r="I540">
        <f>F540*(1-H540/100)*1.18</f>
        <v/>
      </c>
      <c r="J540">
        <f>הגדרות!C5</f>
        <v/>
      </c>
      <c r="K540">
        <f>הגדרות!D5</f>
        <v/>
      </c>
      <c r="L540">
        <f>I540*(1+J540/100)+K540</f>
        <v/>
      </c>
    </row>
    <row r="541">
      <c r="A541" t="inlineStr">
        <is>
          <t>IDEXX — רפרנס</t>
        </is>
      </c>
      <c r="B541" t="inlineStr">
        <is>
          <t>Feline Coronavirus and Toxoplasma IgG / IgM</t>
        </is>
      </c>
      <c r="D541" t="inlineStr">
        <is>
          <t>FIPT</t>
        </is>
      </c>
      <c r="E541" t="inlineStr">
        <is>
          <t>2025-01</t>
        </is>
      </c>
      <c r="F541" t="n">
        <v>513.3</v>
      </c>
      <c r="G541" t="n">
        <v>605.6900000000001</v>
      </c>
      <c r="H541">
        <f>הגדרות!B5</f>
        <v/>
      </c>
      <c r="I541">
        <f>F541*(1-H541/100)*1.18</f>
        <v/>
      </c>
      <c r="J541">
        <f>הגדרות!C5</f>
        <v/>
      </c>
      <c r="K541">
        <f>הגדרות!D5</f>
        <v/>
      </c>
      <c r="L541">
        <f>I541*(1+J541/100)+K541</f>
        <v/>
      </c>
    </row>
    <row r="542">
      <c r="A542" t="inlineStr">
        <is>
          <t>IDEXX — רפרנס</t>
        </is>
      </c>
      <c r="B542" t="inlineStr">
        <is>
          <t>Feline Lower Respiratory Panel</t>
        </is>
      </c>
      <c r="D542" t="inlineStr">
        <is>
          <t>FLRP</t>
        </is>
      </c>
      <c r="E542" t="inlineStr">
        <is>
          <t>2025-01</t>
        </is>
      </c>
      <c r="F542" t="n">
        <v>667</v>
      </c>
      <c r="G542" t="n">
        <v>787.0599999999999</v>
      </c>
      <c r="H542">
        <f>הגדרות!B5</f>
        <v/>
      </c>
      <c r="I542">
        <f>F542*(1-H542/100)*1.18</f>
        <v/>
      </c>
      <c r="J542">
        <f>הגדרות!C5</f>
        <v/>
      </c>
      <c r="K542">
        <f>הגדרות!D5</f>
        <v/>
      </c>
      <c r="L542">
        <f>I542*(1+J542/100)+K542</f>
        <v/>
      </c>
    </row>
    <row r="543">
      <c r="A543" t="inlineStr">
        <is>
          <t>IDEXX — רפרנס</t>
        </is>
      </c>
      <c r="B543" t="inlineStr">
        <is>
          <t>Feline Lyme and Anaplasma Antibody Screen</t>
        </is>
      </c>
      <c r="D543" t="inlineStr">
        <is>
          <t>FLYAN</t>
        </is>
      </c>
      <c r="E543" t="inlineStr">
        <is>
          <t>2025-01</t>
        </is>
      </c>
      <c r="F543" t="n">
        <v>490.1</v>
      </c>
      <c r="G543" t="n">
        <v>578.3200000000001</v>
      </c>
      <c r="H543">
        <f>הגדרות!B5</f>
        <v/>
      </c>
      <c r="I543">
        <f>F543*(1-H543/100)*1.18</f>
        <v/>
      </c>
      <c r="J543">
        <f>הגדרות!C5</f>
        <v/>
      </c>
      <c r="K543">
        <f>הגדרות!D5</f>
        <v/>
      </c>
      <c r="L543">
        <f>I543*(1+J543/100)+K543</f>
        <v/>
      </c>
    </row>
    <row r="544">
      <c r="A544" t="inlineStr">
        <is>
          <t>IDEXX — רפרנס</t>
        </is>
      </c>
      <c r="B544" t="inlineStr">
        <is>
          <t>Farm Animal Basic Screen</t>
        </is>
      </c>
      <c r="D544" t="inlineStr">
        <is>
          <t>FP</t>
        </is>
      </c>
      <c r="E544" t="inlineStr">
        <is>
          <t>2025-01</t>
        </is>
      </c>
      <c r="F544" t="n">
        <v>385.7</v>
      </c>
      <c r="G544" t="n">
        <v>455.13</v>
      </c>
      <c r="H544">
        <f>הגדרות!B5</f>
        <v/>
      </c>
      <c r="I544">
        <f>F544*(1-H544/100)*1.18</f>
        <v/>
      </c>
      <c r="J544">
        <f>הגדרות!C5</f>
        <v/>
      </c>
      <c r="K544">
        <f>הגדרות!D5</f>
        <v/>
      </c>
      <c r="L544">
        <f>I544*(1+J544/100)+K544</f>
        <v/>
      </c>
    </row>
    <row r="545">
      <c r="A545" t="inlineStr">
        <is>
          <t>IDEXX — רפרנס</t>
        </is>
      </c>
      <c r="B545" t="inlineStr">
        <is>
          <t>Feline Eye Panel 2</t>
        </is>
      </c>
      <c r="D545" t="inlineStr">
        <is>
          <t>FP2</t>
        </is>
      </c>
      <c r="E545" t="inlineStr">
        <is>
          <t>2025-01</t>
        </is>
      </c>
      <c r="F545" t="n">
        <v>667</v>
      </c>
      <c r="G545" t="n">
        <v>787.0599999999999</v>
      </c>
      <c r="H545">
        <f>הגדרות!B5</f>
        <v/>
      </c>
      <c r="I545">
        <f>F545*(1-H545/100)*1.18</f>
        <v/>
      </c>
      <c r="J545">
        <f>הגדרות!C5</f>
        <v/>
      </c>
      <c r="K545">
        <f>הגדרות!D5</f>
        <v/>
      </c>
      <c r="L545">
        <f>I545*(1+J545/100)+K545</f>
        <v/>
      </c>
    </row>
    <row r="546">
      <c r="A546" t="inlineStr">
        <is>
          <t>IDEXX — רפרנס</t>
        </is>
      </c>
      <c r="B546" t="inlineStr">
        <is>
          <t>Feline Eye Panel 2 plus bacterial culture</t>
        </is>
      </c>
      <c r="D546" t="inlineStr">
        <is>
          <t>FP2C</t>
        </is>
      </c>
      <c r="E546" t="inlineStr">
        <is>
          <t>2025-01</t>
        </is>
      </c>
      <c r="F546" t="n">
        <v>881.6</v>
      </c>
      <c r="G546" t="n">
        <v>1040.29</v>
      </c>
      <c r="H546">
        <f>הגדרות!B5</f>
        <v/>
      </c>
      <c r="I546">
        <f>F546*(1-H546/100)*1.18</f>
        <v/>
      </c>
      <c r="J546">
        <f>הגדרות!C5</f>
        <v/>
      </c>
      <c r="K546">
        <f>הגדרות!D5</f>
        <v/>
      </c>
      <c r="L546">
        <f>I546*(1+J546/100)+K546</f>
        <v/>
      </c>
    </row>
    <row r="547">
      <c r="A547" t="inlineStr">
        <is>
          <t>IDEXX — רפרנס</t>
        </is>
      </c>
      <c r="B547" t="inlineStr">
        <is>
          <t>Avian/Exotic Parasitology</t>
        </is>
      </c>
      <c r="D547" t="inlineStr">
        <is>
          <t>FPAE</t>
        </is>
      </c>
      <c r="E547" t="inlineStr">
        <is>
          <t>2025-01</t>
        </is>
      </c>
      <c r="F547" t="n">
        <v>171.1</v>
      </c>
      <c r="G547" t="n">
        <v>201.9</v>
      </c>
      <c r="H547">
        <f>הגדרות!B5</f>
        <v/>
      </c>
      <c r="I547">
        <f>F547*(1-H547/100)*1.18</f>
        <v/>
      </c>
      <c r="J547">
        <f>הגדרות!C5</f>
        <v/>
      </c>
      <c r="K547">
        <f>הגדרות!D5</f>
        <v/>
      </c>
      <c r="L547">
        <f>I547*(1+J547/100)+K547</f>
        <v/>
      </c>
    </row>
    <row r="548">
      <c r="A548" t="inlineStr">
        <is>
          <t>IDEXX — רפרנס</t>
        </is>
      </c>
      <c r="B548" t="inlineStr">
        <is>
          <t>Faecal Parasitology</t>
        </is>
      </c>
      <c r="D548" t="inlineStr">
        <is>
          <t>FPAR</t>
        </is>
      </c>
      <c r="E548" t="inlineStr">
        <is>
          <t>2025-01</t>
        </is>
      </c>
      <c r="F548" t="n">
        <v>159.5</v>
      </c>
      <c r="G548" t="n">
        <v>188.21</v>
      </c>
      <c r="H548">
        <f>הגדרות!B5</f>
        <v/>
      </c>
      <c r="I548">
        <f>F548*(1-H548/100)*1.18</f>
        <v/>
      </c>
      <c r="J548">
        <f>הגדרות!C5</f>
        <v/>
      </c>
      <c r="K548">
        <f>הגדרות!D5</f>
        <v/>
      </c>
      <c r="L548">
        <f>I548*(1+J548/100)+K548</f>
        <v/>
      </c>
    </row>
    <row r="549">
      <c r="A549" t="inlineStr">
        <is>
          <t>IDEXX — רפרנס</t>
        </is>
      </c>
      <c r="B549" t="inlineStr">
        <is>
          <t>Farm Animal (Chemistry)</t>
        </is>
      </c>
      <c r="D549" t="inlineStr">
        <is>
          <t>FPC</t>
        </is>
      </c>
      <c r="E549" t="inlineStr">
        <is>
          <t>2025-01</t>
        </is>
      </c>
      <c r="F549" t="n">
        <v>301.6</v>
      </c>
      <c r="G549" t="n">
        <v>355.89</v>
      </c>
      <c r="H549">
        <f>הגדרות!B5</f>
        <v/>
      </c>
      <c r="I549">
        <f>F549*(1-H549/100)*1.18</f>
        <v/>
      </c>
      <c r="J549">
        <f>הגדרות!C5</f>
        <v/>
      </c>
      <c r="K549">
        <f>הגדרות!D5</f>
        <v/>
      </c>
      <c r="L549">
        <f>I549*(1+J549/100)+K549</f>
        <v/>
      </c>
    </row>
    <row r="550">
      <c r="A550" t="inlineStr">
        <is>
          <t>IDEXX — רפרנס</t>
        </is>
      </c>
      <c r="B550" t="inlineStr">
        <is>
          <t>Follow Up Blood Film</t>
        </is>
      </c>
      <c r="D550" t="inlineStr">
        <is>
          <t>FPDX</t>
        </is>
      </c>
      <c r="E550" t="inlineStr">
        <is>
          <t>2025-01</t>
        </is>
      </c>
      <c r="F550" t="n">
        <v>133.4</v>
      </c>
      <c r="G550" t="n">
        <v>157.41</v>
      </c>
      <c r="H550">
        <f>הגדרות!B5</f>
        <v/>
      </c>
      <c r="I550">
        <f>F550*(1-H550/100)*1.18</f>
        <v/>
      </c>
      <c r="J550">
        <f>הגדרות!C5</f>
        <v/>
      </c>
      <c r="K550">
        <f>הגדרות!D5</f>
        <v/>
      </c>
      <c r="L550">
        <f>I550*(1+J550/100)+K550</f>
        <v/>
      </c>
    </row>
    <row r="551">
      <c r="A551" t="inlineStr">
        <is>
          <t>IDEXX — רפרנס</t>
        </is>
      </c>
      <c r="B551" t="inlineStr">
        <is>
          <t>Spec fPL (Feline)</t>
        </is>
      </c>
      <c r="D551" t="inlineStr">
        <is>
          <t>FPLI</t>
        </is>
      </c>
      <c r="E551" t="inlineStr">
        <is>
          <t>2025-01</t>
        </is>
      </c>
      <c r="F551" t="n">
        <v>495.9</v>
      </c>
      <c r="G551" t="n">
        <v>585.16</v>
      </c>
      <c r="H551">
        <f>הגדרות!B5</f>
        <v/>
      </c>
      <c r="I551">
        <f>F551*(1-H551/100)*1.18</f>
        <v/>
      </c>
      <c r="J551">
        <f>הגדרות!C5</f>
        <v/>
      </c>
      <c r="K551">
        <f>הגדרות!D5</f>
        <v/>
      </c>
      <c r="L551">
        <f>I551*(1+J551/100)+K551</f>
        <v/>
      </c>
    </row>
    <row r="552">
      <c r="A552" t="inlineStr">
        <is>
          <t>IDEXX — רפרנס</t>
        </is>
      </c>
      <c r="B552" t="inlineStr">
        <is>
          <t>Basic Adult Ruminant Faecal Screen (more than 12 m</t>
        </is>
      </c>
      <c r="D552" t="inlineStr">
        <is>
          <t>oFnRthAs old)</t>
        </is>
      </c>
      <c r="E552" t="inlineStr">
        <is>
          <t>2025-01</t>
        </is>
      </c>
      <c r="F552" t="n">
        <v>330.6</v>
      </c>
      <c r="G552" t="n">
        <v>390.11</v>
      </c>
      <c r="H552">
        <f>הגדרות!B5</f>
        <v/>
      </c>
      <c r="I552">
        <f>F552*(1-H552/100)*1.18</f>
        <v/>
      </c>
      <c r="J552">
        <f>הגדרות!C5</f>
        <v/>
      </c>
      <c r="K552">
        <f>הגדרות!D5</f>
        <v/>
      </c>
      <c r="L552">
        <f>I552*(1+J552/100)+K552</f>
        <v/>
      </c>
    </row>
    <row r="553">
      <c r="A553" t="inlineStr">
        <is>
          <t>IDEXX — רפרנס</t>
        </is>
      </c>
      <c r="B553" t="inlineStr">
        <is>
          <t>Ferret Enteric Coronavirus(RNA)</t>
        </is>
      </c>
      <c r="D553" t="inlineStr">
        <is>
          <t>FRECVP</t>
        </is>
      </c>
      <c r="E553" t="inlineStr">
        <is>
          <t>2025-01</t>
        </is>
      </c>
      <c r="F553" t="n">
        <v>368.3</v>
      </c>
      <c r="G553" t="n">
        <v>434.59</v>
      </c>
      <c r="H553">
        <f>הגדרות!B5</f>
        <v/>
      </c>
      <c r="I553">
        <f>F553*(1-H553/100)*1.18</f>
        <v/>
      </c>
      <c r="J553">
        <f>הגדרות!C5</f>
        <v/>
      </c>
      <c r="K553">
        <f>הגדרות!D5</f>
        <v/>
      </c>
      <c r="L553">
        <f>I553*(1+J553/100)+K553</f>
        <v/>
      </c>
    </row>
    <row r="554">
      <c r="A554" t="inlineStr">
        <is>
          <t>IDEXX — רפרנס</t>
        </is>
      </c>
      <c r="B554" t="inlineStr">
        <is>
          <t>Neonatal Ruminant Faecal Screen (Birth to 6/8 weeks</t>
        </is>
      </c>
      <c r="D554" t="inlineStr">
        <is>
          <t>oFlRdN)</t>
        </is>
      </c>
      <c r="E554" t="inlineStr">
        <is>
          <t>2025-01</t>
        </is>
      </c>
      <c r="F554" t="n">
        <v>348</v>
      </c>
      <c r="G554" t="n">
        <v>410.64</v>
      </c>
      <c r="H554">
        <f>הגדרות!B5</f>
        <v/>
      </c>
      <c r="I554">
        <f>F554*(1-H554/100)*1.18</f>
        <v/>
      </c>
      <c r="J554">
        <f>הגדרות!C5</f>
        <v/>
      </c>
      <c r="K554">
        <f>הגדרות!D5</f>
        <v/>
      </c>
      <c r="L554">
        <f>I554*(1+J554/100)+K554</f>
        <v/>
      </c>
    </row>
    <row r="555">
      <c r="A555" t="inlineStr">
        <is>
          <t>IDEXX — רפרנס</t>
        </is>
      </c>
      <c r="B555" t="inlineStr">
        <is>
          <t>Fructosamine</t>
        </is>
      </c>
      <c r="D555" t="inlineStr">
        <is>
          <t>FRU</t>
        </is>
      </c>
      <c r="E555" t="inlineStr">
        <is>
          <t>2025-01</t>
        </is>
      </c>
      <c r="F555" t="n">
        <v>150.8</v>
      </c>
      <c r="G555" t="n">
        <v>177.94</v>
      </c>
      <c r="H555">
        <f>הגדרות!B5</f>
        <v/>
      </c>
      <c r="I555">
        <f>F555*(1-H555/100)*1.18</f>
        <v/>
      </c>
      <c r="J555">
        <f>הגדרות!C5</f>
        <v/>
      </c>
      <c r="K555">
        <f>הגדרות!D5</f>
        <v/>
      </c>
      <c r="L555">
        <f>I555*(1+J555/100)+K555</f>
        <v/>
      </c>
    </row>
    <row r="556">
      <c r="A556" t="inlineStr">
        <is>
          <t>IDEXX — רפרנס</t>
        </is>
      </c>
      <c r="B556" t="inlineStr">
        <is>
          <t>Young Ruminant Faecal Screen (3 - 12 months old)</t>
        </is>
      </c>
      <c r="D556" t="inlineStr">
        <is>
          <t>FRY</t>
        </is>
      </c>
      <c r="E556" t="inlineStr">
        <is>
          <t>2025-01</t>
        </is>
      </c>
      <c r="F556" t="n">
        <v>266.8</v>
      </c>
      <c r="G556" t="n">
        <v>314.82</v>
      </c>
      <c r="H556">
        <f>הגדרות!B5</f>
        <v/>
      </c>
      <c r="I556">
        <f>F556*(1-H556/100)*1.18</f>
        <v/>
      </c>
      <c r="J556">
        <f>הגדרות!C5</f>
        <v/>
      </c>
      <c r="K556">
        <f>הגדרות!D5</f>
        <v/>
      </c>
      <c r="L556">
        <f>I556*(1+J556/100)+K556</f>
        <v/>
      </c>
    </row>
    <row r="557">
      <c r="A557" t="inlineStr">
        <is>
          <t>IDEXX — רפרנס</t>
        </is>
      </c>
      <c r="B557" t="inlineStr">
        <is>
          <t>Fresh Tissue Culture</t>
        </is>
      </c>
      <c r="D557" t="inlineStr">
        <is>
          <t>FT</t>
        </is>
      </c>
      <c r="E557" t="inlineStr">
        <is>
          <t>2025-01</t>
        </is>
      </c>
      <c r="F557" t="n">
        <v>330.6</v>
      </c>
      <c r="G557" t="n">
        <v>390.11</v>
      </c>
      <c r="H557">
        <f>הגדרות!B5</f>
        <v/>
      </c>
      <c r="I557">
        <f>F557*(1-H557/100)*1.18</f>
        <v/>
      </c>
      <c r="J557">
        <f>הגדרות!C5</f>
        <v/>
      </c>
      <c r="K557">
        <f>הגדרות!D5</f>
        <v/>
      </c>
      <c r="L557">
        <f>I557*(1+J557/100)+K557</f>
        <v/>
      </c>
    </row>
    <row r="558">
      <c r="A558" t="inlineStr">
        <is>
          <t>IDEXX — רפרנס</t>
        </is>
      </c>
      <c r="B558" t="inlineStr">
        <is>
          <t>Free T4 (Equilibrium Dialysis)</t>
        </is>
      </c>
      <c r="D558" t="inlineStr">
        <is>
          <t>FT4R</t>
        </is>
      </c>
      <c r="E558" t="inlineStr">
        <is>
          <t>2025-01</t>
        </is>
      </c>
      <c r="F558" t="n">
        <v>426.3</v>
      </c>
      <c r="G558" t="n">
        <v>503.03</v>
      </c>
      <c r="H558">
        <f>הגדרות!B5</f>
        <v/>
      </c>
      <c r="I558">
        <f>F558*(1-H558/100)*1.18</f>
        <v/>
      </c>
      <c r="J558">
        <f>הגדרות!C5</f>
        <v/>
      </c>
      <c r="K558">
        <f>הגדרות!D5</f>
        <v/>
      </c>
      <c r="L558">
        <f>I558*(1+J558/100)+K558</f>
        <v/>
      </c>
    </row>
    <row r="559">
      <c r="A559" t="inlineStr">
        <is>
          <t>IDEXX — רפרנס</t>
        </is>
      </c>
      <c r="B559" t="inlineStr">
        <is>
          <t>TLI, Folate &amp; Cobalamin (Feline)</t>
        </is>
      </c>
      <c r="D559" t="inlineStr">
        <is>
          <t>FTFC</t>
        </is>
      </c>
      <c r="E559" t="inlineStr">
        <is>
          <t>2025-01</t>
        </is>
      </c>
      <c r="F559" t="n">
        <v>669.9</v>
      </c>
      <c r="G559" t="n">
        <v>790.48</v>
      </c>
      <c r="H559">
        <f>הגדרות!B5</f>
        <v/>
      </c>
      <c r="I559">
        <f>F559*(1-H559/100)*1.18</f>
        <v/>
      </c>
      <c r="J559">
        <f>הגדרות!C5</f>
        <v/>
      </c>
      <c r="K559">
        <f>הגדרות!D5</f>
        <v/>
      </c>
      <c r="L559">
        <f>I559*(1+J559/100)+K559</f>
        <v/>
      </c>
    </row>
    <row r="560">
      <c r="A560" t="inlineStr">
        <is>
          <t>IDEXX — רפרנס</t>
        </is>
      </c>
      <c r="B560" t="inlineStr">
        <is>
          <t>Feline Thyroid Monitoring Profile (Interpreted)</t>
        </is>
      </c>
      <c r="D560" t="inlineStr">
        <is>
          <t>FTHYI</t>
        </is>
      </c>
      <c r="E560" t="inlineStr">
        <is>
          <t>2025-01</t>
        </is>
      </c>
      <c r="F560" t="n">
        <v>403.1</v>
      </c>
      <c r="G560" t="n">
        <v>475.66</v>
      </c>
      <c r="H560">
        <f>הגדרות!B5</f>
        <v/>
      </c>
      <c r="I560">
        <f>F560*(1-H560/100)*1.18</f>
        <v/>
      </c>
      <c r="J560">
        <f>הגדרות!C5</f>
        <v/>
      </c>
      <c r="K560">
        <f>הגדרות!D5</f>
        <v/>
      </c>
      <c r="L560">
        <f>I560*(1+J560/100)+K560</f>
        <v/>
      </c>
    </row>
    <row r="561">
      <c r="A561" t="inlineStr">
        <is>
          <t>IDEXX — רפרנס</t>
        </is>
      </c>
      <c r="B561" t="inlineStr">
        <is>
          <t>Cardiopet proBNP &amp; Troponin I HS (Feline)</t>
        </is>
      </c>
      <c r="D561" t="inlineStr">
        <is>
          <t>FTNI</t>
        </is>
      </c>
      <c r="E561" t="inlineStr">
        <is>
          <t>2025-01</t>
        </is>
      </c>
      <c r="F561" t="n">
        <v>600.3</v>
      </c>
      <c r="G561" t="n">
        <v>708.35</v>
      </c>
      <c r="H561">
        <f>הגדרות!B5</f>
        <v/>
      </c>
      <c r="I561">
        <f>F561*(1-H561/100)*1.18</f>
        <v/>
      </c>
      <c r="J561">
        <f>הגדרות!C5</f>
        <v/>
      </c>
      <c r="K561">
        <f>הגדרות!D5</f>
        <v/>
      </c>
      <c r="L561">
        <f>I561*(1+J561/100)+K561</f>
        <v/>
      </c>
    </row>
    <row r="562">
      <c r="A562" t="inlineStr">
        <is>
          <t>IDEXX — רפרנס</t>
        </is>
      </c>
      <c r="B562" t="inlineStr">
        <is>
          <t>Upper Respiratory Panel 1 plus bacterial culture</t>
        </is>
      </c>
      <c r="D562" t="inlineStr">
        <is>
          <t>FU1C</t>
        </is>
      </c>
      <c r="E562" t="inlineStr">
        <is>
          <t>2025-01</t>
        </is>
      </c>
      <c r="F562" t="n">
        <v>797.5</v>
      </c>
      <c r="G562" t="n">
        <v>941.05</v>
      </c>
      <c r="H562">
        <f>הגדרות!B5</f>
        <v/>
      </c>
      <c r="I562">
        <f>F562*(1-H562/100)*1.18</f>
        <v/>
      </c>
      <c r="J562">
        <f>הגדרות!C5</f>
        <v/>
      </c>
      <c r="K562">
        <f>הגדרות!D5</f>
        <v/>
      </c>
      <c r="L562">
        <f>I562*(1+J562/100)+K562</f>
        <v/>
      </c>
    </row>
    <row r="563">
      <c r="A563" t="inlineStr">
        <is>
          <t>IDEXX — רפרנס</t>
        </is>
      </c>
      <c r="B563" t="inlineStr">
        <is>
          <t>Upper Respiratory Panel 2 plus bacterial culture</t>
        </is>
      </c>
      <c r="D563" t="inlineStr">
        <is>
          <t>FU2C</t>
        </is>
      </c>
      <c r="E563" t="inlineStr">
        <is>
          <t>2025-01</t>
        </is>
      </c>
      <c r="F563" t="n">
        <v>957</v>
      </c>
      <c r="G563" t="n">
        <v>1129.26</v>
      </c>
      <c r="H563">
        <f>הגדרות!B5</f>
        <v/>
      </c>
      <c r="I563">
        <f>F563*(1-H563/100)*1.18</f>
        <v/>
      </c>
      <c r="J563">
        <f>הגדרות!C5</f>
        <v/>
      </c>
      <c r="K563">
        <f>הגדרות!D5</f>
        <v/>
      </c>
      <c r="L563">
        <f>I563*(1+J563/100)+K563</f>
        <v/>
      </c>
    </row>
    <row r="564">
      <c r="A564" t="inlineStr">
        <is>
          <t>IDEXX — רפרנס</t>
        </is>
      </c>
      <c r="B564" t="inlineStr">
        <is>
          <t>Upper Respiratory Panel 1</t>
        </is>
      </c>
      <c r="D564" t="inlineStr">
        <is>
          <t>FUR1</t>
        </is>
      </c>
      <c r="E564" t="inlineStr">
        <is>
          <t>2025-01</t>
        </is>
      </c>
      <c r="F564" t="n">
        <v>582.9</v>
      </c>
      <c r="G564" t="n">
        <v>687.8200000000001</v>
      </c>
      <c r="H564">
        <f>הגדרות!B5</f>
        <v/>
      </c>
      <c r="I564">
        <f>F564*(1-H564/100)*1.18</f>
        <v/>
      </c>
      <c r="J564">
        <f>הגדרות!C5</f>
        <v/>
      </c>
      <c r="K564">
        <f>הגדרות!D5</f>
        <v/>
      </c>
      <c r="L564">
        <f>I564*(1+J564/100)+K564</f>
        <v/>
      </c>
    </row>
    <row r="565">
      <c r="A565" t="inlineStr">
        <is>
          <t>IDEXX — רפרנס</t>
        </is>
      </c>
      <c r="B565" t="inlineStr">
        <is>
          <t>Upper Respiratory Panel 2</t>
        </is>
      </c>
      <c r="D565" t="inlineStr">
        <is>
          <t>FUR2</t>
        </is>
      </c>
      <c r="E565" t="inlineStr">
        <is>
          <t>2025-01</t>
        </is>
      </c>
      <c r="F565" t="n">
        <v>742.4</v>
      </c>
      <c r="G565" t="n">
        <v>876.03</v>
      </c>
      <c r="H565">
        <f>הגדרות!B5</f>
        <v/>
      </c>
      <c r="I565">
        <f>F565*(1-H565/100)*1.18</f>
        <v/>
      </c>
      <c r="J565">
        <f>הגדרות!C5</f>
        <v/>
      </c>
      <c r="K565">
        <f>הגדרות!D5</f>
        <v/>
      </c>
      <c r="L565">
        <f>I565*(1+J565/100)+K565</f>
        <v/>
      </c>
    </row>
    <row r="566">
      <c r="A566" t="inlineStr">
        <is>
          <t>IDEXX — רפרנס</t>
        </is>
      </c>
      <c r="B566" t="inlineStr">
        <is>
          <t>Malassezia IgE (Canine / Feline)</t>
        </is>
      </c>
      <c r="D566" t="inlineStr">
        <is>
          <t>G_MAL</t>
        </is>
      </c>
      <c r="E566" t="inlineStr">
        <is>
          <t>2025-01</t>
        </is>
      </c>
      <c r="F566" t="n">
        <v>237.8</v>
      </c>
      <c r="G566" t="n">
        <v>280.6</v>
      </c>
      <c r="H566">
        <f>הגדרות!B5</f>
        <v/>
      </c>
      <c r="I566">
        <f>F566*(1-H566/100)*1.18</f>
        <v/>
      </c>
      <c r="J566">
        <f>הגדרות!C5</f>
        <v/>
      </c>
      <c r="K566">
        <f>הגדרות!D5</f>
        <v/>
      </c>
      <c r="L566">
        <f>I566*(1+J566/100)+K566</f>
        <v/>
      </c>
    </row>
    <row r="567">
      <c r="A567" t="inlineStr">
        <is>
          <t>IDEXX — רפרנס</t>
        </is>
      </c>
      <c r="B567" t="inlineStr">
        <is>
          <t>Collie Eye Anomaly PCR (Canine)</t>
        </is>
      </c>
      <c r="D567" t="inlineStr">
        <is>
          <t>GD08</t>
        </is>
      </c>
      <c r="E567" t="inlineStr">
        <is>
          <t>2025-01</t>
        </is>
      </c>
      <c r="F567" t="n">
        <v>336.4</v>
      </c>
      <c r="G567" t="n">
        <v>396.95</v>
      </c>
      <c r="H567">
        <f>הגדרות!B5</f>
        <v/>
      </c>
      <c r="I567">
        <f>F567*(1-H567/100)*1.18</f>
        <v/>
      </c>
      <c r="J567">
        <f>הגדרות!C5</f>
        <v/>
      </c>
      <c r="K567">
        <f>הגדרות!D5</f>
        <v/>
      </c>
      <c r="L567">
        <f>I567*(1+J567/100)+K567</f>
        <v/>
      </c>
    </row>
    <row r="568">
      <c r="A568" t="inlineStr">
        <is>
          <t>IDEXX — רפרנס</t>
        </is>
      </c>
      <c r="B568" t="inlineStr">
        <is>
          <t>Copper Storage Disease (Canine)</t>
        </is>
      </c>
      <c r="D568" t="inlineStr">
        <is>
          <t>GD09</t>
        </is>
      </c>
      <c r="E568" t="inlineStr">
        <is>
          <t>2025-01</t>
        </is>
      </c>
      <c r="F568" t="n">
        <v>371.2</v>
      </c>
      <c r="G568" t="n">
        <v>438.02</v>
      </c>
      <c r="H568">
        <f>הגדרות!B5</f>
        <v/>
      </c>
      <c r="I568">
        <f>F568*(1-H568/100)*1.18</f>
        <v/>
      </c>
      <c r="J568">
        <f>הגדרות!C5</f>
        <v/>
      </c>
      <c r="K568">
        <f>הגדרות!D5</f>
        <v/>
      </c>
      <c r="L568">
        <f>I568*(1+J568/100)+K568</f>
        <v/>
      </c>
    </row>
    <row r="569">
      <c r="A569" t="inlineStr">
        <is>
          <t>IDEXX — רפרנס</t>
        </is>
      </c>
      <c r="B569" t="inlineStr">
        <is>
          <t>HCM (Mutation A74T) (Feline)</t>
        </is>
      </c>
      <c r="D569" t="inlineStr">
        <is>
          <t>GD16A</t>
        </is>
      </c>
      <c r="E569" t="inlineStr">
        <is>
          <t>2025-01</t>
        </is>
      </c>
      <c r="F569" t="n">
        <v>1139.7</v>
      </c>
      <c r="G569" t="n">
        <v>1344.85</v>
      </c>
      <c r="H569">
        <f>הגדרות!B5</f>
        <v/>
      </c>
      <c r="I569">
        <f>F569*(1-H569/100)*1.18</f>
        <v/>
      </c>
      <c r="J569">
        <f>הגדרות!C5</f>
        <v/>
      </c>
      <c r="K569">
        <f>הגדרות!D5</f>
        <v/>
      </c>
      <c r="L569">
        <f>I569*(1+J569/100)+K569</f>
        <v/>
      </c>
    </row>
    <row r="570">
      <c r="A570" t="inlineStr">
        <is>
          <t>IDEXX — רפרנס</t>
        </is>
      </c>
      <c r="B570" t="inlineStr">
        <is>
          <t>prcd-PRA (Atrophy of the retina) PCR (Canine)</t>
        </is>
      </c>
      <c r="D570" t="inlineStr">
        <is>
          <t>GD27</t>
        </is>
      </c>
      <c r="E570" t="inlineStr">
        <is>
          <t>2025-01</t>
        </is>
      </c>
      <c r="F570" t="n">
        <v>336.4</v>
      </c>
      <c r="G570" t="n">
        <v>396.95</v>
      </c>
      <c r="H570">
        <f>הגדרות!B5</f>
        <v/>
      </c>
      <c r="I570">
        <f>F570*(1-H570/100)*1.18</f>
        <v/>
      </c>
      <c r="J570">
        <f>הגדרות!C5</f>
        <v/>
      </c>
      <c r="K570">
        <f>הגדרות!D5</f>
        <v/>
      </c>
      <c r="L570">
        <f>I570*(1+J570/100)+K570</f>
        <v/>
      </c>
    </row>
    <row r="571">
      <c r="A571" t="inlineStr">
        <is>
          <t>IDEXX — רפרנס</t>
        </is>
      </c>
      <c r="B571" t="inlineStr">
        <is>
          <t>cord-1PRA PCR (Canine)</t>
        </is>
      </c>
      <c r="D571" t="inlineStr">
        <is>
          <t>GD28</t>
        </is>
      </c>
      <c r="E571" t="inlineStr">
        <is>
          <t>2025-01</t>
        </is>
      </c>
      <c r="F571" t="n">
        <v>336.4</v>
      </c>
      <c r="G571" t="n">
        <v>396.95</v>
      </c>
      <c r="H571">
        <f>הגדרות!B5</f>
        <v/>
      </c>
      <c r="I571">
        <f>F571*(1-H571/100)*1.18</f>
        <v/>
      </c>
      <c r="J571">
        <f>הגדרות!C5</f>
        <v/>
      </c>
      <c r="K571">
        <f>הגדרות!D5</f>
        <v/>
      </c>
      <c r="L571">
        <f>I571*(1+J571/100)+K571</f>
        <v/>
      </c>
    </row>
    <row r="572">
      <c r="A572" t="inlineStr">
        <is>
          <t>IDEXX — רפרנס</t>
        </is>
      </c>
      <c r="B572" t="inlineStr">
        <is>
          <t>Exercise Induced Collapse (EIC) (Canine)</t>
        </is>
      </c>
      <c r="D572" t="inlineStr">
        <is>
          <t>GD36</t>
        </is>
      </c>
      <c r="E572" t="inlineStr">
        <is>
          <t>2025-01</t>
        </is>
      </c>
      <c r="F572" t="n">
        <v>1223.8</v>
      </c>
      <c r="G572" t="n">
        <v>1444.08</v>
      </c>
      <c r="H572">
        <f>הגדרות!B5</f>
        <v/>
      </c>
      <c r="I572">
        <f>F572*(1-H572/100)*1.18</f>
        <v/>
      </c>
      <c r="J572">
        <f>הגדרות!C5</f>
        <v/>
      </c>
      <c r="K572">
        <f>הגדרות!D5</f>
        <v/>
      </c>
      <c r="L572">
        <f>I572*(1+J572/100)+K572</f>
        <v/>
      </c>
    </row>
    <row r="573">
      <c r="A573" t="inlineStr">
        <is>
          <t>IDEXX — רפרנס</t>
        </is>
      </c>
      <c r="B573" t="inlineStr">
        <is>
          <t>Familial Nephropathy PCR (Canine)</t>
        </is>
      </c>
      <c r="D573" t="inlineStr">
        <is>
          <t>GD38</t>
        </is>
      </c>
      <c r="E573" t="inlineStr">
        <is>
          <t>2025-01</t>
        </is>
      </c>
      <c r="F573" t="n">
        <v>382.8</v>
      </c>
      <c r="G573" t="n">
        <v>451.7</v>
      </c>
      <c r="H573">
        <f>הגדרות!B5</f>
        <v/>
      </c>
      <c r="I573">
        <f>F573*(1-H573/100)*1.18</f>
        <v/>
      </c>
      <c r="J573">
        <f>הגדרות!C5</f>
        <v/>
      </c>
      <c r="K573">
        <f>הגדרות!D5</f>
        <v/>
      </c>
      <c r="L573">
        <f>I573*(1+J573/100)+K573</f>
        <v/>
      </c>
    </row>
    <row r="574">
      <c r="A574" t="inlineStr">
        <is>
          <t>IDEXX — רפרנס</t>
        </is>
      </c>
      <c r="B574" t="inlineStr">
        <is>
          <t>Degenerative Myelopathy/Degenerative Radiculomyel</t>
        </is>
      </c>
      <c r="D574" t="inlineStr">
        <is>
          <t>oGpDat3h9y PCR</t>
        </is>
      </c>
      <c r="E574" t="inlineStr">
        <is>
          <t>2025-01</t>
        </is>
      </c>
      <c r="F574" t="n">
        <v>896.1</v>
      </c>
      <c r="G574" t="n">
        <v>1057.4</v>
      </c>
      <c r="H574">
        <f>הגדרות!B5</f>
        <v/>
      </c>
      <c r="I574">
        <f>F574*(1-H574/100)*1.18</f>
        <v/>
      </c>
      <c r="J574">
        <f>הגדרות!C5</f>
        <v/>
      </c>
      <c r="K574">
        <f>הגדרות!D5</f>
        <v/>
      </c>
      <c r="L574">
        <f>I574*(1+J574/100)+K574</f>
        <v/>
      </c>
    </row>
    <row r="575">
      <c r="A575" t="inlineStr">
        <is>
          <t>IDEXX — רפרנס</t>
        </is>
      </c>
      <c r="B575" t="inlineStr">
        <is>
          <t>Progressive Retinal Atrophy (PRA) (rdAc-PRA) PCR (F</t>
        </is>
      </c>
      <c r="D575" t="inlineStr">
        <is>
          <t>eGlDin5e8)</t>
        </is>
      </c>
      <c r="E575" t="inlineStr">
        <is>
          <t>2025-01</t>
        </is>
      </c>
      <c r="F575" t="n">
        <v>336.4</v>
      </c>
      <c r="G575" t="n">
        <v>396.95</v>
      </c>
      <c r="H575">
        <f>הגדרות!B5</f>
        <v/>
      </c>
      <c r="I575">
        <f>F575*(1-H575/100)*1.18</f>
        <v/>
      </c>
      <c r="J575">
        <f>הגדרות!C5</f>
        <v/>
      </c>
      <c r="K575">
        <f>הגדרות!D5</f>
        <v/>
      </c>
      <c r="L575">
        <f>I575*(1+J575/100)+K575</f>
        <v/>
      </c>
    </row>
    <row r="576">
      <c r="A576" t="inlineStr">
        <is>
          <t>IDEXX — רפרנס</t>
        </is>
      </c>
      <c r="B576" t="inlineStr">
        <is>
          <t>Polyuria/Polydipsia Profile (Interpreted)</t>
        </is>
      </c>
      <c r="D576" t="inlineStr">
        <is>
          <t>GER1I</t>
        </is>
      </c>
      <c r="E576" t="inlineStr">
        <is>
          <t>2025-01</t>
        </is>
      </c>
      <c r="F576" t="n">
        <v>606.1</v>
      </c>
      <c r="G576" t="n">
        <v>715.2</v>
      </c>
      <c r="H576">
        <f>הגדרות!B5</f>
        <v/>
      </c>
      <c r="I576">
        <f>F576*(1-H576/100)*1.18</f>
        <v/>
      </c>
      <c r="J576">
        <f>הגדרות!C5</f>
        <v/>
      </c>
      <c r="K576">
        <f>הגדרות!D5</f>
        <v/>
      </c>
      <c r="L576">
        <f>I576*(1+J576/100)+K576</f>
        <v/>
      </c>
    </row>
    <row r="577">
      <c r="A577" t="inlineStr">
        <is>
          <t>IDEXX — רפרנס</t>
        </is>
      </c>
      <c r="B577" t="inlineStr">
        <is>
          <t>Polyuria/Polydipsia Screen (Non-Interpreted)</t>
        </is>
      </c>
      <c r="D577" t="inlineStr">
        <is>
          <t>GER1N</t>
        </is>
      </c>
      <c r="E577" t="inlineStr">
        <is>
          <t>2025-01</t>
        </is>
      </c>
      <c r="F577" t="n">
        <v>533.6</v>
      </c>
      <c r="G577" t="n">
        <v>629.65</v>
      </c>
      <c r="H577">
        <f>הגדרות!B5</f>
        <v/>
      </c>
      <c r="I577">
        <f>F577*(1-H577/100)*1.18</f>
        <v/>
      </c>
      <c r="J577">
        <f>הגדרות!C5</f>
        <v/>
      </c>
      <c r="K577">
        <f>הגדרות!D5</f>
        <v/>
      </c>
      <c r="L577">
        <f>I577*(1+J577/100)+K577</f>
        <v/>
      </c>
    </row>
    <row r="578">
      <c r="A578" t="inlineStr">
        <is>
          <t>IDEXX — רפרנס</t>
        </is>
      </c>
      <c r="B578" t="inlineStr">
        <is>
          <t>Geriatric Profile (Interpreted)</t>
        </is>
      </c>
      <c r="D578" t="inlineStr">
        <is>
          <t>GERTI</t>
        </is>
      </c>
      <c r="E578" t="inlineStr">
        <is>
          <t>2025-01</t>
        </is>
      </c>
      <c r="F578" t="n">
        <v>562.6</v>
      </c>
      <c r="G578" t="n">
        <v>663.87</v>
      </c>
      <c r="H578">
        <f>הגדרות!B5</f>
        <v/>
      </c>
      <c r="I578">
        <f>F578*(1-H578/100)*1.18</f>
        <v/>
      </c>
      <c r="J578">
        <f>הגדרות!C5</f>
        <v/>
      </c>
      <c r="K578">
        <f>הגדרות!D5</f>
        <v/>
      </c>
      <c r="L578">
        <f>I578*(1+J578/100)+K578</f>
        <v/>
      </c>
    </row>
    <row r="579">
      <c r="A579" t="inlineStr">
        <is>
          <t>IDEXX — רפרנס</t>
        </is>
      </c>
      <c r="B579" t="inlineStr">
        <is>
          <t>Geriatric Screen (Non-Interpreted)</t>
        </is>
      </c>
      <c r="D579" t="inlineStr">
        <is>
          <t>GERTN</t>
        </is>
      </c>
      <c r="E579" t="inlineStr">
        <is>
          <t>2025-01</t>
        </is>
      </c>
      <c r="F579" t="n">
        <v>495.9</v>
      </c>
      <c r="G579" t="n">
        <v>585.16</v>
      </c>
      <c r="H579">
        <f>הגדרות!B5</f>
        <v/>
      </c>
      <c r="I579">
        <f>F579*(1-H579/100)*1.18</f>
        <v/>
      </c>
      <c r="J579">
        <f>הגדרות!C5</f>
        <v/>
      </c>
      <c r="K579">
        <f>הגדרות!D5</f>
        <v/>
      </c>
      <c r="L579">
        <f>I579*(1+J579/100)+K579</f>
        <v/>
      </c>
    </row>
    <row r="580">
      <c r="A580" t="inlineStr">
        <is>
          <t>IDEXX — רפרנס</t>
        </is>
      </c>
      <c r="B580" t="inlineStr">
        <is>
          <t>Giardia Antigen</t>
        </is>
      </c>
      <c r="D580" t="inlineStr">
        <is>
          <t>GIAR</t>
        </is>
      </c>
      <c r="E580" t="inlineStr">
        <is>
          <t>2025-01</t>
        </is>
      </c>
      <c r="F580" t="n">
        <v>162.4</v>
      </c>
      <c r="G580" t="n">
        <v>191.63</v>
      </c>
      <c r="H580">
        <f>הגדרות!B5</f>
        <v/>
      </c>
      <c r="I580">
        <f>F580*(1-H580/100)*1.18</f>
        <v/>
      </c>
      <c r="J580">
        <f>הגדרות!C5</f>
        <v/>
      </c>
      <c r="K580">
        <f>הגדרות!D5</f>
        <v/>
      </c>
      <c r="L580">
        <f>I580*(1+J580/100)+K580</f>
        <v/>
      </c>
    </row>
    <row r="581">
      <c r="A581" t="inlineStr">
        <is>
          <t>IDEXX — רפרנס</t>
        </is>
      </c>
      <c r="B581" t="inlineStr">
        <is>
          <t>Herpesvirus 1 (EHV-1) (DNA) PCR</t>
        </is>
      </c>
      <c r="D581" t="inlineStr">
        <is>
          <t>H1PC</t>
        </is>
      </c>
      <c r="E581" t="inlineStr">
        <is>
          <t>2025-01</t>
        </is>
      </c>
      <c r="F581" t="n">
        <v>368.3</v>
      </c>
      <c r="G581" t="n">
        <v>434.59</v>
      </c>
      <c r="H581">
        <f>הגדרות!B5</f>
        <v/>
      </c>
      <c r="I581">
        <f>F581*(1-H581/100)*1.18</f>
        <v/>
      </c>
      <c r="J581">
        <f>הגדרות!C5</f>
        <v/>
      </c>
      <c r="K581">
        <f>הגדרות!D5</f>
        <v/>
      </c>
      <c r="L581">
        <f>I581*(1+J581/100)+K581</f>
        <v/>
      </c>
    </row>
    <row r="582">
      <c r="A582" t="inlineStr">
        <is>
          <t>IDEXX — רפרנס</t>
        </is>
      </c>
      <c r="B582" t="inlineStr">
        <is>
          <t>Histology – Feline Proliferative Gum Lesion Panel</t>
        </is>
      </c>
      <c r="D582" t="inlineStr">
        <is>
          <t>HISTFPE</t>
        </is>
      </c>
      <c r="E582" t="inlineStr">
        <is>
          <t>2025-01</t>
        </is>
      </c>
      <c r="F582" t="n">
        <v>1009.2</v>
      </c>
      <c r="G582" t="n">
        <v>1190.86</v>
      </c>
      <c r="H582">
        <f>הגדרות!B5</f>
        <v/>
      </c>
      <c r="I582">
        <f>F582*(1-H582/100)*1.18</f>
        <v/>
      </c>
      <c r="J582">
        <f>הגדרות!C5</f>
        <v/>
      </c>
      <c r="K582">
        <f>הגדרות!D5</f>
        <v/>
      </c>
      <c r="L582">
        <f>I582*(1+J582/100)+K582</f>
        <v/>
      </c>
    </row>
    <row r="583">
      <c r="A583" t="inlineStr">
        <is>
          <t>IDEXX — רפרנס</t>
        </is>
      </c>
      <c r="B583" t="inlineStr">
        <is>
          <t>Histology - Post Mortem Case</t>
        </is>
      </c>
      <c r="D583" t="inlineStr">
        <is>
          <t>HISTPM2</t>
        </is>
      </c>
      <c r="E583" t="inlineStr">
        <is>
          <t>2025-01</t>
        </is>
      </c>
      <c r="F583" t="n">
        <v>1363</v>
      </c>
      <c r="G583" t="n">
        <v>1608.34</v>
      </c>
      <c r="H583">
        <f>הגדרות!B5</f>
        <v/>
      </c>
      <c r="I583">
        <f>F583*(1-H583/100)*1.18</f>
        <v/>
      </c>
      <c r="J583">
        <f>הגדרות!C5</f>
        <v/>
      </c>
      <c r="K583">
        <f>הגדרות!D5</f>
        <v/>
      </c>
      <c r="L583">
        <f>I583*(1+J583/100)+K583</f>
        <v/>
      </c>
    </row>
    <row r="584">
      <c r="A584" t="inlineStr">
        <is>
          <t>IDEXX — רפרנס</t>
        </is>
      </c>
      <c r="B584" t="inlineStr">
        <is>
          <t>Haemotropic Mycoplasma (DNA) RealPCR™ (Canine)</t>
        </is>
      </c>
      <c r="D584" t="inlineStr">
        <is>
          <t>HMPC</t>
        </is>
      </c>
      <c r="E584" t="inlineStr">
        <is>
          <t>2025-01</t>
        </is>
      </c>
      <c r="F584" t="n">
        <v>368.3</v>
      </c>
      <c r="G584" t="n">
        <v>434.59</v>
      </c>
      <c r="H584">
        <f>הגדרות!B5</f>
        <v/>
      </c>
      <c r="I584">
        <f>F584*(1-H584/100)*1.18</f>
        <v/>
      </c>
      <c r="J584">
        <f>הגדרות!C5</f>
        <v/>
      </c>
      <c r="K584">
        <f>הגדרות!D5</f>
        <v/>
      </c>
      <c r="L584">
        <f>I584*(1+J584/100)+K584</f>
        <v/>
      </c>
    </row>
    <row r="585">
      <c r="A585" t="inlineStr">
        <is>
          <t>IDEXX — רפרנס</t>
        </is>
      </c>
      <c r="B585" t="inlineStr">
        <is>
          <t>Canine Herpesvirus CHV-1 (DNA) RealPCR™</t>
        </is>
      </c>
      <c r="D585" t="inlineStr">
        <is>
          <t>HVPC</t>
        </is>
      </c>
      <c r="E585" t="inlineStr">
        <is>
          <t>2025-01</t>
        </is>
      </c>
      <c r="F585" t="n">
        <v>368.3</v>
      </c>
      <c r="G585" t="n">
        <v>434.59</v>
      </c>
      <c r="H585">
        <f>הגדרות!B5</f>
        <v/>
      </c>
      <c r="I585">
        <f>F585*(1-H585/100)*1.18</f>
        <v/>
      </c>
      <c r="J585">
        <f>הגדרות!C5</f>
        <v/>
      </c>
      <c r="K585">
        <f>הגדרות!D5</f>
        <v/>
      </c>
      <c r="L585">
        <f>I585*(1+J585/100)+K585</f>
        <v/>
      </c>
    </row>
    <row r="586">
      <c r="A586" t="inlineStr">
        <is>
          <t>IDEXX — רפרנס</t>
        </is>
      </c>
      <c r="B586" t="inlineStr">
        <is>
          <t>Heartworm Antigen (Canine)</t>
        </is>
      </c>
      <c r="D586" t="inlineStr">
        <is>
          <t>HW</t>
        </is>
      </c>
      <c r="E586" t="inlineStr">
        <is>
          <t>2025-01</t>
        </is>
      </c>
      <c r="F586" t="n">
        <v>229.1</v>
      </c>
      <c r="G586" t="n">
        <v>270.34</v>
      </c>
      <c r="H586">
        <f>הגדרות!B5</f>
        <v/>
      </c>
      <c r="I586">
        <f>F586*(1-H586/100)*1.18</f>
        <v/>
      </c>
      <c r="J586">
        <f>הגדרות!C5</f>
        <v/>
      </c>
      <c r="K586">
        <f>הגדרות!D5</f>
        <v/>
      </c>
      <c r="L586">
        <f>I586*(1+J586/100)+K586</f>
        <v/>
      </c>
    </row>
    <row r="587">
      <c r="A587" t="inlineStr">
        <is>
          <t>IDEXX — רפרנס</t>
        </is>
      </c>
      <c r="B587" t="inlineStr">
        <is>
          <t>Heartworm (Dirofilaria spp) (DNA) RealPCR™</t>
        </is>
      </c>
      <c r="D587" t="inlineStr">
        <is>
          <t>HWPC</t>
        </is>
      </c>
      <c r="E587" t="inlineStr">
        <is>
          <t>2025-01</t>
        </is>
      </c>
      <c r="F587" t="n">
        <v>368.3</v>
      </c>
      <c r="G587" t="n">
        <v>434.59</v>
      </c>
      <c r="H587">
        <f>הגדרות!B5</f>
        <v/>
      </c>
      <c r="I587">
        <f>F587*(1-H587/100)*1.18</f>
        <v/>
      </c>
      <c r="J587">
        <f>הגדרות!C5</f>
        <v/>
      </c>
      <c r="K587">
        <f>הגדרות!D5</f>
        <v/>
      </c>
      <c r="L587">
        <f>I587*(1+J587/100)+K587</f>
        <v/>
      </c>
    </row>
    <row r="588">
      <c r="A588" t="inlineStr">
        <is>
          <t>IDEXX — רפרנס</t>
        </is>
      </c>
      <c r="B588" t="inlineStr">
        <is>
          <t>Immunocytochemistry - 2 markers</t>
        </is>
      </c>
      <c r="D588" t="inlineStr">
        <is>
          <t>ICC2</t>
        </is>
      </c>
      <c r="E588" t="inlineStr">
        <is>
          <t>2025-01</t>
        </is>
      </c>
      <c r="F588" t="n">
        <v>977.3</v>
      </c>
      <c r="G588" t="n">
        <v>1153.21</v>
      </c>
      <c r="H588">
        <f>הגדרות!B5</f>
        <v/>
      </c>
      <c r="I588">
        <f>F588*(1-H588/100)*1.18</f>
        <v/>
      </c>
      <c r="J588">
        <f>הגדרות!C5</f>
        <v/>
      </c>
      <c r="K588">
        <f>הגדרות!D5</f>
        <v/>
      </c>
      <c r="L588">
        <f>I588*(1+J588/100)+K588</f>
        <v/>
      </c>
    </row>
    <row r="589">
      <c r="A589" t="inlineStr">
        <is>
          <t>IDEXX — רפרנס</t>
        </is>
      </c>
      <c r="B589" t="inlineStr">
        <is>
          <t>Intermediate Screen with Urine</t>
        </is>
      </c>
      <c r="D589" t="inlineStr">
        <is>
          <t>INTUN</t>
        </is>
      </c>
      <c r="E589" t="inlineStr">
        <is>
          <t>2025-01</t>
        </is>
      </c>
      <c r="F589" t="n">
        <v>379.9</v>
      </c>
      <c r="G589" t="n">
        <v>448.28</v>
      </c>
      <c r="H589">
        <f>הגדרות!B5</f>
        <v/>
      </c>
      <c r="I589">
        <f>F589*(1-H589/100)*1.18</f>
        <v/>
      </c>
      <c r="J589">
        <f>הגדרות!C5</f>
        <v/>
      </c>
      <c r="K589">
        <f>הגדרות!D5</f>
        <v/>
      </c>
      <c r="L589">
        <f>I589*(1+J589/100)+K589</f>
        <v/>
      </c>
    </row>
    <row r="590">
      <c r="A590" t="inlineStr">
        <is>
          <t>IDEXX — רפרנס</t>
        </is>
      </c>
      <c r="B590" t="inlineStr">
        <is>
          <t>Ionised Calcium (Canine only)</t>
        </is>
      </c>
      <c r="D590" t="inlineStr">
        <is>
          <t>IONCA</t>
        </is>
      </c>
      <c r="E590" t="inlineStr">
        <is>
          <t>2025-01</t>
        </is>
      </c>
      <c r="F590" t="n">
        <v>142.1</v>
      </c>
      <c r="G590" t="n">
        <v>167.68</v>
      </c>
      <c r="H590">
        <f>הגדרות!B5</f>
        <v/>
      </c>
      <c r="I590">
        <f>F590*(1-H590/100)*1.18</f>
        <v/>
      </c>
      <c r="J590">
        <f>הגדרות!C5</f>
        <v/>
      </c>
      <c r="K590">
        <f>הגדרות!D5</f>
        <v/>
      </c>
      <c r="L590">
        <f>I590*(1+J590/100)+K590</f>
        <v/>
      </c>
    </row>
    <row r="591">
      <c r="A591" t="inlineStr">
        <is>
          <t>IDEXX — רפרנס</t>
        </is>
      </c>
      <c r="B591" t="inlineStr">
        <is>
          <t>Potassium Bromide</t>
        </is>
      </c>
      <c r="D591" t="inlineStr">
        <is>
          <t>KBR</t>
        </is>
      </c>
      <c r="E591" t="inlineStr">
        <is>
          <t>2025-01</t>
        </is>
      </c>
      <c r="F591" t="n">
        <v>313.2</v>
      </c>
      <c r="G591" t="n">
        <v>369.58</v>
      </c>
      <c r="H591">
        <f>הגדרות!B5</f>
        <v/>
      </c>
      <c r="I591">
        <f>F591*(1-H591/100)*1.18</f>
        <v/>
      </c>
      <c r="J591">
        <f>הגדרות!C5</f>
        <v/>
      </c>
      <c r="K591">
        <f>הגדרות!D5</f>
        <v/>
      </c>
      <c r="L591">
        <f>I591*(1+J591/100)+K591</f>
        <v/>
      </c>
    </row>
    <row r="592">
      <c r="A592" t="inlineStr">
        <is>
          <t>IDEXX — רפרנס</t>
        </is>
      </c>
      <c r="B592" t="inlineStr">
        <is>
          <t>Kidney Disease Monitoring Profile (Interpreted)</t>
        </is>
      </c>
      <c r="D592" t="inlineStr">
        <is>
          <t>KPI</t>
        </is>
      </c>
      <c r="E592" t="inlineStr">
        <is>
          <t>2025-01</t>
        </is>
      </c>
      <c r="F592" t="n">
        <v>234.9</v>
      </c>
      <c r="G592" t="n">
        <v>277.18</v>
      </c>
      <c r="H592">
        <f>הגדרות!B5</f>
        <v/>
      </c>
      <c r="I592">
        <f>F592*(1-H592/100)*1.18</f>
        <v/>
      </c>
      <c r="J592">
        <f>הגדרות!C5</f>
        <v/>
      </c>
      <c r="K592">
        <f>הגדרות!D5</f>
        <v/>
      </c>
      <c r="L592">
        <f>I592*(1+J592/100)+K592</f>
        <v/>
      </c>
    </row>
    <row r="593">
      <c r="A593" t="inlineStr">
        <is>
          <t>IDEXX — רפרנס</t>
        </is>
      </c>
      <c r="B593" t="inlineStr">
        <is>
          <t>Kidney Disease Monitoring Screen (Non-Interpreted)</t>
        </is>
      </c>
      <c r="D593" t="inlineStr">
        <is>
          <t>KPN</t>
        </is>
      </c>
      <c r="E593" t="inlineStr">
        <is>
          <t>2025-01</t>
        </is>
      </c>
      <c r="F593" t="n">
        <v>165.3</v>
      </c>
      <c r="G593" t="n">
        <v>195.05</v>
      </c>
      <c r="H593">
        <f>הגדרות!B5</f>
        <v/>
      </c>
      <c r="I593">
        <f>F593*(1-H593/100)*1.18</f>
        <v/>
      </c>
      <c r="J593">
        <f>הגדרות!C5</f>
        <v/>
      </c>
      <c r="K593">
        <f>הגדרות!D5</f>
        <v/>
      </c>
      <c r="L593">
        <f>I593*(1+J593/100)+K593</f>
        <v/>
      </c>
    </row>
    <row r="594">
      <c r="A594" t="inlineStr">
        <is>
          <t>IDEXX — רפרנס</t>
        </is>
      </c>
      <c r="B594" t="inlineStr">
        <is>
          <t>Lawsonia intracellularis RealPCR™</t>
        </is>
      </c>
      <c r="D594" t="inlineStr">
        <is>
          <t>LAWIP</t>
        </is>
      </c>
      <c r="E594" t="inlineStr">
        <is>
          <t>2025-01</t>
        </is>
      </c>
      <c r="F594" t="n">
        <v>368.3</v>
      </c>
      <c r="G594" t="n">
        <v>434.59</v>
      </c>
      <c r="H594">
        <f>הגדרות!B5</f>
        <v/>
      </c>
      <c r="I594">
        <f>F594*(1-H594/100)*1.18</f>
        <v/>
      </c>
      <c r="J594">
        <f>הגדרות!C5</f>
        <v/>
      </c>
      <c r="K594">
        <f>הגדרות!D5</f>
        <v/>
      </c>
      <c r="L594">
        <f>I594*(1+J594/100)+K594</f>
        <v/>
      </c>
    </row>
    <row r="595">
      <c r="A595" t="inlineStr">
        <is>
          <t>IDEXX — רפרנס</t>
        </is>
      </c>
      <c r="B595" t="inlineStr">
        <is>
          <t>Leishmania Serology (Canine)</t>
        </is>
      </c>
      <c r="D595" t="inlineStr">
        <is>
          <t>LEI</t>
        </is>
      </c>
      <c r="E595" t="inlineStr">
        <is>
          <t>2025-01</t>
        </is>
      </c>
      <c r="F595" t="n">
        <v>342.2</v>
      </c>
      <c r="G595" t="n">
        <v>403.8</v>
      </c>
      <c r="H595">
        <f>הגדרות!B5</f>
        <v/>
      </c>
      <c r="I595">
        <f>F595*(1-H595/100)*1.18</f>
        <v/>
      </c>
      <c r="J595">
        <f>הגדרות!C5</f>
        <v/>
      </c>
      <c r="K595">
        <f>הגדרות!D5</f>
        <v/>
      </c>
      <c r="L595">
        <f>I595*(1+J595/100)+K595</f>
        <v/>
      </c>
    </row>
    <row r="596">
      <c r="A596" t="inlineStr">
        <is>
          <t>IDEXX — רפרנס</t>
        </is>
      </c>
      <c r="B596" t="inlineStr">
        <is>
          <t>Leishmania Monitoring Profile (Interpreted)</t>
        </is>
      </c>
      <c r="D596" t="inlineStr">
        <is>
          <t>LEIMCI</t>
        </is>
      </c>
      <c r="E596" t="inlineStr">
        <is>
          <t>2025-01</t>
        </is>
      </c>
      <c r="F596" t="n">
        <v>919.3</v>
      </c>
      <c r="G596" t="n">
        <v>1084.77</v>
      </c>
      <c r="H596">
        <f>הגדרות!B5</f>
        <v/>
      </c>
      <c r="I596">
        <f>F596*(1-H596/100)*1.18</f>
        <v/>
      </c>
      <c r="J596">
        <f>הגדרות!C5</f>
        <v/>
      </c>
      <c r="K596">
        <f>הגדרות!D5</f>
        <v/>
      </c>
      <c r="L596">
        <f>I596*(1+J596/100)+K596</f>
        <v/>
      </c>
    </row>
    <row r="597">
      <c r="A597" t="inlineStr">
        <is>
          <t>IDEXX — רפרנס</t>
        </is>
      </c>
      <c r="B597" t="inlineStr">
        <is>
          <t>Leptospira Antibody (Full Screen)</t>
        </is>
      </c>
      <c r="D597" t="inlineStr">
        <is>
          <t>LEPMAR</t>
        </is>
      </c>
      <c r="E597" t="inlineStr">
        <is>
          <t>2025-01</t>
        </is>
      </c>
      <c r="F597" t="n">
        <v>716.3</v>
      </c>
      <c r="G597" t="n">
        <v>845.23</v>
      </c>
      <c r="H597">
        <f>הגדרות!B5</f>
        <v/>
      </c>
      <c r="I597">
        <f>F597*(1-H597/100)*1.18</f>
        <v/>
      </c>
      <c r="J597">
        <f>הגדרות!C5</f>
        <v/>
      </c>
      <c r="K597">
        <f>הגדרות!D5</f>
        <v/>
      </c>
      <c r="L597">
        <f>I597*(1+J597/100)+K597</f>
        <v/>
      </c>
    </row>
    <row r="598">
      <c r="A598" t="inlineStr">
        <is>
          <t>IDEXX — רפרנס</t>
        </is>
      </c>
      <c r="B598" t="inlineStr">
        <is>
          <t>Leptospira (DNA) RealPCR™</t>
        </is>
      </c>
      <c r="D598" t="inlineStr">
        <is>
          <t>LEPP</t>
        </is>
      </c>
      <c r="E598" t="inlineStr">
        <is>
          <t>2025-01</t>
        </is>
      </c>
      <c r="F598" t="n">
        <v>368.3</v>
      </c>
      <c r="G598" t="n">
        <v>434.59</v>
      </c>
      <c r="H598">
        <f>הגדרות!B5</f>
        <v/>
      </c>
      <c r="I598">
        <f>F598*(1-H598/100)*1.18</f>
        <v/>
      </c>
      <c r="J598">
        <f>הגדרות!C5</f>
        <v/>
      </c>
      <c r="K598">
        <f>הגדרות!D5</f>
        <v/>
      </c>
      <c r="L598">
        <f>I598*(1+J598/100)+K598</f>
        <v/>
      </c>
    </row>
    <row r="599">
      <c r="A599" t="inlineStr">
        <is>
          <t>IDEXX — רפרנס</t>
        </is>
      </c>
      <c r="B599" t="inlineStr">
        <is>
          <t>Leptospira (DNA) RealPCR™ (Urine and blood require</t>
        </is>
      </c>
      <c r="D599" t="inlineStr">
        <is>
          <t>dL)EPSPEU</t>
        </is>
      </c>
      <c r="E599" t="inlineStr">
        <is>
          <t>2025-01</t>
        </is>
      </c>
      <c r="F599" t="n">
        <v>368.3</v>
      </c>
      <c r="G599" t="n">
        <v>434.59</v>
      </c>
      <c r="H599">
        <f>הגדרות!B5</f>
        <v/>
      </c>
      <c r="I599">
        <f>F599*(1-H599/100)*1.18</f>
        <v/>
      </c>
      <c r="J599">
        <f>הגדרות!C5</f>
        <v/>
      </c>
      <c r="K599">
        <f>הגדרות!D5</f>
        <v/>
      </c>
      <c r="L599">
        <f>I599*(1+J599/100)+K599</f>
        <v/>
      </c>
    </row>
    <row r="600">
      <c r="A600" t="inlineStr">
        <is>
          <t>IDEXX — רפרנס</t>
        </is>
      </c>
      <c r="B600" t="inlineStr">
        <is>
          <t>Levetiracetam</t>
        </is>
      </c>
      <c r="D600" t="inlineStr">
        <is>
          <t>LEV</t>
        </is>
      </c>
      <c r="E600" t="inlineStr">
        <is>
          <t>2025-01</t>
        </is>
      </c>
      <c r="F600" t="n">
        <v>638</v>
      </c>
      <c r="G600" t="n">
        <v>752.84</v>
      </c>
      <c r="H600">
        <f>הגדרות!B5</f>
        <v/>
      </c>
      <c r="I600">
        <f>F600*(1-H600/100)*1.18</f>
        <v/>
      </c>
      <c r="J600">
        <f>הגדרות!C5</f>
        <v/>
      </c>
      <c r="K600">
        <f>הגדרות!D5</f>
        <v/>
      </c>
      <c r="L600">
        <f>I600*(1+J600/100)+K600</f>
        <v/>
      </c>
    </row>
    <row r="601">
      <c r="A601" t="inlineStr">
        <is>
          <t>IDEXX — רפרנס</t>
        </is>
      </c>
      <c r="B601" t="inlineStr">
        <is>
          <t>Large Animal Liver Profile</t>
        </is>
      </c>
      <c r="D601" t="inlineStr">
        <is>
          <t>LLFT</t>
        </is>
      </c>
      <c r="E601" t="inlineStr">
        <is>
          <t>2025-01</t>
        </is>
      </c>
      <c r="F601" t="n">
        <v>214.6</v>
      </c>
      <c r="G601" t="n">
        <v>253.23</v>
      </c>
      <c r="H601">
        <f>הגדרות!B5</f>
        <v/>
      </c>
      <c r="I601">
        <f>F601*(1-H601/100)*1.18</f>
        <v/>
      </c>
      <c r="J601">
        <f>הגדרות!C5</f>
        <v/>
      </c>
      <c r="K601">
        <f>הגדרות!D5</f>
        <v/>
      </c>
      <c r="L601">
        <f>I601*(1+J601/100)+K601</f>
        <v/>
      </c>
    </row>
    <row r="602">
      <c r="A602" t="inlineStr">
        <is>
          <t>IDEXX — רפרנס</t>
        </is>
      </c>
      <c r="B602" t="inlineStr">
        <is>
          <t>Bovine Liver Screen</t>
        </is>
      </c>
      <c r="D602" t="inlineStr">
        <is>
          <t>LLFTB</t>
        </is>
      </c>
      <c r="E602" t="inlineStr">
        <is>
          <t>2025-01</t>
        </is>
      </c>
      <c r="F602" t="n">
        <v>174</v>
      </c>
      <c r="G602" t="n">
        <v>205.32</v>
      </c>
      <c r="H602">
        <f>הגדרות!B5</f>
        <v/>
      </c>
      <c r="I602">
        <f>F602*(1-H602/100)*1.18</f>
        <v/>
      </c>
      <c r="J602">
        <f>הגדרות!C5</f>
        <v/>
      </c>
      <c r="K602">
        <f>הגדרות!D5</f>
        <v/>
      </c>
      <c r="L602">
        <f>I602*(1+J602/100)+K602</f>
        <v/>
      </c>
    </row>
    <row r="603">
      <c r="A603" t="inlineStr">
        <is>
          <t>IDEXX — רפרנס</t>
        </is>
      </c>
      <c r="B603" t="inlineStr">
        <is>
          <t>Lymph Node Aspirates and Fine Needle Aspirates - 1</t>
        </is>
      </c>
      <c r="D603" t="inlineStr">
        <is>
          <t>sLitNeCY1</t>
        </is>
      </c>
      <c r="E603" t="inlineStr">
        <is>
          <t>2025-01</t>
        </is>
      </c>
      <c r="F603" t="n">
        <v>1168.7</v>
      </c>
      <c r="G603" t="n">
        <v>1379.07</v>
      </c>
      <c r="H603">
        <f>הגדרות!B5</f>
        <v/>
      </c>
      <c r="I603">
        <f>F603*(1-H603/100)*1.18</f>
        <v/>
      </c>
      <c r="J603">
        <f>הגדרות!C5</f>
        <v/>
      </c>
      <c r="K603">
        <f>הגדרות!D5</f>
        <v/>
      </c>
      <c r="L603">
        <f>I603*(1+J603/100)+K603</f>
        <v/>
      </c>
    </row>
    <row r="604">
      <c r="A604" t="inlineStr">
        <is>
          <t>IDEXX — רפרנס</t>
        </is>
      </c>
      <c r="B604" t="inlineStr">
        <is>
          <t>Lymph Node Aspirates and Fine Needle Aspirates - 2</t>
        </is>
      </c>
      <c r="D604" t="inlineStr">
        <is>
          <t>sLitNeCsY2</t>
        </is>
      </c>
      <c r="E604" t="inlineStr">
        <is>
          <t>2025-01</t>
        </is>
      </c>
      <c r="F604" t="n">
        <v>1255.7</v>
      </c>
      <c r="G604" t="n">
        <v>1481.73</v>
      </c>
      <c r="H604">
        <f>הגדרות!B5</f>
        <v/>
      </c>
      <c r="I604">
        <f>F604*(1-H604/100)*1.18</f>
        <v/>
      </c>
      <c r="J604">
        <f>הגדרות!C5</f>
        <v/>
      </c>
      <c r="K604">
        <f>הגדרות!D5</f>
        <v/>
      </c>
      <c r="L604">
        <f>I604*(1+J604/100)+K604</f>
        <v/>
      </c>
    </row>
    <row r="605">
      <c r="A605" t="inlineStr">
        <is>
          <t>IDEXX — רפרנס</t>
        </is>
      </c>
      <c r="B605" t="inlineStr">
        <is>
          <t>Lymph Node Aspirates and Fine Needle Aspirates - 3</t>
        </is>
      </c>
      <c r="D605" t="inlineStr">
        <is>
          <t>sLitNeCsY3</t>
        </is>
      </c>
      <c r="E605" t="inlineStr">
        <is>
          <t>2025-01</t>
        </is>
      </c>
      <c r="F605" t="n">
        <v>1342.7</v>
      </c>
      <c r="G605" t="n">
        <v>1584.39</v>
      </c>
      <c r="H605">
        <f>הגדרות!B5</f>
        <v/>
      </c>
      <c r="I605">
        <f>F605*(1-H605/100)*1.18</f>
        <v/>
      </c>
      <c r="J605">
        <f>הגדרות!C5</f>
        <v/>
      </c>
      <c r="K605">
        <f>הגדרות!D5</f>
        <v/>
      </c>
      <c r="L605">
        <f>I605*(1+J605/100)+K605</f>
        <v/>
      </c>
    </row>
    <row r="606">
      <c r="A606" t="inlineStr">
        <is>
          <t>IDEXX — רפרנס</t>
        </is>
      </c>
      <c r="B606" t="inlineStr">
        <is>
          <t>Leishmania (DNA) RealPCR™</t>
        </is>
      </c>
      <c r="D606" t="inlineStr">
        <is>
          <t>LPCR</t>
        </is>
      </c>
      <c r="E606" t="inlineStr">
        <is>
          <t>2025-01</t>
        </is>
      </c>
      <c r="F606" t="n">
        <v>368.3</v>
      </c>
      <c r="G606" t="n">
        <v>434.59</v>
      </c>
      <c r="H606">
        <f>הגדרות!B5</f>
        <v/>
      </c>
      <c r="I606">
        <f>F606*(1-H606/100)*1.18</f>
        <v/>
      </c>
      <c r="J606">
        <f>הגדרות!C5</f>
        <v/>
      </c>
      <c r="K606">
        <f>הגדרות!D5</f>
        <v/>
      </c>
      <c r="L606">
        <f>I606*(1+J606/100)+K606</f>
        <v/>
      </c>
    </row>
    <row r="607">
      <c r="A607" t="inlineStr">
        <is>
          <t>IDEXX — רפרנס</t>
        </is>
      </c>
      <c r="B607" t="inlineStr">
        <is>
          <t>Canine Lungworm Panel</t>
        </is>
      </c>
      <c r="D607" t="inlineStr">
        <is>
          <t>LUNGWP</t>
        </is>
      </c>
      <c r="E607" t="inlineStr">
        <is>
          <t>2025-01</t>
        </is>
      </c>
      <c r="F607" t="n">
        <v>368.3</v>
      </c>
      <c r="G607" t="n">
        <v>434.59</v>
      </c>
      <c r="H607">
        <f>הגדרות!B5</f>
        <v/>
      </c>
      <c r="I607">
        <f>F607*(1-H607/100)*1.18</f>
        <v/>
      </c>
      <c r="J607">
        <f>הגדרות!C5</f>
        <v/>
      </c>
      <c r="K607">
        <f>הגדרות!D5</f>
        <v/>
      </c>
      <c r="L607">
        <f>I607*(1+J607/100)+K607</f>
        <v/>
      </c>
    </row>
    <row r="608">
      <c r="A608" t="inlineStr">
        <is>
          <t>IDEXX — רפרנס</t>
        </is>
      </c>
      <c r="B608" t="inlineStr">
        <is>
          <t>Lyme (Borrelia spp.) Antibody Screen</t>
        </is>
      </c>
      <c r="D608" t="inlineStr">
        <is>
          <t>LYM</t>
        </is>
      </c>
      <c r="E608" t="inlineStr">
        <is>
          <t>2025-01</t>
        </is>
      </c>
      <c r="F608" t="n">
        <v>258.1</v>
      </c>
      <c r="G608" t="n">
        <v>304.56</v>
      </c>
      <c r="H608">
        <f>הגדרות!B5</f>
        <v/>
      </c>
      <c r="I608">
        <f>F608*(1-H608/100)*1.18</f>
        <v/>
      </c>
      <c r="J608">
        <f>הגדרות!C5</f>
        <v/>
      </c>
      <c r="K608">
        <f>הגדרות!D5</f>
        <v/>
      </c>
      <c r="L608">
        <f>I608*(1+J608/100)+K608</f>
        <v/>
      </c>
    </row>
    <row r="609">
      <c r="A609" t="inlineStr">
        <is>
          <t>IDEXX — רפרנס</t>
        </is>
      </c>
      <c r="B609" t="inlineStr">
        <is>
          <t>Lyte 4 CLIP</t>
        </is>
      </c>
      <c r="D609" t="inlineStr">
        <is>
          <t>LYTE4</t>
        </is>
      </c>
      <c r="E609" t="inlineStr">
        <is>
          <t>2025-01</t>
        </is>
      </c>
      <c r="F609" t="n">
        <v>52.2</v>
      </c>
      <c r="G609" t="n">
        <v>61.6</v>
      </c>
      <c r="H609">
        <f>הגדרות!B5</f>
        <v/>
      </c>
      <c r="I609">
        <f>F609*(1-H609/100)*1.18</f>
        <v/>
      </c>
      <c r="J609">
        <f>הגדרות!C5</f>
        <v/>
      </c>
      <c r="K609">
        <f>הגדרות!D5</f>
        <v/>
      </c>
      <c r="L609">
        <f>I609*(1+J609/100)+K609</f>
        <v/>
      </c>
    </row>
    <row r="610">
      <c r="A610" t="inlineStr">
        <is>
          <t>IDEXX — רפרנס</t>
        </is>
      </c>
      <c r="B610" t="inlineStr">
        <is>
          <t>Mycoplasma Agassizii</t>
        </is>
      </c>
      <c r="D610" t="inlineStr">
        <is>
          <t>MAGP</t>
        </is>
      </c>
      <c r="E610" t="inlineStr">
        <is>
          <t>2025-01</t>
        </is>
      </c>
      <c r="F610" t="n">
        <v>350.9</v>
      </c>
      <c r="G610" t="n">
        <v>414.06</v>
      </c>
      <c r="H610">
        <f>הגדרות!B5</f>
        <v/>
      </c>
      <c r="I610">
        <f>F610*(1-H610/100)*1.18</f>
        <v/>
      </c>
      <c r="J610">
        <f>הגדרות!C5</f>
        <v/>
      </c>
      <c r="K610">
        <f>הגדרות!D5</f>
        <v/>
      </c>
      <c r="L610">
        <f>I610*(1+J610/100)+K610</f>
        <v/>
      </c>
    </row>
    <row r="611">
      <c r="A611" t="inlineStr">
        <is>
          <t>IDEXX — רפרנס</t>
        </is>
      </c>
      <c r="B611" t="inlineStr">
        <is>
          <t>MDR1 Defect</t>
        </is>
      </c>
      <c r="D611" t="inlineStr">
        <is>
          <t>MDR1</t>
        </is>
      </c>
      <c r="E611" t="inlineStr">
        <is>
          <t>2025-01</t>
        </is>
      </c>
      <c r="F611" t="n">
        <v>490.1</v>
      </c>
      <c r="G611" t="n">
        <v>578.3200000000001</v>
      </c>
      <c r="H611">
        <f>הגדרות!B5</f>
        <v/>
      </c>
      <c r="I611">
        <f>F611*(1-H611/100)*1.18</f>
        <v/>
      </c>
      <c r="J611">
        <f>הגדרות!C5</f>
        <v/>
      </c>
      <c r="K611">
        <f>הגדרות!D5</f>
        <v/>
      </c>
      <c r="L611">
        <f>I611*(1+J611/100)+K611</f>
        <v/>
      </c>
    </row>
    <row r="612">
      <c r="A612" t="inlineStr">
        <is>
          <t>IDEXX — רפרנס</t>
        </is>
      </c>
      <c r="B612" t="inlineStr">
        <is>
          <t>Skin Parasites / Dermatophyte</t>
        </is>
      </c>
      <c r="D612" t="inlineStr">
        <is>
          <t>MFC</t>
        </is>
      </c>
      <c r="E612" t="inlineStr">
        <is>
          <t>2025-01</t>
        </is>
      </c>
      <c r="F612" t="n">
        <v>307.4</v>
      </c>
      <c r="G612" t="n">
        <v>362.73</v>
      </c>
      <c r="H612">
        <f>הגדרות!B5</f>
        <v/>
      </c>
      <c r="I612">
        <f>F612*(1-H612/100)*1.18</f>
        <v/>
      </c>
      <c r="J612">
        <f>הגדרות!C5</f>
        <v/>
      </c>
      <c r="K612">
        <f>הגדרות!D5</f>
        <v/>
      </c>
      <c r="L612">
        <f>I612*(1+J612/100)+K612</f>
        <v/>
      </c>
    </row>
    <row r="613">
      <c r="A613" t="inlineStr">
        <is>
          <t>IDEXX — רפרנס</t>
        </is>
      </c>
      <c r="B613" t="inlineStr">
        <is>
          <t>Milk Culture</t>
        </is>
      </c>
      <c r="D613" t="inlineStr">
        <is>
          <t>MILK</t>
        </is>
      </c>
      <c r="E613" t="inlineStr">
        <is>
          <t>2025-01</t>
        </is>
      </c>
      <c r="F613" t="n">
        <v>330.6</v>
      </c>
      <c r="G613" t="n">
        <v>390.11</v>
      </c>
      <c r="H613">
        <f>הגדרות!B5</f>
        <v/>
      </c>
      <c r="I613">
        <f>F613*(1-H613/100)*1.18</f>
        <v/>
      </c>
      <c r="J613">
        <f>הגדרות!C5</f>
        <v/>
      </c>
      <c r="K613">
        <f>הגדרות!D5</f>
        <v/>
      </c>
      <c r="L613">
        <f>I613*(1+J613/100)+K613</f>
        <v/>
      </c>
    </row>
    <row r="614">
      <c r="A614" t="inlineStr">
        <is>
          <t>IDEXX — רפרנס</t>
        </is>
      </c>
      <c r="B614" t="inlineStr">
        <is>
          <t>Feline Haemotropic Mycoplasma spp.</t>
        </is>
      </c>
      <c r="D614" t="inlineStr">
        <is>
          <t>MPCR</t>
        </is>
      </c>
      <c r="E614" t="inlineStr">
        <is>
          <t>2025-01</t>
        </is>
      </c>
      <c r="F614" t="n">
        <v>582.9</v>
      </c>
      <c r="G614" t="n">
        <v>687.8200000000001</v>
      </c>
      <c r="H614">
        <f>הגדרות!B5</f>
        <v/>
      </c>
      <c r="I614">
        <f>F614*(1-H614/100)*1.18</f>
        <v/>
      </c>
      <c r="J614">
        <f>הגדרות!C5</f>
        <v/>
      </c>
      <c r="K614">
        <f>הגדרות!D5</f>
        <v/>
      </c>
      <c r="L614">
        <f>I614*(1+J614/100)+K614</f>
        <v/>
      </c>
    </row>
    <row r="615">
      <c r="A615" t="inlineStr">
        <is>
          <t>IDEXX — רפרנס</t>
        </is>
      </c>
      <c r="B615" t="inlineStr">
        <is>
          <t>MRSA Culture (price per swab)</t>
        </is>
      </c>
      <c r="D615" t="inlineStr">
        <is>
          <t>MRS1</t>
        </is>
      </c>
      <c r="E615" t="inlineStr">
        <is>
          <t>2025-01</t>
        </is>
      </c>
      <c r="F615" t="n">
        <v>269.7</v>
      </c>
      <c r="G615" t="n">
        <v>318.25</v>
      </c>
      <c r="H615">
        <f>הגדרות!B5</f>
        <v/>
      </c>
      <c r="I615">
        <f>F615*(1-H615/100)*1.18</f>
        <v/>
      </c>
      <c r="J615">
        <f>הגדרות!C5</f>
        <v/>
      </c>
      <c r="K615">
        <f>הגדרות!D5</f>
        <v/>
      </c>
      <c r="L615">
        <f>I615*(1+J615/100)+K615</f>
        <v/>
      </c>
    </row>
    <row r="616">
      <c r="A616" t="inlineStr">
        <is>
          <t>IDEXX — רפרנס</t>
        </is>
      </c>
      <c r="B616" t="inlineStr">
        <is>
          <t>Comprehensive Exotic Faecal Screen</t>
        </is>
      </c>
      <c r="D616" t="inlineStr">
        <is>
          <t>MSHC</t>
        </is>
      </c>
      <c r="E616" t="inlineStr">
        <is>
          <t>2025-01</t>
        </is>
      </c>
      <c r="F616" t="n">
        <v>524.9</v>
      </c>
      <c r="G616" t="n">
        <v>619.38</v>
      </c>
      <c r="H616">
        <f>הגדרות!B5</f>
        <v/>
      </c>
      <c r="I616">
        <f>F616*(1-H616/100)*1.18</f>
        <v/>
      </c>
      <c r="J616">
        <f>הגדרות!C5</f>
        <v/>
      </c>
      <c r="K616">
        <f>הגדרות!D5</f>
        <v/>
      </c>
      <c r="L616">
        <f>I616*(1+J616/100)+K616</f>
        <v/>
      </c>
    </row>
    <row r="617">
      <c r="A617" t="inlineStr">
        <is>
          <t>IDEXX — רפרנס</t>
        </is>
      </c>
      <c r="B617" t="inlineStr">
        <is>
          <t>Myxomatosis Antibody</t>
        </is>
      </c>
      <c r="D617" t="inlineStr">
        <is>
          <t>MYX</t>
        </is>
      </c>
      <c r="E617" t="inlineStr">
        <is>
          <t>2025-01</t>
        </is>
      </c>
      <c r="F617" t="n">
        <v>957</v>
      </c>
      <c r="G617" t="n">
        <v>1129.26</v>
      </c>
      <c r="H617">
        <f>הגדרות!B5</f>
        <v/>
      </c>
      <c r="I617">
        <f>F617*(1-H617/100)*1.18</f>
        <v/>
      </c>
      <c r="J617">
        <f>הגדרות!C5</f>
        <v/>
      </c>
      <c r="K617">
        <f>הגדרות!D5</f>
        <v/>
      </c>
      <c r="L617">
        <f>I617*(1+J617/100)+K617</f>
        <v/>
      </c>
    </row>
    <row r="618">
      <c r="A618" t="inlineStr">
        <is>
          <t>IDEXX — רפרנס</t>
        </is>
      </c>
      <c r="B618" t="inlineStr">
        <is>
          <t>Basic Nail Screen</t>
        </is>
      </c>
      <c r="D618" t="inlineStr">
        <is>
          <t>NAIL1</t>
        </is>
      </c>
      <c r="E618" t="inlineStr">
        <is>
          <t>2025-01</t>
        </is>
      </c>
      <c r="F618" t="n">
        <v>345.1</v>
      </c>
      <c r="G618" t="n">
        <v>407.22</v>
      </c>
      <c r="H618">
        <f>הגדרות!B5</f>
        <v/>
      </c>
      <c r="I618">
        <f>F618*(1-H618/100)*1.18</f>
        <v/>
      </c>
      <c r="J618">
        <f>הגדרות!C5</f>
        <v/>
      </c>
      <c r="K618">
        <f>הגדרות!D5</f>
        <v/>
      </c>
      <c r="L618">
        <f>I618*(1+J618/100)+K618</f>
        <v/>
      </c>
    </row>
    <row r="619">
      <c r="A619" t="inlineStr">
        <is>
          <t>IDEXX — רפרנס</t>
        </is>
      </c>
      <c r="B619" t="inlineStr">
        <is>
          <t>Comprehensive Nail Screen</t>
        </is>
      </c>
      <c r="D619" t="inlineStr">
        <is>
          <t>NAIL2</t>
        </is>
      </c>
      <c r="E619" t="inlineStr">
        <is>
          <t>2025-01</t>
        </is>
      </c>
      <c r="F619" t="n">
        <v>472.7</v>
      </c>
      <c r="G619" t="n">
        <v>557.79</v>
      </c>
      <c r="H619">
        <f>הגדרות!B5</f>
        <v/>
      </c>
      <c r="I619">
        <f>F619*(1-H619/100)*1.18</f>
        <v/>
      </c>
      <c r="J619">
        <f>הגדרות!C5</f>
        <v/>
      </c>
      <c r="K619">
        <f>הגדרות!D5</f>
        <v/>
      </c>
      <c r="L619">
        <f>I619*(1+J619/100)+K619</f>
        <v/>
      </c>
    </row>
    <row r="620">
      <c r="A620" t="inlineStr">
        <is>
          <t>IDEXX — רפרנס</t>
        </is>
      </c>
      <c r="B620" t="inlineStr">
        <is>
          <t>Neospora caninum Antibody</t>
        </is>
      </c>
      <c r="D620" t="inlineStr">
        <is>
          <t>NEO</t>
        </is>
      </c>
      <c r="E620" t="inlineStr">
        <is>
          <t>2025-01</t>
        </is>
      </c>
      <c r="F620" t="n">
        <v>261</v>
      </c>
      <c r="G620" t="n">
        <v>307.98</v>
      </c>
      <c r="H620">
        <f>הגדרות!B5</f>
        <v/>
      </c>
      <c r="I620">
        <f>F620*(1-H620/100)*1.18</f>
        <v/>
      </c>
      <c r="J620">
        <f>הגדרות!C5</f>
        <v/>
      </c>
      <c r="K620">
        <f>הגדרות!D5</f>
        <v/>
      </c>
      <c r="L620">
        <f>I620*(1+J620/100)+K620</f>
        <v/>
      </c>
    </row>
    <row r="621">
      <c r="A621" t="inlineStr">
        <is>
          <t>IDEXX — רפרנס</t>
        </is>
      </c>
      <c r="B621" t="inlineStr">
        <is>
          <t>Neospora (DNA) RealPCR™</t>
        </is>
      </c>
      <c r="D621" t="inlineStr">
        <is>
          <t>NEOSP</t>
        </is>
      </c>
      <c r="E621" t="inlineStr">
        <is>
          <t>2025-01</t>
        </is>
      </c>
      <c r="F621" t="n">
        <v>368.3</v>
      </c>
      <c r="G621" t="n">
        <v>434.59</v>
      </c>
      <c r="H621">
        <f>הגדרות!B5</f>
        <v/>
      </c>
      <c r="I621">
        <f>F621*(1-H621/100)*1.18</f>
        <v/>
      </c>
      <c r="J621">
        <f>הגדרות!C5</f>
        <v/>
      </c>
      <c r="K621">
        <f>הגדרות!D5</f>
        <v/>
      </c>
      <c r="L621">
        <f>I621*(1+J621/100)+K621</f>
        <v/>
      </c>
    </row>
    <row r="622">
      <c r="A622" t="inlineStr">
        <is>
          <t>IDEXX — רפרנס</t>
        </is>
      </c>
      <c r="B622" t="inlineStr">
        <is>
          <t>NSAID CLIP</t>
        </is>
      </c>
      <c r="D622" t="inlineStr">
        <is>
          <t>NSAID</t>
        </is>
      </c>
      <c r="E622" t="inlineStr">
        <is>
          <t>2025-01</t>
        </is>
      </c>
      <c r="F622" t="n">
        <v>116</v>
      </c>
      <c r="G622" t="n">
        <v>136.88</v>
      </c>
      <c r="H622">
        <f>הגדרות!B5</f>
        <v/>
      </c>
      <c r="I622">
        <f>F622*(1-H622/100)*1.18</f>
        <v/>
      </c>
      <c r="J622">
        <f>הגדרות!C5</f>
        <v/>
      </c>
      <c r="K622">
        <f>הגדרות!D5</f>
        <v/>
      </c>
      <c r="L622">
        <f>I622*(1+J622/100)+K622</f>
        <v/>
      </c>
    </row>
    <row r="623">
      <c r="A623" t="inlineStr">
        <is>
          <t>IDEXX — רפרנס</t>
        </is>
      </c>
      <c r="B623" t="inlineStr">
        <is>
          <t>Occult Blood</t>
        </is>
      </c>
      <c r="D623" t="inlineStr">
        <is>
          <t>OB</t>
        </is>
      </c>
      <c r="E623" t="inlineStr">
        <is>
          <t>2025-01</t>
        </is>
      </c>
      <c r="F623" t="n">
        <v>165.3</v>
      </c>
      <c r="G623" t="n">
        <v>195.05</v>
      </c>
      <c r="H623">
        <f>הגדרות!B5</f>
        <v/>
      </c>
      <c r="I623">
        <f>F623*(1-H623/100)*1.18</f>
        <v/>
      </c>
      <c r="J623">
        <f>הגדרות!C5</f>
        <v/>
      </c>
      <c r="K623">
        <f>הגדרות!D5</f>
        <v/>
      </c>
      <c r="L623">
        <f>I623*(1+J623/100)+K623</f>
        <v/>
      </c>
    </row>
    <row r="624">
      <c r="A624" t="inlineStr">
        <is>
          <t>IDEXX — רפרנס</t>
        </is>
      </c>
      <c r="B624" t="inlineStr">
        <is>
          <t>Canine Vomiting/Pancreatitis Profile (Interpreted)</t>
        </is>
      </c>
      <c r="D624" t="inlineStr">
        <is>
          <t>PANCI</t>
        </is>
      </c>
      <c r="E624" t="inlineStr">
        <is>
          <t>2025-01</t>
        </is>
      </c>
      <c r="F624" t="n">
        <v>669.9</v>
      </c>
      <c r="G624" t="n">
        <v>790.48</v>
      </c>
      <c r="H624">
        <f>הגדרות!B5</f>
        <v/>
      </c>
      <c r="I624">
        <f>F624*(1-H624/100)*1.18</f>
        <v/>
      </c>
      <c r="J624">
        <f>הגדרות!C5</f>
        <v/>
      </c>
      <c r="K624">
        <f>הגדרות!D5</f>
        <v/>
      </c>
      <c r="L624">
        <f>I624*(1+J624/100)+K624</f>
        <v/>
      </c>
    </row>
    <row r="625">
      <c r="A625" t="inlineStr">
        <is>
          <t>IDEXX — רפרנס</t>
        </is>
      </c>
      <c r="B625" t="inlineStr">
        <is>
          <t>Canine Vomiting/Pancreatitis Screen (Non-Interpreted</t>
        </is>
      </c>
      <c r="D625" t="inlineStr">
        <is>
          <t>)PANCN</t>
        </is>
      </c>
      <c r="E625" t="inlineStr">
        <is>
          <t>2025-01</t>
        </is>
      </c>
      <c r="F625" t="n">
        <v>594.5</v>
      </c>
      <c r="G625" t="n">
        <v>701.51</v>
      </c>
      <c r="H625">
        <f>הגדרות!B5</f>
        <v/>
      </c>
      <c r="I625">
        <f>F625*(1-H625/100)*1.18</f>
        <v/>
      </c>
      <c r="J625">
        <f>הגדרות!C5</f>
        <v/>
      </c>
      <c r="K625">
        <f>הגדרות!D5</f>
        <v/>
      </c>
      <c r="L625">
        <f>I625*(1+J625/100)+K625</f>
        <v/>
      </c>
    </row>
    <row r="626">
      <c r="A626" t="inlineStr">
        <is>
          <t>IDEXX — רפרנס</t>
        </is>
      </c>
      <c r="B626" t="inlineStr">
        <is>
          <t>Feline Under The Weather Profile (Interpreted)</t>
        </is>
      </c>
      <c r="D626" t="inlineStr">
        <is>
          <t>PANFI</t>
        </is>
      </c>
      <c r="E626" t="inlineStr">
        <is>
          <t>2025-01</t>
        </is>
      </c>
      <c r="F626" t="n">
        <v>667</v>
      </c>
      <c r="G626" t="n">
        <v>787.0599999999999</v>
      </c>
      <c r="H626">
        <f>הגדרות!B5</f>
        <v/>
      </c>
      <c r="I626">
        <f>F626*(1-H626/100)*1.18</f>
        <v/>
      </c>
      <c r="J626">
        <f>הגדרות!C5</f>
        <v/>
      </c>
      <c r="K626">
        <f>הגדרות!D5</f>
        <v/>
      </c>
      <c r="L626">
        <f>I626*(1+J626/100)+K626</f>
        <v/>
      </c>
    </row>
    <row r="627">
      <c r="A627" t="inlineStr">
        <is>
          <t>IDEXX — רפרנס</t>
        </is>
      </c>
      <c r="B627" t="inlineStr">
        <is>
          <t>Feline Under The Weather Screen (Non-Interpreted)</t>
        </is>
      </c>
      <c r="D627" t="inlineStr">
        <is>
          <t>PANFN</t>
        </is>
      </c>
      <c r="E627" t="inlineStr">
        <is>
          <t>2025-01</t>
        </is>
      </c>
      <c r="F627" t="n">
        <v>591.6</v>
      </c>
      <c r="G627" t="n">
        <v>698.09</v>
      </c>
      <c r="H627">
        <f>הגדרות!B5</f>
        <v/>
      </c>
      <c r="I627">
        <f>F627*(1-H627/100)*1.18</f>
        <v/>
      </c>
      <c r="J627">
        <f>הגדרות!C5</f>
        <v/>
      </c>
      <c r="K627">
        <f>הגדרות!D5</f>
        <v/>
      </c>
      <c r="L627">
        <f>I627*(1+J627/100)+K627</f>
        <v/>
      </c>
    </row>
    <row r="628">
      <c r="A628" t="inlineStr">
        <is>
          <t>IDEXX — רפרנס</t>
        </is>
      </c>
      <c r="B628" t="inlineStr">
        <is>
          <t>Parvovirus (CPV) Antibody</t>
        </is>
      </c>
      <c r="D628" t="inlineStr">
        <is>
          <t>PAR</t>
        </is>
      </c>
      <c r="E628" t="inlineStr">
        <is>
          <t>2025-01</t>
        </is>
      </c>
      <c r="F628" t="n">
        <v>394.4</v>
      </c>
      <c r="G628" t="n">
        <v>465.39</v>
      </c>
      <c r="H628">
        <f>הגדרות!B5</f>
        <v/>
      </c>
      <c r="I628">
        <f>F628*(1-H628/100)*1.18</f>
        <v/>
      </c>
      <c r="J628">
        <f>הגדרות!C5</f>
        <v/>
      </c>
      <c r="K628">
        <f>הגדרות!D5</f>
        <v/>
      </c>
      <c r="L628">
        <f>I628*(1+J628/100)+K628</f>
        <v/>
      </c>
    </row>
    <row r="629">
      <c r="A629" t="inlineStr">
        <is>
          <t>IDEXX — רפרנס</t>
        </is>
      </c>
      <c r="B629" t="inlineStr">
        <is>
          <t>Paramyxovirus (Ophidian)</t>
        </is>
      </c>
      <c r="D629" t="inlineStr">
        <is>
          <t>PARAMS</t>
        </is>
      </c>
      <c r="E629" t="inlineStr">
        <is>
          <t>2025-01</t>
        </is>
      </c>
      <c r="F629" t="n">
        <v>368.3</v>
      </c>
      <c r="G629" t="n">
        <v>434.59</v>
      </c>
      <c r="H629">
        <f>הגדרות!B5</f>
        <v/>
      </c>
      <c r="I629">
        <f>F629*(1-H629/100)*1.18</f>
        <v/>
      </c>
      <c r="J629">
        <f>הגדרות!C5</f>
        <v/>
      </c>
      <c r="K629">
        <f>הגדרות!D5</f>
        <v/>
      </c>
      <c r="L629">
        <f>I629*(1+J629/100)+K629</f>
        <v/>
      </c>
    </row>
    <row r="630">
      <c r="A630" t="inlineStr">
        <is>
          <t>IDEXX — רפרנס</t>
        </is>
      </c>
      <c r="B630" t="inlineStr">
        <is>
          <t>Parentage Test (Canine)</t>
        </is>
      </c>
      <c r="D630" t="inlineStr">
        <is>
          <t>PARC</t>
        </is>
      </c>
      <c r="E630" t="inlineStr">
        <is>
          <t>2025-01</t>
        </is>
      </c>
      <c r="F630" t="n">
        <v>1371.7</v>
      </c>
      <c r="G630" t="n">
        <v>1618.61</v>
      </c>
      <c r="H630">
        <f>הגדרות!B5</f>
        <v/>
      </c>
      <c r="I630">
        <f>F630*(1-H630/100)*1.18</f>
        <v/>
      </c>
      <c r="J630">
        <f>הגדרות!C5</f>
        <v/>
      </c>
      <c r="K630">
        <f>הגדרות!D5</f>
        <v/>
      </c>
      <c r="L630">
        <f>I630*(1+J630/100)+K630</f>
        <v/>
      </c>
    </row>
    <row r="631">
      <c r="A631" t="inlineStr">
        <is>
          <t>IDEXX — רפרנס</t>
        </is>
      </c>
      <c r="B631" t="inlineStr">
        <is>
          <t>Faecal Parasitology and Giardia Antigen</t>
        </is>
      </c>
      <c r="D631" t="inlineStr">
        <is>
          <t>PARG</t>
        </is>
      </c>
      <c r="E631" t="inlineStr">
        <is>
          <t>2025-01</t>
        </is>
      </c>
      <c r="F631" t="n">
        <v>229.1</v>
      </c>
      <c r="G631" t="n">
        <v>270.34</v>
      </c>
      <c r="H631">
        <f>הגדרות!B5</f>
        <v/>
      </c>
      <c r="I631">
        <f>F631*(1-H631/100)*1.18</f>
        <v/>
      </c>
      <c r="J631">
        <f>הגדרות!C5</f>
        <v/>
      </c>
      <c r="K631">
        <f>הגדרות!D5</f>
        <v/>
      </c>
      <c r="L631">
        <f>I631*(1+J631/100)+K631</f>
        <v/>
      </c>
    </row>
    <row r="632">
      <c r="A632" t="inlineStr">
        <is>
          <t>IDEXX — רפרנס</t>
        </is>
      </c>
      <c r="B632" t="inlineStr">
        <is>
          <t>Faecal Parasitology, Giardia Antigen and Tritrichomo</t>
        </is>
      </c>
      <c r="D632" t="inlineStr">
        <is>
          <t>nPaAs RPGCTR</t>
        </is>
      </c>
      <c r="E632" t="inlineStr">
        <is>
          <t>2025-01</t>
        </is>
      </c>
      <c r="F632" t="n">
        <v>597.4</v>
      </c>
      <c r="G632" t="n">
        <v>704.9299999999999</v>
      </c>
      <c r="H632">
        <f>הגדרות!B5</f>
        <v/>
      </c>
      <c r="I632">
        <f>F632*(1-H632/100)*1.18</f>
        <v/>
      </c>
      <c r="J632">
        <f>הגדרות!C5</f>
        <v/>
      </c>
      <c r="K632">
        <f>הגדרות!D5</f>
        <v/>
      </c>
      <c r="L632">
        <f>I632*(1+J632/100)+K632</f>
        <v/>
      </c>
    </row>
    <row r="633">
      <c r="A633" t="inlineStr">
        <is>
          <t>IDEXX — רפרנס</t>
        </is>
      </c>
      <c r="B633" t="inlineStr">
        <is>
          <t>PARR Molecular Clonality Assay for Lymphoma (Fast</t>
        </is>
      </c>
      <c r="D633" t="inlineStr">
        <is>
          <t>TPrAaRckR)FX</t>
        </is>
      </c>
      <c r="E633" t="inlineStr">
        <is>
          <t>2025-01</t>
        </is>
      </c>
      <c r="F633" t="n">
        <v>1583.4</v>
      </c>
      <c r="G633" t="n">
        <v>1868.41</v>
      </c>
      <c r="H633">
        <f>הגדרות!B5</f>
        <v/>
      </c>
      <c r="I633">
        <f>F633*(1-H633/100)*1.18</f>
        <v/>
      </c>
      <c r="J633">
        <f>הגדרות!C5</f>
        <v/>
      </c>
      <c r="K633">
        <f>הגדרות!D5</f>
        <v/>
      </c>
      <c r="L633">
        <f>I633*(1+J633/100)+K633</f>
        <v/>
      </c>
    </row>
    <row r="634">
      <c r="A634" t="inlineStr">
        <is>
          <t>IDEXX — רפרנס</t>
        </is>
      </c>
      <c r="B634" t="inlineStr">
        <is>
          <t>Parvovirus (CPV) Antigen</t>
        </is>
      </c>
      <c r="D634" t="inlineStr">
        <is>
          <t>PARV</t>
        </is>
      </c>
      <c r="E634" t="inlineStr">
        <is>
          <t>2025-01</t>
        </is>
      </c>
      <c r="F634" t="n">
        <v>261</v>
      </c>
      <c r="G634" t="n">
        <v>307.98</v>
      </c>
      <c r="H634">
        <f>הגדרות!B5</f>
        <v/>
      </c>
      <c r="I634">
        <f>F634*(1-H634/100)*1.18</f>
        <v/>
      </c>
      <c r="J634">
        <f>הגדרות!C5</f>
        <v/>
      </c>
      <c r="K634">
        <f>הגדרות!D5</f>
        <v/>
      </c>
      <c r="L634">
        <f>I634*(1+J634/100)+K634</f>
        <v/>
      </c>
    </row>
    <row r="635">
      <c r="A635" t="inlineStr">
        <is>
          <t>IDEXX — רפרנס</t>
        </is>
      </c>
      <c r="B635" t="inlineStr">
        <is>
          <t>Lead</t>
        </is>
      </c>
      <c r="D635" t="inlineStr">
        <is>
          <t>PBAA</t>
        </is>
      </c>
      <c r="E635" t="inlineStr">
        <is>
          <t>2025-01</t>
        </is>
      </c>
      <c r="F635" t="n">
        <v>211.7</v>
      </c>
      <c r="G635" t="n">
        <v>249.81</v>
      </c>
      <c r="H635">
        <f>הגדרות!B5</f>
        <v/>
      </c>
      <c r="I635">
        <f>F635*(1-H635/100)*1.18</f>
        <v/>
      </c>
      <c r="J635">
        <f>הגדרות!C5</f>
        <v/>
      </c>
      <c r="K635">
        <f>הגדרות!D5</f>
        <v/>
      </c>
      <c r="L635">
        <f>I635*(1+J635/100)+K635</f>
        <v/>
      </c>
    </row>
    <row r="636">
      <c r="A636" t="inlineStr">
        <is>
          <t>IDEXX — רפרנס</t>
        </is>
      </c>
      <c r="B636" t="inlineStr">
        <is>
          <t>Psittacine Beak &amp; Feather Disease Virus (PBFD) (DNA</t>
        </is>
      </c>
      <c r="D636" t="inlineStr">
        <is>
          <t>)P PBCFRD</t>
        </is>
      </c>
      <c r="E636" t="inlineStr">
        <is>
          <t>2025-01</t>
        </is>
      </c>
      <c r="F636" t="n">
        <v>368.3</v>
      </c>
      <c r="G636" t="n">
        <v>434.59</v>
      </c>
      <c r="H636">
        <f>הגדרות!B5</f>
        <v/>
      </c>
      <c r="I636">
        <f>F636*(1-H636/100)*1.18</f>
        <v/>
      </c>
      <c r="J636">
        <f>הגדרות!C5</f>
        <v/>
      </c>
      <c r="K636">
        <f>הגדרות!D5</f>
        <v/>
      </c>
      <c r="L636">
        <f>I636*(1+J636/100)+K636</f>
        <v/>
      </c>
    </row>
    <row r="637">
      <c r="A637" t="inlineStr">
        <is>
          <t>IDEXX — רפרנס</t>
        </is>
      </c>
      <c r="B637" t="inlineStr">
        <is>
          <t>Urine Protein : Creatinine Ratio &amp; Deposit Microscopy</t>
        </is>
      </c>
      <c r="D637" t="inlineStr">
        <is>
          <t>PCRD</t>
        </is>
      </c>
      <c r="E637" t="inlineStr">
        <is>
          <t>2025-01</t>
        </is>
      </c>
      <c r="F637" t="n">
        <v>249.4</v>
      </c>
      <c r="G637" t="n">
        <v>294.29</v>
      </c>
      <c r="H637">
        <f>הגדרות!B5</f>
        <v/>
      </c>
      <c r="I637">
        <f>F637*(1-H637/100)*1.18</f>
        <v/>
      </c>
      <c r="J637">
        <f>הגדרות!C5</f>
        <v/>
      </c>
      <c r="K637">
        <f>הגדרות!D5</f>
        <v/>
      </c>
      <c r="L637">
        <f>I637*(1+J637/100)+K637</f>
        <v/>
      </c>
    </row>
    <row r="638">
      <c r="A638" t="inlineStr">
        <is>
          <t>IDEXX — רפרנס</t>
        </is>
      </c>
      <c r="B638" t="inlineStr">
        <is>
          <t>Protein: Creatinine Ratio (Urine)</t>
        </is>
      </c>
      <c r="D638" t="inlineStr">
        <is>
          <t>PCRU</t>
        </is>
      </c>
      <c r="E638" t="inlineStr">
        <is>
          <t>2025-01</t>
        </is>
      </c>
      <c r="F638" t="n">
        <v>185.6</v>
      </c>
      <c r="G638" t="n">
        <v>219.01</v>
      </c>
      <c r="H638">
        <f>הגדרות!B5</f>
        <v/>
      </c>
      <c r="I638">
        <f>F638*(1-H638/100)*1.18</f>
        <v/>
      </c>
      <c r="J638">
        <f>הגדרות!C5</f>
        <v/>
      </c>
      <c r="K638">
        <f>הגדרות!D5</f>
        <v/>
      </c>
      <c r="L638">
        <f>I638*(1+J638/100)+K638</f>
        <v/>
      </c>
    </row>
    <row r="639">
      <c r="A639" t="inlineStr">
        <is>
          <t>IDEXX — רפרנס</t>
        </is>
      </c>
      <c r="B639" t="inlineStr">
        <is>
          <t>Progesterone and Anti-Mullerian Hormone (Canine/Fe</t>
        </is>
      </c>
      <c r="D639" t="inlineStr">
        <is>
          <t>lPinGeT/E+qAuMinHe)</t>
        </is>
      </c>
      <c r="E639" t="inlineStr">
        <is>
          <t>2025-01</t>
        </is>
      </c>
      <c r="F639" t="n">
        <v>814.9</v>
      </c>
      <c r="G639" t="n">
        <v>961.58</v>
      </c>
      <c r="H639">
        <f>הגדרות!B5</f>
        <v/>
      </c>
      <c r="I639">
        <f>F639*(1-H639/100)*1.18</f>
        <v/>
      </c>
      <c r="J639">
        <f>הגדרות!C5</f>
        <v/>
      </c>
      <c r="K639">
        <f>הגדרות!D5</f>
        <v/>
      </c>
      <c r="L639">
        <f>I639*(1+J639/100)+K639</f>
        <v/>
      </c>
    </row>
    <row r="640">
      <c r="A640" t="inlineStr">
        <is>
          <t>IDEXX — רפרנס</t>
        </is>
      </c>
      <c r="B640" t="inlineStr">
        <is>
          <t>Phenobarbital</t>
        </is>
      </c>
      <c r="D640" t="inlineStr">
        <is>
          <t>PHEN</t>
        </is>
      </c>
      <c r="E640" t="inlineStr">
        <is>
          <t>2025-01</t>
        </is>
      </c>
      <c r="F640" t="n">
        <v>237.8</v>
      </c>
      <c r="G640" t="n">
        <v>280.6</v>
      </c>
      <c r="H640">
        <f>הגדרות!B5</f>
        <v/>
      </c>
      <c r="I640">
        <f>F640*(1-H640/100)*1.18</f>
        <v/>
      </c>
      <c r="J640">
        <f>הגדרות!C5</f>
        <v/>
      </c>
      <c r="K640">
        <f>הגדרות!D5</f>
        <v/>
      </c>
      <c r="L640">
        <f>I640*(1+J640/100)+K640</f>
        <v/>
      </c>
    </row>
    <row r="641">
      <c r="A641" t="inlineStr">
        <is>
          <t>IDEXX — רפרנס</t>
        </is>
      </c>
      <c r="B641" t="inlineStr">
        <is>
          <t>Phenobarbital (Trough and Peak Samples)</t>
        </is>
      </c>
      <c r="D641" t="inlineStr">
        <is>
          <t>PHEN+</t>
        </is>
      </c>
      <c r="E641" t="inlineStr">
        <is>
          <t>2025-01</t>
        </is>
      </c>
      <c r="F641" t="n">
        <v>394.4</v>
      </c>
      <c r="G641" t="n">
        <v>465.39</v>
      </c>
      <c r="H641">
        <f>הגדרות!B5</f>
        <v/>
      </c>
      <c r="I641">
        <f>F641*(1-H641/100)*1.18</f>
        <v/>
      </c>
      <c r="J641">
        <f>הגדרות!C5</f>
        <v/>
      </c>
      <c r="K641">
        <f>הגדרות!D5</f>
        <v/>
      </c>
      <c r="L641">
        <f>I641*(1+J641/100)+K641</f>
        <v/>
      </c>
    </row>
    <row r="642">
      <c r="A642" t="inlineStr">
        <is>
          <t>IDEXX — רפרנס</t>
        </is>
      </c>
      <c r="B642" t="inlineStr">
        <is>
          <t>Phenobarbital Profile (Interpreted)</t>
        </is>
      </c>
      <c r="D642" t="inlineStr">
        <is>
          <t>PLFT</t>
        </is>
      </c>
      <c r="E642" t="inlineStr">
        <is>
          <t>2025-01</t>
        </is>
      </c>
      <c r="F642" t="n">
        <v>414.7</v>
      </c>
      <c r="G642" t="n">
        <v>489.35</v>
      </c>
      <c r="H642">
        <f>הגדרות!B5</f>
        <v/>
      </c>
      <c r="I642">
        <f>F642*(1-H642/100)*1.18</f>
        <v/>
      </c>
      <c r="J642">
        <f>הגדרות!C5</f>
        <v/>
      </c>
      <c r="K642">
        <f>הגדרות!D5</f>
        <v/>
      </c>
      <c r="L642">
        <f>I642*(1+J642/100)+K642</f>
        <v/>
      </c>
    </row>
    <row r="643">
      <c r="A643" t="inlineStr">
        <is>
          <t>IDEXX — רפרנס</t>
        </is>
      </c>
      <c r="B643" t="inlineStr">
        <is>
          <t>Platelet Count</t>
        </is>
      </c>
      <c r="D643" t="inlineStr">
        <is>
          <t>PLTS</t>
        </is>
      </c>
      <c r="E643" t="inlineStr">
        <is>
          <t>2025-01</t>
        </is>
      </c>
      <c r="F643" t="n">
        <v>133.4</v>
      </c>
      <c r="G643" t="n">
        <v>157.41</v>
      </c>
      <c r="H643">
        <f>הגדרות!B5</f>
        <v/>
      </c>
      <c r="I643">
        <f>F643*(1-H643/100)*1.18</f>
        <v/>
      </c>
      <c r="J643">
        <f>הגדרות!C5</f>
        <v/>
      </c>
      <c r="K643">
        <f>הגדרות!D5</f>
        <v/>
      </c>
      <c r="L643">
        <f>I643*(1+J643/100)+K643</f>
        <v/>
      </c>
    </row>
    <row r="644">
      <c r="A644" t="inlineStr">
        <is>
          <t>IDEXX — רפרנס</t>
        </is>
      </c>
      <c r="B644" t="inlineStr">
        <is>
          <t>PMSG</t>
        </is>
      </c>
      <c r="D644" t="inlineStr">
        <is>
          <t>PMSG</t>
        </is>
      </c>
      <c r="E644" t="inlineStr">
        <is>
          <t>2025-01</t>
        </is>
      </c>
      <c r="F644" t="n">
        <v>652.5</v>
      </c>
      <c r="G644" t="n">
        <v>769.95</v>
      </c>
      <c r="H644">
        <f>הגדרות!B5</f>
        <v/>
      </c>
      <c r="I644">
        <f>F644*(1-H644/100)*1.18</f>
        <v/>
      </c>
      <c r="J644">
        <f>הגדרות!C5</f>
        <v/>
      </c>
      <c r="K644">
        <f>הגדרות!D5</f>
        <v/>
      </c>
      <c r="L644">
        <f>I644*(1+J644/100)+K644</f>
        <v/>
      </c>
    </row>
    <row r="645">
      <c r="A645" t="inlineStr">
        <is>
          <t>IDEXX — רפרנס</t>
        </is>
      </c>
      <c r="B645" t="inlineStr">
        <is>
          <t>Polyomavirus (DNA) PCR</t>
        </is>
      </c>
      <c r="D645" t="inlineStr">
        <is>
          <t>POLY</t>
        </is>
      </c>
      <c r="E645" t="inlineStr">
        <is>
          <t>2025-01</t>
        </is>
      </c>
      <c r="F645" t="n">
        <v>368.3</v>
      </c>
      <c r="G645" t="n">
        <v>434.59</v>
      </c>
      <c r="H645">
        <f>הגדרות!B5</f>
        <v/>
      </c>
      <c r="I645">
        <f>F645*(1-H645/100)*1.18</f>
        <v/>
      </c>
      <c r="J645">
        <f>הגדרות!C5</f>
        <v/>
      </c>
      <c r="K645">
        <f>הגדרות!D5</f>
        <v/>
      </c>
      <c r="L645">
        <f>I645*(1+J645/100)+K645</f>
        <v/>
      </c>
    </row>
    <row r="646">
      <c r="A646" t="inlineStr">
        <is>
          <t>IDEXX — רפרנס</t>
        </is>
      </c>
      <c r="B646" t="inlineStr">
        <is>
          <t>Phenobarbital &amp; Potassium Bromide Combined</t>
        </is>
      </c>
      <c r="D646" t="inlineStr">
        <is>
          <t>PPBR</t>
        </is>
      </c>
      <c r="E646" t="inlineStr">
        <is>
          <t>2025-01</t>
        </is>
      </c>
      <c r="F646" t="n">
        <v>519.1</v>
      </c>
      <c r="G646" t="n">
        <v>612.54</v>
      </c>
      <c r="H646">
        <f>הגדרות!B5</f>
        <v/>
      </c>
      <c r="I646">
        <f>F646*(1-H646/100)*1.18</f>
        <v/>
      </c>
      <c r="J646">
        <f>הגדרות!C5</f>
        <v/>
      </c>
      <c r="K646">
        <f>הגדרות!D5</f>
        <v/>
      </c>
      <c r="L646">
        <f>I646*(1+J646/100)+K646</f>
        <v/>
      </c>
    </row>
    <row r="647">
      <c r="A647" t="inlineStr">
        <is>
          <t>IDEXX — רפרנס</t>
        </is>
      </c>
      <c r="B647" t="inlineStr">
        <is>
          <t>Phenobarbital &amp; Potassium Bromide Profile (Interpret</t>
        </is>
      </c>
      <c r="D647" t="inlineStr">
        <is>
          <t>ePdP)LFT</t>
        </is>
      </c>
      <c r="E647" t="inlineStr">
        <is>
          <t>2025-01</t>
        </is>
      </c>
      <c r="F647" t="n">
        <v>687.3</v>
      </c>
      <c r="G647" t="n">
        <v>811.01</v>
      </c>
      <c r="H647">
        <f>הגדרות!B5</f>
        <v/>
      </c>
      <c r="I647">
        <f>F647*(1-H647/100)*1.18</f>
        <v/>
      </c>
      <c r="J647">
        <f>הגדרות!C5</f>
        <v/>
      </c>
      <c r="K647">
        <f>הגדרות!D5</f>
        <v/>
      </c>
      <c r="L647">
        <f>I647*(1+J647/100)+K647</f>
        <v/>
      </c>
    </row>
    <row r="648">
      <c r="A648" t="inlineStr">
        <is>
          <t>IDEXX — רפרנס</t>
        </is>
      </c>
      <c r="B648" t="inlineStr">
        <is>
          <t>Clinical Pathologist review of blood film and CBC</t>
        </is>
      </c>
      <c r="D648" t="inlineStr">
        <is>
          <t>PRTP</t>
        </is>
      </c>
      <c r="E648" t="inlineStr">
        <is>
          <t>2025-01</t>
        </is>
      </c>
      <c r="F648" t="n">
        <v>365.4</v>
      </c>
      <c r="G648" t="n">
        <v>431.17</v>
      </c>
      <c r="H648">
        <f>הגדרות!B5</f>
        <v/>
      </c>
      <c r="I648">
        <f>F648*(1-H648/100)*1.18</f>
        <v/>
      </c>
      <c r="J648">
        <f>הגדרות!C5</f>
        <v/>
      </c>
      <c r="K648">
        <f>הגדרות!D5</f>
        <v/>
      </c>
      <c r="L648">
        <f>I648*(1+J648/100)+K648</f>
        <v/>
      </c>
    </row>
    <row r="649">
      <c r="A649" t="inlineStr">
        <is>
          <t>IDEXX — רפרנס</t>
        </is>
      </c>
      <c r="B649" t="inlineStr">
        <is>
          <t>Psittacid Herpes Virus PCR</t>
        </is>
      </c>
      <c r="D649" t="inlineStr">
        <is>
          <t>PSHV</t>
        </is>
      </c>
      <c r="E649" t="inlineStr">
        <is>
          <t>2025-01</t>
        </is>
      </c>
      <c r="F649" t="n">
        <v>368.3</v>
      </c>
      <c r="G649" t="n">
        <v>434.59</v>
      </c>
      <c r="H649">
        <f>הגדרות!B5</f>
        <v/>
      </c>
      <c r="I649">
        <f>F649*(1-H649/100)*1.18</f>
        <v/>
      </c>
      <c r="J649">
        <f>הגדרות!C5</f>
        <v/>
      </c>
      <c r="K649">
        <f>הגדרות!D5</f>
        <v/>
      </c>
      <c r="L649">
        <f>I649*(1+J649/100)+K649</f>
        <v/>
      </c>
    </row>
    <row r="650">
      <c r="A650" t="inlineStr">
        <is>
          <t>IDEXX — רפרנס</t>
        </is>
      </c>
      <c r="B650" t="inlineStr">
        <is>
          <t>PT (Prothrombin Time)</t>
        </is>
      </c>
      <c r="D650" t="inlineStr">
        <is>
          <t>PT</t>
        </is>
      </c>
      <c r="E650" t="inlineStr">
        <is>
          <t>2025-01</t>
        </is>
      </c>
      <c r="F650" t="n">
        <v>150.8</v>
      </c>
      <c r="G650" t="n">
        <v>177.94</v>
      </c>
      <c r="H650">
        <f>הגדרות!B5</f>
        <v/>
      </c>
      <c r="I650">
        <f>F650*(1-H650/100)*1.18</f>
        <v/>
      </c>
      <c r="J650">
        <f>הגדרות!C5</f>
        <v/>
      </c>
      <c r="K650">
        <f>הגדרות!D5</f>
        <v/>
      </c>
      <c r="L650">
        <f>I650*(1+J650/100)+K650</f>
        <v/>
      </c>
    </row>
    <row r="651">
      <c r="A651" t="inlineStr">
        <is>
          <t>IDEXX — רפרנס</t>
        </is>
      </c>
      <c r="B651" t="inlineStr">
        <is>
          <t>PT + APTT</t>
        </is>
      </c>
      <c r="D651" t="inlineStr">
        <is>
          <t>PTC</t>
        </is>
      </c>
      <c r="E651" t="inlineStr">
        <is>
          <t>2025-01</t>
        </is>
      </c>
      <c r="F651" t="n">
        <v>252.3</v>
      </c>
      <c r="G651" t="n">
        <v>297.71</v>
      </c>
      <c r="H651">
        <f>הגדרות!B5</f>
        <v/>
      </c>
      <c r="I651">
        <f>F651*(1-H651/100)*1.18</f>
        <v/>
      </c>
      <c r="J651">
        <f>הגדרות!C5</f>
        <v/>
      </c>
      <c r="K651">
        <f>הגדרות!D5</f>
        <v/>
      </c>
      <c r="L651">
        <f>I651*(1+J651/100)+K651</f>
        <v/>
      </c>
    </row>
    <row r="652">
      <c r="A652" t="inlineStr">
        <is>
          <t>IDEXX — רפרנס</t>
        </is>
      </c>
      <c r="B652" t="inlineStr">
        <is>
          <t>APTT (Activated Partial Thromboplastin Time)</t>
        </is>
      </c>
      <c r="D652" t="inlineStr">
        <is>
          <t>PTT</t>
        </is>
      </c>
      <c r="E652" t="inlineStr">
        <is>
          <t>2025-01</t>
        </is>
      </c>
      <c r="F652" t="n">
        <v>150.8</v>
      </c>
      <c r="G652" t="n">
        <v>177.94</v>
      </c>
      <c r="H652">
        <f>הגדרות!B5</f>
        <v/>
      </c>
      <c r="I652">
        <f>F652*(1-H652/100)*1.18</f>
        <v/>
      </c>
      <c r="J652">
        <f>הגדרות!C5</f>
        <v/>
      </c>
      <c r="K652">
        <f>הגדרות!D5</f>
        <v/>
      </c>
      <c r="L652">
        <f>I652*(1+J652/100)+K652</f>
        <v/>
      </c>
    </row>
    <row r="653">
      <c r="A653" t="inlineStr">
        <is>
          <t>IDEXX — רפרנס</t>
        </is>
      </c>
      <c r="B653" t="inlineStr">
        <is>
          <t>Immunotherapy - 1-8 Allergens (1 vial)</t>
        </is>
      </c>
      <c r="D653" t="inlineStr">
        <is>
          <t>RAS1</t>
        </is>
      </c>
      <c r="E653" t="inlineStr">
        <is>
          <t>2025-01</t>
        </is>
      </c>
      <c r="F653" t="n">
        <v>1612.4</v>
      </c>
      <c r="G653" t="n">
        <v>1902.63</v>
      </c>
      <c r="H653">
        <f>הגדרות!B5</f>
        <v/>
      </c>
      <c r="I653">
        <f>F653*(1-H653/100)*1.18</f>
        <v/>
      </c>
      <c r="J653">
        <f>הגדרות!C5</f>
        <v/>
      </c>
      <c r="K653">
        <f>הגדרות!D5</f>
        <v/>
      </c>
      <c r="L653">
        <f>I653*(1+J653/100)+K653</f>
        <v/>
      </c>
    </row>
    <row r="654">
      <c r="A654" t="inlineStr">
        <is>
          <t>IDEXX — רפרנס</t>
        </is>
      </c>
      <c r="B654" t="inlineStr">
        <is>
          <t>Immunotherapy - More than 8 Allergens (&gt;1 vial)</t>
        </is>
      </c>
      <c r="D654" t="inlineStr">
        <is>
          <t>RAS2</t>
        </is>
      </c>
      <c r="E654" t="inlineStr">
        <is>
          <t>2025-01</t>
        </is>
      </c>
      <c r="F654" t="n">
        <v>3224.8</v>
      </c>
      <c r="G654" t="n">
        <v>3805.26</v>
      </c>
      <c r="H654">
        <f>הגדרות!B5</f>
        <v/>
      </c>
      <c r="I654">
        <f>F654*(1-H654/100)*1.18</f>
        <v/>
      </c>
      <c r="J654">
        <f>הגדרות!C5</f>
        <v/>
      </c>
      <c r="K654">
        <f>הגדרות!D5</f>
        <v/>
      </c>
      <c r="L654">
        <f>I654*(1+J654/100)+K654</f>
        <v/>
      </c>
    </row>
    <row r="655">
      <c r="A655" t="inlineStr">
        <is>
          <t>IDEXX — רפרנס</t>
        </is>
      </c>
      <c r="B655" t="inlineStr">
        <is>
          <t>Basic Reptile Profile</t>
        </is>
      </c>
      <c r="D655" t="inlineStr">
        <is>
          <t>REB</t>
        </is>
      </c>
      <c r="E655" t="inlineStr">
        <is>
          <t>2025-01</t>
        </is>
      </c>
      <c r="F655" t="n">
        <v>458.2</v>
      </c>
      <c r="G655" t="n">
        <v>540.6799999999999</v>
      </c>
      <c r="H655">
        <f>הגדרות!B5</f>
        <v/>
      </c>
      <c r="I655">
        <f>F655*(1-H655/100)*1.18</f>
        <v/>
      </c>
      <c r="J655">
        <f>הגדרות!C5</f>
        <v/>
      </c>
      <c r="K655">
        <f>הגדרות!D5</f>
        <v/>
      </c>
      <c r="L655">
        <f>I655*(1+J655/100)+K655</f>
        <v/>
      </c>
    </row>
    <row r="656">
      <c r="A656" t="inlineStr">
        <is>
          <t>IDEXX — רפרנס</t>
        </is>
      </c>
      <c r="B656" t="inlineStr">
        <is>
          <t>Comprehensive Reptile Profile</t>
        </is>
      </c>
      <c r="D656" t="inlineStr">
        <is>
          <t>REE</t>
        </is>
      </c>
      <c r="E656" t="inlineStr">
        <is>
          <t>2025-01</t>
        </is>
      </c>
      <c r="F656" t="n">
        <v>603.2</v>
      </c>
      <c r="G656" t="n">
        <v>711.78</v>
      </c>
      <c r="H656">
        <f>הגדרות!B5</f>
        <v/>
      </c>
      <c r="I656">
        <f>F656*(1-H656/100)*1.18</f>
        <v/>
      </c>
      <c r="J656">
        <f>הגדרות!C5</f>
        <v/>
      </c>
      <c r="K656">
        <f>הגדרות!D5</f>
        <v/>
      </c>
      <c r="L656">
        <f>I656*(1+J656/100)+K656</f>
        <v/>
      </c>
    </row>
    <row r="657">
      <c r="A657" t="inlineStr">
        <is>
          <t>IDEXX — רפרנס</t>
        </is>
      </c>
      <c r="B657" t="inlineStr">
        <is>
          <t>Rabbit Haemorrhagic Disease PCR</t>
        </is>
      </c>
      <c r="D657" t="inlineStr">
        <is>
          <t>RHDP</t>
        </is>
      </c>
      <c r="E657" t="inlineStr">
        <is>
          <t>2025-01</t>
        </is>
      </c>
      <c r="F657" t="n">
        <v>472.7</v>
      </c>
      <c r="G657" t="n">
        <v>557.79</v>
      </c>
      <c r="H657">
        <f>הגדרות!B5</f>
        <v/>
      </c>
      <c r="I657">
        <f>F657*(1-H657/100)*1.18</f>
        <v/>
      </c>
      <c r="J657">
        <f>הגדרות!C5</f>
        <v/>
      </c>
      <c r="K657">
        <f>הגדרות!D5</f>
        <v/>
      </c>
      <c r="L657">
        <f>I657*(1+J657/100)+K657</f>
        <v/>
      </c>
    </row>
    <row r="658">
      <c r="A658" t="inlineStr">
        <is>
          <t>IDEXX — רפרנס</t>
        </is>
      </c>
      <c r="B658" t="inlineStr">
        <is>
          <t>Rickettsia Conorii PCR</t>
        </is>
      </c>
      <c r="D658" t="inlineStr">
        <is>
          <t>RICKCP</t>
        </is>
      </c>
      <c r="E658" t="inlineStr">
        <is>
          <t>2025-01</t>
        </is>
      </c>
      <c r="F658" t="n">
        <v>368.3</v>
      </c>
      <c r="G658" t="n">
        <v>434.59</v>
      </c>
      <c r="H658">
        <f>הגדרות!B5</f>
        <v/>
      </c>
      <c r="I658">
        <f>F658*(1-H658/100)*1.18</f>
        <v/>
      </c>
      <c r="J658">
        <f>הגדרות!C5</f>
        <v/>
      </c>
      <c r="K658">
        <f>הגדרות!D5</f>
        <v/>
      </c>
      <c r="L658">
        <f>I658*(1+J658/100)+K658</f>
        <v/>
      </c>
    </row>
    <row r="659">
      <c r="A659" t="inlineStr">
        <is>
          <t>IDEXX — רפרנס</t>
        </is>
      </c>
      <c r="B659" t="inlineStr">
        <is>
          <t>Rabbit Infectious Disease Screen (Non-Interpreted)</t>
        </is>
      </c>
      <c r="D659" t="inlineStr">
        <is>
          <t>RIFD</t>
        </is>
      </c>
      <c r="E659" t="inlineStr">
        <is>
          <t>2025-01</t>
        </is>
      </c>
      <c r="F659" t="n">
        <v>1566</v>
      </c>
      <c r="G659" t="n">
        <v>1847.88</v>
      </c>
      <c r="H659">
        <f>הגדרות!B5</f>
        <v/>
      </c>
      <c r="I659">
        <f>F659*(1-H659/100)*1.18</f>
        <v/>
      </c>
      <c r="J659">
        <f>הגדרות!C5</f>
        <v/>
      </c>
      <c r="K659">
        <f>הגדרות!D5</f>
        <v/>
      </c>
      <c r="L659">
        <f>I659*(1+J659/100)+K659</f>
        <v/>
      </c>
    </row>
    <row r="660">
      <c r="A660" t="inlineStr">
        <is>
          <t>IDEXX — רפרנס</t>
        </is>
      </c>
      <c r="B660" t="inlineStr">
        <is>
          <t>Serum Amyloid A</t>
        </is>
      </c>
      <c r="D660" t="inlineStr">
        <is>
          <t>SAA</t>
        </is>
      </c>
      <c r="E660" t="inlineStr">
        <is>
          <t>2025-01</t>
        </is>
      </c>
      <c r="F660" t="n">
        <v>263.9</v>
      </c>
      <c r="G660" t="n">
        <v>311.4</v>
      </c>
      <c r="H660">
        <f>הגדרות!B5</f>
        <v/>
      </c>
      <c r="I660">
        <f>F660*(1-H660/100)*1.18</f>
        <v/>
      </c>
      <c r="J660">
        <f>הגדרות!C5</f>
        <v/>
      </c>
      <c r="K660">
        <f>הגדרות!D5</f>
        <v/>
      </c>
      <c r="L660">
        <f>I660*(1+J660/100)+K660</f>
        <v/>
      </c>
    </row>
    <row r="661">
      <c r="A661" t="inlineStr">
        <is>
          <t>IDEXX — רפרנס</t>
        </is>
      </c>
      <c r="B661" t="inlineStr">
        <is>
          <t>Basic Faecal Screen</t>
        </is>
      </c>
      <c r="D661" t="inlineStr">
        <is>
          <t>SARC</t>
        </is>
      </c>
      <c r="E661" t="inlineStr">
        <is>
          <t>2025-01</t>
        </is>
      </c>
      <c r="F661" t="n">
        <v>377</v>
      </c>
      <c r="G661" t="n">
        <v>444.86</v>
      </c>
      <c r="H661">
        <f>הגדרות!B5</f>
        <v/>
      </c>
      <c r="I661">
        <f>F661*(1-H661/100)*1.18</f>
        <v/>
      </c>
      <c r="J661">
        <f>הגדרות!C5</f>
        <v/>
      </c>
      <c r="K661">
        <f>הגדרות!D5</f>
        <v/>
      </c>
      <c r="L661">
        <f>I661*(1+J661/100)+K661</f>
        <v/>
      </c>
    </row>
    <row r="662">
      <c r="A662" t="inlineStr">
        <is>
          <t>IDEXX — רפרנס</t>
        </is>
      </c>
      <c r="B662" t="inlineStr">
        <is>
          <t>Basic Faecal Screen plus Giardia Antigen</t>
        </is>
      </c>
      <c r="D662" t="inlineStr">
        <is>
          <t>SARCG</t>
        </is>
      </c>
      <c r="E662" t="inlineStr">
        <is>
          <t>2025-01</t>
        </is>
      </c>
      <c r="F662" t="n">
        <v>464</v>
      </c>
      <c r="G662" t="n">
        <v>547.52</v>
      </c>
      <c r="H662">
        <f>הגדרות!B5</f>
        <v/>
      </c>
      <c r="I662">
        <f>F662*(1-H662/100)*1.18</f>
        <v/>
      </c>
      <c r="J662">
        <f>הגדרות!C5</f>
        <v/>
      </c>
      <c r="K662">
        <f>הגדרות!D5</f>
        <v/>
      </c>
      <c r="L662">
        <f>I662*(1+J662/100)+K662</f>
        <v/>
      </c>
    </row>
    <row r="663">
      <c r="A663" t="inlineStr">
        <is>
          <t>IDEXX — רפרנס</t>
        </is>
      </c>
      <c r="B663" t="inlineStr">
        <is>
          <t>Synovial Culture</t>
        </is>
      </c>
      <c r="D663" t="inlineStr">
        <is>
          <t>SC</t>
        </is>
      </c>
      <c r="E663" t="inlineStr">
        <is>
          <t>2025-01</t>
        </is>
      </c>
      <c r="F663" t="n">
        <v>429.2</v>
      </c>
      <c r="G663" t="n">
        <v>506.46</v>
      </c>
      <c r="H663">
        <f>הגדרות!B5</f>
        <v/>
      </c>
      <c r="I663">
        <f>F663*(1-H663/100)*1.18</f>
        <v/>
      </c>
      <c r="J663">
        <f>הגדרות!C5</f>
        <v/>
      </c>
      <c r="K663">
        <f>הגדרות!D5</f>
        <v/>
      </c>
      <c r="L663">
        <f>I663*(1+J663/100)+K663</f>
        <v/>
      </c>
    </row>
    <row r="664">
      <c r="A664" t="inlineStr">
        <is>
          <t>IDEXX — רפרנס</t>
        </is>
      </c>
      <c r="B664" t="inlineStr">
        <is>
          <t>Sarcoptes IgG Canine only</t>
        </is>
      </c>
      <c r="D664" t="inlineStr">
        <is>
          <t>SCAB</t>
        </is>
      </c>
      <c r="E664" t="inlineStr">
        <is>
          <t>2025-01</t>
        </is>
      </c>
      <c r="F664" t="n">
        <v>446.6</v>
      </c>
      <c r="G664" t="n">
        <v>526.99</v>
      </c>
      <c r="H664">
        <f>הגדרות!B5</f>
        <v/>
      </c>
      <c r="I664">
        <f>F664*(1-H664/100)*1.18</f>
        <v/>
      </c>
      <c r="J664">
        <f>הגדרות!C5</f>
        <v/>
      </c>
      <c r="K664">
        <f>הגדרות!D5</f>
        <v/>
      </c>
      <c r="L664">
        <f>I664*(1+J664/100)+K664</f>
        <v/>
      </c>
    </row>
    <row r="665">
      <c r="A665" t="inlineStr">
        <is>
          <t>IDEXX — רפרנס</t>
        </is>
      </c>
      <c r="B665" t="inlineStr">
        <is>
          <t>Basic Skin Screen</t>
        </is>
      </c>
      <c r="D665" t="inlineStr">
        <is>
          <t>SCE</t>
        </is>
      </c>
      <c r="E665" t="inlineStr">
        <is>
          <t>2025-01</t>
        </is>
      </c>
      <c r="F665" t="n">
        <v>356.7</v>
      </c>
      <c r="G665" t="n">
        <v>420.91</v>
      </c>
      <c r="H665">
        <f>הגדרות!B5</f>
        <v/>
      </c>
      <c r="I665">
        <f>F665*(1-H665/100)*1.18</f>
        <v/>
      </c>
      <c r="J665">
        <f>הגדרות!C5</f>
        <v/>
      </c>
      <c r="K665">
        <f>הגדרות!D5</f>
        <v/>
      </c>
      <c r="L665">
        <f>I665*(1+J665/100)+K665</f>
        <v/>
      </c>
    </row>
    <row r="666">
      <c r="A666" t="inlineStr">
        <is>
          <t>IDEXX — רפרנס</t>
        </is>
      </c>
      <c r="B666" t="inlineStr">
        <is>
          <t>Extended Basic Skin Screen</t>
        </is>
      </c>
      <c r="D666" t="inlineStr">
        <is>
          <t>SCEF</t>
        </is>
      </c>
      <c r="E666" t="inlineStr">
        <is>
          <t>2025-01</t>
        </is>
      </c>
      <c r="F666" t="n">
        <v>435</v>
      </c>
      <c r="G666" t="n">
        <v>513.3</v>
      </c>
      <c r="H666">
        <f>הגדרות!B5</f>
        <v/>
      </c>
      <c r="I666">
        <f>F666*(1-H666/100)*1.18</f>
        <v/>
      </c>
      <c r="J666">
        <f>הגדרות!C5</f>
        <v/>
      </c>
      <c r="K666">
        <f>הגדרות!D5</f>
        <v/>
      </c>
      <c r="L666">
        <f>I666*(1+J666/100)+K666</f>
        <v/>
      </c>
    </row>
    <row r="667">
      <c r="A667" t="inlineStr">
        <is>
          <t>IDEXX — רפרנס</t>
        </is>
      </c>
      <c r="B667" t="inlineStr">
        <is>
          <t>Equine Comprehensive Skin Screen</t>
        </is>
      </c>
      <c r="D667" t="inlineStr">
        <is>
          <t>SCEFE</t>
        </is>
      </c>
      <c r="E667" t="inlineStr">
        <is>
          <t>2025-01</t>
        </is>
      </c>
      <c r="F667" t="n">
        <v>519.1</v>
      </c>
      <c r="G667" t="n">
        <v>612.54</v>
      </c>
      <c r="H667">
        <f>הגדרות!B5</f>
        <v/>
      </c>
      <c r="I667">
        <f>F667*(1-H667/100)*1.18</f>
        <v/>
      </c>
      <c r="J667">
        <f>הגדרות!C5</f>
        <v/>
      </c>
      <c r="K667">
        <f>הגדרות!D5</f>
        <v/>
      </c>
      <c r="L667">
        <f>I667*(1+J667/100)+K667</f>
        <v/>
      </c>
    </row>
    <row r="668">
      <c r="A668" t="inlineStr">
        <is>
          <t>IDEXX — רפרנס</t>
        </is>
      </c>
      <c r="B668" t="inlineStr">
        <is>
          <t>SDMA (Canine, Feline)</t>
        </is>
      </c>
      <c r="D668" t="inlineStr">
        <is>
          <t>SDMA</t>
        </is>
      </c>
      <c r="E668" t="inlineStr">
        <is>
          <t>2025-01</t>
        </is>
      </c>
      <c r="F668" t="n">
        <v>150.8</v>
      </c>
      <c r="G668" t="n">
        <v>177.94</v>
      </c>
      <c r="H668">
        <f>הגדרות!B5</f>
        <v/>
      </c>
      <c r="I668">
        <f>F668*(1-H668/100)*1.18</f>
        <v/>
      </c>
      <c r="J668">
        <f>הגדרות!C5</f>
        <v/>
      </c>
      <c r="K668">
        <f>הגדרות!D5</f>
        <v/>
      </c>
      <c r="L668">
        <f>I668*(1+J668/100)+K668</f>
        <v/>
      </c>
    </row>
    <row r="669">
      <c r="A669" t="inlineStr">
        <is>
          <t>IDEXX — רפרנס</t>
        </is>
      </c>
      <c r="B669" t="inlineStr">
        <is>
          <t>Streptococcus equi Antibody</t>
        </is>
      </c>
      <c r="D669" t="inlineStr">
        <is>
          <t>SESE</t>
        </is>
      </c>
      <c r="E669" t="inlineStr">
        <is>
          <t>2025-01</t>
        </is>
      </c>
      <c r="F669" t="n">
        <v>493</v>
      </c>
      <c r="G669" t="n">
        <v>581.74</v>
      </c>
      <c r="H669">
        <f>הגדרות!B5</f>
        <v/>
      </c>
      <c r="I669">
        <f>F669*(1-H669/100)*1.18</f>
        <v/>
      </c>
      <c r="J669">
        <f>הגדרות!C5</f>
        <v/>
      </c>
      <c r="K669">
        <f>הגדרות!D5</f>
        <v/>
      </c>
      <c r="L669">
        <f>I669*(1+J669/100)+K669</f>
        <v/>
      </c>
    </row>
    <row r="670">
      <c r="A670" t="inlineStr">
        <is>
          <t>IDEXX — רפרנס</t>
        </is>
      </c>
      <c r="B670" t="inlineStr">
        <is>
          <t>Spec fPL, Folate &amp; Cobalamin, TLI (Feline)</t>
        </is>
      </c>
      <c r="D670" t="inlineStr">
        <is>
          <t>SFTC</t>
        </is>
      </c>
      <c r="E670" t="inlineStr">
        <is>
          <t>2025-01</t>
        </is>
      </c>
      <c r="F670" t="n">
        <v>1020.8</v>
      </c>
      <c r="G670" t="n">
        <v>1204.54</v>
      </c>
      <c r="H670">
        <f>הגדרות!B5</f>
        <v/>
      </c>
      <c r="I670">
        <f>F670*(1-H670/100)*1.18</f>
        <v/>
      </c>
      <c r="J670">
        <f>הגדרות!C5</f>
        <v/>
      </c>
      <c r="K670">
        <f>הגדרות!D5</f>
        <v/>
      </c>
      <c r="L670">
        <f>I670*(1+J670/100)+K670</f>
        <v/>
      </c>
    </row>
    <row r="671">
      <c r="A671" t="inlineStr">
        <is>
          <t>IDEXX — רפרנס</t>
        </is>
      </c>
      <c r="B671" t="inlineStr">
        <is>
          <t>Specific Gravity</t>
        </is>
      </c>
      <c r="D671" t="inlineStr">
        <is>
          <t>SG</t>
        </is>
      </c>
      <c r="E671" t="inlineStr">
        <is>
          <t>2025-01</t>
        </is>
      </c>
      <c r="F671" t="n">
        <v>116</v>
      </c>
      <c r="G671" t="n">
        <v>136.88</v>
      </c>
      <c r="H671">
        <f>הגדרות!B5</f>
        <v/>
      </c>
      <c r="I671">
        <f>F671*(1-H671/100)*1.18</f>
        <v/>
      </c>
      <c r="J671">
        <f>הגדרות!C5</f>
        <v/>
      </c>
      <c r="K671">
        <f>הגדרות!D5</f>
        <v/>
      </c>
      <c r="L671">
        <f>I671*(1+J671/100)+K671</f>
        <v/>
      </c>
    </row>
    <row r="672">
      <c r="A672" t="inlineStr">
        <is>
          <t>IDEXX — רפרנס</t>
        </is>
      </c>
      <c r="B672" t="inlineStr">
        <is>
          <t>SHAP (Sex Hormone Alopecia Profile) (Canine)</t>
        </is>
      </c>
      <c r="D672" t="inlineStr">
        <is>
          <t>SHAP</t>
        </is>
      </c>
      <c r="E672" t="inlineStr">
        <is>
          <t>2025-01</t>
        </is>
      </c>
      <c r="F672" t="n">
        <v>1403.6</v>
      </c>
      <c r="G672" t="n">
        <v>1656.25</v>
      </c>
      <c r="H672">
        <f>הגדרות!B5</f>
        <v/>
      </c>
      <c r="I672">
        <f>F672*(1-H672/100)*1.18</f>
        <v/>
      </c>
      <c r="J672">
        <f>הגדרות!C5</f>
        <v/>
      </c>
      <c r="K672">
        <f>הגדרות!D5</f>
        <v/>
      </c>
      <c r="L672">
        <f>I672*(1+J672/100)+K672</f>
        <v/>
      </c>
    </row>
    <row r="673">
      <c r="A673" t="inlineStr">
        <is>
          <t>IDEXX — רפרנס</t>
        </is>
      </c>
      <c r="B673" t="inlineStr">
        <is>
          <t>Chelonian Herpesvirus PCR</t>
        </is>
      </c>
      <c r="D673" t="inlineStr">
        <is>
          <t>SKHVP</t>
        </is>
      </c>
      <c r="E673" t="inlineStr">
        <is>
          <t>2025-01</t>
        </is>
      </c>
      <c r="F673" t="n">
        <v>565.5</v>
      </c>
      <c r="G673" t="n">
        <v>667.29</v>
      </c>
      <c r="H673">
        <f>הגדרות!B5</f>
        <v/>
      </c>
      <c r="I673">
        <f>F673*(1-H673/100)*1.18</f>
        <v/>
      </c>
      <c r="J673">
        <f>הגדרות!C5</f>
        <v/>
      </c>
      <c r="K673">
        <f>הגדרות!D5</f>
        <v/>
      </c>
      <c r="L673">
        <f>I673*(1+J673/100)+K673</f>
        <v/>
      </c>
    </row>
    <row r="674">
      <c r="A674" t="inlineStr">
        <is>
          <t>IDEXX — רפרנס</t>
        </is>
      </c>
      <c r="B674" t="inlineStr">
        <is>
          <t>Liver Monitoring Profile (Interpreted)</t>
        </is>
      </c>
      <c r="D674" t="inlineStr">
        <is>
          <t>SLFTI</t>
        </is>
      </c>
      <c r="E674" t="inlineStr">
        <is>
          <t>2025-01</t>
        </is>
      </c>
      <c r="F674" t="n">
        <v>261</v>
      </c>
      <c r="G674" t="n">
        <v>307.98</v>
      </c>
      <c r="H674">
        <f>הגדרות!B5</f>
        <v/>
      </c>
      <c r="I674">
        <f>F674*(1-H674/100)*1.18</f>
        <v/>
      </c>
      <c r="J674">
        <f>הגדרות!C5</f>
        <v/>
      </c>
      <c r="K674">
        <f>הגדרות!D5</f>
        <v/>
      </c>
      <c r="L674">
        <f>I674*(1+J674/100)+K674</f>
        <v/>
      </c>
    </row>
    <row r="675">
      <c r="A675" t="inlineStr">
        <is>
          <t>IDEXX — רפרנס</t>
        </is>
      </c>
      <c r="B675" t="inlineStr">
        <is>
          <t>Liver Monitoring Screen (Non-Interpreted)</t>
        </is>
      </c>
      <c r="D675" t="inlineStr">
        <is>
          <t>SLFTN</t>
        </is>
      </c>
      <c r="E675" t="inlineStr">
        <is>
          <t>2025-01</t>
        </is>
      </c>
      <c r="F675" t="n">
        <v>197.2</v>
      </c>
      <c r="G675" t="n">
        <v>232.7</v>
      </c>
      <c r="H675">
        <f>הגדרות!B5</f>
        <v/>
      </c>
      <c r="I675">
        <f>F675*(1-H675/100)*1.18</f>
        <v/>
      </c>
      <c r="J675">
        <f>הגדרות!C5</f>
        <v/>
      </c>
      <c r="K675">
        <f>הגדרות!D5</f>
        <v/>
      </c>
      <c r="L675">
        <f>I675*(1+J675/100)+K675</f>
        <v/>
      </c>
    </row>
    <row r="676">
      <c r="A676" t="inlineStr">
        <is>
          <t>IDEXX — רפרנס</t>
        </is>
      </c>
      <c r="B676" t="inlineStr">
        <is>
          <t>Basic Small Mammal Profile</t>
        </is>
      </c>
      <c r="D676" t="inlineStr">
        <is>
          <t>SMB</t>
        </is>
      </c>
      <c r="E676" t="inlineStr">
        <is>
          <t>2025-01</t>
        </is>
      </c>
      <c r="F676" t="n">
        <v>379.9</v>
      </c>
      <c r="G676" t="n">
        <v>448.28</v>
      </c>
      <c r="H676">
        <f>הגדרות!B5</f>
        <v/>
      </c>
      <c r="I676">
        <f>F676*(1-H676/100)*1.18</f>
        <v/>
      </c>
      <c r="J676">
        <f>הגדרות!C5</f>
        <v/>
      </c>
      <c r="K676">
        <f>הגדרות!D5</f>
        <v/>
      </c>
      <c r="L676">
        <f>I676*(1+J676/100)+K676</f>
        <v/>
      </c>
    </row>
    <row r="677">
      <c r="A677" t="inlineStr">
        <is>
          <t>IDEXX — רפרנס</t>
        </is>
      </c>
      <c r="B677" t="inlineStr">
        <is>
          <t>Comprehensive Small Mammal Profile</t>
        </is>
      </c>
      <c r="D677" t="inlineStr">
        <is>
          <t>SME</t>
        </is>
      </c>
      <c r="E677" t="inlineStr">
        <is>
          <t>2025-01</t>
        </is>
      </c>
      <c r="F677" t="n">
        <v>559.7</v>
      </c>
      <c r="G677" t="n">
        <v>660.45</v>
      </c>
      <c r="H677">
        <f>הגדרות!B5</f>
        <v/>
      </c>
      <c r="I677">
        <f>F677*(1-H677/100)*1.18</f>
        <v/>
      </c>
      <c r="J677">
        <f>הגדרות!C5</f>
        <v/>
      </c>
      <c r="K677">
        <f>הגדרות!D5</f>
        <v/>
      </c>
      <c r="L677">
        <f>I677*(1+J677/100)+K677</f>
        <v/>
      </c>
    </row>
    <row r="678">
      <c r="A678" t="inlineStr">
        <is>
          <t>IDEXX — רפרנס</t>
        </is>
      </c>
      <c r="B678" t="inlineStr">
        <is>
          <t>Basic Profile (Interpreted)</t>
        </is>
      </c>
      <c r="D678" t="inlineStr">
        <is>
          <t>SP1I</t>
        </is>
      </c>
      <c r="E678" t="inlineStr">
        <is>
          <t>2025-01</t>
        </is>
      </c>
      <c r="F678" t="n">
        <v>319</v>
      </c>
      <c r="G678" t="n">
        <v>376.42</v>
      </c>
      <c r="H678">
        <f>הגדרות!B5</f>
        <v/>
      </c>
      <c r="I678">
        <f>F678*(1-H678/100)*1.18</f>
        <v/>
      </c>
      <c r="J678">
        <f>הגדרות!C5</f>
        <v/>
      </c>
      <c r="K678">
        <f>הגדרות!D5</f>
        <v/>
      </c>
      <c r="L678">
        <f>I678*(1+J678/100)+K678</f>
        <v/>
      </c>
    </row>
    <row r="679">
      <c r="A679" t="inlineStr">
        <is>
          <t>IDEXX — רפרנס</t>
        </is>
      </c>
      <c r="B679" t="inlineStr">
        <is>
          <t>Basic Screen (Non-Interpreted)</t>
        </is>
      </c>
      <c r="D679" t="inlineStr">
        <is>
          <t>SP1N</t>
        </is>
      </c>
      <c r="E679" t="inlineStr">
        <is>
          <t>2025-01</t>
        </is>
      </c>
      <c r="F679" t="n">
        <v>266.8</v>
      </c>
      <c r="G679" t="n">
        <v>314.82</v>
      </c>
      <c r="H679">
        <f>הגדרות!B5</f>
        <v/>
      </c>
      <c r="I679">
        <f>F679*(1-H679/100)*1.18</f>
        <v/>
      </c>
      <c r="J679">
        <f>הגדרות!C5</f>
        <v/>
      </c>
      <c r="K679">
        <f>הגדרות!D5</f>
        <v/>
      </c>
      <c r="L679">
        <f>I679*(1+J679/100)+K679</f>
        <v/>
      </c>
    </row>
    <row r="680">
      <c r="A680" t="inlineStr">
        <is>
          <t>IDEXX — רפרנס</t>
        </is>
      </c>
      <c r="B680" t="inlineStr">
        <is>
          <t>Standard Profile (Interpreted)</t>
        </is>
      </c>
      <c r="D680" t="inlineStr">
        <is>
          <t>SP2I</t>
        </is>
      </c>
      <c r="E680" t="inlineStr">
        <is>
          <t>2025-01</t>
        </is>
      </c>
      <c r="F680" t="n">
        <v>548.1</v>
      </c>
      <c r="G680" t="n">
        <v>646.76</v>
      </c>
      <c r="H680">
        <f>הגדרות!B5</f>
        <v/>
      </c>
      <c r="I680">
        <f>F680*(1-H680/100)*1.18</f>
        <v/>
      </c>
      <c r="J680">
        <f>הגדרות!C5</f>
        <v/>
      </c>
      <c r="K680">
        <f>הגדרות!D5</f>
        <v/>
      </c>
      <c r="L680">
        <f>I680*(1+J680/100)+K680</f>
        <v/>
      </c>
    </row>
    <row r="681">
      <c r="A681" t="inlineStr">
        <is>
          <t>IDEXX — רפרנס</t>
        </is>
      </c>
      <c r="B681" t="inlineStr">
        <is>
          <t>Standard Screen (Non-Interpreted)</t>
        </is>
      </c>
      <c r="D681" t="inlineStr">
        <is>
          <t>SP2N</t>
        </is>
      </c>
      <c r="E681" t="inlineStr">
        <is>
          <t>2025-01</t>
        </is>
      </c>
      <c r="F681" t="n">
        <v>478.5</v>
      </c>
      <c r="G681" t="n">
        <v>564.63</v>
      </c>
      <c r="H681">
        <f>הגדרות!B5</f>
        <v/>
      </c>
      <c r="I681">
        <f>F681*(1-H681/100)*1.18</f>
        <v/>
      </c>
      <c r="J681">
        <f>הגדרות!C5</f>
        <v/>
      </c>
      <c r="K681">
        <f>הגדרות!D5</f>
        <v/>
      </c>
      <c r="L681">
        <f>I681*(1+J681/100)+K681</f>
        <v/>
      </c>
    </row>
    <row r="682">
      <c r="A682" t="inlineStr">
        <is>
          <t>IDEXX — רפרנס</t>
        </is>
      </c>
      <c r="B682" t="inlineStr">
        <is>
          <t>Extended Profile (Interpreted)</t>
        </is>
      </c>
      <c r="D682" t="inlineStr">
        <is>
          <t>SP3I</t>
        </is>
      </c>
      <c r="E682" t="inlineStr">
        <is>
          <t>2025-01</t>
        </is>
      </c>
      <c r="F682" t="n">
        <v>713.4</v>
      </c>
      <c r="G682" t="n">
        <v>841.8099999999999</v>
      </c>
      <c r="H682">
        <f>הגדרות!B5</f>
        <v/>
      </c>
      <c r="I682">
        <f>F682*(1-H682/100)*1.18</f>
        <v/>
      </c>
      <c r="J682">
        <f>הגדרות!C5</f>
        <v/>
      </c>
      <c r="K682">
        <f>הגדרות!D5</f>
        <v/>
      </c>
      <c r="L682">
        <f>I682*(1+J682/100)+K682</f>
        <v/>
      </c>
    </row>
    <row r="683">
      <c r="A683" t="inlineStr">
        <is>
          <t>IDEXX — רפרנס</t>
        </is>
      </c>
      <c r="B683" t="inlineStr">
        <is>
          <t>Extended Screen (Non-Interpreted)</t>
        </is>
      </c>
      <c r="D683" t="inlineStr">
        <is>
          <t>SP3N</t>
        </is>
      </c>
      <c r="E683" t="inlineStr">
        <is>
          <t>2025-01</t>
        </is>
      </c>
      <c r="F683" t="n">
        <v>672.8</v>
      </c>
      <c r="G683" t="n">
        <v>793.9</v>
      </c>
      <c r="H683">
        <f>הגדרות!B5</f>
        <v/>
      </c>
      <c r="I683">
        <f>F683*(1-H683/100)*1.18</f>
        <v/>
      </c>
      <c r="J683">
        <f>הגדרות!C5</f>
        <v/>
      </c>
      <c r="K683">
        <f>הגדרות!D5</f>
        <v/>
      </c>
      <c r="L683">
        <f>I683*(1+J683/100)+K683</f>
        <v/>
      </c>
    </row>
    <row r="684">
      <c r="A684" t="inlineStr">
        <is>
          <t>IDEXX — רפרנס</t>
        </is>
      </c>
      <c r="B684" t="inlineStr">
        <is>
          <t>Fits And Faints Profile (Interpreted)</t>
        </is>
      </c>
      <c r="D684" t="inlineStr">
        <is>
          <t>SP4I</t>
        </is>
      </c>
      <c r="E684" t="inlineStr">
        <is>
          <t>2025-01</t>
        </is>
      </c>
      <c r="F684" t="n">
        <v>504.6</v>
      </c>
      <c r="G684" t="n">
        <v>595.4299999999999</v>
      </c>
      <c r="H684">
        <f>הגדרות!B5</f>
        <v/>
      </c>
      <c r="I684">
        <f>F684*(1-H684/100)*1.18</f>
        <v/>
      </c>
      <c r="J684">
        <f>הגדרות!C5</f>
        <v/>
      </c>
      <c r="K684">
        <f>הגדרות!D5</f>
        <v/>
      </c>
      <c r="L684">
        <f>I684*(1+J684/100)+K684</f>
        <v/>
      </c>
    </row>
    <row r="685">
      <c r="A685" t="inlineStr">
        <is>
          <t>IDEXX — רפרנס</t>
        </is>
      </c>
      <c r="B685" t="inlineStr">
        <is>
          <t>Fits And Faints Screen (Non-Interpreted)</t>
        </is>
      </c>
      <c r="D685" t="inlineStr">
        <is>
          <t>SP4N</t>
        </is>
      </c>
      <c r="E685" t="inlineStr">
        <is>
          <t>2025-01</t>
        </is>
      </c>
      <c r="F685" t="n">
        <v>437.9</v>
      </c>
      <c r="G685" t="n">
        <v>516.72</v>
      </c>
      <c r="H685">
        <f>הגדרות!B5</f>
        <v/>
      </c>
      <c r="I685">
        <f>F685*(1-H685/100)*1.18</f>
        <v/>
      </c>
      <c r="J685">
        <f>הגדרות!C5</f>
        <v/>
      </c>
      <c r="K685">
        <f>הגדרות!D5</f>
        <v/>
      </c>
      <c r="L685">
        <f>I685*(1+J685/100)+K685</f>
        <v/>
      </c>
    </row>
    <row r="686">
      <c r="A686" t="inlineStr">
        <is>
          <t>IDEXX — רפרנס</t>
        </is>
      </c>
      <c r="B686" t="inlineStr">
        <is>
          <t>Skin Parasites / Dermatophyte</t>
        </is>
      </c>
      <c r="D686" t="inlineStr">
        <is>
          <t>SPF</t>
        </is>
      </c>
      <c r="E686" t="inlineStr">
        <is>
          <t>2025-01</t>
        </is>
      </c>
      <c r="F686" t="n">
        <v>179.8</v>
      </c>
      <c r="G686" t="n">
        <v>212.16</v>
      </c>
      <c r="H686">
        <f>הגדרות!B5</f>
        <v/>
      </c>
      <c r="I686">
        <f>F686*(1-H686/100)*1.18</f>
        <v/>
      </c>
      <c r="J686">
        <f>הגדרות!C5</f>
        <v/>
      </c>
      <c r="K686">
        <f>הגדרות!D5</f>
        <v/>
      </c>
      <c r="L686">
        <f>I686*(1+J686/100)+K686</f>
        <v/>
      </c>
    </row>
    <row r="687">
      <c r="A687" t="inlineStr">
        <is>
          <t>IDEXX — רפרנס</t>
        </is>
      </c>
      <c r="B687" t="inlineStr">
        <is>
          <t>Urolith Analysis</t>
        </is>
      </c>
      <c r="D687" t="inlineStr">
        <is>
          <t>STOX</t>
        </is>
      </c>
      <c r="E687" t="inlineStr">
        <is>
          <t>2025-01</t>
        </is>
      </c>
      <c r="F687" t="n">
        <v>522</v>
      </c>
      <c r="G687" t="n">
        <v>615.96</v>
      </c>
      <c r="H687">
        <f>הגדרות!B5</f>
        <v/>
      </c>
      <c r="I687">
        <f>F687*(1-H687/100)*1.18</f>
        <v/>
      </c>
      <c r="J687">
        <f>הגדרות!C5</f>
        <v/>
      </c>
      <c r="K687">
        <f>הגדרות!D5</f>
        <v/>
      </c>
      <c r="L687">
        <f>I687*(1+J687/100)+K687</f>
        <v/>
      </c>
    </row>
    <row r="688">
      <c r="A688" t="inlineStr">
        <is>
          <t>IDEXX — רפרנס</t>
        </is>
      </c>
      <c r="B688" t="inlineStr">
        <is>
          <t>Urolith Analysis &amp; Urolith Culture</t>
        </is>
      </c>
      <c r="D688" t="inlineStr">
        <is>
          <t>STOXC</t>
        </is>
      </c>
      <c r="E688" t="inlineStr">
        <is>
          <t>2025-01</t>
        </is>
      </c>
      <c r="F688" t="n">
        <v>765.6</v>
      </c>
      <c r="G688" t="n">
        <v>903.41</v>
      </c>
      <c r="H688">
        <f>הגדרות!B5</f>
        <v/>
      </c>
      <c r="I688">
        <f>F688*(1-H688/100)*1.18</f>
        <v/>
      </c>
      <c r="J688">
        <f>הגדרות!C5</f>
        <v/>
      </c>
      <c r="K688">
        <f>הגדרות!D5</f>
        <v/>
      </c>
      <c r="L688">
        <f>I688*(1+J688/100)+K688</f>
        <v/>
      </c>
    </row>
    <row r="689">
      <c r="A689" t="inlineStr">
        <is>
          <t>IDEXX — רפרנס</t>
        </is>
      </c>
      <c r="B689" t="inlineStr">
        <is>
          <t>Urolith Analysis, Urolith Culture &amp; Urine Culture</t>
        </is>
      </c>
      <c r="D689" t="inlineStr">
        <is>
          <t>STOXUC</t>
        </is>
      </c>
      <c r="E689" t="inlineStr">
        <is>
          <t>2025-01</t>
        </is>
      </c>
      <c r="F689" t="n">
        <v>1055.6</v>
      </c>
      <c r="G689" t="n">
        <v>1245.61</v>
      </c>
      <c r="H689">
        <f>הגדרות!B5</f>
        <v/>
      </c>
      <c r="I689">
        <f>F689*(1-H689/100)*1.18</f>
        <v/>
      </c>
      <c r="J689">
        <f>הגדרות!C5</f>
        <v/>
      </c>
      <c r="K689">
        <f>הגדרות!D5</f>
        <v/>
      </c>
      <c r="L689">
        <f>I689*(1+J689/100)+K689</f>
        <v/>
      </c>
    </row>
    <row r="690">
      <c r="A690" t="inlineStr">
        <is>
          <t>IDEXX — רפרנס</t>
        </is>
      </c>
      <c r="B690" t="inlineStr">
        <is>
          <t>Equine Pre-Breeding Culture 24 Hour</t>
        </is>
      </c>
      <c r="D690" t="inlineStr">
        <is>
          <t>SW24</t>
        </is>
      </c>
      <c r="E690" t="inlineStr">
        <is>
          <t>2025-01</t>
        </is>
      </c>
      <c r="F690" t="n">
        <v>327.7</v>
      </c>
      <c r="G690" t="n">
        <v>386.69</v>
      </c>
      <c r="H690">
        <f>הגדרות!B5</f>
        <v/>
      </c>
      <c r="I690">
        <f>F690*(1-H690/100)*1.18</f>
        <v/>
      </c>
      <c r="J690">
        <f>הגדרות!C5</f>
        <v/>
      </c>
      <c r="K690">
        <f>הגדרות!D5</f>
        <v/>
      </c>
      <c r="L690">
        <f>I690*(1+J690/100)+K690</f>
        <v/>
      </c>
    </row>
    <row r="691">
      <c r="A691" t="inlineStr">
        <is>
          <t>IDEXX — רפרנס</t>
        </is>
      </c>
      <c r="B691" t="inlineStr">
        <is>
          <t>Faecal Culture - swab</t>
        </is>
      </c>
      <c r="D691" t="inlineStr">
        <is>
          <t>SWAF</t>
        </is>
      </c>
      <c r="E691" t="inlineStr">
        <is>
          <t>2025-01</t>
        </is>
      </c>
      <c r="F691" t="n">
        <v>388.6</v>
      </c>
      <c r="G691" t="n">
        <v>458.55</v>
      </c>
      <c r="H691">
        <f>הגדרות!B5</f>
        <v/>
      </c>
      <c r="I691">
        <f>F691*(1-H691/100)*1.18</f>
        <v/>
      </c>
      <c r="J691">
        <f>הגדרות!C5</f>
        <v/>
      </c>
      <c r="K691">
        <f>הגדרות!D5</f>
        <v/>
      </c>
      <c r="L691">
        <f>I691*(1+J691/100)+K691</f>
        <v/>
      </c>
    </row>
    <row r="692">
      <c r="A692" t="inlineStr">
        <is>
          <t>IDEXX — רפרנס</t>
        </is>
      </c>
      <c r="B692" t="inlineStr">
        <is>
          <t>Skin cultures – no microscopy</t>
        </is>
      </c>
      <c r="D692" t="inlineStr">
        <is>
          <t>SWFC</t>
        </is>
      </c>
      <c r="E692" t="inlineStr">
        <is>
          <t>2025-01</t>
        </is>
      </c>
      <c r="F692" t="n">
        <v>377</v>
      </c>
      <c r="G692" t="n">
        <v>444.86</v>
      </c>
      <c r="H692">
        <f>הגדרות!B5</f>
        <v/>
      </c>
      <c r="I692">
        <f>F692*(1-H692/100)*1.18</f>
        <v/>
      </c>
      <c r="J692">
        <f>הגדרות!C5</f>
        <v/>
      </c>
      <c r="K692">
        <f>הגדרות!D5</f>
        <v/>
      </c>
      <c r="L692">
        <f>I692*(1+J692/100)+K692</f>
        <v/>
      </c>
    </row>
    <row r="693">
      <c r="A693" t="inlineStr">
        <is>
          <t>IDEXX — רפרנס</t>
        </is>
      </c>
      <c r="B693" t="inlineStr">
        <is>
          <t>Trilostane (Vetoryl) Monitoring Profile - ACTH stimula</t>
        </is>
      </c>
      <c r="D693" t="inlineStr">
        <is>
          <t>tTio3n6 Ptest</t>
        </is>
      </c>
      <c r="E693" t="inlineStr">
        <is>
          <t>2025-01</t>
        </is>
      </c>
      <c r="F693" t="n">
        <v>426.3</v>
      </c>
      <c r="G693" t="n">
        <v>503.03</v>
      </c>
      <c r="H693">
        <f>הגדרות!B5</f>
        <v/>
      </c>
      <c r="I693">
        <f>F693*(1-H693/100)*1.18</f>
        <v/>
      </c>
      <c r="J693">
        <f>הגדרות!C5</f>
        <v/>
      </c>
      <c r="K693">
        <f>הגדרות!D5</f>
        <v/>
      </c>
      <c r="L693">
        <f>I693*(1+J693/100)+K693</f>
        <v/>
      </c>
    </row>
    <row r="694">
      <c r="A694" t="inlineStr">
        <is>
          <t>IDEXX — רפרנס</t>
        </is>
      </c>
      <c r="B694" t="inlineStr">
        <is>
          <t>Trilostane (Vetoryl) Monitoring Profile - Prepill Cortiso</t>
        </is>
      </c>
      <c r="D694" t="inlineStr">
        <is>
          <t>Tl 3(s6iXngle sa</t>
        </is>
      </c>
      <c r="E694" t="inlineStr">
        <is>
          <t>2025-01</t>
        </is>
      </c>
      <c r="F694" t="n">
        <v>359.6</v>
      </c>
      <c r="G694" t="n">
        <v>424.33</v>
      </c>
      <c r="H694">
        <f>הגדרות!B5</f>
        <v/>
      </c>
      <c r="I694">
        <f>F694*(1-H694/100)*1.18</f>
        <v/>
      </c>
      <c r="J694">
        <f>הגדרות!C5</f>
        <v/>
      </c>
      <c r="K694">
        <f>הגדרות!D5</f>
        <v/>
      </c>
      <c r="L694">
        <f>I694*(1+J694/100)+K694</f>
        <v/>
      </c>
    </row>
    <row r="695">
      <c r="A695" t="inlineStr">
        <is>
          <t>IDEXX — רפרנס</t>
        </is>
      </c>
      <c r="B695" t="inlineStr">
        <is>
          <t>Total T4</t>
        </is>
      </c>
      <c r="D695" t="inlineStr">
        <is>
          <t>T4M</t>
        </is>
      </c>
      <c r="E695" t="inlineStr">
        <is>
          <t>2025-01</t>
        </is>
      </c>
      <c r="F695" t="n">
        <v>168.2</v>
      </c>
      <c r="G695" t="n">
        <v>198.48</v>
      </c>
      <c r="H695">
        <f>הגדרות!B5</f>
        <v/>
      </c>
      <c r="I695">
        <f>F695*(1-H695/100)*1.18</f>
        <v/>
      </c>
      <c r="J695">
        <f>הגדרות!C5</f>
        <v/>
      </c>
      <c r="K695">
        <f>הגדרות!D5</f>
        <v/>
      </c>
      <c r="L695">
        <f>I695*(1+J695/100)+K695</f>
        <v/>
      </c>
    </row>
    <row r="696">
      <c r="A696" t="inlineStr">
        <is>
          <t>IDEXX — רפרנס</t>
        </is>
      </c>
      <c r="B696" t="inlineStr">
        <is>
          <t>Taurine</t>
        </is>
      </c>
      <c r="D696" t="inlineStr">
        <is>
          <t>TAU</t>
        </is>
      </c>
      <c r="E696" t="inlineStr">
        <is>
          <t>2025-01</t>
        </is>
      </c>
      <c r="F696" t="n">
        <v>2102.5</v>
      </c>
      <c r="G696" t="n">
        <v>2480.95</v>
      </c>
      <c r="H696">
        <f>הגדרות!B5</f>
        <v/>
      </c>
      <c r="I696">
        <f>F696*(1-H696/100)*1.18</f>
        <v/>
      </c>
      <c r="J696">
        <f>הגדרות!C5</f>
        <v/>
      </c>
      <c r="K696">
        <f>הגדרות!D5</f>
        <v/>
      </c>
      <c r="L696">
        <f>I696*(1+J696/100)+K696</f>
        <v/>
      </c>
    </row>
    <row r="697">
      <c r="A697" t="inlineStr">
        <is>
          <t>IDEXX — רפרנס</t>
        </is>
      </c>
      <c r="B697" t="inlineStr">
        <is>
          <t>Treponema cuniculi Antibody (Rabbit Syphilis)</t>
        </is>
      </c>
      <c r="D697" t="inlineStr">
        <is>
          <t>TCS</t>
        </is>
      </c>
      <c r="E697" t="inlineStr">
        <is>
          <t>2025-01</t>
        </is>
      </c>
      <c r="F697" t="n">
        <v>609</v>
      </c>
      <c r="G697" t="n">
        <v>718.62</v>
      </c>
      <c r="H697">
        <f>הגדרות!B5</f>
        <v/>
      </c>
      <c r="I697">
        <f>F697*(1-H697/100)*1.18</f>
        <v/>
      </c>
      <c r="J697">
        <f>הגדרות!C5</f>
        <v/>
      </c>
      <c r="K697">
        <f>הגדרות!D5</f>
        <v/>
      </c>
      <c r="L697">
        <f>I697*(1+J697/100)+K697</f>
        <v/>
      </c>
    </row>
    <row r="698">
      <c r="A698" t="inlineStr">
        <is>
          <t>IDEXX — רפרנס</t>
        </is>
      </c>
      <c r="B698" t="inlineStr">
        <is>
          <t>TLI, Folate &amp; Cobalamin (Canine)</t>
        </is>
      </c>
      <c r="D698" t="inlineStr">
        <is>
          <t>TFCB</t>
        </is>
      </c>
      <c r="E698" t="inlineStr">
        <is>
          <t>2025-01</t>
        </is>
      </c>
      <c r="F698" t="n">
        <v>553.9</v>
      </c>
      <c r="G698" t="n">
        <v>653.6</v>
      </c>
      <c r="H698">
        <f>הגדרות!B5</f>
        <v/>
      </c>
      <c r="I698">
        <f>F698*(1-H698/100)*1.18</f>
        <v/>
      </c>
      <c r="J698">
        <f>הגדרות!C5</f>
        <v/>
      </c>
      <c r="K698">
        <f>הגדרות!D5</f>
        <v/>
      </c>
      <c r="L698">
        <f>I698*(1+J698/100)+K698</f>
        <v/>
      </c>
    </row>
    <row r="699">
      <c r="A699" t="inlineStr">
        <is>
          <t>IDEXX — רפרנס</t>
        </is>
      </c>
      <c r="B699" t="inlineStr">
        <is>
          <t>TLI, Folate, Cobalamin, Total Protein, Albumin, Globul</t>
        </is>
      </c>
      <c r="D699" t="inlineStr">
        <is>
          <t>iTnF, CAG:G Rati</t>
        </is>
      </c>
      <c r="E699" t="inlineStr">
        <is>
          <t>2025-01</t>
        </is>
      </c>
      <c r="F699" t="n">
        <v>649.6</v>
      </c>
      <c r="G699" t="n">
        <v>766.53</v>
      </c>
      <c r="H699">
        <f>הגדרות!B5</f>
        <v/>
      </c>
      <c r="I699">
        <f>F699*(1-H699/100)*1.18</f>
        <v/>
      </c>
      <c r="J699">
        <f>הגדרות!C5</f>
        <v/>
      </c>
      <c r="K699">
        <f>הגדרות!D5</f>
        <v/>
      </c>
      <c r="L699">
        <f>I699*(1+J699/100)+K699</f>
        <v/>
      </c>
    </row>
    <row r="700">
      <c r="A700" t="inlineStr">
        <is>
          <t>IDEXX — רפרנס</t>
        </is>
      </c>
      <c r="B700" t="inlineStr">
        <is>
          <t>TLI, Folate, Cobalamin, Total Protein, Albumin, Globul</t>
        </is>
      </c>
      <c r="D700" t="inlineStr">
        <is>
          <t>iTnF, FAG:G Rati</t>
        </is>
      </c>
      <c r="E700" t="inlineStr">
        <is>
          <t>2025-01</t>
        </is>
      </c>
      <c r="F700" t="n">
        <v>841</v>
      </c>
      <c r="G700" t="n">
        <v>992.38</v>
      </c>
      <c r="H700">
        <f>הגדרות!B5</f>
        <v/>
      </c>
      <c r="I700">
        <f>F700*(1-H700/100)*1.18</f>
        <v/>
      </c>
      <c r="J700">
        <f>הגדרות!C5</f>
        <v/>
      </c>
      <c r="K700">
        <f>הגדרות!D5</f>
        <v/>
      </c>
      <c r="L700">
        <f>I700*(1+J700/100)+K700</f>
        <v/>
      </c>
    </row>
    <row r="701">
      <c r="A701" t="inlineStr">
        <is>
          <t>IDEXX — רפרנס</t>
        </is>
      </c>
      <c r="B701" t="inlineStr">
        <is>
          <t>Tick Panel - PCR on Tick</t>
        </is>
      </c>
      <c r="D701" t="inlineStr">
        <is>
          <t>TIC2</t>
        </is>
      </c>
      <c r="E701" t="inlineStr">
        <is>
          <t>2025-01</t>
        </is>
      </c>
      <c r="F701" t="n">
        <v>667</v>
      </c>
      <c r="G701" t="n">
        <v>787.0599999999999</v>
      </c>
      <c r="H701">
        <f>הגדרות!B5</f>
        <v/>
      </c>
      <c r="I701">
        <f>F701*(1-H701/100)*1.18</f>
        <v/>
      </c>
      <c r="J701">
        <f>הגדרות!C5</f>
        <v/>
      </c>
      <c r="K701">
        <f>הגדרות!D5</f>
        <v/>
      </c>
      <c r="L701">
        <f>I701*(1+J701/100)+K701</f>
        <v/>
      </c>
    </row>
    <row r="702">
      <c r="A702" t="inlineStr">
        <is>
          <t>IDEXX — רפרנס</t>
        </is>
      </c>
      <c r="B702" t="inlineStr">
        <is>
          <t>TLI (Canine)</t>
        </is>
      </c>
      <c r="D702" t="inlineStr">
        <is>
          <t>TLIC</t>
        </is>
      </c>
      <c r="E702" t="inlineStr">
        <is>
          <t>2025-01</t>
        </is>
      </c>
      <c r="F702" t="n">
        <v>342.2</v>
      </c>
      <c r="G702" t="n">
        <v>403.8</v>
      </c>
      <c r="H702">
        <f>הגדרות!B5</f>
        <v/>
      </c>
      <c r="I702">
        <f>F702*(1-H702/100)*1.18</f>
        <v/>
      </c>
      <c r="J702">
        <f>הגדרות!C5</f>
        <v/>
      </c>
      <c r="K702">
        <f>הגדרות!D5</f>
        <v/>
      </c>
      <c r="L702">
        <f>I702*(1+J702/100)+K702</f>
        <v/>
      </c>
    </row>
    <row r="703">
      <c r="A703" t="inlineStr">
        <is>
          <t>IDEXX — רפרנס</t>
        </is>
      </c>
      <c r="B703" t="inlineStr">
        <is>
          <t>TLI (Feline)</t>
        </is>
      </c>
      <c r="D703" t="inlineStr">
        <is>
          <t>TLIF</t>
        </is>
      </c>
      <c r="E703" t="inlineStr">
        <is>
          <t>2025-01</t>
        </is>
      </c>
      <c r="F703" t="n">
        <v>449.5</v>
      </c>
      <c r="G703" t="n">
        <v>530.41</v>
      </c>
      <c r="H703">
        <f>הגדרות!B5</f>
        <v/>
      </c>
      <c r="I703">
        <f>F703*(1-H703/100)*1.18</f>
        <v/>
      </c>
      <c r="J703">
        <f>הגדרות!C5</f>
        <v/>
      </c>
      <c r="K703">
        <f>הגדרות!D5</f>
        <v/>
      </c>
      <c r="L703">
        <f>I703*(1+J703/100)+K703</f>
        <v/>
      </c>
    </row>
    <row r="704">
      <c r="A704" t="inlineStr">
        <is>
          <t>IDEXX — רפרנס</t>
        </is>
      </c>
      <c r="B704" t="inlineStr">
        <is>
          <t>Bovine Trace Mineral Screen</t>
        </is>
      </c>
      <c r="D704" t="inlineStr">
        <is>
          <t>TMIN</t>
        </is>
      </c>
      <c r="E704" t="inlineStr">
        <is>
          <t>2025-01</t>
        </is>
      </c>
      <c r="F704" t="n">
        <v>171.1</v>
      </c>
      <c r="G704" t="n">
        <v>201.9</v>
      </c>
      <c r="H704">
        <f>הגדרות!B5</f>
        <v/>
      </c>
      <c r="I704">
        <f>F704*(1-H704/100)*1.18</f>
        <v/>
      </c>
      <c r="J704">
        <f>הגדרות!C5</f>
        <v/>
      </c>
      <c r="K704">
        <f>הגדרות!D5</f>
        <v/>
      </c>
      <c r="L704">
        <f>I704*(1+J704/100)+K704</f>
        <v/>
      </c>
    </row>
    <row r="705">
      <c r="A705" t="inlineStr">
        <is>
          <t>IDEXX — רפרנס</t>
        </is>
      </c>
      <c r="B705" t="inlineStr">
        <is>
          <t>Troponin I HS</t>
        </is>
      </c>
      <c r="D705" t="inlineStr">
        <is>
          <t>TNI</t>
        </is>
      </c>
      <c r="E705" t="inlineStr">
        <is>
          <t>2025-01</t>
        </is>
      </c>
      <c r="F705" t="n">
        <v>310.3</v>
      </c>
      <c r="G705" t="n">
        <v>366.15</v>
      </c>
      <c r="H705">
        <f>הגדרות!B5</f>
        <v/>
      </c>
      <c r="I705">
        <f>F705*(1-H705/100)*1.18</f>
        <v/>
      </c>
      <c r="J705">
        <f>הגדרות!C5</f>
        <v/>
      </c>
      <c r="K705">
        <f>הגדרות!D5</f>
        <v/>
      </c>
      <c r="L705">
        <f>I705*(1+J705/100)+K705</f>
        <v/>
      </c>
    </row>
    <row r="706">
      <c r="A706" t="inlineStr">
        <is>
          <t>IDEXX — רפרנס</t>
        </is>
      </c>
      <c r="B706" t="inlineStr">
        <is>
          <t>Toxoplasma IgG / IgM</t>
        </is>
      </c>
      <c r="D706" t="inlineStr">
        <is>
          <t>TOXC</t>
        </is>
      </c>
      <c r="E706" t="inlineStr">
        <is>
          <t>2025-01</t>
        </is>
      </c>
      <c r="F706" t="n">
        <v>577.1</v>
      </c>
      <c r="G706" t="n">
        <v>680.98</v>
      </c>
      <c r="H706">
        <f>הגדרות!B5</f>
        <v/>
      </c>
      <c r="I706">
        <f>F706*(1-H706/100)*1.18</f>
        <v/>
      </c>
      <c r="J706">
        <f>הגדרות!C5</f>
        <v/>
      </c>
      <c r="K706">
        <f>הגדרות!D5</f>
        <v/>
      </c>
      <c r="L706">
        <f>I706*(1+J706/100)+K706</f>
        <v/>
      </c>
    </row>
    <row r="707">
      <c r="A707" t="inlineStr">
        <is>
          <t>IDEXX — רפרנס</t>
        </is>
      </c>
      <c r="B707" t="inlineStr">
        <is>
          <t>Total Protein</t>
        </is>
      </c>
      <c r="D707" t="inlineStr">
        <is>
          <t>TP</t>
        </is>
      </c>
      <c r="E707" t="inlineStr">
        <is>
          <t>2025-01</t>
        </is>
      </c>
      <c r="F707" t="n">
        <v>63.8</v>
      </c>
      <c r="G707" t="n">
        <v>75.28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IDEXX — רפרנס</t>
        </is>
      </c>
      <c r="B708" t="inlineStr">
        <is>
          <t>Treponema Cuniculi PCR</t>
        </is>
      </c>
      <c r="D708" t="inlineStr">
        <is>
          <t>TREPP</t>
        </is>
      </c>
      <c r="E708" t="inlineStr">
        <is>
          <t>2025-01</t>
        </is>
      </c>
      <c r="F708" t="n">
        <v>368.3</v>
      </c>
      <c r="G708" t="n">
        <v>434.59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IDEXX — רפרנס</t>
        </is>
      </c>
      <c r="B709" t="inlineStr">
        <is>
          <t>TSH (Canine) - Add-On</t>
        </is>
      </c>
      <c r="D709" t="inlineStr">
        <is>
          <t>TSHA</t>
        </is>
      </c>
      <c r="E709" t="inlineStr">
        <is>
          <t>2025-01</t>
        </is>
      </c>
      <c r="F709" t="n">
        <v>130.5</v>
      </c>
      <c r="G709" t="n">
        <v>153.99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IDEXX — רפרנס</t>
        </is>
      </c>
      <c r="B710" t="inlineStr">
        <is>
          <t>Urine Deposit Microscopy</t>
        </is>
      </c>
      <c r="D710" t="inlineStr">
        <is>
          <t>UCD</t>
        </is>
      </c>
      <c r="E710" t="inlineStr">
        <is>
          <t>2025-01</t>
        </is>
      </c>
      <c r="F710" t="n">
        <v>179.8</v>
      </c>
      <c r="G710" t="n">
        <v>212.16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IDEXX — רפרנס</t>
        </is>
      </c>
      <c r="B711" t="inlineStr">
        <is>
          <t>Basic Urine Screen</t>
        </is>
      </c>
      <c r="D711" t="inlineStr">
        <is>
          <t>UCE</t>
        </is>
      </c>
      <c r="E711" t="inlineStr">
        <is>
          <t>2025-01</t>
        </is>
      </c>
      <c r="F711" t="n">
        <v>374.1</v>
      </c>
      <c r="G711" t="n">
        <v>441.44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IDEXX — רפרנס</t>
        </is>
      </c>
      <c r="B712" t="inlineStr">
        <is>
          <t>Comprehensive Urine Screen</t>
        </is>
      </c>
      <c r="D712" t="inlineStr">
        <is>
          <t>UCEC</t>
        </is>
      </c>
      <c r="E712" t="inlineStr">
        <is>
          <t>2025-01</t>
        </is>
      </c>
      <c r="F712" t="n">
        <v>722.1</v>
      </c>
      <c r="G712" t="n">
        <v>852.08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IDEXX — רפרנס</t>
        </is>
      </c>
      <c r="B713" t="inlineStr">
        <is>
          <t>Premium Urine Screen</t>
        </is>
      </c>
      <c r="D713" t="inlineStr">
        <is>
          <t>UCECP</t>
        </is>
      </c>
      <c r="E713" t="inlineStr">
        <is>
          <t>2025-01</t>
        </is>
      </c>
      <c r="F713" t="n">
        <v>838.1</v>
      </c>
      <c r="G713" t="n">
        <v>988.96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IDEXX — רפרנס</t>
        </is>
      </c>
      <c r="B714" t="inlineStr">
        <is>
          <t>Extended Basic Urine Screen</t>
        </is>
      </c>
      <c r="D714" t="inlineStr">
        <is>
          <t>UCEP</t>
        </is>
      </c>
      <c r="E714" t="inlineStr">
        <is>
          <t>2025-01</t>
        </is>
      </c>
      <c r="F714" t="n">
        <v>464</v>
      </c>
      <c r="G714" t="n">
        <v>547.52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IDEXX — רפרנס</t>
        </is>
      </c>
      <c r="B715" t="inlineStr">
        <is>
          <t>Urine Chemistry &amp; Deposit Microscopy</t>
        </is>
      </c>
      <c r="D715" t="inlineStr">
        <is>
          <t>UENC</t>
        </is>
      </c>
      <c r="E715" t="inlineStr">
        <is>
          <t>2025-01</t>
        </is>
      </c>
      <c r="F715" t="n">
        <v>243.6</v>
      </c>
      <c r="G715" t="n">
        <v>287.45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IDEXX — רפרנס</t>
        </is>
      </c>
      <c r="B716" t="inlineStr">
        <is>
          <t>Fast Track Histology For Urgent Cases</t>
        </is>
      </c>
      <c r="D716" t="inlineStr">
        <is>
          <t>UHIS</t>
        </is>
      </c>
      <c r="E716" t="inlineStr">
        <is>
          <t>2025-01</t>
        </is>
      </c>
      <c r="F716" t="n">
        <v>243.6</v>
      </c>
      <c r="G716" t="n">
        <v>287.45</v>
      </c>
      <c r="H716">
        <f>הגדרות!B5</f>
        <v/>
      </c>
      <c r="I716">
        <f>F716*(1-H716/100)*1.18</f>
        <v/>
      </c>
      <c r="J716">
        <f>הגדרות!C5</f>
        <v/>
      </c>
      <c r="K716">
        <f>הגדרות!D5</f>
        <v/>
      </c>
      <c r="L716">
        <f>I716*(1+J716/100)+K716</f>
        <v/>
      </c>
    </row>
    <row r="717">
      <c r="A717" t="inlineStr">
        <is>
          <t>IDEXX — רפרנס</t>
        </is>
      </c>
      <c r="B717" t="inlineStr">
        <is>
          <t>Free T4 (Immunoassay)</t>
        </is>
      </c>
      <c r="D717" t="inlineStr">
        <is>
          <t>VFT4</t>
        </is>
      </c>
      <c r="E717" t="inlineStr">
        <is>
          <t>2025-01</t>
        </is>
      </c>
      <c r="F717" t="n">
        <v>292.9</v>
      </c>
      <c r="G717" t="n">
        <v>345.62</v>
      </c>
      <c r="H717">
        <f>הגדרות!B5</f>
        <v/>
      </c>
      <c r="I717">
        <f>F717*(1-H717/100)*1.18</f>
        <v/>
      </c>
      <c r="J717">
        <f>הגדרות!C5</f>
        <v/>
      </c>
      <c r="K717">
        <f>הגדרות!D5</f>
        <v/>
      </c>
      <c r="L717">
        <f>I717*(1+J717/100)+K717</f>
        <v/>
      </c>
    </row>
    <row r="718">
      <c r="A718" t="inlineStr">
        <is>
          <t>IDEXX — רפרנס</t>
        </is>
      </c>
      <c r="B718" t="inlineStr">
        <is>
          <t>Flush/Wash/Cystic Fluid Cytology - 3 or more Fluids/S</t>
        </is>
      </c>
      <c r="D718" t="inlineStr">
        <is>
          <t>WiteAsSH3</t>
        </is>
      </c>
      <c r="E718" t="inlineStr">
        <is>
          <t>2025-01</t>
        </is>
      </c>
      <c r="F718" t="n">
        <v>826.5</v>
      </c>
      <c r="G718" t="n">
        <v>975.27</v>
      </c>
      <c r="H718">
        <f>הגדרות!B5</f>
        <v/>
      </c>
      <c r="I718">
        <f>F718*(1-H718/100)*1.18</f>
        <v/>
      </c>
      <c r="J718">
        <f>הגדרות!C5</f>
        <v/>
      </c>
      <c r="K718">
        <f>הגדרות!D5</f>
        <v/>
      </c>
      <c r="L718">
        <f>I718*(1+J718/100)+K718</f>
        <v/>
      </c>
    </row>
    <row r="719">
      <c r="A719" t="inlineStr">
        <is>
          <t>IDEXX — רפרנס</t>
        </is>
      </c>
      <c r="B719" t="inlineStr">
        <is>
          <t>Worm Egg Count</t>
        </is>
      </c>
      <c r="D719" t="inlineStr">
        <is>
          <t>WEC</t>
        </is>
      </c>
      <c r="E719" t="inlineStr">
        <is>
          <t>2025-01</t>
        </is>
      </c>
      <c r="F719" t="n">
        <v>159.5</v>
      </c>
      <c r="G719" t="n">
        <v>188.21</v>
      </c>
      <c r="H719">
        <f>הגדרות!B5</f>
        <v/>
      </c>
      <c r="I719">
        <f>F719*(1-H719/100)*1.18</f>
        <v/>
      </c>
      <c r="J719">
        <f>הגדרות!C5</f>
        <v/>
      </c>
      <c r="K719">
        <f>הגדרות!D5</f>
        <v/>
      </c>
      <c r="L719">
        <f>I719*(1+J719/100)+K719</f>
        <v/>
      </c>
    </row>
    <row r="720">
      <c r="A720" t="inlineStr">
        <is>
          <t>IDEXX — רפרנס</t>
        </is>
      </c>
      <c r="B720" t="inlineStr">
        <is>
          <t>Cross Match Single donor</t>
        </is>
      </c>
      <c r="D720" t="inlineStr">
        <is>
          <t>XM</t>
        </is>
      </c>
      <c r="E720" t="inlineStr">
        <is>
          <t>2025-01</t>
        </is>
      </c>
      <c r="F720" t="n">
        <v>510.4</v>
      </c>
      <c r="G720" t="n">
        <v>602.27</v>
      </c>
      <c r="H720">
        <f>הגדרות!B5</f>
        <v/>
      </c>
      <c r="I720">
        <f>F720*(1-H720/100)*1.18</f>
        <v/>
      </c>
      <c r="J720">
        <f>הגדרות!C5</f>
        <v/>
      </c>
      <c r="K720">
        <f>הגדרות!D5</f>
        <v/>
      </c>
      <c r="L720">
        <f>I720*(1+J720/100)+K720</f>
        <v/>
      </c>
    </row>
    <row r="721">
      <c r="A721" t="inlineStr">
        <is>
          <t>IDEXX — רפרנס</t>
        </is>
      </c>
      <c r="B721" t="inlineStr">
        <is>
          <t>Cross Match Additional Donor(s)</t>
        </is>
      </c>
      <c r="D721" t="inlineStr">
        <is>
          <t>XMAD</t>
        </is>
      </c>
      <c r="E721" t="inlineStr">
        <is>
          <t>2025-01</t>
        </is>
      </c>
      <c r="F721" t="n">
        <v>403.1</v>
      </c>
      <c r="G721" t="n">
        <v>475.66</v>
      </c>
      <c r="H721">
        <f>הגדרות!B5</f>
        <v/>
      </c>
      <c r="I721">
        <f>F721*(1-H721/100)*1.18</f>
        <v/>
      </c>
      <c r="J721">
        <f>הגדרות!C5</f>
        <v/>
      </c>
      <c r="K721">
        <f>הגדרות!D5</f>
        <v/>
      </c>
      <c r="L721">
        <f>I721*(1+J721/100)+K721</f>
        <v/>
      </c>
    </row>
    <row r="722">
      <c r="A722" t="inlineStr">
        <is>
          <t>IDEXX — רפרנס</t>
        </is>
      </c>
      <c r="B722" t="inlineStr">
        <is>
          <t>Zinc (Equine)</t>
        </is>
      </c>
      <c r="D722" t="inlineStr">
        <is>
          <t>ZINCE</t>
        </is>
      </c>
      <c r="E722" t="inlineStr">
        <is>
          <t>2025-01</t>
        </is>
      </c>
      <c r="F722" t="n">
        <v>310.3</v>
      </c>
      <c r="G722" t="n">
        <v>366.15</v>
      </c>
      <c r="H722">
        <f>הגדרות!B5</f>
        <v/>
      </c>
      <c r="I722">
        <f>F722*(1-H722/100)*1.18</f>
        <v/>
      </c>
      <c r="J722">
        <f>הגדרות!C5</f>
        <v/>
      </c>
      <c r="K722">
        <f>הגדרות!D5</f>
        <v/>
      </c>
      <c r="L722">
        <f>I722*(1+J722/100)+K722</f>
        <v/>
      </c>
    </row>
    <row r="723">
      <c r="A723" t="inlineStr">
        <is>
          <t>IDEXX — רפרנס</t>
        </is>
      </c>
      <c r="B723" t="inlineStr">
        <is>
          <t>Zinc</t>
        </is>
      </c>
      <c r="D723" t="inlineStr">
        <is>
          <t>ZN</t>
        </is>
      </c>
      <c r="E723" t="inlineStr">
        <is>
          <t>2025-01</t>
        </is>
      </c>
      <c r="F723" t="n">
        <v>310.3</v>
      </c>
      <c r="G723" t="n">
        <v>366.15</v>
      </c>
      <c r="H723">
        <f>הגדרות!B5</f>
        <v/>
      </c>
      <c r="I723">
        <f>F723*(1-H723/100)*1.18</f>
        <v/>
      </c>
      <c r="J723">
        <f>הגדרות!C5</f>
        <v/>
      </c>
      <c r="K723">
        <f>הגדרות!D5</f>
        <v/>
      </c>
      <c r="L723">
        <f>I723*(1+J723/100)+K723</f>
        <v/>
      </c>
    </row>
    <row r="724">
      <c r="A724" t="inlineStr">
        <is>
          <t>IDEXX — רפרנס</t>
        </is>
      </c>
      <c r="B724" t="inlineStr">
        <is>
          <t>Zoonosis Package 2</t>
        </is>
      </c>
      <c r="D724" t="inlineStr">
        <is>
          <t>ZP2</t>
        </is>
      </c>
      <c r="E724" t="inlineStr">
        <is>
          <t>2025-01</t>
        </is>
      </c>
      <c r="F724" t="n">
        <v>719.2</v>
      </c>
      <c r="G724" t="n">
        <v>848.66</v>
      </c>
      <c r="H724">
        <f>הגדרות!B5</f>
        <v/>
      </c>
      <c r="I724">
        <f>F724*(1-H724/100)*1.18</f>
        <v/>
      </c>
      <c r="J724">
        <f>הגדרות!C5</f>
        <v/>
      </c>
      <c r="K724">
        <f>הגדרות!D5</f>
        <v/>
      </c>
      <c r="L724">
        <f>I724*(1+J724/100)+K724</f>
        <v/>
      </c>
    </row>
    <row r="725">
      <c r="A725" t="inlineStr">
        <is>
          <t>קרניאלי</t>
        </is>
      </c>
      <c r="B725" t="inlineStr">
        <is>
          <t>Multi Drug Resistance* (MDR)</t>
        </is>
      </c>
      <c r="C725" t="inlineStr">
        <is>
          <t>מחלות גנטיות</t>
        </is>
      </c>
      <c r="E725" t="inlineStr">
        <is>
          <t>2025-01</t>
        </is>
      </c>
      <c r="F725" t="n">
        <v>220</v>
      </c>
      <c r="G725" t="n">
        <v>259.6</v>
      </c>
      <c r="H725">
        <f>הגדרות!B6</f>
        <v/>
      </c>
      <c r="I725">
        <f>F725*(1-H725/100)*1.18</f>
        <v/>
      </c>
      <c r="J725">
        <f>הגדרות!C6</f>
        <v/>
      </c>
      <c r="K725">
        <f>הגדרות!D6</f>
        <v/>
      </c>
      <c r="L725">
        <f>I725*(1+J725/100)+K725</f>
        <v/>
      </c>
    </row>
    <row r="726">
      <c r="A726" t="inlineStr">
        <is>
          <t>קרניאלי</t>
        </is>
      </c>
      <c r="B726" t="inlineStr">
        <is>
          <t>Neuronal Ceroid Lipofuscinosis (CL)</t>
        </is>
      </c>
      <c r="C726" t="inlineStr">
        <is>
          <t>מחלות גנטיות</t>
        </is>
      </c>
      <c r="E726" t="inlineStr">
        <is>
          <t>2025-01</t>
        </is>
      </c>
      <c r="F726" t="n">
        <v>280</v>
      </c>
      <c r="G726" t="n">
        <v>330.4</v>
      </c>
      <c r="H726">
        <f>הגדרות!B6</f>
        <v/>
      </c>
      <c r="I726">
        <f>F726*(1-H726/100)*1.18</f>
        <v/>
      </c>
      <c r="J726">
        <f>הגדרות!C6</f>
        <v/>
      </c>
      <c r="K726">
        <f>הגדרות!D6</f>
        <v/>
      </c>
      <c r="L726">
        <f>I726*(1+J726/100)+K726</f>
        <v/>
      </c>
    </row>
    <row r="727">
      <c r="A727" t="inlineStr">
        <is>
          <t>קרניאלי</t>
        </is>
      </c>
      <c r="B727" t="inlineStr">
        <is>
          <t>Collie eye abnormality (CE)</t>
        </is>
      </c>
      <c r="C727" t="inlineStr">
        <is>
          <t>מחלות גנטיות</t>
        </is>
      </c>
      <c r="E727" t="inlineStr">
        <is>
          <t>2025-01</t>
        </is>
      </c>
      <c r="F727" t="n">
        <v>280</v>
      </c>
      <c r="G727" t="n">
        <v>330.4</v>
      </c>
      <c r="H727">
        <f>הגדרות!B6</f>
        <v/>
      </c>
      <c r="I727">
        <f>F727*(1-H727/100)*1.18</f>
        <v/>
      </c>
      <c r="J727">
        <f>הגדרות!C6</f>
        <v/>
      </c>
      <c r="K727">
        <f>הגדרות!D6</f>
        <v/>
      </c>
      <c r="L727">
        <f>I727*(1+J727/100)+K727</f>
        <v/>
      </c>
    </row>
    <row r="728">
      <c r="A728" t="inlineStr">
        <is>
          <t>קרניאלי</t>
        </is>
      </c>
      <c r="B728" t="inlineStr">
        <is>
          <t>Copper Toxicosis</t>
        </is>
      </c>
      <c r="C728" t="inlineStr">
        <is>
          <t>מחלות גנטיות</t>
        </is>
      </c>
      <c r="E728" t="inlineStr">
        <is>
          <t>2025-01</t>
        </is>
      </c>
      <c r="F728" t="n">
        <v>280</v>
      </c>
      <c r="G728" t="n">
        <v>330.4</v>
      </c>
      <c r="H728">
        <f>הגדרות!B6</f>
        <v/>
      </c>
      <c r="I728">
        <f>F728*(1-H728/100)*1.18</f>
        <v/>
      </c>
      <c r="J728">
        <f>הגדרות!C6</f>
        <v/>
      </c>
      <c r="K728">
        <f>הגדרות!D6</f>
        <v/>
      </c>
      <c r="L728">
        <f>I728*(1+J728/100)+K728</f>
        <v/>
      </c>
    </row>
    <row r="729">
      <c r="A729" t="inlineStr">
        <is>
          <t>קרניאלי</t>
        </is>
      </c>
      <c r="B729" t="inlineStr">
        <is>
          <t>Progressive rod cone degeneration Progressive Retinal Atrophy )PRA)</t>
        </is>
      </c>
      <c r="C729" t="inlineStr">
        <is>
          <t>מחלות גנטיות</t>
        </is>
      </c>
      <c r="E729" t="inlineStr">
        <is>
          <t>2025-01</t>
        </is>
      </c>
      <c r="F729" t="n">
        <v>280</v>
      </c>
      <c r="G729" t="n">
        <v>330.4</v>
      </c>
      <c r="H729">
        <f>הגדרות!B6</f>
        <v/>
      </c>
      <c r="I729">
        <f>F729*(1-H729/100)*1.18</f>
        <v/>
      </c>
      <c r="J729">
        <f>הגדרות!C6</f>
        <v/>
      </c>
      <c r="K729">
        <f>הגדרות!D6</f>
        <v/>
      </c>
      <c r="L729">
        <f>I729*(1+J729/100)+K729</f>
        <v/>
      </c>
    </row>
    <row r="730">
      <c r="A730" t="inlineStr">
        <is>
          <t>קרניאלי</t>
        </is>
      </c>
      <c r="B730" t="inlineStr">
        <is>
          <t>Progressive Retinal Atrophy -CNGB1</t>
        </is>
      </c>
      <c r="C730" t="inlineStr">
        <is>
          <t>מחלות גנטיות</t>
        </is>
      </c>
      <c r="E730" t="inlineStr">
        <is>
          <t>2025-01</t>
        </is>
      </c>
      <c r="F730" t="n">
        <v>280</v>
      </c>
      <c r="G730" t="n">
        <v>330.4</v>
      </c>
      <c r="H730">
        <f>הגדרות!B6</f>
        <v/>
      </c>
      <c r="I730">
        <f>F730*(1-H730/100)*1.18</f>
        <v/>
      </c>
      <c r="J730">
        <f>הגדרות!C6</f>
        <v/>
      </c>
      <c r="K730">
        <f>הגדרות!D6</f>
        <v/>
      </c>
      <c r="L730">
        <f>I730*(1+J730/100)+K730</f>
        <v/>
      </c>
    </row>
    <row r="731">
      <c r="A731" t="inlineStr">
        <is>
          <t>קרניאלי</t>
        </is>
      </c>
      <c r="B731" t="inlineStr">
        <is>
          <t>Progressive Retinal Atrophy -RCD3</t>
        </is>
      </c>
      <c r="C731" t="inlineStr">
        <is>
          <t>מחלות גנטיות</t>
        </is>
      </c>
      <c r="E731" t="inlineStr">
        <is>
          <t>2025-01</t>
        </is>
      </c>
      <c r="F731" t="n">
        <v>280</v>
      </c>
      <c r="G731" t="n">
        <v>330.4</v>
      </c>
      <c r="H731">
        <f>הגדרות!B6</f>
        <v/>
      </c>
      <c r="I731">
        <f>F731*(1-H731/100)*1.18</f>
        <v/>
      </c>
      <c r="J731">
        <f>הגדרות!C6</f>
        <v/>
      </c>
      <c r="K731">
        <f>הגדרות!D6</f>
        <v/>
      </c>
      <c r="L731">
        <f>I731*(1+J731/100)+K731</f>
        <v/>
      </c>
    </row>
    <row r="732">
      <c r="A732" t="inlineStr">
        <is>
          <t>קרניאלי</t>
        </is>
      </c>
      <c r="B732" t="inlineStr">
        <is>
          <t>Progressive Retinal Atrophy -CSNB</t>
        </is>
      </c>
      <c r="C732" t="inlineStr">
        <is>
          <t>מחלות גנטיות</t>
        </is>
      </c>
      <c r="E732" t="inlineStr">
        <is>
          <t>2025-01</t>
        </is>
      </c>
      <c r="F732" t="n">
        <v>280</v>
      </c>
      <c r="G732" t="n">
        <v>330.4</v>
      </c>
      <c r="H732">
        <f>הגדרות!B6</f>
        <v/>
      </c>
      <c r="I732">
        <f>F732*(1-H732/100)*1.18</f>
        <v/>
      </c>
      <c r="J732">
        <f>הגדרות!C6</f>
        <v/>
      </c>
      <c r="K732">
        <f>הגדרות!D6</f>
        <v/>
      </c>
      <c r="L732">
        <f>I732*(1+J732/100)+K732</f>
        <v/>
      </c>
    </row>
    <row r="733">
      <c r="A733" t="inlineStr">
        <is>
          <t>קרניאלי</t>
        </is>
      </c>
      <c r="B733" t="inlineStr">
        <is>
          <t>Progressive Retinal Atrophy</t>
        </is>
      </c>
      <c r="C733" t="inlineStr">
        <is>
          <t>מחלות גנטיות</t>
        </is>
      </c>
      <c r="E733" t="inlineStr">
        <is>
          <t>2025-01</t>
        </is>
      </c>
      <c r="F733" t="n">
        <v>280</v>
      </c>
      <c r="G733" t="n">
        <v>330.4</v>
      </c>
      <c r="H733">
        <f>הגדרות!B6</f>
        <v/>
      </c>
      <c r="I733">
        <f>F733*(1-H733/100)*1.18</f>
        <v/>
      </c>
      <c r="J733">
        <f>הגדרות!C6</f>
        <v/>
      </c>
      <c r="K733">
        <f>הגדרות!D6</f>
        <v/>
      </c>
      <c r="L733">
        <f>I733*(1+J733/100)+K733</f>
        <v/>
      </c>
    </row>
    <row r="734">
      <c r="A734" t="inlineStr">
        <is>
          <t>קרניאלי</t>
        </is>
      </c>
      <c r="B734" t="inlineStr">
        <is>
          <t>Primary Lens Luxation (PLL)</t>
        </is>
      </c>
      <c r="C734" t="inlineStr">
        <is>
          <t>מחלות גנטיות</t>
        </is>
      </c>
      <c r="E734" t="inlineStr">
        <is>
          <t>2025-01</t>
        </is>
      </c>
      <c r="F734" t="n">
        <v>280</v>
      </c>
      <c r="G734" t="n">
        <v>330.4</v>
      </c>
      <c r="H734">
        <f>הגדרות!B6</f>
        <v/>
      </c>
      <c r="I734">
        <f>F734*(1-H734/100)*1.18</f>
        <v/>
      </c>
      <c r="J734">
        <f>הגדרות!C6</f>
        <v/>
      </c>
      <c r="K734">
        <f>הגדרות!D6</f>
        <v/>
      </c>
      <c r="L734">
        <f>I734*(1+J734/100)+K734</f>
        <v/>
      </c>
    </row>
    <row r="735">
      <c r="A735" t="inlineStr">
        <is>
          <t>קרניאלי</t>
        </is>
      </c>
      <c r="B735" t="inlineStr">
        <is>
          <t>Degenerative myelopathy (DM)</t>
        </is>
      </c>
      <c r="C735" t="inlineStr">
        <is>
          <t>מחלות גנטיות</t>
        </is>
      </c>
      <c r="E735" t="inlineStr">
        <is>
          <t>2025-01</t>
        </is>
      </c>
      <c r="F735" t="n">
        <v>280</v>
      </c>
      <c r="G735" t="n">
        <v>330.4</v>
      </c>
      <c r="H735">
        <f>הגדרות!B6</f>
        <v/>
      </c>
      <c r="I735">
        <f>F735*(1-H735/100)*1.18</f>
        <v/>
      </c>
      <c r="J735">
        <f>הגדרות!C6</f>
        <v/>
      </c>
      <c r="K735">
        <f>הגדרות!D6</f>
        <v/>
      </c>
      <c r="L735">
        <f>I735*(1+J735/100)+K735</f>
        <v/>
      </c>
    </row>
    <row r="736">
      <c r="A736" t="inlineStr">
        <is>
          <t>קרניאלי</t>
        </is>
      </c>
      <c r="B736" t="inlineStr">
        <is>
          <t>Exercise Induced Collapse (EIC)</t>
        </is>
      </c>
      <c r="C736" t="inlineStr">
        <is>
          <t>מחלות גנטיות</t>
        </is>
      </c>
      <c r="E736" t="inlineStr">
        <is>
          <t>2025-01</t>
        </is>
      </c>
      <c r="F736" t="n">
        <v>280</v>
      </c>
      <c r="G736" t="n">
        <v>330.4</v>
      </c>
      <c r="H736">
        <f>הגדרות!B6</f>
        <v/>
      </c>
      <c r="I736">
        <f>F736*(1-H736/100)*1.18</f>
        <v/>
      </c>
      <c r="J736">
        <f>הגדרות!C6</f>
        <v/>
      </c>
      <c r="K736">
        <f>הגדרות!D6</f>
        <v/>
      </c>
      <c r="L736">
        <f>I736*(1+J736/100)+K736</f>
        <v/>
      </c>
    </row>
    <row r="737">
      <c r="A737" t="inlineStr">
        <is>
          <t>קרניאלי</t>
        </is>
      </c>
      <c r="B737" t="inlineStr">
        <is>
          <t>Spinocerebellar Ataxia )SCA(</t>
        </is>
      </c>
      <c r="C737" t="inlineStr">
        <is>
          <t>מחלות גנטיות</t>
        </is>
      </c>
      <c r="E737" t="inlineStr">
        <is>
          <t>2025-01</t>
        </is>
      </c>
      <c r="F737" t="n">
        <v>280</v>
      </c>
      <c r="G737" t="n">
        <v>330.4</v>
      </c>
      <c r="H737">
        <f>הגדרות!B6</f>
        <v/>
      </c>
      <c r="I737">
        <f>F737*(1-H737/100)*1.18</f>
        <v/>
      </c>
      <c r="J737">
        <f>הגדרות!C6</f>
        <v/>
      </c>
      <c r="K737">
        <f>הגדרות!D6</f>
        <v/>
      </c>
      <c r="L737">
        <f>I737*(1+J737/100)+K737</f>
        <v/>
      </c>
    </row>
    <row r="738">
      <c r="A738" t="inlineStr">
        <is>
          <t>קרניאלי</t>
        </is>
      </c>
      <c r="B738" t="inlineStr">
        <is>
          <t>Late Onset Ataxia) LOA (</t>
        </is>
      </c>
      <c r="C738" t="inlineStr">
        <is>
          <t>מחלות גנטיות</t>
        </is>
      </c>
      <c r="E738" t="inlineStr">
        <is>
          <t>2025-01</t>
        </is>
      </c>
      <c r="F738" t="n">
        <v>280</v>
      </c>
      <c r="G738" t="n">
        <v>330.4</v>
      </c>
      <c r="H738">
        <f>הגדרות!B6</f>
        <v/>
      </c>
      <c r="I738">
        <f>F738*(1-H738/100)*1.18</f>
        <v/>
      </c>
      <c r="J738">
        <f>הגדרות!C6</f>
        <v/>
      </c>
      <c r="K738">
        <f>הגדרות!D6</f>
        <v/>
      </c>
      <c r="L738">
        <f>I738*(1+J738/100)+K738</f>
        <v/>
      </c>
    </row>
    <row r="739">
      <c r="A739" t="inlineStr">
        <is>
          <t>קרניאלי</t>
        </is>
      </c>
      <c r="B739" t="inlineStr">
        <is>
          <t>Von Willibrand type 1</t>
        </is>
      </c>
      <c r="C739" t="inlineStr">
        <is>
          <t>מחלות גנטיות</t>
        </is>
      </c>
      <c r="E739" t="inlineStr">
        <is>
          <t>2025-01</t>
        </is>
      </c>
      <c r="F739" t="n">
        <v>280</v>
      </c>
      <c r="G739" t="n">
        <v>330.4</v>
      </c>
      <c r="H739">
        <f>הגדרות!B6</f>
        <v/>
      </c>
      <c r="I739">
        <f>F739*(1-H739/100)*1.18</f>
        <v/>
      </c>
      <c r="J739">
        <f>הגדרות!C6</f>
        <v/>
      </c>
      <c r="K739">
        <f>הגדרות!D6</f>
        <v/>
      </c>
      <c r="L739">
        <f>I739*(1+J739/100)+K739</f>
        <v/>
      </c>
    </row>
    <row r="740">
      <c r="A740" t="inlineStr">
        <is>
          <t>קרניאלי</t>
        </is>
      </c>
      <c r="B740" t="inlineStr">
        <is>
          <t>Von Willibrand type 2</t>
        </is>
      </c>
      <c r="C740" t="inlineStr">
        <is>
          <t>מחלות גנטיות</t>
        </is>
      </c>
      <c r="E740" t="inlineStr">
        <is>
          <t>2025-01</t>
        </is>
      </c>
      <c r="F740" t="n">
        <v>280</v>
      </c>
      <c r="G740" t="n">
        <v>330.4</v>
      </c>
      <c r="H740">
        <f>הגדרות!B6</f>
        <v/>
      </c>
      <c r="I740">
        <f>F740*(1-H740/100)*1.18</f>
        <v/>
      </c>
      <c r="J740">
        <f>הגדרות!C6</f>
        <v/>
      </c>
      <c r="K740">
        <f>הגדרות!D6</f>
        <v/>
      </c>
      <c r="L740">
        <f>I740*(1+J740/100)+K740</f>
        <v/>
      </c>
    </row>
    <row r="741">
      <c r="A741" t="inlineStr">
        <is>
          <t>קרניאלי</t>
        </is>
      </c>
      <c r="B741" t="inlineStr">
        <is>
          <t>Von Willibrand type 3</t>
        </is>
      </c>
      <c r="C741" t="inlineStr">
        <is>
          <t>מחלות גנטיות</t>
        </is>
      </c>
      <c r="E741" t="inlineStr">
        <is>
          <t>2025-01</t>
        </is>
      </c>
      <c r="F741" t="n">
        <v>280</v>
      </c>
      <c r="G741" t="n">
        <v>330.4</v>
      </c>
      <c r="H741">
        <f>הגדרות!B6</f>
        <v/>
      </c>
      <c r="I741">
        <f>F741*(1-H741/100)*1.18</f>
        <v/>
      </c>
      <c r="J741">
        <f>הגדרות!C6</f>
        <v/>
      </c>
      <c r="K741">
        <f>הגדרות!D6</f>
        <v/>
      </c>
      <c r="L741">
        <f>I741*(1+J741/100)+K741</f>
        <v/>
      </c>
    </row>
    <row r="742">
      <c r="A742" t="inlineStr">
        <is>
          <t>קרניאלי</t>
        </is>
      </c>
      <c r="B742" t="inlineStr">
        <is>
          <t>Phosphofructokinase deficiency (PFKD)</t>
        </is>
      </c>
      <c r="C742" t="inlineStr">
        <is>
          <t>מחלות גנטיות</t>
        </is>
      </c>
      <c r="E742" t="inlineStr">
        <is>
          <t>2025-01</t>
        </is>
      </c>
      <c r="F742" t="n">
        <v>280</v>
      </c>
      <c r="G742" t="n">
        <v>330.4</v>
      </c>
      <c r="H742">
        <f>הגדרות!B6</f>
        <v/>
      </c>
      <c r="I742">
        <f>F742*(1-H742/100)*1.18</f>
        <v/>
      </c>
      <c r="J742">
        <f>הגדרות!C6</f>
        <v/>
      </c>
      <c r="K742">
        <f>הגדרות!D6</f>
        <v/>
      </c>
      <c r="L742">
        <f>I742*(1+J742/100)+K742</f>
        <v/>
      </c>
    </row>
    <row r="743">
      <c r="A743" t="inlineStr">
        <is>
          <t>קרניאלי</t>
        </is>
      </c>
      <c r="B743" t="inlineStr">
        <is>
          <t>Trapped neutrophil syndrome (TNS)</t>
        </is>
      </c>
      <c r="C743" t="inlineStr">
        <is>
          <t>מחלות גנטיות</t>
        </is>
      </c>
      <c r="E743" t="inlineStr">
        <is>
          <t>2025-01</t>
        </is>
      </c>
      <c r="F743" t="n">
        <v>280</v>
      </c>
      <c r="G743" t="n">
        <v>330.4</v>
      </c>
      <c r="H743">
        <f>הגדרות!B6</f>
        <v/>
      </c>
      <c r="I743">
        <f>F743*(1-H743/100)*1.18</f>
        <v/>
      </c>
      <c r="J743">
        <f>הגדרות!C6</f>
        <v/>
      </c>
      <c r="K743">
        <f>הגדרות!D6</f>
        <v/>
      </c>
      <c r="L743">
        <f>I743*(1+J743/100)+K743</f>
        <v/>
      </c>
    </row>
    <row r="744">
      <c r="A744" t="inlineStr">
        <is>
          <t>קרניאלי</t>
        </is>
      </c>
      <c r="B744" t="inlineStr">
        <is>
          <t>Cystinuria</t>
        </is>
      </c>
      <c r="C744" t="inlineStr">
        <is>
          <t>מחלות גנטיות</t>
        </is>
      </c>
      <c r="E744" t="inlineStr">
        <is>
          <t>2025-01</t>
        </is>
      </c>
      <c r="F744" t="n">
        <v>280</v>
      </c>
      <c r="G744" t="n">
        <v>330.4</v>
      </c>
      <c r="H744">
        <f>הגדרות!B6</f>
        <v/>
      </c>
      <c r="I744">
        <f>F744*(1-H744/100)*1.18</f>
        <v/>
      </c>
      <c r="J744">
        <f>הגדרות!C6</f>
        <v/>
      </c>
      <c r="K744">
        <f>הגדרות!D6</f>
        <v/>
      </c>
      <c r="L744">
        <f>I744*(1+J744/100)+K744</f>
        <v/>
      </c>
    </row>
    <row r="745">
      <c r="A745" t="inlineStr">
        <is>
          <t>קרניאלי</t>
        </is>
      </c>
      <c r="B745" t="inlineStr">
        <is>
          <t>Hereditary cataract (HC)</t>
        </is>
      </c>
      <c r="C745" t="inlineStr">
        <is>
          <t>מחלות גנטיות</t>
        </is>
      </c>
      <c r="E745" t="inlineStr">
        <is>
          <t>2025-01</t>
        </is>
      </c>
      <c r="F745" t="n">
        <v>280</v>
      </c>
      <c r="G745" t="n">
        <v>330.4</v>
      </c>
      <c r="H745">
        <f>הגדרות!B6</f>
        <v/>
      </c>
      <c r="I745">
        <f>F745*(1-H745/100)*1.18</f>
        <v/>
      </c>
      <c r="J745">
        <f>הגדרות!C6</f>
        <v/>
      </c>
      <c r="K745">
        <f>הגדרות!D6</f>
        <v/>
      </c>
      <c r="L745">
        <f>I745*(1+J745/100)+K745</f>
        <v/>
      </c>
    </row>
    <row r="746">
      <c r="A746" t="inlineStr">
        <is>
          <t>קרניאלי</t>
        </is>
      </c>
      <c r="B746" t="inlineStr">
        <is>
          <t>Imerslund-Gräsbeck syndrome (IGS)</t>
        </is>
      </c>
      <c r="C746" t="inlineStr">
        <is>
          <t>מחלות גנטיות</t>
        </is>
      </c>
      <c r="E746" t="inlineStr">
        <is>
          <t>2025-01</t>
        </is>
      </c>
      <c r="F746" t="n">
        <v>280</v>
      </c>
      <c r="G746" t="n">
        <v>330.4</v>
      </c>
      <c r="H746">
        <f>הגדרות!B6</f>
        <v/>
      </c>
      <c r="I746">
        <f>F746*(1-H746/100)*1.18</f>
        <v/>
      </c>
      <c r="J746">
        <f>הגדרות!C6</f>
        <v/>
      </c>
      <c r="K746">
        <f>הגדרות!D6</f>
        <v/>
      </c>
      <c r="L746">
        <f>I746*(1+J746/100)+K746</f>
        <v/>
      </c>
    </row>
    <row r="747">
      <c r="A747" t="inlineStr">
        <is>
          <t>קרניאלי</t>
        </is>
      </c>
      <c r="B747" t="inlineStr">
        <is>
          <t>Hyperuricosuria (HUU)</t>
        </is>
      </c>
      <c r="C747" t="inlineStr">
        <is>
          <t>מחלות גנטיות</t>
        </is>
      </c>
      <c r="E747" t="inlineStr">
        <is>
          <t>2025-01</t>
        </is>
      </c>
      <c r="F747" t="n">
        <v>280</v>
      </c>
      <c r="G747" t="n">
        <v>330.4</v>
      </c>
      <c r="H747">
        <f>הגדרות!B6</f>
        <v/>
      </c>
      <c r="I747">
        <f>F747*(1-H747/100)*1.18</f>
        <v/>
      </c>
      <c r="J747">
        <f>הגדרות!C6</f>
        <v/>
      </c>
      <c r="K747">
        <f>הגדרות!D6</f>
        <v/>
      </c>
      <c r="L747">
        <f>I747*(1+J747/100)+K747</f>
        <v/>
      </c>
    </row>
    <row r="748">
      <c r="A748" t="inlineStr">
        <is>
          <t>קרניאלי</t>
        </is>
      </c>
      <c r="B748" t="inlineStr">
        <is>
          <t>Multifocal Retinopathy ( cmr1)</t>
        </is>
      </c>
      <c r="C748" t="inlineStr">
        <is>
          <t>מחלות גנטיות</t>
        </is>
      </c>
      <c r="E748" t="inlineStr">
        <is>
          <t>2025-01</t>
        </is>
      </c>
      <c r="F748" t="n">
        <v>280</v>
      </c>
      <c r="G748" t="n">
        <v>330.4</v>
      </c>
      <c r="H748">
        <f>הגדרות!B6</f>
        <v/>
      </c>
      <c r="I748">
        <f>F748*(1-H748/100)*1.18</f>
        <v/>
      </c>
      <c r="J748">
        <f>הגדרות!C6</f>
        <v/>
      </c>
      <c r="K748">
        <f>הגדרות!D6</f>
        <v/>
      </c>
      <c r="L748">
        <f>I748*(1+J748/100)+K748</f>
        <v/>
      </c>
    </row>
    <row r="749">
      <c r="A749" t="inlineStr">
        <is>
          <t>קרניאלי</t>
        </is>
      </c>
      <c r="B749" t="inlineStr">
        <is>
          <t>Severe combined immunodeficiency disease, X- linked (SCID)</t>
        </is>
      </c>
      <c r="C749" t="inlineStr">
        <is>
          <t>מחלות גנטיות</t>
        </is>
      </c>
      <c r="E749" t="inlineStr">
        <is>
          <t>2025-01</t>
        </is>
      </c>
      <c r="F749" t="n">
        <v>280</v>
      </c>
      <c r="G749" t="n">
        <v>330.4</v>
      </c>
      <c r="H749">
        <f>הגדרות!B6</f>
        <v/>
      </c>
      <c r="I749">
        <f>F749*(1-H749/100)*1.18</f>
        <v/>
      </c>
      <c r="J749">
        <f>הגדרות!C6</f>
        <v/>
      </c>
      <c r="K749">
        <f>הגדרות!D6</f>
        <v/>
      </c>
      <c r="L749">
        <f>I749*(1+J749/100)+K749</f>
        <v/>
      </c>
    </row>
    <row r="750">
      <c r="A750" t="inlineStr">
        <is>
          <t>קרניאלי</t>
        </is>
      </c>
      <c r="B750" t="inlineStr">
        <is>
          <t>Hair length (Fluffy)</t>
        </is>
      </c>
      <c r="C750" t="inlineStr">
        <is>
          <t>מחלות גנטיות</t>
        </is>
      </c>
      <c r="E750" t="inlineStr">
        <is>
          <t>2025-01</t>
        </is>
      </c>
      <c r="F750" t="n">
        <v>280</v>
      </c>
      <c r="G750" t="n">
        <v>330.4</v>
      </c>
      <c r="H750">
        <f>הגדרות!B6</f>
        <v/>
      </c>
      <c r="I750">
        <f>F750*(1-H750/100)*1.18</f>
        <v/>
      </c>
      <c r="J750">
        <f>הגדרות!C6</f>
        <v/>
      </c>
      <c r="K750">
        <f>הגדרות!D6</f>
        <v/>
      </c>
      <c r="L750">
        <f>I750*(1+J750/100)+K750</f>
        <v/>
      </c>
    </row>
    <row r="751">
      <c r="A751" t="inlineStr">
        <is>
          <t>קרניאלי</t>
        </is>
      </c>
      <c r="B751" t="inlineStr">
        <is>
          <t>Hypertrophic cardiomyopathy (HCM)</t>
        </is>
      </c>
      <c r="C751" t="inlineStr">
        <is>
          <t>מחלות גנטיות</t>
        </is>
      </c>
      <c r="E751" t="inlineStr">
        <is>
          <t>2025-01</t>
        </is>
      </c>
      <c r="F751" t="n">
        <v>280</v>
      </c>
      <c r="G751" t="n">
        <v>330.4</v>
      </c>
      <c r="H751">
        <f>הגדרות!B6</f>
        <v/>
      </c>
      <c r="I751">
        <f>F751*(1-H751/100)*1.18</f>
        <v/>
      </c>
      <c r="J751">
        <f>הגדרות!C6</f>
        <v/>
      </c>
      <c r="K751">
        <f>הגדרות!D6</f>
        <v/>
      </c>
      <c r="L751">
        <f>I751*(1+J751/100)+K751</f>
        <v/>
      </c>
    </row>
    <row r="752">
      <c r="A752" t="inlineStr">
        <is>
          <t>קרניאלי</t>
        </is>
      </c>
      <c r="B752" t="inlineStr">
        <is>
          <t>Polycystic Kidney Disease (PKD)</t>
        </is>
      </c>
      <c r="C752" t="inlineStr">
        <is>
          <t>מחלות גנטיות</t>
        </is>
      </c>
      <c r="E752" t="inlineStr">
        <is>
          <t>2025-01</t>
        </is>
      </c>
      <c r="F752" t="n">
        <v>280</v>
      </c>
      <c r="G752" t="n">
        <v>330.4</v>
      </c>
      <c r="H752">
        <f>הגדרות!B6</f>
        <v/>
      </c>
      <c r="I752">
        <f>F752*(1-H752/100)*1.18</f>
        <v/>
      </c>
      <c r="J752">
        <f>הגדרות!C6</f>
        <v/>
      </c>
      <c r="K752">
        <f>הגדרות!D6</f>
        <v/>
      </c>
      <c r="L752">
        <f>I752*(1+J752/100)+K752</f>
        <v/>
      </c>
    </row>
    <row r="753">
      <c r="A753" t="inlineStr">
        <is>
          <t>קרניאלי</t>
        </is>
      </c>
      <c r="B753" t="inlineStr">
        <is>
          <t>Spinal Muscular Atrophy</t>
        </is>
      </c>
      <c r="C753" t="inlineStr">
        <is>
          <t>מחלות גנטיות</t>
        </is>
      </c>
      <c r="E753" t="inlineStr">
        <is>
          <t>2025-01</t>
        </is>
      </c>
      <c r="F753" t="n">
        <v>280</v>
      </c>
      <c r="G753" t="n">
        <v>330.4</v>
      </c>
      <c r="H753">
        <f>הגדרות!B6</f>
        <v/>
      </c>
      <c r="I753">
        <f>F753*(1-H753/100)*1.18</f>
        <v/>
      </c>
      <c r="J753">
        <f>הגדרות!C6</f>
        <v/>
      </c>
      <c r="K753">
        <f>הגדרות!D6</f>
        <v/>
      </c>
      <c r="L753">
        <f>I753*(1+J753/100)+K753</f>
        <v/>
      </c>
    </row>
    <row r="754">
      <c r="A754" t="inlineStr">
        <is>
          <t>קרניאלי</t>
        </is>
      </c>
      <c r="B754" t="inlineStr">
        <is>
          <t>Ehrlichia spp. (also Canis)</t>
        </is>
      </c>
      <c r="C754" t="inlineStr">
        <is>
          <t>פתוגנים</t>
        </is>
      </c>
      <c r="E754" t="inlineStr">
        <is>
          <t>2025-01</t>
        </is>
      </c>
      <c r="F754" t="n">
        <v>200</v>
      </c>
      <c r="G754" t="n">
        <v>236</v>
      </c>
      <c r="H754">
        <f>הגדרות!B6</f>
        <v/>
      </c>
      <c r="I754">
        <f>F754*(1-H754/100)*1.18</f>
        <v/>
      </c>
      <c r="J754">
        <f>הגדרות!C6</f>
        <v/>
      </c>
      <c r="K754">
        <f>הגדרות!D6</f>
        <v/>
      </c>
      <c r="L754">
        <f>I754*(1+J754/100)+K754</f>
        <v/>
      </c>
    </row>
    <row r="755">
      <c r="A755" t="inlineStr">
        <is>
          <t>קרניאלי</t>
        </is>
      </c>
      <c r="B755" t="inlineStr">
        <is>
          <t>Babesia spp.(also Canis)</t>
        </is>
      </c>
      <c r="C755" t="inlineStr">
        <is>
          <t>פתוגנים</t>
        </is>
      </c>
      <c r="E755" t="inlineStr">
        <is>
          <t>2025-01</t>
        </is>
      </c>
      <c r="F755" t="n">
        <v>200</v>
      </c>
      <c r="G755" t="n">
        <v>236</v>
      </c>
      <c r="H755">
        <f>הגדרות!B6</f>
        <v/>
      </c>
      <c r="I755">
        <f>F755*(1-H755/100)*1.18</f>
        <v/>
      </c>
      <c r="J755">
        <f>הגדרות!C6</f>
        <v/>
      </c>
      <c r="K755">
        <f>הגדרות!D6</f>
        <v/>
      </c>
      <c r="L755">
        <f>I755*(1+J755/100)+K755</f>
        <v/>
      </c>
    </row>
    <row r="756">
      <c r="A756" t="inlineStr">
        <is>
          <t>קרניאלי</t>
        </is>
      </c>
      <c r="B756" t="inlineStr">
        <is>
          <t>Hepatozoon spp.</t>
        </is>
      </c>
      <c r="C756" t="inlineStr">
        <is>
          <t>פתוגנים</t>
        </is>
      </c>
      <c r="E756" t="inlineStr">
        <is>
          <t>2025-01</t>
        </is>
      </c>
      <c r="F756" t="n">
        <v>200</v>
      </c>
      <c r="G756" t="n">
        <v>236</v>
      </c>
      <c r="H756">
        <f>הגדרות!B6</f>
        <v/>
      </c>
      <c r="I756">
        <f>F756*(1-H756/100)*1.18</f>
        <v/>
      </c>
      <c r="J756">
        <f>הגדרות!C6</f>
        <v/>
      </c>
      <c r="K756">
        <f>הגדרות!D6</f>
        <v/>
      </c>
      <c r="L756">
        <f>I756*(1+J756/100)+K756</f>
        <v/>
      </c>
    </row>
    <row r="757">
      <c r="A757" t="inlineStr">
        <is>
          <t>קרניאלי</t>
        </is>
      </c>
      <c r="B757" t="inlineStr">
        <is>
          <t>Borrelia spp (Lyme)</t>
        </is>
      </c>
      <c r="C757" t="inlineStr">
        <is>
          <t>פתוגנים</t>
        </is>
      </c>
      <c r="E757" t="inlineStr">
        <is>
          <t>2025-01</t>
        </is>
      </c>
      <c r="F757" t="n">
        <v>200</v>
      </c>
      <c r="G757" t="n">
        <v>236</v>
      </c>
      <c r="H757">
        <f>הגדרות!B6</f>
        <v/>
      </c>
      <c r="I757">
        <f>F757*(1-H757/100)*1.18</f>
        <v/>
      </c>
      <c r="J757">
        <f>הגדרות!C6</f>
        <v/>
      </c>
      <c r="K757">
        <f>הגדרות!D6</f>
        <v/>
      </c>
      <c r="L757">
        <f>I757*(1+J757/100)+K757</f>
        <v/>
      </c>
    </row>
    <row r="758">
      <c r="A758" t="inlineStr">
        <is>
          <t>קרניאלי</t>
        </is>
      </c>
      <c r="B758" t="inlineStr">
        <is>
          <t>Rickettsia spp.</t>
        </is>
      </c>
      <c r="C758" t="inlineStr">
        <is>
          <t>פתוגנים</t>
        </is>
      </c>
      <c r="E758" t="inlineStr">
        <is>
          <t>2025-01</t>
        </is>
      </c>
      <c r="F758" t="n">
        <v>200</v>
      </c>
      <c r="G758" t="n">
        <v>236</v>
      </c>
      <c r="H758">
        <f>הגדרות!B6</f>
        <v/>
      </c>
      <c r="I758">
        <f>F758*(1-H758/100)*1.18</f>
        <v/>
      </c>
      <c r="J758">
        <f>הגדרות!C6</f>
        <v/>
      </c>
      <c r="K758">
        <f>הגדרות!D6</f>
        <v/>
      </c>
      <c r="L758">
        <f>I758*(1+J758/100)+K758</f>
        <v/>
      </c>
    </row>
    <row r="759">
      <c r="A759" t="inlineStr">
        <is>
          <t>קרניאלי</t>
        </is>
      </c>
      <c r="B759" t="inlineStr">
        <is>
          <t>Bartonella spp. (also Cat Scratch Disease)</t>
        </is>
      </c>
      <c r="C759" t="inlineStr">
        <is>
          <t>פתוגנים</t>
        </is>
      </c>
      <c r="E759" t="inlineStr">
        <is>
          <t>2025-01</t>
        </is>
      </c>
      <c r="F759" t="n">
        <v>200</v>
      </c>
      <c r="G759" t="n">
        <v>236</v>
      </c>
      <c r="H759">
        <f>הגדרות!B6</f>
        <v/>
      </c>
      <c r="I759">
        <f>F759*(1-H759/100)*1.18</f>
        <v/>
      </c>
      <c r="J759">
        <f>הגדרות!C6</f>
        <v/>
      </c>
      <c r="K759">
        <f>הגדרות!D6</f>
        <v/>
      </c>
      <c r="L759">
        <f>I759*(1+J759/100)+K759</f>
        <v/>
      </c>
    </row>
    <row r="760">
      <c r="A760" t="inlineStr">
        <is>
          <t>קרניאלי</t>
        </is>
      </c>
      <c r="B760" t="inlineStr">
        <is>
          <t>(המוברטונלה) Mycoplasma Hemofelis/Hemocanis</t>
        </is>
      </c>
      <c r="C760" t="inlineStr">
        <is>
          <t>פתוגנים</t>
        </is>
      </c>
      <c r="E760" t="inlineStr">
        <is>
          <t>2025-01</t>
        </is>
      </c>
      <c r="F760" t="n">
        <v>200</v>
      </c>
      <c r="G760" t="n">
        <v>236</v>
      </c>
      <c r="H760">
        <f>הגדרות!B6</f>
        <v/>
      </c>
      <c r="I760">
        <f>F760*(1-H760/100)*1.18</f>
        <v/>
      </c>
      <c r="J760">
        <f>הגדרות!C6</f>
        <v/>
      </c>
      <c r="K760">
        <f>הגדרות!D6</f>
        <v/>
      </c>
      <c r="L760">
        <f>I760*(1+J760/100)+K760</f>
        <v/>
      </c>
    </row>
    <row r="761">
      <c r="A761" t="inlineStr">
        <is>
          <t>קרניאלי</t>
        </is>
      </c>
      <c r="B761" t="inlineStr">
        <is>
          <t>Canine Parvo Virus</t>
        </is>
      </c>
      <c r="C761" t="inlineStr">
        <is>
          <t>פתוגנים</t>
        </is>
      </c>
      <c r="E761" t="inlineStr">
        <is>
          <t>2025-01</t>
        </is>
      </c>
      <c r="F761" t="n">
        <v>200</v>
      </c>
      <c r="G761" t="n">
        <v>236</v>
      </c>
      <c r="H761">
        <f>הגדרות!B6</f>
        <v/>
      </c>
      <c r="I761">
        <f>F761*(1-H761/100)*1.18</f>
        <v/>
      </c>
      <c r="J761">
        <f>הגדרות!C6</f>
        <v/>
      </c>
      <c r="K761">
        <f>הגדרות!D6</f>
        <v/>
      </c>
      <c r="L761">
        <f>I761*(1+J761/100)+K761</f>
        <v/>
      </c>
    </row>
    <row r="762">
      <c r="A762" t="inlineStr">
        <is>
          <t>קרניאלי</t>
        </is>
      </c>
      <c r="B762" t="inlineStr">
        <is>
          <t>Canine Distemper Virus</t>
        </is>
      </c>
      <c r="C762" t="inlineStr">
        <is>
          <t>פתוגנים</t>
        </is>
      </c>
      <c r="E762" t="inlineStr">
        <is>
          <t>2025-01</t>
        </is>
      </c>
      <c r="F762" t="n">
        <v>260</v>
      </c>
      <c r="G762" t="n">
        <v>306.8</v>
      </c>
      <c r="H762">
        <f>הגדרות!B6</f>
        <v/>
      </c>
      <c r="I762">
        <f>F762*(1-H762/100)*1.18</f>
        <v/>
      </c>
      <c r="J762">
        <f>הגדרות!C6</f>
        <v/>
      </c>
      <c r="K762">
        <f>הגדרות!D6</f>
        <v/>
      </c>
      <c r="L762">
        <f>I762*(1+J762/100)+K762</f>
        <v/>
      </c>
    </row>
    <row r="763">
      <c r="A763" t="inlineStr">
        <is>
          <t>קרניאלי</t>
        </is>
      </c>
      <c r="B763" t="inlineStr">
        <is>
          <t>Canine Herpes Virus</t>
        </is>
      </c>
      <c r="C763" t="inlineStr">
        <is>
          <t>פתוגנים</t>
        </is>
      </c>
      <c r="E763" t="inlineStr">
        <is>
          <t>2025-01</t>
        </is>
      </c>
      <c r="F763" t="n">
        <v>200</v>
      </c>
      <c r="G763" t="n">
        <v>236</v>
      </c>
      <c r="H763">
        <f>הגדרות!B6</f>
        <v/>
      </c>
      <c r="I763">
        <f>F763*(1-H763/100)*1.18</f>
        <v/>
      </c>
      <c r="J763">
        <f>הגדרות!C6</f>
        <v/>
      </c>
      <c r="K763">
        <f>הגדרות!D6</f>
        <v/>
      </c>
      <c r="L763">
        <f>I763*(1+J763/100)+K763</f>
        <v/>
      </c>
    </row>
    <row r="764">
      <c r="A764" t="inlineStr">
        <is>
          <t>קרניאלי</t>
        </is>
      </c>
      <c r="B764" t="inlineStr">
        <is>
          <t>Leishmania</t>
        </is>
      </c>
      <c r="C764" t="inlineStr">
        <is>
          <t>פתוגנים</t>
        </is>
      </c>
      <c r="E764" t="inlineStr">
        <is>
          <t>2025-01</t>
        </is>
      </c>
      <c r="F764" t="n">
        <v>200</v>
      </c>
      <c r="G764" t="n">
        <v>236</v>
      </c>
      <c r="H764">
        <f>הגדרות!B6</f>
        <v/>
      </c>
      <c r="I764">
        <f>F764*(1-H764/100)*1.18</f>
        <v/>
      </c>
      <c r="J764">
        <f>הגדרות!C6</f>
        <v/>
      </c>
      <c r="K764">
        <f>הגדרות!D6</f>
        <v/>
      </c>
      <c r="L764">
        <f>I764*(1+J764/100)+K764</f>
        <v/>
      </c>
    </row>
    <row r="765">
      <c r="A765" t="inlineStr">
        <is>
          <t>קרניאלי</t>
        </is>
      </c>
      <c r="B765" t="inlineStr">
        <is>
          <t>Corona Virus</t>
        </is>
      </c>
      <c r="C765" t="inlineStr">
        <is>
          <t>פתוגנים</t>
        </is>
      </c>
      <c r="E765" t="inlineStr">
        <is>
          <t>2025-01</t>
        </is>
      </c>
      <c r="F765" t="n">
        <v>260</v>
      </c>
      <c r="G765" t="n">
        <v>306.8</v>
      </c>
      <c r="H765">
        <f>הגדרות!B6</f>
        <v/>
      </c>
      <c r="I765">
        <f>F765*(1-H765/100)*1.18</f>
        <v/>
      </c>
      <c r="J765">
        <f>הגדרות!C6</f>
        <v/>
      </c>
      <c r="K765">
        <f>הגדרות!D6</f>
        <v/>
      </c>
      <c r="L765">
        <f>I765*(1+J765/100)+K765</f>
        <v/>
      </c>
    </row>
    <row r="766">
      <c r="A766" t="inlineStr">
        <is>
          <t>קרניאלי</t>
        </is>
      </c>
      <c r="B766" t="inlineStr">
        <is>
          <t>Corona Virus (FIP)</t>
        </is>
      </c>
      <c r="C766" t="inlineStr">
        <is>
          <t>פתוגנים</t>
        </is>
      </c>
      <c r="E766" t="inlineStr">
        <is>
          <t>2025-01</t>
        </is>
      </c>
      <c r="F766" t="n">
        <v>260</v>
      </c>
      <c r="G766" t="n">
        <v>306.8</v>
      </c>
      <c r="H766">
        <f>הגדרות!B6</f>
        <v/>
      </c>
      <c r="I766">
        <f>F766*(1-H766/100)*1.18</f>
        <v/>
      </c>
      <c r="J766">
        <f>הגדרות!C6</f>
        <v/>
      </c>
      <c r="K766">
        <f>הגדרות!D6</f>
        <v/>
      </c>
      <c r="L766">
        <f>I766*(1+J766/100)+K766</f>
        <v/>
      </c>
    </row>
    <row r="767">
      <c r="A767" t="inlineStr">
        <is>
          <t>קרניאלי</t>
        </is>
      </c>
      <c r="B767" t="inlineStr">
        <is>
          <t>Salmonella sp.</t>
        </is>
      </c>
      <c r="C767" t="inlineStr">
        <is>
          <t>פתוגנים</t>
        </is>
      </c>
      <c r="E767" t="inlineStr">
        <is>
          <t>2025-01</t>
        </is>
      </c>
      <c r="F767" t="n">
        <v>200</v>
      </c>
      <c r="G767" t="n">
        <v>236</v>
      </c>
      <c r="H767">
        <f>הגדרות!B6</f>
        <v/>
      </c>
      <c r="I767">
        <f>F767*(1-H767/100)*1.18</f>
        <v/>
      </c>
      <c r="J767">
        <f>הגדרות!C6</f>
        <v/>
      </c>
      <c r="K767">
        <f>הגדרות!D6</f>
        <v/>
      </c>
      <c r="L767">
        <f>I767*(1+J767/100)+K767</f>
        <v/>
      </c>
    </row>
    <row r="768">
      <c r="A768" t="inlineStr">
        <is>
          <t>קרניאלי</t>
        </is>
      </c>
      <c r="B768" t="inlineStr">
        <is>
          <t>Dirofilaria Repens / Dirofilaria Immitis</t>
        </is>
      </c>
      <c r="C768" t="inlineStr">
        <is>
          <t>פתוגנים</t>
        </is>
      </c>
      <c r="E768" t="inlineStr">
        <is>
          <t>2025-01</t>
        </is>
      </c>
      <c r="F768" t="n">
        <v>200</v>
      </c>
      <c r="G768" t="n">
        <v>236</v>
      </c>
      <c r="H768">
        <f>הגדרות!B6</f>
        <v/>
      </c>
      <c r="I768">
        <f>F768*(1-H768/100)*1.18</f>
        <v/>
      </c>
      <c r="J768">
        <f>הגדרות!C6</f>
        <v/>
      </c>
      <c r="K768">
        <f>הגדרות!D6</f>
        <v/>
      </c>
      <c r="L768">
        <f>I768*(1+J768/100)+K768</f>
        <v/>
      </c>
    </row>
    <row r="769">
      <c r="A769" t="inlineStr">
        <is>
          <t>קרניאלי</t>
        </is>
      </c>
      <c r="B769" t="inlineStr">
        <is>
          <t>Bordetella bronchiseptica (Kennel Cough)</t>
        </is>
      </c>
      <c r="C769" t="inlineStr">
        <is>
          <t>פתוגנים</t>
        </is>
      </c>
      <c r="E769" t="inlineStr">
        <is>
          <t>2025-01</t>
        </is>
      </c>
      <c r="F769" t="n">
        <v>200</v>
      </c>
      <c r="G769" t="n">
        <v>236</v>
      </c>
      <c r="H769">
        <f>הגדרות!B6</f>
        <v/>
      </c>
      <c r="I769">
        <f>F769*(1-H769/100)*1.18</f>
        <v/>
      </c>
      <c r="J769">
        <f>הגדרות!C6</f>
        <v/>
      </c>
      <c r="K769">
        <f>הגדרות!D6</f>
        <v/>
      </c>
      <c r="L769">
        <f>I769*(1+J769/100)+K769</f>
        <v/>
      </c>
    </row>
    <row r="770">
      <c r="A770" t="inlineStr">
        <is>
          <t>קרניאלי</t>
        </is>
      </c>
      <c r="B770" t="inlineStr">
        <is>
          <t>Neospora Caninum</t>
        </is>
      </c>
      <c r="C770" t="inlineStr">
        <is>
          <t>פתוגנים</t>
        </is>
      </c>
      <c r="E770" t="inlineStr">
        <is>
          <t>2025-01</t>
        </is>
      </c>
      <c r="F770" t="n">
        <v>200</v>
      </c>
      <c r="G770" t="n">
        <v>236</v>
      </c>
      <c r="H770">
        <f>הגדרות!B6</f>
        <v/>
      </c>
      <c r="I770">
        <f>F770*(1-H770/100)*1.18</f>
        <v/>
      </c>
      <c r="J770">
        <f>הגדרות!C6</f>
        <v/>
      </c>
      <c r="K770">
        <f>הגדרות!D6</f>
        <v/>
      </c>
      <c r="L770">
        <f>I770*(1+J770/100)+K770</f>
        <v/>
      </c>
    </row>
    <row r="771">
      <c r="A771" t="inlineStr">
        <is>
          <t>קרניאלי</t>
        </is>
      </c>
      <c r="B771" t="inlineStr">
        <is>
          <t>Ureaplasma</t>
        </is>
      </c>
      <c r="C771" t="inlineStr">
        <is>
          <t>פתוגנים</t>
        </is>
      </c>
      <c r="E771" t="inlineStr">
        <is>
          <t>2025-01</t>
        </is>
      </c>
      <c r="F771" t="n">
        <v>260</v>
      </c>
      <c r="G771" t="n">
        <v>306.8</v>
      </c>
      <c r="H771">
        <f>הגדרות!B6</f>
        <v/>
      </c>
      <c r="I771">
        <f>F771*(1-H771/100)*1.18</f>
        <v/>
      </c>
      <c r="J771">
        <f>הגדרות!C6</f>
        <v/>
      </c>
      <c r="K771">
        <f>הגדרות!D6</f>
        <v/>
      </c>
      <c r="L771">
        <f>I771*(1+J771/100)+K771</f>
        <v/>
      </c>
    </row>
    <row r="772">
      <c r="A772" t="inlineStr">
        <is>
          <t>קרניאלי</t>
        </is>
      </c>
      <c r="B772" t="inlineStr">
        <is>
          <t>Coxiella Brunetii (Q fever)</t>
        </is>
      </c>
      <c r="C772" t="inlineStr">
        <is>
          <t>פתוגנים</t>
        </is>
      </c>
      <c r="E772" t="inlineStr">
        <is>
          <t>2025-01</t>
        </is>
      </c>
      <c r="F772" t="n">
        <v>200</v>
      </c>
      <c r="G772" t="n">
        <v>236</v>
      </c>
      <c r="H772">
        <f>הגדרות!B6</f>
        <v/>
      </c>
      <c r="I772">
        <f>F772*(1-H772/100)*1.18</f>
        <v/>
      </c>
      <c r="J772">
        <f>הגדרות!C6</f>
        <v/>
      </c>
      <c r="K772">
        <f>הגדרות!D6</f>
        <v/>
      </c>
      <c r="L772">
        <f>I772*(1+J772/100)+K772</f>
        <v/>
      </c>
    </row>
    <row r="773">
      <c r="A773" t="inlineStr">
        <is>
          <t>קרניאלי</t>
        </is>
      </c>
      <c r="B773" t="inlineStr">
        <is>
          <t>Feline Herpes Virus</t>
        </is>
      </c>
      <c r="C773" t="inlineStr">
        <is>
          <t>פתוגנים</t>
        </is>
      </c>
      <c r="E773" t="inlineStr">
        <is>
          <t>2025-01</t>
        </is>
      </c>
      <c r="F773" t="n">
        <v>200</v>
      </c>
      <c r="G773" t="n">
        <v>236</v>
      </c>
      <c r="H773">
        <f>הגדרות!B6</f>
        <v/>
      </c>
      <c r="I773">
        <f>F773*(1-H773/100)*1.18</f>
        <v/>
      </c>
      <c r="J773">
        <f>הגדרות!C6</f>
        <v/>
      </c>
      <c r="K773">
        <f>הגדרות!D6</f>
        <v/>
      </c>
      <c r="L773">
        <f>I773*(1+J773/100)+K773</f>
        <v/>
      </c>
    </row>
    <row r="774">
      <c r="A774" t="inlineStr">
        <is>
          <t>קרניאלי</t>
        </is>
      </c>
      <c r="B774" t="inlineStr">
        <is>
          <t>Feline Leukemia Virus (FeLV)</t>
        </is>
      </c>
      <c r="C774" t="inlineStr">
        <is>
          <t>פתוגנים</t>
        </is>
      </c>
      <c r="E774" t="inlineStr">
        <is>
          <t>2025-01</t>
        </is>
      </c>
      <c r="F774" t="n">
        <v>200</v>
      </c>
      <c r="G774" t="n">
        <v>236</v>
      </c>
      <c r="H774">
        <f>הגדרות!B6</f>
        <v/>
      </c>
      <c r="I774">
        <f>F774*(1-H774/100)*1.18</f>
        <v/>
      </c>
      <c r="J774">
        <f>הגדרות!C6</f>
        <v/>
      </c>
      <c r="K774">
        <f>הגדרות!D6</f>
        <v/>
      </c>
      <c r="L774">
        <f>I774*(1+J774/100)+K774</f>
        <v/>
      </c>
    </row>
    <row r="775">
      <c r="A775" t="inlineStr">
        <is>
          <t>קרניאלי</t>
        </is>
      </c>
      <c r="B775" t="inlineStr">
        <is>
          <t>Feline Immunodeficeincy Virus (FIV)</t>
        </is>
      </c>
      <c r="C775" t="inlineStr">
        <is>
          <t>פתוגנים</t>
        </is>
      </c>
      <c r="E775" t="inlineStr">
        <is>
          <t>2025-01</t>
        </is>
      </c>
      <c r="F775" t="n">
        <v>200</v>
      </c>
      <c r="G775" t="n">
        <v>236</v>
      </c>
      <c r="H775">
        <f>הגדרות!B6</f>
        <v/>
      </c>
      <c r="I775">
        <f>F775*(1-H775/100)*1.18</f>
        <v/>
      </c>
      <c r="J775">
        <f>הגדרות!C6</f>
        <v/>
      </c>
      <c r="K775">
        <f>הגדרות!D6</f>
        <v/>
      </c>
      <c r="L775">
        <f>I775*(1+J775/100)+K775</f>
        <v/>
      </c>
    </row>
    <row r="776">
      <c r="A776" t="inlineStr">
        <is>
          <t>קרניאלי</t>
        </is>
      </c>
      <c r="B776" t="inlineStr">
        <is>
          <t>Dirofilaria Immitis</t>
        </is>
      </c>
      <c r="C776" t="inlineStr">
        <is>
          <t>פתוגנים</t>
        </is>
      </c>
      <c r="E776" t="inlineStr">
        <is>
          <t>2025-01</t>
        </is>
      </c>
      <c r="F776" t="n">
        <v>200</v>
      </c>
      <c r="G776" t="n">
        <v>236</v>
      </c>
      <c r="H776">
        <f>הגדרות!B6</f>
        <v/>
      </c>
      <c r="I776">
        <f>F776*(1-H776/100)*1.18</f>
        <v/>
      </c>
      <c r="J776">
        <f>הגדרות!C6</f>
        <v/>
      </c>
      <c r="K776">
        <f>הגדרות!D6</f>
        <v/>
      </c>
      <c r="L776">
        <f>I776*(1+J776/100)+K776</f>
        <v/>
      </c>
    </row>
    <row r="777">
      <c r="A777" t="inlineStr">
        <is>
          <t>קרניאלי</t>
        </is>
      </c>
      <c r="B777" t="inlineStr">
        <is>
          <t>Dirofilaria Repens</t>
        </is>
      </c>
      <c r="C777" t="inlineStr">
        <is>
          <t>פתוגנים</t>
        </is>
      </c>
      <c r="E777" t="inlineStr">
        <is>
          <t>2025-01</t>
        </is>
      </c>
      <c r="F777" t="n">
        <v>200</v>
      </c>
      <c r="G777" t="n">
        <v>236</v>
      </c>
      <c r="H777">
        <f>הגדרות!B6</f>
        <v/>
      </c>
      <c r="I777">
        <f>F777*(1-H777/100)*1.18</f>
        <v/>
      </c>
      <c r="J777">
        <f>הגדרות!C6</f>
        <v/>
      </c>
      <c r="K777">
        <f>הגדרות!D6</f>
        <v/>
      </c>
      <c r="L777">
        <f>I777*(1+J777/100)+K777</f>
        <v/>
      </c>
    </row>
    <row r="778">
      <c r="A778" t="inlineStr">
        <is>
          <t>קרניאלי</t>
        </is>
      </c>
      <c r="B778" t="inlineStr">
        <is>
          <t>Toxoplasma</t>
        </is>
      </c>
      <c r="C778" t="inlineStr">
        <is>
          <t>פתוגנים</t>
        </is>
      </c>
      <c r="E778" t="inlineStr">
        <is>
          <t>2025-01</t>
        </is>
      </c>
      <c r="F778" t="n">
        <v>200</v>
      </c>
      <c r="G778" t="n">
        <v>236</v>
      </c>
      <c r="H778">
        <f>הגדרות!B6</f>
        <v/>
      </c>
      <c r="I778">
        <f>F778*(1-H778/100)*1.18</f>
        <v/>
      </c>
      <c r="J778">
        <f>הגדרות!C6</f>
        <v/>
      </c>
      <c r="K778">
        <f>הגדרות!D6</f>
        <v/>
      </c>
      <c r="L778">
        <f>I778*(1+J778/100)+K778</f>
        <v/>
      </c>
    </row>
    <row r="779">
      <c r="A779" t="inlineStr">
        <is>
          <t>קרניאלי</t>
        </is>
      </c>
      <c r="B779" t="inlineStr">
        <is>
          <t>Panleukopenia Parvo Virus</t>
        </is>
      </c>
      <c r="C779" t="inlineStr">
        <is>
          <t>פתוגנים</t>
        </is>
      </c>
      <c r="E779" t="inlineStr">
        <is>
          <t>2025-01</t>
        </is>
      </c>
      <c r="F779" t="n">
        <v>200</v>
      </c>
      <c r="G779" t="n">
        <v>236</v>
      </c>
      <c r="H779">
        <f>הגדרות!B6</f>
        <v/>
      </c>
      <c r="I779">
        <f>F779*(1-H779/100)*1.18</f>
        <v/>
      </c>
      <c r="J779">
        <f>הגדרות!C6</f>
        <v/>
      </c>
      <c r="K779">
        <f>הגדרות!D6</f>
        <v/>
      </c>
      <c r="L779">
        <f>I779*(1+J779/100)+K779</f>
        <v/>
      </c>
    </row>
    <row r="780">
      <c r="A780" t="inlineStr">
        <is>
          <t>קרניאלי</t>
        </is>
      </c>
      <c r="B780" t="inlineStr">
        <is>
          <t>Feline Calici Virus</t>
        </is>
      </c>
      <c r="C780" t="inlineStr">
        <is>
          <t>פתוגנים</t>
        </is>
      </c>
      <c r="E780" t="inlineStr">
        <is>
          <t>2025-01</t>
        </is>
      </c>
      <c r="F780" t="n">
        <v>260</v>
      </c>
      <c r="G780" t="n">
        <v>306.8</v>
      </c>
      <c r="H780">
        <f>הגדרות!B6</f>
        <v/>
      </c>
      <c r="I780">
        <f>F780*(1-H780/100)*1.18</f>
        <v/>
      </c>
      <c r="J780">
        <f>הגדרות!C6</f>
        <v/>
      </c>
      <c r="K780">
        <f>הגדרות!D6</f>
        <v/>
      </c>
      <c r="L780">
        <f>I780*(1+J780/100)+K780</f>
        <v/>
      </c>
    </row>
    <row r="781">
      <c r="A781" t="inlineStr">
        <is>
          <t>קרניאלי</t>
        </is>
      </c>
      <c r="B781" t="inlineStr">
        <is>
          <t>Chlamydophila Felis</t>
        </is>
      </c>
      <c r="C781" t="inlineStr">
        <is>
          <t>פתוגנים</t>
        </is>
      </c>
      <c r="E781" t="inlineStr">
        <is>
          <t>2025-01</t>
        </is>
      </c>
      <c r="F781" t="n">
        <v>200</v>
      </c>
      <c r="G781" t="n">
        <v>236</v>
      </c>
      <c r="H781">
        <f>הגדרות!B6</f>
        <v/>
      </c>
      <c r="I781">
        <f>F781*(1-H781/100)*1.18</f>
        <v/>
      </c>
      <c r="J781">
        <f>הגדרות!C6</f>
        <v/>
      </c>
      <c r="K781">
        <f>הגדרות!D6</f>
        <v/>
      </c>
      <c r="L781">
        <f>I781*(1+J781/100)+K781</f>
        <v/>
      </c>
    </row>
    <row r="782">
      <c r="A782" t="inlineStr">
        <is>
          <t>קרניאלי</t>
        </is>
      </c>
      <c r="B782" t="inlineStr">
        <is>
          <t>פאנל מחלות זואונוטיות — עופות</t>
        </is>
      </c>
      <c r="C782" t="inlineStr">
        <is>
          <t>פאנלים</t>
        </is>
      </c>
      <c r="E782" t="inlineStr">
        <is>
          <t>2025-01</t>
        </is>
      </c>
      <c r="F782" t="n">
        <v>188</v>
      </c>
      <c r="G782" t="n">
        <v>221.84</v>
      </c>
      <c r="H782">
        <f>הגדרות!B6</f>
        <v/>
      </c>
      <c r="I782">
        <f>F782*(1-H782/100)*1.18</f>
        <v/>
      </c>
      <c r="J782">
        <f>הגדרות!C6</f>
        <v/>
      </c>
      <c r="K782">
        <f>הגדרות!D6</f>
        <v/>
      </c>
      <c r="L782">
        <f>I782*(1+J782/100)+K782</f>
        <v/>
      </c>
    </row>
    <row r="783">
      <c r="A783" t="inlineStr">
        <is>
          <t>קרניאלי</t>
        </is>
      </c>
      <c r="B783" t="inlineStr">
        <is>
          <t>פאנל מערכת נשימה — עופות</t>
        </is>
      </c>
      <c r="C783" t="inlineStr">
        <is>
          <t>פאנלים</t>
        </is>
      </c>
      <c r="E783" t="inlineStr">
        <is>
          <t>2025-01</t>
        </is>
      </c>
      <c r="F783" t="n">
        <v>188</v>
      </c>
      <c r="G783" t="n">
        <v>221.84</v>
      </c>
      <c r="H783">
        <f>הגדרות!B6</f>
        <v/>
      </c>
      <c r="I783">
        <f>F783*(1-H783/100)*1.18</f>
        <v/>
      </c>
      <c r="J783">
        <f>הגדרות!C6</f>
        <v/>
      </c>
      <c r="K783">
        <f>הגדרות!D6</f>
        <v/>
      </c>
      <c r="L783">
        <f>I783*(1+J783/100)+K783</f>
        <v/>
      </c>
    </row>
    <row r="784">
      <c r="A784" t="inlineStr">
        <is>
          <t>קרניאלי</t>
        </is>
      </c>
      <c r="B784" t="inlineStr">
        <is>
          <t>פאנל שלשולים — כלבים</t>
        </is>
      </c>
      <c r="C784" t="inlineStr">
        <is>
          <t>פאנלים</t>
        </is>
      </c>
      <c r="E784" t="inlineStr">
        <is>
          <t>2025-01</t>
        </is>
      </c>
      <c r="F784" t="n">
        <v>705</v>
      </c>
      <c r="G784" t="n">
        <v>831.9</v>
      </c>
      <c r="H784">
        <f>הגדרות!B6</f>
        <v/>
      </c>
      <c r="I784">
        <f>F784*(1-H784/100)*1.18</f>
        <v/>
      </c>
      <c r="J784">
        <f>הגדרות!C6</f>
        <v/>
      </c>
      <c r="K784">
        <f>הגדרות!D6</f>
        <v/>
      </c>
      <c r="L784">
        <f>I784*(1+J784/100)+K784</f>
        <v/>
      </c>
    </row>
    <row r="785">
      <c r="A785" t="inlineStr">
        <is>
          <t>קרניאלי</t>
        </is>
      </c>
      <c r="B785" t="inlineStr">
        <is>
          <t>פאנל שלשולים מצומצם — כלבים</t>
        </is>
      </c>
      <c r="C785" t="inlineStr">
        <is>
          <t>פאנלים</t>
        </is>
      </c>
      <c r="E785" t="inlineStr">
        <is>
          <t>2025-01</t>
        </is>
      </c>
      <c r="F785" t="n">
        <v>430</v>
      </c>
      <c r="G785" t="n">
        <v>507.4</v>
      </c>
      <c r="H785">
        <f>הגדרות!B6</f>
        <v/>
      </c>
      <c r="I785">
        <f>F785*(1-H785/100)*1.18</f>
        <v/>
      </c>
      <c r="J785">
        <f>הגדרות!C6</f>
        <v/>
      </c>
      <c r="K785">
        <f>הגדרות!D6</f>
        <v/>
      </c>
      <c r="L785">
        <f>I785*(1+J785/100)+K785</f>
        <v/>
      </c>
    </row>
    <row r="786">
      <c r="A786" t="inlineStr">
        <is>
          <t>קרניאלי</t>
        </is>
      </c>
      <c r="B786" t="inlineStr">
        <is>
          <t>פאנל טפילי דם — כלבים</t>
        </is>
      </c>
      <c r="C786" t="inlineStr">
        <is>
          <t>פאנלים</t>
        </is>
      </c>
      <c r="E786" t="inlineStr">
        <is>
          <t>2025-01</t>
        </is>
      </c>
      <c r="F786" t="n">
        <v>475</v>
      </c>
      <c r="G786" t="n">
        <v>560.5</v>
      </c>
      <c r="H786">
        <f>הגדרות!B6</f>
        <v/>
      </c>
      <c r="I786">
        <f>F786*(1-H786/100)*1.18</f>
        <v/>
      </c>
      <c r="J786">
        <f>הגדרות!C6</f>
        <v/>
      </c>
      <c r="K786">
        <f>הגדרות!D6</f>
        <v/>
      </c>
      <c r="L786">
        <f>I786*(1+J786/100)+K786</f>
        <v/>
      </c>
    </row>
    <row r="787">
      <c r="A787" t="inlineStr">
        <is>
          <t>קרניאלי</t>
        </is>
      </c>
      <c r="B787" t="inlineStr">
        <is>
          <t>פאנל מחלות זואונוטיות — חתולים</t>
        </is>
      </c>
      <c r="C787" t="inlineStr">
        <is>
          <t>פאנלים</t>
        </is>
      </c>
      <c r="E787" t="inlineStr">
        <is>
          <t>2025-01</t>
        </is>
      </c>
      <c r="F787" t="n">
        <v>440</v>
      </c>
      <c r="G787" t="n">
        <v>519.2</v>
      </c>
      <c r="H787">
        <f>הגדרות!B6</f>
        <v/>
      </c>
      <c r="I787">
        <f>F787*(1-H787/100)*1.18</f>
        <v/>
      </c>
      <c r="J787">
        <f>הגדרות!C6</f>
        <v/>
      </c>
      <c r="K787">
        <f>הגדרות!D6</f>
        <v/>
      </c>
      <c r="L787">
        <f>I787*(1+J787/100)+K787</f>
        <v/>
      </c>
    </row>
    <row r="788">
      <c r="A788" t="inlineStr">
        <is>
          <t>קרניאלי</t>
        </is>
      </c>
      <c r="B788" t="inlineStr">
        <is>
          <t>פאנל מערכת נשימה — חתולים</t>
        </is>
      </c>
      <c r="C788" t="inlineStr">
        <is>
          <t>פאנלים</t>
        </is>
      </c>
      <c r="E788" t="inlineStr">
        <is>
          <t>2025-01</t>
        </is>
      </c>
      <c r="F788" t="n">
        <v>660</v>
      </c>
      <c r="G788" t="n">
        <v>778.8</v>
      </c>
      <c r="H788">
        <f>הגדרות!B6</f>
        <v/>
      </c>
      <c r="I788">
        <f>F788*(1-H788/100)*1.18</f>
        <v/>
      </c>
      <c r="J788">
        <f>הגדרות!C6</f>
        <v/>
      </c>
      <c r="K788">
        <f>הגדרות!D6</f>
        <v/>
      </c>
      <c r="L788">
        <f>I788*(1+J788/100)+K788</f>
        <v/>
      </c>
    </row>
    <row r="789">
      <c r="A789" t="inlineStr">
        <is>
          <t>קרניאלי</t>
        </is>
      </c>
      <c r="B789" t="inlineStr">
        <is>
          <t>פאנל שלשולים — חתולים</t>
        </is>
      </c>
      <c r="C789" t="inlineStr">
        <is>
          <t>פאנלים</t>
        </is>
      </c>
      <c r="E789" t="inlineStr">
        <is>
          <t>2025-01</t>
        </is>
      </c>
      <c r="F789" t="n">
        <v>430</v>
      </c>
      <c r="G789" t="n">
        <v>507.4</v>
      </c>
      <c r="H789">
        <f>הגדרות!B6</f>
        <v/>
      </c>
      <c r="I789">
        <f>F789*(1-H789/100)*1.18</f>
        <v/>
      </c>
      <c r="J789">
        <f>הגדרות!C6</f>
        <v/>
      </c>
      <c r="K789">
        <f>הגדרות!D6</f>
        <v/>
      </c>
      <c r="L789">
        <f>I789*(1+J789/100)+K789</f>
        <v/>
      </c>
    </row>
    <row r="790">
      <c r="A790" t="inlineStr">
        <is>
          <t>קרניאלי</t>
        </is>
      </c>
      <c r="B790" t="inlineStr">
        <is>
          <t>פאנל חתולים גזעיים — חתולים</t>
        </is>
      </c>
      <c r="C790" t="inlineStr">
        <is>
          <t>פאנלים</t>
        </is>
      </c>
      <c r="E790" t="inlineStr">
        <is>
          <t>2025-01</t>
        </is>
      </c>
      <c r="F790" t="n">
        <v>770</v>
      </c>
      <c r="G790" t="n">
        <v>908.6</v>
      </c>
      <c r="H790">
        <f>הגדרות!B6</f>
        <v/>
      </c>
      <c r="I790">
        <f>F790*(1-H790/100)*1.18</f>
        <v/>
      </c>
      <c r="J790">
        <f>הגדרות!C6</f>
        <v/>
      </c>
      <c r="K790">
        <f>הגדרות!D6</f>
        <v/>
      </c>
      <c r="L790">
        <f>I790*(1+J790/100)+K790</f>
        <v/>
      </c>
    </row>
    <row r="791">
      <c r="A791" t="inlineStr">
        <is>
          <t>פרופ' בנעט</t>
        </is>
      </c>
      <c r="B791" t="inlineStr">
        <is>
          <t>Ehrlichia spp.</t>
        </is>
      </c>
      <c r="C791" t="inlineStr">
        <is>
          <t>PCR</t>
        </is>
      </c>
      <c r="F791" t="n">
        <v>170.94</v>
      </c>
      <c r="G791" t="n">
        <v>201.71</v>
      </c>
      <c r="H791">
        <f>הגדרות!B7</f>
        <v/>
      </c>
      <c r="I791">
        <f>F791*(1-H791/100)*1.18</f>
        <v/>
      </c>
      <c r="J791">
        <f>הגדרות!C7</f>
        <v/>
      </c>
      <c r="K791">
        <f>הגדרות!D7</f>
        <v/>
      </c>
      <c r="L791">
        <f>I791*(1+J791/100)+K791</f>
        <v/>
      </c>
    </row>
    <row r="792">
      <c r="A792" t="inlineStr">
        <is>
          <t>פרופ' בנעט</t>
        </is>
      </c>
      <c r="B792" t="inlineStr">
        <is>
          <t>Babesia spp.</t>
        </is>
      </c>
      <c r="C792" t="inlineStr">
        <is>
          <t>PCR</t>
        </is>
      </c>
      <c r="F792" t="n">
        <v>170.94</v>
      </c>
      <c r="G792" t="n">
        <v>201.71</v>
      </c>
      <c r="H792">
        <f>הגדרות!B7</f>
        <v/>
      </c>
      <c r="I792">
        <f>F792*(1-H792/100)*1.18</f>
        <v/>
      </c>
      <c r="J792">
        <f>הגדרות!C7</f>
        <v/>
      </c>
      <c r="K792">
        <f>הגדרות!D7</f>
        <v/>
      </c>
      <c r="L792">
        <f>I792*(1+J792/100)+K792</f>
        <v/>
      </c>
    </row>
    <row r="793">
      <c r="A793" t="inlineStr">
        <is>
          <t>פרופ' בנעט</t>
        </is>
      </c>
      <c r="B793" t="inlineStr">
        <is>
          <t>Hepatozoon spp.</t>
        </is>
      </c>
      <c r="C793" t="inlineStr">
        <is>
          <t>PCR</t>
        </is>
      </c>
      <c r="F793" t="n">
        <v>170.94</v>
      </c>
      <c r="G793" t="n">
        <v>201.71</v>
      </c>
      <c r="H793">
        <f>הגדרות!B7</f>
        <v/>
      </c>
      <c r="I793">
        <f>F793*(1-H793/100)*1.18</f>
        <v/>
      </c>
      <c r="J793">
        <f>הגדרות!C7</f>
        <v/>
      </c>
      <c r="K793">
        <f>הגדרות!D7</f>
        <v/>
      </c>
      <c r="L793">
        <f>I793*(1+J793/100)+K793</f>
        <v/>
      </c>
    </row>
    <row r="794">
      <c r="A794" t="inlineStr">
        <is>
          <t>פרופ' בנעט</t>
        </is>
      </c>
      <c r="B794" t="inlineStr">
        <is>
          <t>Borrelia spp (Lyme)</t>
        </is>
      </c>
      <c r="C794" t="inlineStr">
        <is>
          <t>PCR</t>
        </is>
      </c>
      <c r="F794" t="n">
        <v>170.94</v>
      </c>
      <c r="G794" t="n">
        <v>201.71</v>
      </c>
      <c r="H794">
        <f>הגדרות!B7</f>
        <v/>
      </c>
      <c r="I794">
        <f>F794*(1-H794/100)*1.18</f>
        <v/>
      </c>
      <c r="J794">
        <f>הגדרות!C7</f>
        <v/>
      </c>
      <c r="K794">
        <f>הגדרות!D7</f>
        <v/>
      </c>
      <c r="L794">
        <f>I794*(1+J794/100)+K794</f>
        <v/>
      </c>
    </row>
    <row r="795">
      <c r="A795" t="inlineStr">
        <is>
          <t>פרופ' בנעט</t>
        </is>
      </c>
      <c r="B795" t="inlineStr">
        <is>
          <t>Rickettsia spp.</t>
        </is>
      </c>
      <c r="C795" t="inlineStr">
        <is>
          <t>PCR</t>
        </is>
      </c>
      <c r="F795" t="n">
        <v>170.94</v>
      </c>
      <c r="G795" t="n">
        <v>201.71</v>
      </c>
      <c r="H795">
        <f>הגדרות!B7</f>
        <v/>
      </c>
      <c r="I795">
        <f>F795*(1-H795/100)*1.18</f>
        <v/>
      </c>
      <c r="J795">
        <f>הגדרות!C7</f>
        <v/>
      </c>
      <c r="K795">
        <f>הגדרות!D7</f>
        <v/>
      </c>
      <c r="L795">
        <f>I795*(1+J795/100)+K795</f>
        <v/>
      </c>
    </row>
    <row r="796">
      <c r="A796" t="inlineStr">
        <is>
          <t>פרופ' בנעט</t>
        </is>
      </c>
      <c r="B796" t="inlineStr">
        <is>
          <t>Bartonella spp.</t>
        </is>
      </c>
      <c r="C796" t="inlineStr">
        <is>
          <t>PCR</t>
        </is>
      </c>
      <c r="F796" t="n">
        <v>170.94</v>
      </c>
      <c r="G796" t="n">
        <v>201.71</v>
      </c>
      <c r="H796">
        <f>הגדרות!B7</f>
        <v/>
      </c>
      <c r="I796">
        <f>F796*(1-H796/100)*1.18</f>
        <v/>
      </c>
      <c r="J796">
        <f>הגדרות!C7</f>
        <v/>
      </c>
      <c r="K796">
        <f>הגדרות!D7</f>
        <v/>
      </c>
      <c r="L796">
        <f>I796*(1+J796/100)+K796</f>
        <v/>
      </c>
    </row>
    <row r="797">
      <c r="A797" t="inlineStr">
        <is>
          <t>פרופ' בנעט</t>
        </is>
      </c>
      <c r="B797" t="inlineStr">
        <is>
          <t>Mycoplasma Hemofelis/Hemocanis</t>
        </is>
      </c>
      <c r="C797" t="inlineStr">
        <is>
          <t>PCR</t>
        </is>
      </c>
      <c r="F797" t="n">
        <v>170.94</v>
      </c>
      <c r="G797" t="n">
        <v>201.71</v>
      </c>
      <c r="H797">
        <f>הגדרות!B7</f>
        <v/>
      </c>
      <c r="I797">
        <f>F797*(1-H797/100)*1.18</f>
        <v/>
      </c>
      <c r="J797">
        <f>הגדרות!C7</f>
        <v/>
      </c>
      <c r="K797">
        <f>הגדרות!D7</f>
        <v/>
      </c>
      <c r="L797">
        <f>I797*(1+J797/100)+K797</f>
        <v/>
      </c>
    </row>
    <row r="798">
      <c r="A798" t="inlineStr">
        <is>
          <t>פרופ' בנעט</t>
        </is>
      </c>
      <c r="B798" t="inlineStr">
        <is>
          <t>Canine Parvo Virus</t>
        </is>
      </c>
      <c r="C798" t="inlineStr">
        <is>
          <t>PCR</t>
        </is>
      </c>
      <c r="F798" t="n">
        <v>170.94</v>
      </c>
      <c r="G798" t="n">
        <v>201.71</v>
      </c>
      <c r="H798">
        <f>הגדרות!B7</f>
        <v/>
      </c>
      <c r="I798">
        <f>F798*(1-H798/100)*1.18</f>
        <v/>
      </c>
      <c r="J798">
        <f>הגדרות!C7</f>
        <v/>
      </c>
      <c r="K798">
        <f>הגדרות!D7</f>
        <v/>
      </c>
      <c r="L798">
        <f>I798*(1+J798/100)+K798</f>
        <v/>
      </c>
    </row>
    <row r="799">
      <c r="A799" t="inlineStr">
        <is>
          <t>פרופ' בנעט</t>
        </is>
      </c>
      <c r="B799" t="inlineStr">
        <is>
          <t>Canine Distemper Virus</t>
        </is>
      </c>
      <c r="C799" t="inlineStr">
        <is>
          <t>PCR</t>
        </is>
      </c>
      <c r="F799" t="n">
        <v>222.22</v>
      </c>
      <c r="G799" t="n">
        <v>262.22</v>
      </c>
      <c r="H799">
        <f>הגדרות!B7</f>
        <v/>
      </c>
      <c r="I799">
        <f>F799*(1-H799/100)*1.18</f>
        <v/>
      </c>
      <c r="J799">
        <f>הגדרות!C7</f>
        <v/>
      </c>
      <c r="K799">
        <f>הגדרות!D7</f>
        <v/>
      </c>
      <c r="L799">
        <f>I799*(1+J799/100)+K799</f>
        <v/>
      </c>
    </row>
    <row r="800">
      <c r="A800" t="inlineStr">
        <is>
          <t>פרופ' בנעט</t>
        </is>
      </c>
      <c r="B800" t="inlineStr">
        <is>
          <t>Canine Herpes Virus</t>
        </is>
      </c>
      <c r="C800" t="inlineStr">
        <is>
          <t>PCR</t>
        </is>
      </c>
      <c r="F800" t="n">
        <v>170.94</v>
      </c>
      <c r="G800" t="n">
        <v>201.71</v>
      </c>
      <c r="H800">
        <f>הגדרות!B7</f>
        <v/>
      </c>
      <c r="I800">
        <f>F800*(1-H800/100)*1.18</f>
        <v/>
      </c>
      <c r="J800">
        <f>הגדרות!C7</f>
        <v/>
      </c>
      <c r="K800">
        <f>הגדרות!D7</f>
        <v/>
      </c>
      <c r="L800">
        <f>I800*(1+J800/100)+K800</f>
        <v/>
      </c>
    </row>
    <row r="801">
      <c r="A801" t="inlineStr">
        <is>
          <t>פרופ' בנעט</t>
        </is>
      </c>
      <c r="B801" t="inlineStr">
        <is>
          <t>Leishmania</t>
        </is>
      </c>
      <c r="C801" t="inlineStr">
        <is>
          <t>PCR</t>
        </is>
      </c>
      <c r="F801" t="n">
        <v>170.94</v>
      </c>
      <c r="G801" t="n">
        <v>201.71</v>
      </c>
      <c r="H801">
        <f>הגדרות!B7</f>
        <v/>
      </c>
      <c r="I801">
        <f>F801*(1-H801/100)*1.18</f>
        <v/>
      </c>
      <c r="J801">
        <f>הגדרות!C7</f>
        <v/>
      </c>
      <c r="K801">
        <f>הגדרות!D7</f>
        <v/>
      </c>
      <c r="L801">
        <f>I801*(1+J801/100)+K801</f>
        <v/>
      </c>
    </row>
    <row r="802">
      <c r="A802" t="inlineStr">
        <is>
          <t>פרופ' בנעט</t>
        </is>
      </c>
      <c r="B802" t="inlineStr">
        <is>
          <t>Corona Virus</t>
        </is>
      </c>
      <c r="C802" t="inlineStr">
        <is>
          <t>PCR</t>
        </is>
      </c>
      <c r="F802" t="n">
        <v>222.22</v>
      </c>
      <c r="G802" t="n">
        <v>262.22</v>
      </c>
      <c r="H802">
        <f>הגדרות!B7</f>
        <v/>
      </c>
      <c r="I802">
        <f>F802*(1-H802/100)*1.18</f>
        <v/>
      </c>
      <c r="J802">
        <f>הגדרות!C7</f>
        <v/>
      </c>
      <c r="K802">
        <f>הגדרות!D7</f>
        <v/>
      </c>
      <c r="L802">
        <f>I802*(1+J802/100)+K802</f>
        <v/>
      </c>
    </row>
    <row r="803">
      <c r="A803" t="inlineStr">
        <is>
          <t>פרופ' בנעט</t>
        </is>
      </c>
      <c r="B803" t="inlineStr">
        <is>
          <t>Corona Virus (FIP)</t>
        </is>
      </c>
      <c r="C803" t="inlineStr">
        <is>
          <t>PCR</t>
        </is>
      </c>
      <c r="F803" t="n">
        <v>222.22</v>
      </c>
      <c r="G803" t="n">
        <v>262.22</v>
      </c>
      <c r="H803">
        <f>הגדרות!B7</f>
        <v/>
      </c>
      <c r="I803">
        <f>F803*(1-H803/100)*1.18</f>
        <v/>
      </c>
      <c r="J803">
        <f>הגדרות!C7</f>
        <v/>
      </c>
      <c r="K803">
        <f>הגדרות!D7</f>
        <v/>
      </c>
      <c r="L803">
        <f>I803*(1+J803/100)+K803</f>
        <v/>
      </c>
    </row>
    <row r="804">
      <c r="A804" t="inlineStr">
        <is>
          <t>פרופ' בנעט</t>
        </is>
      </c>
      <c r="B804" t="inlineStr">
        <is>
          <t>Salmonella sp.</t>
        </is>
      </c>
      <c r="C804" t="inlineStr">
        <is>
          <t>PCR</t>
        </is>
      </c>
      <c r="F804" t="n">
        <v>170.94</v>
      </c>
      <c r="G804" t="n">
        <v>201.71</v>
      </c>
      <c r="H804">
        <f>הגדרות!B7</f>
        <v/>
      </c>
      <c r="I804">
        <f>F804*(1-H804/100)*1.18</f>
        <v/>
      </c>
      <c r="J804">
        <f>הגדרות!C7</f>
        <v/>
      </c>
      <c r="K804">
        <f>הגדרות!D7</f>
        <v/>
      </c>
      <c r="L804">
        <f>I804*(1+J804/100)+K804</f>
        <v/>
      </c>
    </row>
    <row r="805">
      <c r="A805" t="inlineStr">
        <is>
          <t>פרופ' בנעט</t>
        </is>
      </c>
      <c r="B805" t="inlineStr">
        <is>
          <t>Dirofilaria Immitis / Repens</t>
        </is>
      </c>
      <c r="C805" t="inlineStr">
        <is>
          <t>PCR</t>
        </is>
      </c>
      <c r="F805" t="n">
        <v>170.94</v>
      </c>
      <c r="G805" t="n">
        <v>201.71</v>
      </c>
      <c r="H805">
        <f>הגדרות!B7</f>
        <v/>
      </c>
      <c r="I805">
        <f>F805*(1-H805/100)*1.18</f>
        <v/>
      </c>
      <c r="J805">
        <f>הגדרות!C7</f>
        <v/>
      </c>
      <c r="K805">
        <f>הגדרות!D7</f>
        <v/>
      </c>
      <c r="L805">
        <f>I805*(1+J805/100)+K805</f>
        <v/>
      </c>
    </row>
    <row r="806">
      <c r="A806" t="inlineStr">
        <is>
          <t>פרופ' בנעט</t>
        </is>
      </c>
      <c r="B806" t="inlineStr">
        <is>
          <t>Neospora Caninum</t>
        </is>
      </c>
      <c r="C806" t="inlineStr">
        <is>
          <t>PCR</t>
        </is>
      </c>
      <c r="F806" t="n">
        <v>170.94</v>
      </c>
      <c r="G806" t="n">
        <v>201.71</v>
      </c>
      <c r="H806">
        <f>הגדרות!B7</f>
        <v/>
      </c>
      <c r="I806">
        <f>F806*(1-H806/100)*1.18</f>
        <v/>
      </c>
      <c r="J806">
        <f>הגדרות!C7</f>
        <v/>
      </c>
      <c r="K806">
        <f>הגדרות!D7</f>
        <v/>
      </c>
      <c r="L806">
        <f>I806*(1+J806/100)+K806</f>
        <v/>
      </c>
    </row>
    <row r="807">
      <c r="A807" t="inlineStr">
        <is>
          <t>פרופ' בנעט</t>
        </is>
      </c>
      <c r="B807" t="inlineStr">
        <is>
          <t>Feline Herpes Virus</t>
        </is>
      </c>
      <c r="C807" t="inlineStr">
        <is>
          <t>PCR</t>
        </is>
      </c>
      <c r="F807" t="n">
        <v>170.94</v>
      </c>
      <c r="G807" t="n">
        <v>201.71</v>
      </c>
      <c r="H807">
        <f>הגדרות!B7</f>
        <v/>
      </c>
      <c r="I807">
        <f>F807*(1-H807/100)*1.18</f>
        <v/>
      </c>
      <c r="J807">
        <f>הגדרות!C7</f>
        <v/>
      </c>
      <c r="K807">
        <f>הגדרות!D7</f>
        <v/>
      </c>
      <c r="L807">
        <f>I807*(1+J807/100)+K807</f>
        <v/>
      </c>
    </row>
    <row r="808">
      <c r="A808" t="inlineStr">
        <is>
          <t>פרופ' בנעט</t>
        </is>
      </c>
      <c r="B808" t="inlineStr">
        <is>
          <t>Feline Leukemia Virus (FeLV)</t>
        </is>
      </c>
      <c r="C808" t="inlineStr">
        <is>
          <t>PCR</t>
        </is>
      </c>
      <c r="F808" t="n">
        <v>170.94</v>
      </c>
      <c r="G808" t="n">
        <v>201.71</v>
      </c>
      <c r="H808">
        <f>הגדרות!B7</f>
        <v/>
      </c>
      <c r="I808">
        <f>F808*(1-H808/100)*1.18</f>
        <v/>
      </c>
      <c r="J808">
        <f>הגדרות!C7</f>
        <v/>
      </c>
      <c r="K808">
        <f>הגדרות!D7</f>
        <v/>
      </c>
      <c r="L808">
        <f>I808*(1+J808/100)+K808</f>
        <v/>
      </c>
    </row>
    <row r="809">
      <c r="A809" t="inlineStr">
        <is>
          <t>פרופ' בנעט</t>
        </is>
      </c>
      <c r="B809" t="inlineStr">
        <is>
          <t>Feline Immunodeficiency Virus (FIV)</t>
        </is>
      </c>
      <c r="C809" t="inlineStr">
        <is>
          <t>PCR</t>
        </is>
      </c>
      <c r="F809" t="n">
        <v>170.94</v>
      </c>
      <c r="G809" t="n">
        <v>201.71</v>
      </c>
      <c r="H809">
        <f>הגדרות!B7</f>
        <v/>
      </c>
      <c r="I809">
        <f>F809*(1-H809/100)*1.18</f>
        <v/>
      </c>
      <c r="J809">
        <f>הגדרות!C7</f>
        <v/>
      </c>
      <c r="K809">
        <f>הגדרות!D7</f>
        <v/>
      </c>
      <c r="L809">
        <f>I809*(1+J809/100)+K809</f>
        <v/>
      </c>
    </row>
    <row r="810">
      <c r="A810" t="inlineStr">
        <is>
          <t>פרופ' בנעט</t>
        </is>
      </c>
      <c r="B810" t="inlineStr">
        <is>
          <t>Toxoplasma</t>
        </is>
      </c>
      <c r="C810" t="inlineStr">
        <is>
          <t>PCR</t>
        </is>
      </c>
      <c r="F810" t="n">
        <v>170.94</v>
      </c>
      <c r="G810" t="n">
        <v>201.71</v>
      </c>
      <c r="H810">
        <f>הגדרות!B7</f>
        <v/>
      </c>
      <c r="I810">
        <f>F810*(1-H810/100)*1.18</f>
        <v/>
      </c>
      <c r="J810">
        <f>הגדרות!C7</f>
        <v/>
      </c>
      <c r="K810">
        <f>הגדרות!D7</f>
        <v/>
      </c>
      <c r="L810">
        <f>I810*(1+J810/100)+K810</f>
        <v/>
      </c>
    </row>
    <row r="811">
      <c r="A811" t="inlineStr">
        <is>
          <t>פרופ' בנעט</t>
        </is>
      </c>
      <c r="B811" t="inlineStr">
        <is>
          <t>Panleukopenia Parvo Virus</t>
        </is>
      </c>
      <c r="C811" t="inlineStr">
        <is>
          <t>PCR</t>
        </is>
      </c>
      <c r="F811" t="n">
        <v>170.94</v>
      </c>
      <c r="G811" t="n">
        <v>201.71</v>
      </c>
      <c r="H811">
        <f>הגדרות!B7</f>
        <v/>
      </c>
      <c r="I811">
        <f>F811*(1-H811/100)*1.18</f>
        <v/>
      </c>
      <c r="J811">
        <f>הגדרות!C7</f>
        <v/>
      </c>
      <c r="K811">
        <f>הגדרות!D7</f>
        <v/>
      </c>
      <c r="L811">
        <f>I811*(1+J811/100)+K811</f>
        <v/>
      </c>
    </row>
    <row r="812">
      <c r="A812" t="inlineStr">
        <is>
          <t>פרופ' בנעט</t>
        </is>
      </c>
      <c r="B812" t="inlineStr">
        <is>
          <t>Feline Calici Virus</t>
        </is>
      </c>
      <c r="C812" t="inlineStr">
        <is>
          <t>PCR</t>
        </is>
      </c>
      <c r="F812" t="n">
        <v>222.22</v>
      </c>
      <c r="G812" t="n">
        <v>262.22</v>
      </c>
      <c r="H812">
        <f>הגדרות!B7</f>
        <v/>
      </c>
      <c r="I812">
        <f>F812*(1-H812/100)*1.18</f>
        <v/>
      </c>
      <c r="J812">
        <f>הגדרות!C7</f>
        <v/>
      </c>
      <c r="K812">
        <f>הגדרות!D7</f>
        <v/>
      </c>
      <c r="L812">
        <f>I812*(1+J812/100)+K812</f>
        <v/>
      </c>
    </row>
    <row r="813">
      <c r="A813" t="inlineStr">
        <is>
          <t>פרופ' בנעט</t>
        </is>
      </c>
      <c r="B813" t="inlineStr">
        <is>
          <t>Chlamydophila Felis</t>
        </is>
      </c>
      <c r="C813" t="inlineStr">
        <is>
          <t>PCR</t>
        </is>
      </c>
      <c r="F813" t="n">
        <v>170.94</v>
      </c>
      <c r="G813" t="n">
        <v>201.71</v>
      </c>
      <c r="H813">
        <f>הגדרות!B7</f>
        <v/>
      </c>
      <c r="I813">
        <f>F813*(1-H813/100)*1.18</f>
        <v/>
      </c>
      <c r="J813">
        <f>הגדרות!C7</f>
        <v/>
      </c>
      <c r="K813">
        <f>הגדרות!D7</f>
        <v/>
      </c>
      <c r="L813">
        <f>I813*(1+J813/100)+K813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2026-08-26T12:03:28Z</dcterms:created>
  <dcterms:modified xmlns:dcterms="http://purl.org/dc/terms/" xmlns:xsi="http://www.w3.org/2001/XMLSchema-instance" xsi:type="dcterms:W3CDTF">2026-08-26T12:03:29Z</dcterms:modified>
</cp:coreProperties>
</file>