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7">
      <c r="A7" t="inlineStr">
        <is>
          <t>פרופ' בנעט</t>
        </is>
      </c>
      <c r="B7" t="n">
        <v>0</v>
      </c>
      <c r="C7" t="n">
        <v>0</v>
      </c>
      <c r="D7" t="n">
        <v>0</v>
      </c>
    </row>
    <row r="9">
      <c r="A9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  <row r="791">
      <c r="A791" t="inlineStr">
        <is>
          <t>פרופ' בנעט</t>
        </is>
      </c>
      <c r="B791" t="inlineStr">
        <is>
          <t>Ehrlichia spp.</t>
        </is>
      </c>
      <c r="C791" t="inlineStr">
        <is>
          <t>PCR</t>
        </is>
      </c>
      <c r="F791" t="n">
        <v>170.94</v>
      </c>
      <c r="G791" t="n">
        <v>201.71</v>
      </c>
      <c r="H791">
        <f>הגדרות!B7</f>
        <v/>
      </c>
      <c r="I791">
        <f>F791*(1-H791/100)*1.18</f>
        <v/>
      </c>
      <c r="J791">
        <f>הגדרות!C7</f>
        <v/>
      </c>
      <c r="K791">
        <f>הגדרות!D7</f>
        <v/>
      </c>
      <c r="L791">
        <f>I791*(1+J791/100)+K791</f>
        <v/>
      </c>
    </row>
    <row r="792">
      <c r="A792" t="inlineStr">
        <is>
          <t>פרופ' בנעט</t>
        </is>
      </c>
      <c r="B792" t="inlineStr">
        <is>
          <t>Babesia spp.</t>
        </is>
      </c>
      <c r="C792" t="inlineStr">
        <is>
          <t>PCR</t>
        </is>
      </c>
      <c r="F792" t="n">
        <v>170.94</v>
      </c>
      <c r="G792" t="n">
        <v>201.71</v>
      </c>
      <c r="H792">
        <f>הגדרות!B7</f>
        <v/>
      </c>
      <c r="I792">
        <f>F792*(1-H792/100)*1.18</f>
        <v/>
      </c>
      <c r="J792">
        <f>הגדרות!C7</f>
        <v/>
      </c>
      <c r="K792">
        <f>הגדרות!D7</f>
        <v/>
      </c>
      <c r="L792">
        <f>I792*(1+J792/100)+K792</f>
        <v/>
      </c>
    </row>
    <row r="793">
      <c r="A793" t="inlineStr">
        <is>
          <t>פרופ' בנעט</t>
        </is>
      </c>
      <c r="B793" t="inlineStr">
        <is>
          <t>Hepatozoon spp.</t>
        </is>
      </c>
      <c r="C793" t="inlineStr">
        <is>
          <t>PCR</t>
        </is>
      </c>
      <c r="F793" t="n">
        <v>170.94</v>
      </c>
      <c r="G793" t="n">
        <v>201.71</v>
      </c>
      <c r="H793">
        <f>הגדרות!B7</f>
        <v/>
      </c>
      <c r="I793">
        <f>F793*(1-H793/100)*1.18</f>
        <v/>
      </c>
      <c r="J793">
        <f>הגדרות!C7</f>
        <v/>
      </c>
      <c r="K793">
        <f>הגדרות!D7</f>
        <v/>
      </c>
      <c r="L793">
        <f>I793*(1+J793/100)+K793</f>
        <v/>
      </c>
    </row>
    <row r="794">
      <c r="A794" t="inlineStr">
        <is>
          <t>פרופ' בנעט</t>
        </is>
      </c>
      <c r="B794" t="inlineStr">
        <is>
          <t>Borrelia spp (Lyme)</t>
        </is>
      </c>
      <c r="C794" t="inlineStr">
        <is>
          <t>PCR</t>
        </is>
      </c>
      <c r="F794" t="n">
        <v>170.94</v>
      </c>
      <c r="G794" t="n">
        <v>201.71</v>
      </c>
      <c r="H794">
        <f>הגדרות!B7</f>
        <v/>
      </c>
      <c r="I794">
        <f>F794*(1-H794/100)*1.18</f>
        <v/>
      </c>
      <c r="J794">
        <f>הגדרות!C7</f>
        <v/>
      </c>
      <c r="K794">
        <f>הגדרות!D7</f>
        <v/>
      </c>
      <c r="L794">
        <f>I794*(1+J794/100)+K794</f>
        <v/>
      </c>
    </row>
    <row r="795">
      <c r="A795" t="inlineStr">
        <is>
          <t>פרופ' בנעט</t>
        </is>
      </c>
      <c r="B795" t="inlineStr">
        <is>
          <t>Rickettsia spp.</t>
        </is>
      </c>
      <c r="C795" t="inlineStr">
        <is>
          <t>PCR</t>
        </is>
      </c>
      <c r="F795" t="n">
        <v>170.94</v>
      </c>
      <c r="G795" t="n">
        <v>201.71</v>
      </c>
      <c r="H795">
        <f>הגדרות!B7</f>
        <v/>
      </c>
      <c r="I795">
        <f>F795*(1-H795/100)*1.18</f>
        <v/>
      </c>
      <c r="J795">
        <f>הגדרות!C7</f>
        <v/>
      </c>
      <c r="K795">
        <f>הגדרות!D7</f>
        <v/>
      </c>
      <c r="L795">
        <f>I795*(1+J795/100)+K795</f>
        <v/>
      </c>
    </row>
    <row r="796">
      <c r="A796" t="inlineStr">
        <is>
          <t>פרופ' בנעט</t>
        </is>
      </c>
      <c r="B796" t="inlineStr">
        <is>
          <t>Bartonella spp.</t>
        </is>
      </c>
      <c r="C796" t="inlineStr">
        <is>
          <t>PCR</t>
        </is>
      </c>
      <c r="F796" t="n">
        <v>170.94</v>
      </c>
      <c r="G796" t="n">
        <v>201.71</v>
      </c>
      <c r="H796">
        <f>הגדרות!B7</f>
        <v/>
      </c>
      <c r="I796">
        <f>F796*(1-H796/100)*1.18</f>
        <v/>
      </c>
      <c r="J796">
        <f>הגדרות!C7</f>
        <v/>
      </c>
      <c r="K796">
        <f>הגדרות!D7</f>
        <v/>
      </c>
      <c r="L796">
        <f>I796*(1+J796/100)+K796</f>
        <v/>
      </c>
    </row>
    <row r="797">
      <c r="A797" t="inlineStr">
        <is>
          <t>פרופ' בנעט</t>
        </is>
      </c>
      <c r="B797" t="inlineStr">
        <is>
          <t>Mycoplasma Hemofelis/Hemocanis</t>
        </is>
      </c>
      <c r="C797" t="inlineStr">
        <is>
          <t>PCR</t>
        </is>
      </c>
      <c r="F797" t="n">
        <v>170.94</v>
      </c>
      <c r="G797" t="n">
        <v>201.71</v>
      </c>
      <c r="H797">
        <f>הגדרות!B7</f>
        <v/>
      </c>
      <c r="I797">
        <f>F797*(1-H797/100)*1.18</f>
        <v/>
      </c>
      <c r="J797">
        <f>הגדרות!C7</f>
        <v/>
      </c>
      <c r="K797">
        <f>הגדרות!D7</f>
        <v/>
      </c>
      <c r="L797">
        <f>I797*(1+J797/100)+K797</f>
        <v/>
      </c>
    </row>
    <row r="798">
      <c r="A798" t="inlineStr">
        <is>
          <t>פרופ' בנעט</t>
        </is>
      </c>
      <c r="B798" t="inlineStr">
        <is>
          <t>Canine Parvo Virus</t>
        </is>
      </c>
      <c r="C798" t="inlineStr">
        <is>
          <t>PCR</t>
        </is>
      </c>
      <c r="F798" t="n">
        <v>170.94</v>
      </c>
      <c r="G798" t="n">
        <v>201.71</v>
      </c>
      <c r="H798">
        <f>הגדרות!B7</f>
        <v/>
      </c>
      <c r="I798">
        <f>F798*(1-H798/100)*1.18</f>
        <v/>
      </c>
      <c r="J798">
        <f>הגדרות!C7</f>
        <v/>
      </c>
      <c r="K798">
        <f>הגדרות!D7</f>
        <v/>
      </c>
      <c r="L798">
        <f>I798*(1+J798/100)+K798</f>
        <v/>
      </c>
    </row>
    <row r="799">
      <c r="A799" t="inlineStr">
        <is>
          <t>פרופ' בנעט</t>
        </is>
      </c>
      <c r="B799" t="inlineStr">
        <is>
          <t>Canine Distemper Virus</t>
        </is>
      </c>
      <c r="C799" t="inlineStr">
        <is>
          <t>PCR</t>
        </is>
      </c>
      <c r="F799" t="n">
        <v>222.22</v>
      </c>
      <c r="G799" t="n">
        <v>262.22</v>
      </c>
      <c r="H799">
        <f>הגדרות!B7</f>
        <v/>
      </c>
      <c r="I799">
        <f>F799*(1-H799/100)*1.18</f>
        <v/>
      </c>
      <c r="J799">
        <f>הגדרות!C7</f>
        <v/>
      </c>
      <c r="K799">
        <f>הגדרות!D7</f>
        <v/>
      </c>
      <c r="L799">
        <f>I799*(1+J799/100)+K799</f>
        <v/>
      </c>
    </row>
    <row r="800">
      <c r="A800" t="inlineStr">
        <is>
          <t>פרופ' בנעט</t>
        </is>
      </c>
      <c r="B800" t="inlineStr">
        <is>
          <t>Canine Herpes Virus</t>
        </is>
      </c>
      <c r="C800" t="inlineStr">
        <is>
          <t>PCR</t>
        </is>
      </c>
      <c r="F800" t="n">
        <v>170.94</v>
      </c>
      <c r="G800" t="n">
        <v>201.71</v>
      </c>
      <c r="H800">
        <f>הגדרות!B7</f>
        <v/>
      </c>
      <c r="I800">
        <f>F800*(1-H800/100)*1.18</f>
        <v/>
      </c>
      <c r="J800">
        <f>הגדרות!C7</f>
        <v/>
      </c>
      <c r="K800">
        <f>הגדרות!D7</f>
        <v/>
      </c>
      <c r="L800">
        <f>I800*(1+J800/100)+K800</f>
        <v/>
      </c>
    </row>
    <row r="801">
      <c r="A801" t="inlineStr">
        <is>
          <t>פרופ' בנעט</t>
        </is>
      </c>
      <c r="B801" t="inlineStr">
        <is>
          <t>Leishmania</t>
        </is>
      </c>
      <c r="C801" t="inlineStr">
        <is>
          <t>PCR</t>
        </is>
      </c>
      <c r="F801" t="n">
        <v>170.94</v>
      </c>
      <c r="G801" t="n">
        <v>201.71</v>
      </c>
      <c r="H801">
        <f>הגדרות!B7</f>
        <v/>
      </c>
      <c r="I801">
        <f>F801*(1-H801/100)*1.18</f>
        <v/>
      </c>
      <c r="J801">
        <f>הגדרות!C7</f>
        <v/>
      </c>
      <c r="K801">
        <f>הגדרות!D7</f>
        <v/>
      </c>
      <c r="L801">
        <f>I801*(1+J801/100)+K801</f>
        <v/>
      </c>
    </row>
    <row r="802">
      <c r="A802" t="inlineStr">
        <is>
          <t>פרופ' בנעט</t>
        </is>
      </c>
      <c r="B802" t="inlineStr">
        <is>
          <t>Corona Virus</t>
        </is>
      </c>
      <c r="C802" t="inlineStr">
        <is>
          <t>PCR</t>
        </is>
      </c>
      <c r="F802" t="n">
        <v>222.22</v>
      </c>
      <c r="G802" t="n">
        <v>262.22</v>
      </c>
      <c r="H802">
        <f>הגדרות!B7</f>
        <v/>
      </c>
      <c r="I802">
        <f>F802*(1-H802/100)*1.18</f>
        <v/>
      </c>
      <c r="J802">
        <f>הגדרות!C7</f>
        <v/>
      </c>
      <c r="K802">
        <f>הגדרות!D7</f>
        <v/>
      </c>
      <c r="L802">
        <f>I802*(1+J802/100)+K802</f>
        <v/>
      </c>
    </row>
    <row r="803">
      <c r="A803" t="inlineStr">
        <is>
          <t>פרופ' בנעט</t>
        </is>
      </c>
      <c r="B803" t="inlineStr">
        <is>
          <t>Corona Virus (FIP)</t>
        </is>
      </c>
      <c r="C803" t="inlineStr">
        <is>
          <t>PCR</t>
        </is>
      </c>
      <c r="F803" t="n">
        <v>222.22</v>
      </c>
      <c r="G803" t="n">
        <v>262.22</v>
      </c>
      <c r="H803">
        <f>הגדרות!B7</f>
        <v/>
      </c>
      <c r="I803">
        <f>F803*(1-H803/100)*1.18</f>
        <v/>
      </c>
      <c r="J803">
        <f>הגדרות!C7</f>
        <v/>
      </c>
      <c r="K803">
        <f>הגדרות!D7</f>
        <v/>
      </c>
      <c r="L803">
        <f>I803*(1+J803/100)+K803</f>
        <v/>
      </c>
    </row>
    <row r="804">
      <c r="A804" t="inlineStr">
        <is>
          <t>פרופ' בנעט</t>
        </is>
      </c>
      <c r="B804" t="inlineStr">
        <is>
          <t>Salmonella sp.</t>
        </is>
      </c>
      <c r="C804" t="inlineStr">
        <is>
          <t>PCR</t>
        </is>
      </c>
      <c r="F804" t="n">
        <v>170.94</v>
      </c>
      <c r="G804" t="n">
        <v>201.71</v>
      </c>
      <c r="H804">
        <f>הגדרות!B7</f>
        <v/>
      </c>
      <c r="I804">
        <f>F804*(1-H804/100)*1.18</f>
        <v/>
      </c>
      <c r="J804">
        <f>הגדרות!C7</f>
        <v/>
      </c>
      <c r="K804">
        <f>הגדרות!D7</f>
        <v/>
      </c>
      <c r="L804">
        <f>I804*(1+J804/100)+K804</f>
        <v/>
      </c>
    </row>
    <row r="805">
      <c r="A805" t="inlineStr">
        <is>
          <t>פרופ' בנעט</t>
        </is>
      </c>
      <c r="B805" t="inlineStr">
        <is>
          <t>Dirofilaria Immitis / Repens</t>
        </is>
      </c>
      <c r="C805" t="inlineStr">
        <is>
          <t>PCR</t>
        </is>
      </c>
      <c r="F805" t="n">
        <v>170.94</v>
      </c>
      <c r="G805" t="n">
        <v>201.71</v>
      </c>
      <c r="H805">
        <f>הגדרות!B7</f>
        <v/>
      </c>
      <c r="I805">
        <f>F805*(1-H805/100)*1.18</f>
        <v/>
      </c>
      <c r="J805">
        <f>הגדרות!C7</f>
        <v/>
      </c>
      <c r="K805">
        <f>הגדרות!D7</f>
        <v/>
      </c>
      <c r="L805">
        <f>I805*(1+J805/100)+K805</f>
        <v/>
      </c>
    </row>
    <row r="806">
      <c r="A806" t="inlineStr">
        <is>
          <t>פרופ' בנעט</t>
        </is>
      </c>
      <c r="B806" t="inlineStr">
        <is>
          <t>Neospora Caninum</t>
        </is>
      </c>
      <c r="C806" t="inlineStr">
        <is>
          <t>PCR</t>
        </is>
      </c>
      <c r="F806" t="n">
        <v>170.94</v>
      </c>
      <c r="G806" t="n">
        <v>201.71</v>
      </c>
      <c r="H806">
        <f>הגדרות!B7</f>
        <v/>
      </c>
      <c r="I806">
        <f>F806*(1-H806/100)*1.18</f>
        <v/>
      </c>
      <c r="J806">
        <f>הגדרות!C7</f>
        <v/>
      </c>
      <c r="K806">
        <f>הגדרות!D7</f>
        <v/>
      </c>
      <c r="L806">
        <f>I806*(1+J806/100)+K806</f>
        <v/>
      </c>
    </row>
    <row r="807">
      <c r="A807" t="inlineStr">
        <is>
          <t>פרופ' בנעט</t>
        </is>
      </c>
      <c r="B807" t="inlineStr">
        <is>
          <t>Feline Herpes Virus</t>
        </is>
      </c>
      <c r="C807" t="inlineStr">
        <is>
          <t>PCR</t>
        </is>
      </c>
      <c r="F807" t="n">
        <v>170.94</v>
      </c>
      <c r="G807" t="n">
        <v>201.71</v>
      </c>
      <c r="H807">
        <f>הגדרות!B7</f>
        <v/>
      </c>
      <c r="I807">
        <f>F807*(1-H807/100)*1.18</f>
        <v/>
      </c>
      <c r="J807">
        <f>הגדרות!C7</f>
        <v/>
      </c>
      <c r="K807">
        <f>הגדרות!D7</f>
        <v/>
      </c>
      <c r="L807">
        <f>I807*(1+J807/100)+K807</f>
        <v/>
      </c>
    </row>
    <row r="808">
      <c r="A808" t="inlineStr">
        <is>
          <t>פרופ' בנעט</t>
        </is>
      </c>
      <c r="B808" t="inlineStr">
        <is>
          <t>Feline Leukemia Virus (FeLV)</t>
        </is>
      </c>
      <c r="C808" t="inlineStr">
        <is>
          <t>PCR</t>
        </is>
      </c>
      <c r="F808" t="n">
        <v>170.94</v>
      </c>
      <c r="G808" t="n">
        <v>201.71</v>
      </c>
      <c r="H808">
        <f>הגדרות!B7</f>
        <v/>
      </c>
      <c r="I808">
        <f>F808*(1-H808/100)*1.18</f>
        <v/>
      </c>
      <c r="J808">
        <f>הגדרות!C7</f>
        <v/>
      </c>
      <c r="K808">
        <f>הגדרות!D7</f>
        <v/>
      </c>
      <c r="L808">
        <f>I808*(1+J808/100)+K808</f>
        <v/>
      </c>
    </row>
    <row r="809">
      <c r="A809" t="inlineStr">
        <is>
          <t>פרופ' בנעט</t>
        </is>
      </c>
      <c r="B809" t="inlineStr">
        <is>
          <t>Feline Immunodeficiency Virus (FIV)</t>
        </is>
      </c>
      <c r="C809" t="inlineStr">
        <is>
          <t>PCR</t>
        </is>
      </c>
      <c r="F809" t="n">
        <v>170.94</v>
      </c>
      <c r="G809" t="n">
        <v>201.71</v>
      </c>
      <c r="H809">
        <f>הגדרות!B7</f>
        <v/>
      </c>
      <c r="I809">
        <f>F809*(1-H809/100)*1.18</f>
        <v/>
      </c>
      <c r="J809">
        <f>הגדרות!C7</f>
        <v/>
      </c>
      <c r="K809">
        <f>הגדרות!D7</f>
        <v/>
      </c>
      <c r="L809">
        <f>I809*(1+J809/100)+K809</f>
        <v/>
      </c>
    </row>
    <row r="810">
      <c r="A810" t="inlineStr">
        <is>
          <t>פרופ' בנעט</t>
        </is>
      </c>
      <c r="B810" t="inlineStr">
        <is>
          <t>Toxoplasma</t>
        </is>
      </c>
      <c r="C810" t="inlineStr">
        <is>
          <t>PCR</t>
        </is>
      </c>
      <c r="F810" t="n">
        <v>170.94</v>
      </c>
      <c r="G810" t="n">
        <v>201.71</v>
      </c>
      <c r="H810">
        <f>הגדרות!B7</f>
        <v/>
      </c>
      <c r="I810">
        <f>F810*(1-H810/100)*1.18</f>
        <v/>
      </c>
      <c r="J810">
        <f>הגדרות!C7</f>
        <v/>
      </c>
      <c r="K810">
        <f>הגדרות!D7</f>
        <v/>
      </c>
      <c r="L810">
        <f>I810*(1+J810/100)+K810</f>
        <v/>
      </c>
    </row>
    <row r="811">
      <c r="A811" t="inlineStr">
        <is>
          <t>פרופ' בנעט</t>
        </is>
      </c>
      <c r="B811" t="inlineStr">
        <is>
          <t>Panleukopenia Parvo Virus</t>
        </is>
      </c>
      <c r="C811" t="inlineStr">
        <is>
          <t>PCR</t>
        </is>
      </c>
      <c r="F811" t="n">
        <v>170.94</v>
      </c>
      <c r="G811" t="n">
        <v>201.71</v>
      </c>
      <c r="H811">
        <f>הגדרות!B7</f>
        <v/>
      </c>
      <c r="I811">
        <f>F811*(1-H811/100)*1.18</f>
        <v/>
      </c>
      <c r="J811">
        <f>הגדרות!C7</f>
        <v/>
      </c>
      <c r="K811">
        <f>הגדרות!D7</f>
        <v/>
      </c>
      <c r="L811">
        <f>I811*(1+J811/100)+K811</f>
        <v/>
      </c>
    </row>
    <row r="812">
      <c r="A812" t="inlineStr">
        <is>
          <t>פרופ' בנעט</t>
        </is>
      </c>
      <c r="B812" t="inlineStr">
        <is>
          <t>Feline Calici Virus</t>
        </is>
      </c>
      <c r="C812" t="inlineStr">
        <is>
          <t>PCR</t>
        </is>
      </c>
      <c r="F812" t="n">
        <v>222.22</v>
      </c>
      <c r="G812" t="n">
        <v>262.22</v>
      </c>
      <c r="H812">
        <f>הגדרות!B7</f>
        <v/>
      </c>
      <c r="I812">
        <f>F812*(1-H812/100)*1.18</f>
        <v/>
      </c>
      <c r="J812">
        <f>הגדרות!C7</f>
        <v/>
      </c>
      <c r="K812">
        <f>הגדרות!D7</f>
        <v/>
      </c>
      <c r="L812">
        <f>I812*(1+J812/100)+K812</f>
        <v/>
      </c>
    </row>
    <row r="813">
      <c r="A813" t="inlineStr">
        <is>
          <t>פרופ' בנעט</t>
        </is>
      </c>
      <c r="B813" t="inlineStr">
        <is>
          <t>Chlamydophila Felis</t>
        </is>
      </c>
      <c r="C813" t="inlineStr">
        <is>
          <t>PCR</t>
        </is>
      </c>
      <c r="F813" t="n">
        <v>170.94</v>
      </c>
      <c r="G813" t="n">
        <v>201.71</v>
      </c>
      <c r="H813">
        <f>הגדרות!B7</f>
        <v/>
      </c>
      <c r="I813">
        <f>F813*(1-H813/100)*1.18</f>
        <v/>
      </c>
      <c r="J813">
        <f>הגדרות!C7</f>
        <v/>
      </c>
      <c r="K813">
        <f>הגדרות!D7</f>
        <v/>
      </c>
      <c r="L813">
        <f>I813*(1+J813/100)+K813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2026-08-26T12:15:41Z</dcterms:created>
  <dcterms:modified xmlns:dcterms="http://purl.org/dc/terms/" xmlns:xsi="http://www.w3.org/2001/XMLSchema-instance" xsi:type="dcterms:W3CDTF">2026-08-26T12:15:41Z</dcterms:modified>
</cp:coreProperties>
</file>