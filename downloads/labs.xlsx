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עבד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AML</t>
        </is>
      </c>
      <c r="B2" t="n">
        <v>0</v>
      </c>
      <c r="C2" t="n">
        <v>0</v>
      </c>
      <c r="D2" t="n">
        <v>0</v>
      </c>
    </row>
    <row r="3">
      <c r="A3" t="inlineStr">
        <is>
          <t>המכון (מעבדה חיצונית)</t>
        </is>
      </c>
      <c r="B3" t="n">
        <v>0</v>
      </c>
      <c r="C3" t="n">
        <v>0</v>
      </c>
      <c r="D3" t="n">
        <v>0</v>
      </c>
    </row>
    <row r="4">
      <c r="A4" t="inlineStr">
        <is>
          <t>IDEXX</t>
        </is>
      </c>
      <c r="B4" t="n">
        <v>0</v>
      </c>
      <c r="C4" t="n">
        <v>0</v>
      </c>
      <c r="D4" t="n">
        <v>0</v>
      </c>
    </row>
    <row r="5">
      <c r="A5" t="inlineStr">
        <is>
          <t>קרניאלי</t>
        </is>
      </c>
      <c r="B5" t="n">
        <v>0</v>
      </c>
      <c r="C5" t="n">
        <v>0</v>
      </c>
      <c r="D5" t="n">
        <v>0</v>
      </c>
    </row>
    <row r="6">
      <c r="A6" t="inlineStr">
        <is>
          <t>פרופ' בנעט</t>
        </is>
      </c>
      <c r="B6" t="n">
        <v>0</v>
      </c>
      <c r="C6" t="n">
        <v>0</v>
      </c>
      <c r="D6" t="n">
        <v>0</v>
      </c>
    </row>
    <row r="8">
      <c r="A8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83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AML</t>
        </is>
      </c>
      <c r="B2" t="inlineStr">
        <is>
          <t>פאנל כללי</t>
        </is>
      </c>
      <c r="C2" t="inlineStr">
        <is>
          <t>פאנלים</t>
        </is>
      </c>
      <c r="D2" t="inlineStr">
        <is>
          <t>1001</t>
        </is>
      </c>
      <c r="E2" t="inlineStr">
        <is>
          <t>2026-06</t>
        </is>
      </c>
      <c r="F2" t="n">
        <v>322.03</v>
      </c>
      <c r="G2" t="n">
        <v>380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AML</t>
        </is>
      </c>
      <c r="B3" t="inlineStr">
        <is>
          <t>פאנל כללי חוזר</t>
        </is>
      </c>
      <c r="C3" t="inlineStr">
        <is>
          <t>פאנלים</t>
        </is>
      </c>
      <c r="D3" t="inlineStr">
        <is>
          <t>1001</t>
        </is>
      </c>
      <c r="E3" t="inlineStr">
        <is>
          <t>2026-06</t>
        </is>
      </c>
      <c r="F3" t="n">
        <v>288.14</v>
      </c>
      <c r="G3" t="n">
        <v>340.01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AML</t>
        </is>
      </c>
      <c r="B4" t="inlineStr">
        <is>
          <t>פאנל כימיה בלבד</t>
        </is>
      </c>
      <c r="C4" t="inlineStr">
        <is>
          <t>פאנלים</t>
        </is>
      </c>
      <c r="D4" t="inlineStr">
        <is>
          <t>1002</t>
        </is>
      </c>
      <c r="E4" t="inlineStr">
        <is>
          <t>2026-06</t>
        </is>
      </c>
      <c r="F4" t="n">
        <v>279.66</v>
      </c>
      <c r="G4" t="n">
        <v>330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AML</t>
        </is>
      </c>
      <c r="B5" t="inlineStr">
        <is>
          <t>אלקטרוליטים</t>
        </is>
      </c>
      <c r="C5" t="inlineStr">
        <is>
          <t>פאנלים</t>
        </is>
      </c>
      <c r="D5" t="inlineStr">
        <is>
          <t>1850</t>
        </is>
      </c>
      <c r="E5" t="inlineStr">
        <is>
          <t>2026-06</t>
        </is>
      </c>
      <c r="F5" t="n">
        <v>177.97</v>
      </c>
      <c r="G5" t="n">
        <v>210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AML</t>
        </is>
      </c>
      <c r="B6" t="inlineStr">
        <is>
          <t>ברזל</t>
        </is>
      </c>
      <c r="C6" t="inlineStr">
        <is>
          <t>פאנלים</t>
        </is>
      </c>
      <c r="D6" t="inlineStr">
        <is>
          <t>233</t>
        </is>
      </c>
      <c r="E6" t="inlineStr">
        <is>
          <t>2026-06</t>
        </is>
      </c>
      <c r="F6" t="n">
        <v>152.54</v>
      </c>
      <c r="G6" t="n">
        <v>180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AML</t>
        </is>
      </c>
      <c r="B7" t="inlineStr">
        <is>
          <t>כימיה אחת</t>
        </is>
      </c>
      <c r="C7" t="inlineStr">
        <is>
          <t>פאנלים</t>
        </is>
      </c>
      <c r="E7" t="inlineStr">
        <is>
          <t>2026-06</t>
        </is>
      </c>
      <c r="F7" t="n">
        <v>118.64</v>
      </c>
      <c r="G7" t="n">
        <v>140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AML</t>
        </is>
      </c>
      <c r="B8" t="inlineStr">
        <is>
          <t>תוספת כימיה אחת ל-CBC</t>
        </is>
      </c>
      <c r="C8" t="inlineStr">
        <is>
          <t>פאנלים</t>
        </is>
      </c>
      <c r="E8" t="inlineStr">
        <is>
          <t>2026-06</t>
        </is>
      </c>
      <c r="F8" t="n">
        <v>33.9</v>
      </c>
      <c r="G8" t="n">
        <v>40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AML</t>
        </is>
      </c>
      <c r="B9" t="inlineStr">
        <is>
          <t>פאנל סוסים</t>
        </is>
      </c>
      <c r="C9" t="inlineStr">
        <is>
          <t>פאנלים</t>
        </is>
      </c>
      <c r="D9" t="inlineStr">
        <is>
          <t>1003</t>
        </is>
      </c>
      <c r="E9" t="inlineStr">
        <is>
          <t>2026-06</t>
        </is>
      </c>
      <c r="F9" t="n">
        <v>322.03</v>
      </c>
      <c r="G9" t="n">
        <v>380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AML</t>
        </is>
      </c>
      <c r="B10" t="inlineStr">
        <is>
          <t>פאנל מקוצר</t>
        </is>
      </c>
      <c r="C10" t="inlineStr">
        <is>
          <t>פאנלים</t>
        </is>
      </c>
      <c r="D10" t="inlineStr">
        <is>
          <t>1007</t>
        </is>
      </c>
      <c r="E10" t="inlineStr">
        <is>
          <t>2026-06</t>
        </is>
      </c>
      <c r="F10" t="n">
        <v>288.14</v>
      </c>
      <c r="G10" t="n">
        <v>340.01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AML</t>
        </is>
      </c>
      <c r="B11" t="inlineStr">
        <is>
          <t>פאנל מורחב</t>
        </is>
      </c>
      <c r="C11" t="inlineStr">
        <is>
          <t>פאנלים</t>
        </is>
      </c>
      <c r="D11" t="inlineStr">
        <is>
          <t>1112</t>
        </is>
      </c>
      <c r="E11" t="inlineStr">
        <is>
          <t>2026-06</t>
        </is>
      </c>
      <c r="F11" t="n">
        <v>406.78</v>
      </c>
      <c r="G11" t="n">
        <v>480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AML</t>
        </is>
      </c>
      <c r="B12" t="inlineStr">
        <is>
          <t>מיני פאנל</t>
        </is>
      </c>
      <c r="C12" t="inlineStr">
        <is>
          <t>פאנלים</t>
        </is>
      </c>
      <c r="D12" t="inlineStr">
        <is>
          <t>1070</t>
        </is>
      </c>
      <c r="E12" t="inlineStr">
        <is>
          <t>2026-06</t>
        </is>
      </c>
      <c r="F12" t="n">
        <v>262.71</v>
      </c>
      <c r="G12" t="n">
        <v>310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AML</t>
        </is>
      </c>
      <c r="B13" t="inlineStr">
        <is>
          <t>כימיה כליות</t>
        </is>
      </c>
      <c r="C13" t="inlineStr">
        <is>
          <t>פאנלים</t>
        </is>
      </c>
      <c r="D13" t="inlineStr">
        <is>
          <t>1114</t>
        </is>
      </c>
      <c r="E13" t="inlineStr">
        <is>
          <t>2026-06</t>
        </is>
      </c>
      <c r="F13" t="n">
        <v>228.81</v>
      </c>
      <c r="G13" t="n">
        <v>270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AML</t>
        </is>
      </c>
      <c r="B14" t="inlineStr">
        <is>
          <t>פאנל כליות</t>
        </is>
      </c>
      <c r="C14" t="inlineStr">
        <is>
          <t>פאנלים</t>
        </is>
      </c>
      <c r="D14" t="inlineStr">
        <is>
          <t>1113</t>
        </is>
      </c>
      <c r="E14" t="inlineStr">
        <is>
          <t>2026-06</t>
        </is>
      </c>
      <c r="F14" t="n">
        <v>279.66</v>
      </c>
      <c r="G14" t="n">
        <v>330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AML</t>
        </is>
      </c>
      <c r="B15" t="inlineStr">
        <is>
          <t>כימיה כבד</t>
        </is>
      </c>
      <c r="C15" t="inlineStr">
        <is>
          <t>פאנלים</t>
        </is>
      </c>
      <c r="D15" t="inlineStr">
        <is>
          <t>1115</t>
        </is>
      </c>
      <c r="E15" t="inlineStr">
        <is>
          <t>2026-06</t>
        </is>
      </c>
      <c r="F15" t="n">
        <v>228.81</v>
      </c>
      <c r="G15" t="n">
        <v>270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AML</t>
        </is>
      </c>
      <c r="B16" t="inlineStr">
        <is>
          <t>פאנל כבד</t>
        </is>
      </c>
      <c r="C16" t="inlineStr">
        <is>
          <t>פאנלים</t>
        </is>
      </c>
      <c r="D16" t="inlineStr">
        <is>
          <t>1116</t>
        </is>
      </c>
      <c r="E16" t="inlineStr">
        <is>
          <t>2026-06</t>
        </is>
      </c>
      <c r="F16" t="n">
        <v>279.66</v>
      </c>
      <c r="G16" t="n">
        <v>330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AML</t>
        </is>
      </c>
      <c r="B17" t="inlineStr">
        <is>
          <t>פאנל חתולים</t>
        </is>
      </c>
      <c r="C17" t="inlineStr">
        <is>
          <t>פאנלים</t>
        </is>
      </c>
      <c r="D17" t="inlineStr">
        <is>
          <t>1120</t>
        </is>
      </c>
      <c r="E17" t="inlineStr">
        <is>
          <t>2026-06</t>
        </is>
      </c>
      <c r="F17" t="n">
        <v>593.22</v>
      </c>
      <c r="G17" t="n">
        <v>700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AML</t>
        </is>
      </c>
      <c r="B18" t="inlineStr">
        <is>
          <t>פאנל כללי + 2 סרולוגיות</t>
        </is>
      </c>
      <c r="C18" t="inlineStr">
        <is>
          <t>פאנלים</t>
        </is>
      </c>
      <c r="E18" t="inlineStr">
        <is>
          <t>2026-06</t>
        </is>
      </c>
      <c r="F18" t="n">
        <v>559.3200000000001</v>
      </c>
      <c r="G18" t="n">
        <v>660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AML</t>
        </is>
      </c>
      <c r="B19" t="inlineStr">
        <is>
          <t>פאנל ארליכיה</t>
        </is>
      </c>
      <c r="C19" t="inlineStr">
        <is>
          <t>פאנלים</t>
        </is>
      </c>
      <c r="D19" t="inlineStr">
        <is>
          <t>1122</t>
        </is>
      </c>
      <c r="E19" t="inlineStr">
        <is>
          <t>2026-06</t>
        </is>
      </c>
      <c r="F19" t="n">
        <v>313.56</v>
      </c>
      <c r="G19" t="n">
        <v>370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AML</t>
        </is>
      </c>
      <c r="B20" t="inlineStr">
        <is>
          <t>פאנל כללי + ארליכיה</t>
        </is>
      </c>
      <c r="C20" t="inlineStr">
        <is>
          <t>פאנלים</t>
        </is>
      </c>
      <c r="D20" t="inlineStr">
        <is>
          <t>1085</t>
        </is>
      </c>
      <c r="E20" t="inlineStr">
        <is>
          <t>2026-06</t>
        </is>
      </c>
      <c r="F20" t="n">
        <v>440.68</v>
      </c>
      <c r="G20" t="n">
        <v>520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AML</t>
        </is>
      </c>
      <c r="B21" t="inlineStr">
        <is>
          <t>פאנל דימום</t>
        </is>
      </c>
      <c r="C21" t="inlineStr">
        <is>
          <t>פאנלים</t>
        </is>
      </c>
      <c r="D21" t="inlineStr">
        <is>
          <t>1121</t>
        </is>
      </c>
      <c r="E21" t="inlineStr">
        <is>
          <t>2026-06</t>
        </is>
      </c>
      <c r="F21" t="n">
        <v>423.73</v>
      </c>
      <c r="G21" t="n">
        <v>500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AML</t>
        </is>
      </c>
      <c r="B22" t="inlineStr">
        <is>
          <t>פאנל עם הורמון</t>
        </is>
      </c>
      <c r="C22" t="inlineStr">
        <is>
          <t>פאנלים</t>
        </is>
      </c>
      <c r="D22" t="inlineStr">
        <is>
          <t>1072</t>
        </is>
      </c>
      <c r="E22" t="inlineStr">
        <is>
          <t>2026-06</t>
        </is>
      </c>
      <c r="F22" t="n">
        <v>491.53</v>
      </c>
      <c r="G22" t="n">
        <v>580.01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AML</t>
        </is>
      </c>
      <c r="B23" t="inlineStr">
        <is>
          <t>פאנל עם שני הורמונים</t>
        </is>
      </c>
      <c r="C23" t="inlineStr">
        <is>
          <t>פאנלים</t>
        </is>
      </c>
      <c r="D23" t="inlineStr">
        <is>
          <t>1076</t>
        </is>
      </c>
      <c r="E23" t="inlineStr">
        <is>
          <t>2026-06</t>
        </is>
      </c>
      <c r="F23" t="n">
        <v>584.75</v>
      </c>
      <c r="G23" t="n">
        <v>690.01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AML</t>
        </is>
      </c>
      <c r="B24" t="inlineStr">
        <is>
          <t>כימיה + הורמון</t>
        </is>
      </c>
      <c r="C24" t="inlineStr">
        <is>
          <t>פאנלים</t>
        </is>
      </c>
      <c r="E24" t="inlineStr">
        <is>
          <t>2026-06</t>
        </is>
      </c>
      <c r="F24" t="n">
        <v>449.15</v>
      </c>
      <c r="G24" t="n">
        <v>530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AML</t>
        </is>
      </c>
      <c r="B25" t="inlineStr">
        <is>
          <t>כימיה + שני הורמונים</t>
        </is>
      </c>
      <c r="C25" t="inlineStr">
        <is>
          <t>פאנלים</t>
        </is>
      </c>
      <c r="E25" t="inlineStr">
        <is>
          <t>2026-06</t>
        </is>
      </c>
      <c r="F25" t="n">
        <v>542.37</v>
      </c>
      <c r="G25" t="n">
        <v>640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AML</t>
        </is>
      </c>
      <c r="B26" t="inlineStr">
        <is>
          <t>פאנל כללי + B12 + ח. פולית</t>
        </is>
      </c>
      <c r="C26" t="inlineStr">
        <is>
          <t>פאנלים</t>
        </is>
      </c>
      <c r="E26" t="inlineStr">
        <is>
          <t>2026-06</t>
        </is>
      </c>
      <c r="F26" t="n">
        <v>533.9</v>
      </c>
      <c r="G26" t="n">
        <v>630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AML</t>
        </is>
      </c>
      <c r="B27" t="inlineStr">
        <is>
          <t>פאנל + CTLI</t>
        </is>
      </c>
      <c r="C27" t="inlineStr">
        <is>
          <t>פאנלים</t>
        </is>
      </c>
      <c r="E27" t="inlineStr">
        <is>
          <t>2026-06</t>
        </is>
      </c>
      <c r="F27" t="n">
        <v>533.9</v>
      </c>
      <c r="G27" t="n">
        <v>630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AML</t>
        </is>
      </c>
      <c r="B28" t="inlineStr">
        <is>
          <t>פאנל כללי + B12 + ח.פולית + CTLI</t>
        </is>
      </c>
      <c r="C28" t="inlineStr">
        <is>
          <t>פאנלים</t>
        </is>
      </c>
      <c r="E28" t="inlineStr">
        <is>
          <t>2026-06</t>
        </is>
      </c>
      <c r="F28" t="n">
        <v>677.97</v>
      </c>
      <c r="G28" t="n">
        <v>800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AML</t>
        </is>
      </c>
      <c r="B29" t="inlineStr">
        <is>
          <t>ספירת דם ללא מבדלת</t>
        </is>
      </c>
      <c r="C29" t="inlineStr">
        <is>
          <t>ספירת דם</t>
        </is>
      </c>
      <c r="D29" t="inlineStr">
        <is>
          <t>1110</t>
        </is>
      </c>
      <c r="E29" t="inlineStr">
        <is>
          <t>2026-06</t>
        </is>
      </c>
      <c r="F29" t="n">
        <v>161.02</v>
      </c>
      <c r="G29" t="n">
        <v>190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AML</t>
        </is>
      </c>
      <c r="B30" t="inlineStr">
        <is>
          <t>CBC ספירת דם ומבדלת + הערכת משטח</t>
        </is>
      </c>
      <c r="C30" t="inlineStr">
        <is>
          <t>ספירת דם</t>
        </is>
      </c>
      <c r="D30" t="inlineStr">
        <is>
          <t>1100</t>
        </is>
      </c>
      <c r="E30" t="inlineStr">
        <is>
          <t>2026-06</t>
        </is>
      </c>
      <c r="F30" t="n">
        <v>194.92</v>
      </c>
      <c r="G30" t="n">
        <v>230.01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AML</t>
        </is>
      </c>
      <c r="B31" t="inlineStr">
        <is>
          <t>תפקודי קרישה</t>
        </is>
      </c>
      <c r="C31" t="inlineStr">
        <is>
          <t>ספירת דם</t>
        </is>
      </c>
      <c r="D31" t="inlineStr">
        <is>
          <t>1030</t>
        </is>
      </c>
      <c r="E31" t="inlineStr">
        <is>
          <t>2026-06</t>
        </is>
      </c>
      <c r="F31" t="n">
        <v>262.71</v>
      </c>
      <c r="G31" t="n">
        <v>310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AML</t>
        </is>
      </c>
      <c r="B32" t="inlineStr">
        <is>
          <t>תפקודי קרישה בנוסף לפאנל כללי</t>
        </is>
      </c>
      <c r="C32" t="inlineStr">
        <is>
          <t>ספירת דם</t>
        </is>
      </c>
      <c r="E32" t="inlineStr">
        <is>
          <t>2026-06</t>
        </is>
      </c>
      <c r="F32" t="n">
        <v>466.1</v>
      </c>
      <c r="G32" t="n">
        <v>550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AML</t>
        </is>
      </c>
      <c r="B33" t="inlineStr">
        <is>
          <t>תפקודי קרישה בנוסף ל-CBC והערכת משטח</t>
        </is>
      </c>
      <c r="C33" t="inlineStr">
        <is>
          <t>ספירת דם</t>
        </is>
      </c>
      <c r="D33" t="inlineStr">
        <is>
          <t>1031</t>
        </is>
      </c>
      <c r="E33" t="inlineStr">
        <is>
          <t>2026-06</t>
        </is>
      </c>
      <c r="F33" t="n">
        <v>338.98</v>
      </c>
      <c r="G33" t="n">
        <v>400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AML</t>
        </is>
      </c>
      <c r="B34" t="inlineStr">
        <is>
          <t>ספירה מבדלת בלבד עם הערכת משטח</t>
        </is>
      </c>
      <c r="C34" t="inlineStr">
        <is>
          <t>ספירת דם</t>
        </is>
      </c>
      <c r="D34" t="inlineStr">
        <is>
          <t>1118</t>
        </is>
      </c>
      <c r="E34" t="inlineStr">
        <is>
          <t>2026-06</t>
        </is>
      </c>
      <c r="F34" t="n">
        <v>161.02</v>
      </c>
      <c r="G34" t="n">
        <v>190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AML</t>
        </is>
      </c>
      <c r="B35" t="inlineStr">
        <is>
          <t>דיגוקסין</t>
        </is>
      </c>
      <c r="C35" t="inlineStr">
        <is>
          <t>רמת תרופות בדם</t>
        </is>
      </c>
      <c r="D35" t="inlineStr">
        <is>
          <t>601</t>
        </is>
      </c>
      <c r="E35" t="inlineStr">
        <is>
          <t>2026-06</t>
        </is>
      </c>
      <c r="F35" t="n">
        <v>330.51</v>
      </c>
      <c r="G35" t="n">
        <v>390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AML</t>
        </is>
      </c>
      <c r="B36" t="inlineStr">
        <is>
          <t>פנוברביטל</t>
        </is>
      </c>
      <c r="C36" t="inlineStr">
        <is>
          <t>רמת תרופות בדם</t>
        </is>
      </c>
      <c r="D36" t="inlineStr">
        <is>
          <t>608</t>
        </is>
      </c>
      <c r="E36" t="inlineStr">
        <is>
          <t>2026-06</t>
        </is>
      </c>
      <c r="F36" t="n">
        <v>279.66</v>
      </c>
      <c r="G36" t="n">
        <v>330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AML</t>
        </is>
      </c>
      <c r="B37" t="inlineStr">
        <is>
          <t>אשלגן ברומיד**</t>
        </is>
      </c>
      <c r="C37" t="inlineStr">
        <is>
          <t>רמת תרופות בדם</t>
        </is>
      </c>
      <c r="D37" t="inlineStr">
        <is>
          <t>1069</t>
        </is>
      </c>
      <c r="E37" t="inlineStr">
        <is>
          <t>2026-06</t>
        </is>
      </c>
      <c r="F37" t="n">
        <v>542.37</v>
      </c>
      <c r="G37" t="n">
        <v>640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AML</t>
        </is>
      </c>
      <c r="B38" t="inlineStr">
        <is>
          <t>אשלגן ברומיד + פנוברביטל**</t>
        </is>
      </c>
      <c r="C38" t="inlineStr">
        <is>
          <t>רמת תרופות בדם</t>
        </is>
      </c>
      <c r="E38" t="inlineStr">
        <is>
          <t>2026-06</t>
        </is>
      </c>
      <c r="F38" t="n">
        <v>720.34</v>
      </c>
      <c r="G38" t="n">
        <v>850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AML</t>
        </is>
      </c>
      <c r="B39" t="inlineStr">
        <is>
          <t>ציקלוספורין</t>
        </is>
      </c>
      <c r="C39" t="inlineStr">
        <is>
          <t>רמת תרופות בדם</t>
        </is>
      </c>
      <c r="D39" t="inlineStr">
        <is>
          <t>650</t>
        </is>
      </c>
      <c r="E39" t="inlineStr">
        <is>
          <t>2026-06</t>
        </is>
      </c>
      <c r="F39" t="n">
        <v>330.51</v>
      </c>
      <c r="G39" t="n">
        <v>390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AML</t>
        </is>
      </c>
      <c r="B40" t="inlineStr">
        <is>
          <t>קפרה*</t>
        </is>
      </c>
      <c r="C40" t="inlineStr">
        <is>
          <t>רמת תרופות בדם</t>
        </is>
      </c>
      <c r="D40" t="inlineStr">
        <is>
          <t>606</t>
        </is>
      </c>
      <c r="E40" t="inlineStr">
        <is>
          <t>2026-06</t>
        </is>
      </c>
      <c r="F40" t="n">
        <v>449.15</v>
      </c>
      <c r="G40" t="n">
        <v>530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AML</t>
        </is>
      </c>
      <c r="B41" t="inlineStr">
        <is>
          <t>פרוקטוזאמין</t>
        </is>
      </c>
      <c r="C41" t="inlineStr">
        <is>
          <t>בדיקות מיוחדות</t>
        </is>
      </c>
      <c r="D41" t="inlineStr">
        <is>
          <t>643</t>
        </is>
      </c>
      <c r="E41" t="inlineStr">
        <is>
          <t>2026-06</t>
        </is>
      </c>
      <c r="F41" t="n">
        <v>211.86</v>
      </c>
      <c r="G41" t="n">
        <v>249.99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AML</t>
        </is>
      </c>
      <c r="B42" t="inlineStr">
        <is>
          <t>C. TLI</t>
        </is>
      </c>
      <c r="C42" t="inlineStr">
        <is>
          <t>בדיקות מיוחדות</t>
        </is>
      </c>
      <c r="D42" t="inlineStr">
        <is>
          <t>1021</t>
        </is>
      </c>
      <c r="E42" t="inlineStr">
        <is>
          <t>2026-06</t>
        </is>
      </c>
      <c r="F42" t="n">
        <v>279.66</v>
      </c>
      <c r="G42" t="n">
        <v>330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AML</t>
        </is>
      </c>
      <c r="B43" t="inlineStr">
        <is>
          <t>fTLI + Folic acid &amp; B12**</t>
        </is>
      </c>
      <c r="C43" t="inlineStr">
        <is>
          <t>בדיקות מיוחדות</t>
        </is>
      </c>
      <c r="E43" t="inlineStr">
        <is>
          <t>2026-06</t>
        </is>
      </c>
      <c r="F43" t="n">
        <v>635.59</v>
      </c>
      <c r="G43" t="n">
        <v>750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AML</t>
        </is>
      </c>
      <c r="B44" t="inlineStr">
        <is>
          <t>fTLI</t>
        </is>
      </c>
      <c r="C44" t="inlineStr">
        <is>
          <t>בדיקות מיוחדות</t>
        </is>
      </c>
      <c r="D44" t="inlineStr">
        <is>
          <t>1022</t>
        </is>
      </c>
      <c r="E44" t="inlineStr">
        <is>
          <t>2026-06</t>
        </is>
      </c>
      <c r="F44" t="n">
        <v>550.85</v>
      </c>
      <c r="G44" t="n">
        <v>650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AML</t>
        </is>
      </c>
      <c r="B45" t="inlineStr">
        <is>
          <t>Texas 4 - כלב</t>
        </is>
      </c>
      <c r="C45" t="inlineStr">
        <is>
          <t>בדיקות מיוחדות</t>
        </is>
      </c>
      <c r="E45" t="inlineStr">
        <is>
          <t>2026-06</t>
        </is>
      </c>
      <c r="F45" t="n">
        <v>745.76</v>
      </c>
      <c r="G45" t="n">
        <v>880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AML</t>
        </is>
      </c>
      <c r="B46" t="inlineStr">
        <is>
          <t>כולינאסטראז*</t>
        </is>
      </c>
      <c r="C46" t="inlineStr">
        <is>
          <t>בדיקות מיוחדות</t>
        </is>
      </c>
      <c r="D46" t="inlineStr">
        <is>
          <t>619</t>
        </is>
      </c>
      <c r="E46" t="inlineStr">
        <is>
          <t>2026-06</t>
        </is>
      </c>
      <c r="F46" t="n">
        <v>330.51</v>
      </c>
      <c r="G46" t="n">
        <v>390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AML</t>
        </is>
      </c>
      <c r="B47" t="inlineStr">
        <is>
          <t>B12 + Folic acid</t>
        </is>
      </c>
      <c r="C47" t="inlineStr">
        <is>
          <t>בדיקות מיוחדות</t>
        </is>
      </c>
      <c r="D47" t="inlineStr">
        <is>
          <t>1066</t>
        </is>
      </c>
      <c r="E47" t="inlineStr">
        <is>
          <t>2026-06</t>
        </is>
      </c>
      <c r="F47" t="n">
        <v>279.66</v>
      </c>
      <c r="G47" t="n">
        <v>330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AML</t>
        </is>
      </c>
      <c r="B48" t="inlineStr">
        <is>
          <t>PEP*</t>
        </is>
      </c>
      <c r="C48" t="inlineStr">
        <is>
          <t>בדיקות מיוחדות</t>
        </is>
      </c>
      <c r="D48" t="inlineStr">
        <is>
          <t>1054</t>
        </is>
      </c>
      <c r="E48" t="inlineStr">
        <is>
          <t>2026-06</t>
        </is>
      </c>
      <c r="F48" t="n">
        <v>330.51</v>
      </c>
      <c r="G48" t="n">
        <v>390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AML</t>
        </is>
      </c>
      <c r="B49" t="inlineStr">
        <is>
          <t>ANA**</t>
        </is>
      </c>
      <c r="C49" t="inlineStr">
        <is>
          <t>בדיקות מיוחדות</t>
        </is>
      </c>
      <c r="D49" t="inlineStr">
        <is>
          <t>1503</t>
        </is>
      </c>
      <c r="E49" t="inlineStr">
        <is>
          <t>2026-06</t>
        </is>
      </c>
      <c r="F49" t="n">
        <v>559.3200000000001</v>
      </c>
      <c r="G49" t="n">
        <v>660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AML</t>
        </is>
      </c>
      <c r="B50" t="inlineStr">
        <is>
          <t>ProBnp לחתול</t>
        </is>
      </c>
      <c r="C50" t="inlineStr">
        <is>
          <t>בדיקות מיוחדות</t>
        </is>
      </c>
      <c r="D50" t="inlineStr">
        <is>
          <t>1506</t>
        </is>
      </c>
      <c r="E50" t="inlineStr">
        <is>
          <t>2026-06</t>
        </is>
      </c>
      <c r="F50" t="n">
        <v>237.29</v>
      </c>
      <c r="G50" t="n">
        <v>280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AML</t>
        </is>
      </c>
      <c r="B51" t="inlineStr">
        <is>
          <t>MDR-1*</t>
        </is>
      </c>
      <c r="C51" t="inlineStr">
        <is>
          <t>בדיקות מיוחדות</t>
        </is>
      </c>
      <c r="D51" t="inlineStr">
        <is>
          <t>1171</t>
        </is>
      </c>
      <c r="E51" t="inlineStr">
        <is>
          <t>2026-06</t>
        </is>
      </c>
      <c r="F51" t="n">
        <v>449.15</v>
      </c>
      <c r="G51" t="n">
        <v>530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AML</t>
        </is>
      </c>
      <c r="B52" t="inlineStr">
        <is>
          <t>Cpli-DGGR</t>
        </is>
      </c>
      <c r="C52" t="inlineStr">
        <is>
          <t>בדיקות מיוחדות</t>
        </is>
      </c>
      <c r="D52" t="inlineStr">
        <is>
          <t>1656</t>
        </is>
      </c>
      <c r="E52" t="inlineStr">
        <is>
          <t>2026-06</t>
        </is>
      </c>
      <c r="F52" t="n">
        <v>254.24</v>
      </c>
      <c r="G52" t="n">
        <v>300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AML</t>
        </is>
      </c>
      <c r="B53" t="inlineStr">
        <is>
          <t>Fpli-DGGR</t>
        </is>
      </c>
      <c r="C53" t="inlineStr">
        <is>
          <t>בדיקות מיוחדות</t>
        </is>
      </c>
      <c r="D53" t="inlineStr">
        <is>
          <t>1657</t>
        </is>
      </c>
      <c r="E53" t="inlineStr">
        <is>
          <t>2026-06</t>
        </is>
      </c>
      <c r="F53" t="n">
        <v>254.24</v>
      </c>
      <c r="G53" t="n">
        <v>300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AML</t>
        </is>
      </c>
      <c r="B54" t="inlineStr">
        <is>
          <t>Vit.B12 + Folic acid + CTLI</t>
        </is>
      </c>
      <c r="C54" t="inlineStr">
        <is>
          <t>בדיקות מיוחדות</t>
        </is>
      </c>
      <c r="E54" t="inlineStr">
        <is>
          <t>2026-06</t>
        </is>
      </c>
      <c r="F54" t="n">
        <v>491.53</v>
      </c>
      <c r="G54" t="n">
        <v>580.01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AML</t>
        </is>
      </c>
      <c r="B55" t="inlineStr">
        <is>
          <t>מיאסטניה גרביס**</t>
        </is>
      </c>
      <c r="C55" t="inlineStr">
        <is>
          <t>בדיקות מיוחדות</t>
        </is>
      </c>
      <c r="D55" t="inlineStr">
        <is>
          <t>597</t>
        </is>
      </c>
      <c r="E55" t="inlineStr">
        <is>
          <t>2026-06</t>
        </is>
      </c>
      <c r="F55" t="n">
        <v>830.51</v>
      </c>
      <c r="G55" t="n">
        <v>980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AML</t>
        </is>
      </c>
      <c r="B56" t="inlineStr">
        <is>
          <t>2M antibody - mmm**</t>
        </is>
      </c>
      <c r="C56" t="inlineStr">
        <is>
          <t>בדיקות מיוחדות</t>
        </is>
      </c>
      <c r="D56" t="inlineStr">
        <is>
          <t>600</t>
        </is>
      </c>
      <c r="E56" t="inlineStr">
        <is>
          <t>2026-06</t>
        </is>
      </c>
      <c r="F56" t="n">
        <v>830.51</v>
      </c>
      <c r="G56" t="n">
        <v>980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AML</t>
        </is>
      </c>
      <c r="B57" t="inlineStr">
        <is>
          <t>חומצות מרה</t>
        </is>
      </c>
      <c r="C57" t="inlineStr">
        <is>
          <t>בדיקות מיוחדות</t>
        </is>
      </c>
      <c r="D57" t="inlineStr">
        <is>
          <t>585</t>
        </is>
      </c>
      <c r="E57" t="inlineStr">
        <is>
          <t>2026-06</t>
        </is>
      </c>
      <c r="F57" t="n">
        <v>288.14</v>
      </c>
      <c r="G57" t="n">
        <v>340.01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AML</t>
        </is>
      </c>
      <c r="B58" t="inlineStr">
        <is>
          <t>קומבס לכלב</t>
        </is>
      </c>
      <c r="C58" t="inlineStr">
        <is>
          <t>בדיקות מיוחדות</t>
        </is>
      </c>
      <c r="D58" t="inlineStr">
        <is>
          <t>1501</t>
        </is>
      </c>
      <c r="E58" t="inlineStr">
        <is>
          <t>2026-06</t>
        </is>
      </c>
      <c r="F58" t="n">
        <v>288.14</v>
      </c>
      <c r="G58" t="n">
        <v>340.01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AML</t>
        </is>
      </c>
      <c r="B59" t="inlineStr">
        <is>
          <t>SDMA</t>
        </is>
      </c>
      <c r="C59" t="inlineStr">
        <is>
          <t>בדיקות מיוחדות</t>
        </is>
      </c>
      <c r="D59" t="inlineStr">
        <is>
          <t>301</t>
        </is>
      </c>
      <c r="E59" t="inlineStr">
        <is>
          <t>2026-06</t>
        </is>
      </c>
      <c r="F59" t="n">
        <v>211.86</v>
      </c>
      <c r="G59" t="n">
        <v>249.99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AML</t>
        </is>
      </c>
      <c r="B60" t="inlineStr">
        <is>
          <t>CRP כלב</t>
        </is>
      </c>
      <c r="C60" t="inlineStr">
        <is>
          <t>בדיקות מיוחדות</t>
        </is>
      </c>
      <c r="D60" t="inlineStr">
        <is>
          <t>4070</t>
        </is>
      </c>
      <c r="E60" t="inlineStr">
        <is>
          <t>2026-06</t>
        </is>
      </c>
      <c r="F60" t="n">
        <v>254.24</v>
      </c>
      <c r="G60" t="n">
        <v>300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AML</t>
        </is>
      </c>
      <c r="B61" t="inlineStr">
        <is>
          <t>תרבית + רגישות</t>
        </is>
      </c>
      <c r="C61" t="inlineStr">
        <is>
          <t>תרביות</t>
        </is>
      </c>
      <c r="D61" t="inlineStr">
        <is>
          <t>1040</t>
        </is>
      </c>
      <c r="E61" t="inlineStr">
        <is>
          <t>2026-06</t>
        </is>
      </c>
      <c r="F61" t="n">
        <v>288.14</v>
      </c>
      <c r="G61" t="n">
        <v>340.01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AML</t>
        </is>
      </c>
      <c r="B62" t="inlineStr">
        <is>
          <t>תרבית לפטריות</t>
        </is>
      </c>
      <c r="C62" t="inlineStr">
        <is>
          <t>תרביות</t>
        </is>
      </c>
      <c r="D62" t="inlineStr">
        <is>
          <t>1045</t>
        </is>
      </c>
      <c r="E62" t="inlineStr">
        <is>
          <t>2026-06</t>
        </is>
      </c>
      <c r="F62" t="n">
        <v>262.71</v>
      </c>
      <c r="G62" t="n">
        <v>310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AML</t>
        </is>
      </c>
      <c r="B63" t="inlineStr">
        <is>
          <t>בדיקת שתן כללית (סטיק ומיקרוסקופיה)</t>
        </is>
      </c>
      <c r="C63" t="inlineStr">
        <is>
          <t>תרביות</t>
        </is>
      </c>
      <c r="D63" t="inlineStr">
        <is>
          <t>1014</t>
        </is>
      </c>
      <c r="E63" t="inlineStr">
        <is>
          <t>2026-06</t>
        </is>
      </c>
      <c r="F63" t="n">
        <v>194.92</v>
      </c>
      <c r="G63" t="n">
        <v>230.01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AML</t>
        </is>
      </c>
      <c r="B64" t="inlineStr">
        <is>
          <t>בדיקת שתן כללית + תרבית ורגישות</t>
        </is>
      </c>
      <c r="C64" t="inlineStr">
        <is>
          <t>תרביות</t>
        </is>
      </c>
      <c r="D64" t="inlineStr">
        <is>
          <t>1011</t>
        </is>
      </c>
      <c r="E64" t="inlineStr">
        <is>
          <t>2026-06</t>
        </is>
      </c>
      <c r="F64" t="n">
        <v>305.08</v>
      </c>
      <c r="G64" t="n">
        <v>359.99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AML</t>
        </is>
      </c>
      <c r="B65" t="inlineStr">
        <is>
          <t>תרבית שתן</t>
        </is>
      </c>
      <c r="C65" t="inlineStr">
        <is>
          <t>תרביות</t>
        </is>
      </c>
      <c r="D65" t="inlineStr">
        <is>
          <t>1311</t>
        </is>
      </c>
      <c r="E65" t="inlineStr">
        <is>
          <t>2026-06</t>
        </is>
      </c>
      <c r="F65" t="n">
        <v>262.71</v>
      </c>
      <c r="G65" t="n">
        <v>310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AML</t>
        </is>
      </c>
      <c r="B66" t="inlineStr">
        <is>
          <t>יחס חלבון/קריאטינין בשתן</t>
        </is>
      </c>
      <c r="C66" t="inlineStr">
        <is>
          <t>תרביות</t>
        </is>
      </c>
      <c r="D66" t="inlineStr">
        <is>
          <t>1019</t>
        </is>
      </c>
      <c r="E66" t="inlineStr">
        <is>
          <t>2026-06</t>
        </is>
      </c>
      <c r="F66" t="n">
        <v>211.86</v>
      </c>
      <c r="G66" t="n">
        <v>249.99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AML</t>
        </is>
      </c>
      <c r="B67" t="inlineStr">
        <is>
          <t>תרבית צואה</t>
        </is>
      </c>
      <c r="C67" t="inlineStr">
        <is>
          <t>תרביות</t>
        </is>
      </c>
      <c r="E67" t="inlineStr">
        <is>
          <t>2026-06</t>
        </is>
      </c>
      <c r="F67" t="n">
        <v>288.14</v>
      </c>
      <c r="G67" t="n">
        <v>340.01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AML</t>
        </is>
      </c>
      <c r="B68" t="inlineStr">
        <is>
          <t>צואה לפרזיטים בהצפה</t>
        </is>
      </c>
      <c r="C68" t="inlineStr">
        <is>
          <t>תרביות</t>
        </is>
      </c>
      <c r="D68" t="inlineStr">
        <is>
          <t>343</t>
        </is>
      </c>
      <c r="E68" t="inlineStr">
        <is>
          <t>2026-06</t>
        </is>
      </c>
      <c r="F68" t="n">
        <v>169.49</v>
      </c>
      <c r="G68" t="n">
        <v>200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AML</t>
        </is>
      </c>
      <c r="B69" t="inlineStr">
        <is>
          <t>בדיקת צואה לפרזיטים + תרבית</t>
        </is>
      </c>
      <c r="C69" t="inlineStr">
        <is>
          <t>תרביות</t>
        </is>
      </c>
      <c r="D69" t="inlineStr">
        <is>
          <t>1341</t>
        </is>
      </c>
      <c r="E69" t="inlineStr">
        <is>
          <t>2026-06</t>
        </is>
      </c>
      <c r="F69" t="n">
        <v>279.66</v>
      </c>
      <c r="G69" t="n">
        <v>330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AML</t>
        </is>
      </c>
      <c r="B70" t="inlineStr">
        <is>
          <t>תרבית כפולה</t>
        </is>
      </c>
      <c r="C70" t="inlineStr">
        <is>
          <t>תרביות</t>
        </is>
      </c>
      <c r="E70" t="inlineStr">
        <is>
          <t>2026-06</t>
        </is>
      </c>
      <c r="F70" t="n">
        <v>466.1</v>
      </c>
      <c r="G70" t="n">
        <v>550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AML</t>
        </is>
      </c>
      <c r="B71" t="inlineStr">
        <is>
          <t>תרבית מ-3 מקומות</t>
        </is>
      </c>
      <c r="C71" t="inlineStr">
        <is>
          <t>תרביות</t>
        </is>
      </c>
      <c r="E71" t="inlineStr">
        <is>
          <t>2026-06</t>
        </is>
      </c>
      <c r="F71" t="n">
        <v>644.0700000000001</v>
      </c>
      <c r="G71" t="n">
        <v>760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AML</t>
        </is>
      </c>
      <c r="B72" t="inlineStr">
        <is>
          <t>אבן מדרכי השתן*</t>
        </is>
      </c>
      <c r="C72" t="inlineStr">
        <is>
          <t>תרביות</t>
        </is>
      </c>
      <c r="D72" t="inlineStr">
        <is>
          <t>285</t>
        </is>
      </c>
      <c r="E72" t="inlineStr">
        <is>
          <t>2026-06</t>
        </is>
      </c>
      <c r="F72" t="n">
        <v>288.14</v>
      </c>
      <c r="G72" t="n">
        <v>340.01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AML</t>
        </is>
      </c>
      <c r="B73" t="inlineStr">
        <is>
          <t>בדיקת צואה לספירוצרקה*</t>
        </is>
      </c>
      <c r="C73" t="inlineStr">
        <is>
          <t>תרביות</t>
        </is>
      </c>
      <c r="D73" t="inlineStr">
        <is>
          <t>1600</t>
        </is>
      </c>
      <c r="E73" t="inlineStr">
        <is>
          <t>2026-06</t>
        </is>
      </c>
      <c r="F73" t="n">
        <v>254.24</v>
      </c>
      <c r="G73" t="n">
        <v>300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AML</t>
        </is>
      </c>
      <c r="B74" t="inlineStr">
        <is>
          <t>בדיקת צואה כללית + ספירוצרקה*</t>
        </is>
      </c>
      <c r="C74" t="inlineStr">
        <is>
          <t>תרביות</t>
        </is>
      </c>
      <c r="D74" t="inlineStr">
        <is>
          <t>1630</t>
        </is>
      </c>
      <c r="E74" t="inlineStr">
        <is>
          <t>2026-06</t>
        </is>
      </c>
      <c r="F74" t="n">
        <v>423.73</v>
      </c>
      <c r="G74" t="n">
        <v>500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AML</t>
        </is>
      </c>
      <c r="B75" t="inlineStr">
        <is>
          <t>תרבית דם</t>
        </is>
      </c>
      <c r="C75" t="inlineStr">
        <is>
          <t>תרביות</t>
        </is>
      </c>
      <c r="E75" t="inlineStr">
        <is>
          <t>2026-06</t>
        </is>
      </c>
      <c r="F75" t="n">
        <v>389.83</v>
      </c>
      <c r="G75" t="n">
        <v>460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AML</t>
        </is>
      </c>
      <c r="B76" t="inlineStr">
        <is>
          <t>צואה לבדיקת דיסביוזיס</t>
        </is>
      </c>
      <c r="C76" t="inlineStr">
        <is>
          <t>תרביות</t>
        </is>
      </c>
      <c r="E76" t="inlineStr">
        <is>
          <t>2026-06</t>
        </is>
      </c>
      <c r="F76" t="n">
        <v>677.97</v>
      </c>
      <c r="G76" t="n">
        <v>800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AML</t>
        </is>
      </c>
      <c r="B77" t="inlineStr">
        <is>
          <t>FeLV</t>
        </is>
      </c>
      <c r="C77" t="inlineStr">
        <is>
          <t>סרולוגיה</t>
        </is>
      </c>
      <c r="D77" t="inlineStr">
        <is>
          <t>1055</t>
        </is>
      </c>
      <c r="E77" t="inlineStr">
        <is>
          <t>2026-06</t>
        </is>
      </c>
      <c r="F77" t="n">
        <v>194.92</v>
      </c>
      <c r="G77" t="n">
        <v>230.01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AML</t>
        </is>
      </c>
      <c r="B78" t="inlineStr">
        <is>
          <t>FIV</t>
        </is>
      </c>
      <c r="C78" t="inlineStr">
        <is>
          <t>סרולוגיה</t>
        </is>
      </c>
      <c r="D78" t="inlineStr">
        <is>
          <t>4442</t>
        </is>
      </c>
      <c r="E78" t="inlineStr">
        <is>
          <t>2026-06</t>
        </is>
      </c>
      <c r="F78" t="n">
        <v>194.92</v>
      </c>
      <c r="G78" t="n">
        <v>230.01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AML</t>
        </is>
      </c>
      <c r="B79" t="inlineStr">
        <is>
          <t>FIP</t>
        </is>
      </c>
      <c r="C79" t="inlineStr">
        <is>
          <t>סרולוגיה</t>
        </is>
      </c>
      <c r="D79" t="inlineStr">
        <is>
          <t>1062</t>
        </is>
      </c>
      <c r="E79" t="inlineStr">
        <is>
          <t>2026-06</t>
        </is>
      </c>
      <c r="F79" t="n">
        <v>194.92</v>
      </c>
      <c r="G79" t="n">
        <v>230.01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AML</t>
        </is>
      </c>
      <c r="B80" t="inlineStr">
        <is>
          <t>FIV+FeLV</t>
        </is>
      </c>
      <c r="C80" t="inlineStr">
        <is>
          <t>סרולוגיה</t>
        </is>
      </c>
      <c r="D80" t="inlineStr">
        <is>
          <t>4441</t>
        </is>
      </c>
      <c r="E80" t="inlineStr">
        <is>
          <t>2026-06</t>
        </is>
      </c>
      <c r="F80" t="n">
        <v>313.56</v>
      </c>
      <c r="G80" t="n">
        <v>370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AML</t>
        </is>
      </c>
      <c r="B81" t="inlineStr">
        <is>
          <t>FIP+FIV+FeLV</t>
        </is>
      </c>
      <c r="C81" t="inlineStr">
        <is>
          <t>סרולוגיה</t>
        </is>
      </c>
      <c r="D81" t="inlineStr">
        <is>
          <t>4443</t>
        </is>
      </c>
      <c r="E81" t="inlineStr">
        <is>
          <t>2026-06</t>
        </is>
      </c>
      <c r="F81" t="n">
        <v>432.2</v>
      </c>
      <c r="G81" t="n">
        <v>510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AML</t>
        </is>
      </c>
      <c r="B82" t="inlineStr">
        <is>
          <t>FIV+FIP</t>
        </is>
      </c>
      <c r="C82" t="inlineStr">
        <is>
          <t>סרולוגיה</t>
        </is>
      </c>
      <c r="D82" t="inlineStr">
        <is>
          <t>4445</t>
        </is>
      </c>
      <c r="E82" t="inlineStr">
        <is>
          <t>2026-06</t>
        </is>
      </c>
      <c r="F82" t="n">
        <v>313.56</v>
      </c>
      <c r="G82" t="n">
        <v>370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AML</t>
        </is>
      </c>
      <c r="B83" t="inlineStr">
        <is>
          <t>כלבלבת + פרוו</t>
        </is>
      </c>
      <c r="C83" t="inlineStr">
        <is>
          <t>סרולוגיה</t>
        </is>
      </c>
      <c r="D83" t="inlineStr">
        <is>
          <t>1080</t>
        </is>
      </c>
      <c r="E83" t="inlineStr">
        <is>
          <t>2026-06</t>
        </is>
      </c>
      <c r="F83" t="n">
        <v>194.92</v>
      </c>
      <c r="G83" t="n">
        <v>230.01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AML</t>
        </is>
      </c>
      <c r="B84" t="inlineStr">
        <is>
          <t>ארליכיה</t>
        </is>
      </c>
      <c r="C84" t="inlineStr">
        <is>
          <t>סרולוגיה</t>
        </is>
      </c>
      <c r="D84" t="inlineStr">
        <is>
          <t>1083</t>
        </is>
      </c>
      <c r="E84" t="inlineStr">
        <is>
          <t>2026-06</t>
        </is>
      </c>
      <c r="F84" t="n">
        <v>194.92</v>
      </c>
      <c r="G84" t="n">
        <v>230.01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AML</t>
        </is>
      </c>
      <c r="B85" t="inlineStr">
        <is>
          <t>לישמניה</t>
        </is>
      </c>
      <c r="C85" t="inlineStr">
        <is>
          <t>סרולוגיה</t>
        </is>
      </c>
      <c r="D85" t="inlineStr">
        <is>
          <t>584</t>
        </is>
      </c>
      <c r="E85" t="inlineStr">
        <is>
          <t>2026-06</t>
        </is>
      </c>
      <c r="F85" t="n">
        <v>194.92</v>
      </c>
      <c r="G85" t="n">
        <v>230.01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AML</t>
        </is>
      </c>
      <c r="B86" t="inlineStr">
        <is>
          <t>טוקסופלסמה בחתולים</t>
        </is>
      </c>
      <c r="C86" t="inlineStr">
        <is>
          <t>סרולוגיה</t>
        </is>
      </c>
      <c r="D86" t="inlineStr">
        <is>
          <t>1006</t>
        </is>
      </c>
      <c r="E86" t="inlineStr">
        <is>
          <t>2026-06</t>
        </is>
      </c>
      <c r="F86" t="n">
        <v>194.92</v>
      </c>
      <c r="G86" t="n">
        <v>230.01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AML</t>
        </is>
      </c>
      <c r="B87" t="inlineStr">
        <is>
          <t>פרוו בצואה</t>
        </is>
      </c>
      <c r="C87" t="inlineStr">
        <is>
          <t>סרולוגיה</t>
        </is>
      </c>
      <c r="D87" t="inlineStr">
        <is>
          <t>1606</t>
        </is>
      </c>
      <c r="E87" t="inlineStr">
        <is>
          <t>2026-06</t>
        </is>
      </c>
      <c r="F87" t="n">
        <v>194.92</v>
      </c>
      <c r="G87" t="n">
        <v>230.01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AML</t>
        </is>
      </c>
      <c r="B88" t="inlineStr">
        <is>
          <t>Canine Vaccicheck</t>
        </is>
      </c>
      <c r="C88" t="inlineStr">
        <is>
          <t>סרולוגיה</t>
        </is>
      </c>
      <c r="D88" t="inlineStr">
        <is>
          <t>587</t>
        </is>
      </c>
      <c r="E88" t="inlineStr">
        <is>
          <t>2026-06</t>
        </is>
      </c>
      <c r="F88" t="n">
        <v>237.29</v>
      </c>
      <c r="G88" t="n">
        <v>280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AML</t>
        </is>
      </c>
      <c r="B89" t="inlineStr">
        <is>
          <t>Fungal Profile**</t>
        </is>
      </c>
      <c r="C89" t="inlineStr">
        <is>
          <t>סרולוגיה</t>
        </is>
      </c>
      <c r="D89" t="inlineStr">
        <is>
          <t>1180</t>
        </is>
      </c>
      <c r="E89" t="inlineStr">
        <is>
          <t>2026-06</t>
        </is>
      </c>
      <c r="F89" t="n">
        <v>703.39</v>
      </c>
      <c r="G89" t="n">
        <v>830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AML</t>
        </is>
      </c>
      <c r="B90" t="inlineStr">
        <is>
          <t>Cryptococcal antigen**</t>
        </is>
      </c>
      <c r="C90" t="inlineStr">
        <is>
          <t>סרולוגיה</t>
        </is>
      </c>
      <c r="D90" t="inlineStr">
        <is>
          <t>1023</t>
        </is>
      </c>
      <c r="E90" t="inlineStr">
        <is>
          <t>2026-06</t>
        </is>
      </c>
      <c r="F90" t="n">
        <v>635.59</v>
      </c>
      <c r="G90" t="n">
        <v>750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AML</t>
        </is>
      </c>
      <c r="B91" t="inlineStr">
        <is>
          <t>Neospora + Toxoplasma*</t>
        </is>
      </c>
      <c r="C91" t="inlineStr">
        <is>
          <t>סרולוגיה</t>
        </is>
      </c>
      <c r="D91" t="inlineStr">
        <is>
          <t>2002+1505</t>
        </is>
      </c>
      <c r="E91" t="inlineStr">
        <is>
          <t>2026-06</t>
        </is>
      </c>
      <c r="F91" t="n">
        <v>313.56</v>
      </c>
      <c r="G91" t="n">
        <v>370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AML</t>
        </is>
      </c>
      <c r="B92" t="inlineStr">
        <is>
          <t>Toxoplasma or Neospora*</t>
        </is>
      </c>
      <c r="C92" t="inlineStr">
        <is>
          <t>סרולוגיה</t>
        </is>
      </c>
      <c r="E92" t="inlineStr">
        <is>
          <t>2026-06</t>
        </is>
      </c>
      <c r="F92" t="n">
        <v>262.71</v>
      </c>
      <c r="G92" t="n">
        <v>310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AML</t>
        </is>
      </c>
      <c r="B93" t="inlineStr">
        <is>
          <t>לפטוספירוזיס</t>
        </is>
      </c>
      <c r="C93" t="inlineStr">
        <is>
          <t>סרולוגיה</t>
        </is>
      </c>
      <c r="D93" t="inlineStr">
        <is>
          <t>1966</t>
        </is>
      </c>
      <c r="E93" t="inlineStr">
        <is>
          <t>2026-06</t>
        </is>
      </c>
      <c r="F93" t="n">
        <v>237.29</v>
      </c>
      <c r="G93" t="n">
        <v>280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AML</t>
        </is>
      </c>
      <c r="B94" t="inlineStr">
        <is>
          <t>סרולוגיה לברוצלה</t>
        </is>
      </c>
      <c r="C94" t="inlineStr">
        <is>
          <t>סרולוגיה</t>
        </is>
      </c>
      <c r="E94" t="inlineStr">
        <is>
          <t>2026-06</t>
        </is>
      </c>
      <c r="F94" t="n">
        <v>194.92</v>
      </c>
      <c r="G94" t="n">
        <v>230.01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AML</t>
        </is>
      </c>
      <c r="B95" t="inlineStr">
        <is>
          <t>Serum Amyloid A - SAA</t>
        </is>
      </c>
      <c r="C95" t="inlineStr">
        <is>
          <t>סרולוגיה</t>
        </is>
      </c>
      <c r="E95" t="inlineStr">
        <is>
          <t>2026-06</t>
        </is>
      </c>
      <c r="F95" t="n">
        <v>271.19</v>
      </c>
      <c r="G95" t="n">
        <v>320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AML</t>
        </is>
      </c>
      <c r="B96" t="inlineStr">
        <is>
          <t>ארליכיה קאניס</t>
        </is>
      </c>
      <c r="C96" t="inlineStr">
        <is>
          <t>PCR</t>
        </is>
      </c>
      <c r="E96" t="inlineStr">
        <is>
          <t>2026-06</t>
        </is>
      </c>
      <c r="F96" t="n">
        <v>262.71</v>
      </c>
      <c r="G96" t="n">
        <v>310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AML</t>
        </is>
      </c>
      <c r="B97" t="inlineStr">
        <is>
          <t>אנאפלאזמה פלאטיס</t>
        </is>
      </c>
      <c r="C97" t="inlineStr">
        <is>
          <t>PCR</t>
        </is>
      </c>
      <c r="E97" t="inlineStr">
        <is>
          <t>2026-06</t>
        </is>
      </c>
      <c r="F97" t="n">
        <v>262.71</v>
      </c>
      <c r="G97" t="n">
        <v>310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AML</t>
        </is>
      </c>
      <c r="B98" t="inlineStr">
        <is>
          <t>בבזיה spp</t>
        </is>
      </c>
      <c r="C98" t="inlineStr">
        <is>
          <t>PCR</t>
        </is>
      </c>
      <c r="E98" t="inlineStr">
        <is>
          <t>2026-06</t>
        </is>
      </c>
      <c r="F98" t="n">
        <v>262.71</v>
      </c>
      <c r="G98" t="n">
        <v>310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AML</t>
        </is>
      </c>
      <c r="B99" t="inlineStr">
        <is>
          <t>לשמניה</t>
        </is>
      </c>
      <c r="C99" t="inlineStr">
        <is>
          <t>PCR</t>
        </is>
      </c>
      <c r="E99" t="inlineStr">
        <is>
          <t>2026-06</t>
        </is>
      </c>
      <c r="F99" t="n">
        <v>262.71</v>
      </c>
      <c r="G99" t="n">
        <v>310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AML</t>
        </is>
      </c>
      <c r="B100" t="inlineStr">
        <is>
          <t>לישמניה PCR + סרולוגיה</t>
        </is>
      </c>
      <c r="C100" t="inlineStr">
        <is>
          <t>PCR</t>
        </is>
      </c>
      <c r="E100" t="inlineStr">
        <is>
          <t>2026-06</t>
        </is>
      </c>
      <c r="F100" t="n">
        <v>372.88</v>
      </c>
      <c r="G100" t="n">
        <v>440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AML</t>
        </is>
      </c>
      <c r="B101" t="inlineStr">
        <is>
          <t>מיקופלסמה המופליס</t>
        </is>
      </c>
      <c r="C101" t="inlineStr">
        <is>
          <t>PCR</t>
        </is>
      </c>
      <c r="E101" t="inlineStr">
        <is>
          <t>2026-06</t>
        </is>
      </c>
      <c r="F101" t="n">
        <v>262.71</v>
      </c>
      <c r="G101" t="n">
        <v>310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AML</t>
        </is>
      </c>
      <c r="B102" t="inlineStr">
        <is>
          <t>לפטוספירה</t>
        </is>
      </c>
      <c r="C102" t="inlineStr">
        <is>
          <t>PCR</t>
        </is>
      </c>
      <c r="E102" t="inlineStr">
        <is>
          <t>2026-06</t>
        </is>
      </c>
      <c r="F102" t="n">
        <v>262.71</v>
      </c>
      <c r="G102" t="n">
        <v>310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AML</t>
        </is>
      </c>
      <c r="B103" t="inlineStr">
        <is>
          <t>פרוו/פאנלאוקופניה</t>
        </is>
      </c>
      <c r="C103" t="inlineStr">
        <is>
          <t>PCR</t>
        </is>
      </c>
      <c r="E103" t="inlineStr">
        <is>
          <t>2026-06</t>
        </is>
      </c>
      <c r="F103" t="n">
        <v>262.71</v>
      </c>
      <c r="G103" t="n">
        <v>310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AML</t>
        </is>
      </c>
      <c r="B104" t="inlineStr">
        <is>
          <t>PCR - שני פתוגנים</t>
        </is>
      </c>
      <c r="C104" t="inlineStr">
        <is>
          <t>PCR</t>
        </is>
      </c>
      <c r="E104" t="inlineStr">
        <is>
          <t>2026-06</t>
        </is>
      </c>
      <c r="F104" t="n">
        <v>432.2</v>
      </c>
      <c r="G104" t="n">
        <v>510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AML</t>
        </is>
      </c>
      <c r="B105" t="inlineStr">
        <is>
          <t>פאנל טפילי דם</t>
        </is>
      </c>
      <c r="C105" t="inlineStr">
        <is>
          <t>PCR</t>
        </is>
      </c>
      <c r="E105" t="inlineStr">
        <is>
          <t>2026-06</t>
        </is>
      </c>
      <c r="F105" t="n">
        <v>593.22</v>
      </c>
      <c r="G105" t="n">
        <v>700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AML</t>
        </is>
      </c>
      <c r="B106" t="inlineStr">
        <is>
          <t>TT4</t>
        </is>
      </c>
      <c r="C106" t="inlineStr">
        <is>
          <t>הורמונים</t>
        </is>
      </c>
      <c r="D106" t="inlineStr">
        <is>
          <t>1049</t>
        </is>
      </c>
      <c r="E106" t="inlineStr">
        <is>
          <t>2026-06</t>
        </is>
      </c>
      <c r="F106" t="n">
        <v>254.24</v>
      </c>
      <c r="G106" t="n">
        <v>300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AML</t>
        </is>
      </c>
      <c r="B107" t="inlineStr">
        <is>
          <t>TSH</t>
        </is>
      </c>
      <c r="C107" t="inlineStr">
        <is>
          <t>הורמונים</t>
        </is>
      </c>
      <c r="D107" t="inlineStr">
        <is>
          <t>1150</t>
        </is>
      </c>
      <c r="E107" t="inlineStr">
        <is>
          <t>2026-06</t>
        </is>
      </c>
      <c r="F107" t="n">
        <v>254.24</v>
      </c>
      <c r="G107" t="n">
        <v>300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AML</t>
        </is>
      </c>
      <c r="B108" t="inlineStr">
        <is>
          <t>FT4</t>
        </is>
      </c>
      <c r="C108" t="inlineStr">
        <is>
          <t>הורמונים</t>
        </is>
      </c>
      <c r="D108" t="inlineStr">
        <is>
          <t>1050</t>
        </is>
      </c>
      <c r="E108" t="inlineStr">
        <is>
          <t>2026-06</t>
        </is>
      </c>
      <c r="F108" t="n">
        <v>254.24</v>
      </c>
      <c r="G108" t="n">
        <v>300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AML</t>
        </is>
      </c>
      <c r="B109" t="inlineStr">
        <is>
          <t>פאנל תיירואיד</t>
        </is>
      </c>
      <c r="C109" t="inlineStr">
        <is>
          <t>הורמונים</t>
        </is>
      </c>
      <c r="D109" t="inlineStr">
        <is>
          <t>1078</t>
        </is>
      </c>
      <c r="E109" t="inlineStr">
        <is>
          <t>2026-06</t>
        </is>
      </c>
      <c r="F109" t="n">
        <v>406.78</v>
      </c>
      <c r="G109" t="n">
        <v>480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AML</t>
        </is>
      </c>
      <c r="B110" t="inlineStr">
        <is>
          <t>פאנל תיירואיד מורחב**</t>
        </is>
      </c>
      <c r="C110" t="inlineStr">
        <is>
          <t>הורמונים</t>
        </is>
      </c>
      <c r="D110" t="inlineStr">
        <is>
          <t>10010</t>
        </is>
      </c>
      <c r="E110" t="inlineStr">
        <is>
          <t>2026-06</t>
        </is>
      </c>
      <c r="F110" t="n">
        <v>754.24</v>
      </c>
      <c r="G110" t="n">
        <v>890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AML</t>
        </is>
      </c>
      <c r="B111" t="inlineStr">
        <is>
          <t>קורטיזול</t>
        </is>
      </c>
      <c r="C111" t="inlineStr">
        <is>
          <t>הורמונים</t>
        </is>
      </c>
      <c r="D111" t="inlineStr">
        <is>
          <t>1053</t>
        </is>
      </c>
      <c r="E111" t="inlineStr">
        <is>
          <t>2026-06</t>
        </is>
      </c>
      <c r="F111" t="n">
        <v>254.24</v>
      </c>
      <c r="G111" t="n">
        <v>300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AML</t>
        </is>
      </c>
      <c r="B112" t="inlineStr">
        <is>
          <t>קורטיזול X2</t>
        </is>
      </c>
      <c r="C112" t="inlineStr">
        <is>
          <t>הורמונים</t>
        </is>
      </c>
      <c r="D112" t="inlineStr">
        <is>
          <t>1302</t>
        </is>
      </c>
      <c r="E112" t="inlineStr">
        <is>
          <t>2026-06</t>
        </is>
      </c>
      <c r="F112" t="n">
        <v>372.88</v>
      </c>
      <c r="G112" t="n">
        <v>440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AML</t>
        </is>
      </c>
      <c r="B113" t="inlineStr">
        <is>
          <t>קורטיזול X2 (מעקב)</t>
        </is>
      </c>
      <c r="C113" t="inlineStr">
        <is>
          <t>הורמונים</t>
        </is>
      </c>
      <c r="E113" t="inlineStr">
        <is>
          <t>2026-06</t>
        </is>
      </c>
      <c r="F113" t="n">
        <v>330.51</v>
      </c>
      <c r="G113" t="n">
        <v>390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AML</t>
        </is>
      </c>
      <c r="B114" t="inlineStr">
        <is>
          <t>קורטיזול X3</t>
        </is>
      </c>
      <c r="C114" t="inlineStr">
        <is>
          <t>הורמונים</t>
        </is>
      </c>
      <c r="D114" t="inlineStr">
        <is>
          <t>1303</t>
        </is>
      </c>
      <c r="E114" t="inlineStr">
        <is>
          <t>2026-06</t>
        </is>
      </c>
      <c r="F114" t="n">
        <v>466.1</v>
      </c>
      <c r="G114" t="n">
        <v>550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AML</t>
        </is>
      </c>
      <c r="B115" t="inlineStr">
        <is>
          <t>fT4 + TSH</t>
        </is>
      </c>
      <c r="C115" t="inlineStr">
        <is>
          <t>הורמונים</t>
        </is>
      </c>
      <c r="D115" t="inlineStr">
        <is>
          <t>1071</t>
        </is>
      </c>
      <c r="E115" t="inlineStr">
        <is>
          <t>2026-06</t>
        </is>
      </c>
      <c r="F115" t="n">
        <v>372.88</v>
      </c>
      <c r="G115" t="n">
        <v>440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AML</t>
        </is>
      </c>
      <c r="B116" t="inlineStr">
        <is>
          <t>פרוגסטרון</t>
        </is>
      </c>
      <c r="C116" t="inlineStr">
        <is>
          <t>הורמונים</t>
        </is>
      </c>
      <c r="D116" t="inlineStr">
        <is>
          <t>1008</t>
        </is>
      </c>
      <c r="E116" t="inlineStr">
        <is>
          <t>2026-06</t>
        </is>
      </c>
      <c r="F116" t="n">
        <v>254.24</v>
      </c>
      <c r="G116" t="n">
        <v>300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AML</t>
        </is>
      </c>
      <c r="B117" t="inlineStr">
        <is>
          <t>טסטוסטרון</t>
        </is>
      </c>
      <c r="C117" t="inlineStr">
        <is>
          <t>הורמונים</t>
        </is>
      </c>
      <c r="D117" t="inlineStr">
        <is>
          <t>1057</t>
        </is>
      </c>
      <c r="E117" t="inlineStr">
        <is>
          <t>2026-06</t>
        </is>
      </c>
      <c r="F117" t="n">
        <v>279.66</v>
      </c>
      <c r="G117" t="n">
        <v>330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AML</t>
        </is>
      </c>
      <c r="B118" t="inlineStr">
        <is>
          <t>אסטרוגן</t>
        </is>
      </c>
      <c r="C118" t="inlineStr">
        <is>
          <t>הורמונים</t>
        </is>
      </c>
      <c r="D118" t="inlineStr">
        <is>
          <t>1061</t>
        </is>
      </c>
      <c r="E118" t="inlineStr">
        <is>
          <t>2026-06</t>
        </is>
      </c>
      <c r="F118" t="n">
        <v>279.66</v>
      </c>
      <c r="G118" t="n">
        <v>330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AML</t>
        </is>
      </c>
      <c r="B119" t="inlineStr">
        <is>
          <t>LH</t>
        </is>
      </c>
      <c r="C119" t="inlineStr">
        <is>
          <t>הורמונים</t>
        </is>
      </c>
      <c r="D119" t="inlineStr">
        <is>
          <t>582</t>
        </is>
      </c>
      <c r="E119" t="inlineStr">
        <is>
          <t>2026-06</t>
        </is>
      </c>
      <c r="F119" t="n">
        <v>296.61</v>
      </c>
      <c r="G119" t="n">
        <v>350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AML</t>
        </is>
      </c>
      <c r="B120" t="inlineStr">
        <is>
          <t>אינסולין**</t>
        </is>
      </c>
      <c r="C120" t="inlineStr">
        <is>
          <t>הורמונים</t>
        </is>
      </c>
      <c r="D120" t="inlineStr">
        <is>
          <t>580</t>
        </is>
      </c>
      <c r="E120" t="inlineStr">
        <is>
          <t>2026-06</t>
        </is>
      </c>
      <c r="F120" t="n">
        <v>415.25</v>
      </c>
      <c r="G120" t="n">
        <v>490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AML</t>
        </is>
      </c>
      <c r="B121" t="inlineStr">
        <is>
          <t>יחס קורטיזול/קראטינין בשתן*</t>
        </is>
      </c>
      <c r="C121" t="inlineStr">
        <is>
          <t>הורמונים</t>
        </is>
      </c>
      <c r="D121" t="inlineStr">
        <is>
          <t>539+2619</t>
        </is>
      </c>
      <c r="E121" t="inlineStr">
        <is>
          <t>2026-06</t>
        </is>
      </c>
      <c r="F121" t="n">
        <v>237.29</v>
      </c>
      <c r="G121" t="n">
        <v>280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AML</t>
        </is>
      </c>
      <c r="B122" t="inlineStr">
        <is>
          <t>היסטופתולוגיה</t>
        </is>
      </c>
      <c r="C122" t="inlineStr">
        <is>
          <t>פתולוגיה</t>
        </is>
      </c>
      <c r="D122" t="inlineStr">
        <is>
          <t>1502</t>
        </is>
      </c>
      <c r="E122" t="inlineStr">
        <is>
          <t>2026-06</t>
        </is>
      </c>
      <c r="F122" t="n">
        <v>381.36</v>
      </c>
      <c r="G122" t="n">
        <v>450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AML</t>
        </is>
      </c>
      <c r="B123" t="inlineStr">
        <is>
          <t>ציטולוגיה</t>
        </is>
      </c>
      <c r="C123" t="inlineStr">
        <is>
          <t>פתולוגיה</t>
        </is>
      </c>
      <c r="D123" t="inlineStr">
        <is>
          <t>1099</t>
        </is>
      </c>
      <c r="E123" t="inlineStr">
        <is>
          <t>2026-06</t>
        </is>
      </c>
      <c r="F123" t="n">
        <v>254.24</v>
      </c>
      <c r="G123" t="n">
        <v>300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AML</t>
        </is>
      </c>
      <c r="B124" t="inlineStr">
        <is>
          <t>אנליזת נוזלי גוף</t>
        </is>
      </c>
      <c r="C124" t="inlineStr">
        <is>
          <t>פתולוגיה</t>
        </is>
      </c>
      <c r="D124" t="inlineStr">
        <is>
          <t>1075</t>
        </is>
      </c>
      <c r="E124" t="inlineStr">
        <is>
          <t>2026-06</t>
        </is>
      </c>
      <c r="F124" t="n">
        <v>296.61</v>
      </c>
      <c r="G124" t="n">
        <v>350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המכון (מעבדה חיצונית)</t>
        </is>
      </c>
      <c r="B125" t="inlineStr">
        <is>
          <t>ספירת דם + פאנל ביוכימי מלא ללקוח פרטי (ללא משטח)</t>
        </is>
      </c>
      <c r="C125" t="inlineStr">
        <is>
          <t>המטולוגיה</t>
        </is>
      </c>
      <c r="D125" t="inlineStr">
        <is>
          <t>L188+L195</t>
        </is>
      </c>
      <c r="E125" t="inlineStr">
        <is>
          <t>2026-01</t>
        </is>
      </c>
      <c r="F125" t="n">
        <v>320</v>
      </c>
      <c r="G125" t="n">
        <v>377.6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המכון (מעבדה חיצונית)</t>
        </is>
      </c>
      <c r="B126" t="inlineStr">
        <is>
          <t>ספירת דם + פאנל ביוכימי מלא ללקוח פרטי (כולל משטח)</t>
        </is>
      </c>
      <c r="C126" t="inlineStr">
        <is>
          <t>המטולוגיה</t>
        </is>
      </c>
      <c r="D126" t="inlineStr">
        <is>
          <t>L188+L195</t>
        </is>
      </c>
      <c r="E126" t="inlineStr">
        <is>
          <t>2026-01</t>
        </is>
      </c>
      <c r="F126" t="n">
        <v>380</v>
      </c>
      <c r="G126" t="n">
        <v>448.4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המכון (מעבדה חיצונית)</t>
        </is>
      </c>
      <c r="B127" t="inlineStr">
        <is>
          <t>ספירת דם + פאנל ביוכימי מלא לוטרינר (ללא משטח)</t>
        </is>
      </c>
      <c r="C127" t="inlineStr">
        <is>
          <t>המטולוגיה</t>
        </is>
      </c>
      <c r="D127" t="inlineStr">
        <is>
          <t>L188+L195</t>
        </is>
      </c>
      <c r="E127" t="inlineStr">
        <is>
          <t>2026-01</t>
        </is>
      </c>
      <c r="F127" t="n">
        <v>250</v>
      </c>
      <c r="G127" t="n">
        <v>295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המכון (מעבדה חיצונית)</t>
        </is>
      </c>
      <c r="B128" t="inlineStr">
        <is>
          <t>ספירת דם + פאנל ביוכימי מלא לוטרינר (כולל משטח)</t>
        </is>
      </c>
      <c r="C128" t="inlineStr">
        <is>
          <t>המטולוגיה</t>
        </is>
      </c>
      <c r="D128" t="inlineStr">
        <is>
          <t>L188+L195</t>
        </is>
      </c>
      <c r="E128" t="inlineStr">
        <is>
          <t>2026-01</t>
        </is>
      </c>
      <c r="F128" t="n">
        <v>300</v>
      </c>
      <c r="G128" t="n">
        <v>354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המכון (מעבדה חיצונית)</t>
        </is>
      </c>
      <c r="B129" t="inlineStr">
        <is>
          <t>ספירת דם ומשטח</t>
        </is>
      </c>
      <c r="C129" t="inlineStr">
        <is>
          <t>המטולוגיה</t>
        </is>
      </c>
      <c r="D129" t="inlineStr">
        <is>
          <t>L188</t>
        </is>
      </c>
      <c r="E129" t="inlineStr">
        <is>
          <t>2026-01</t>
        </is>
      </c>
      <c r="F129" t="n">
        <v>180</v>
      </c>
      <c r="G129" t="n">
        <v>212.4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המכון (מעבדה חיצונית)</t>
        </is>
      </c>
      <c r="B130" t="inlineStr">
        <is>
          <t>משטח דם בלבד</t>
        </is>
      </c>
      <c r="C130" t="inlineStr">
        <is>
          <t>המטולוגיה</t>
        </is>
      </c>
      <c r="D130" t="inlineStr">
        <is>
          <t>L604</t>
        </is>
      </c>
      <c r="E130" t="inlineStr">
        <is>
          <t>2026-01</t>
        </is>
      </c>
      <c r="F130" t="n">
        <v>140</v>
      </c>
      <c r="G130" t="n">
        <v>165.2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המכון (מעבדה חיצונית)</t>
        </is>
      </c>
      <c r="B131" t="inlineStr">
        <is>
          <t>צביעת רטיקולוציטים</t>
        </is>
      </c>
      <c r="C131" t="inlineStr">
        <is>
          <t>המטולוגיה</t>
        </is>
      </c>
      <c r="D131" t="inlineStr">
        <is>
          <t>L611</t>
        </is>
      </c>
      <c r="E131" t="inlineStr">
        <is>
          <t>2026-01</t>
        </is>
      </c>
      <c r="F131" t="n">
        <v>120</v>
      </c>
      <c r="G131" t="n">
        <v>141.6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המכון (מעבדה חיצונית)</t>
        </is>
      </c>
      <c r="B132" t="inlineStr">
        <is>
          <t>התאמת דם</t>
        </is>
      </c>
      <c r="C132" t="inlineStr">
        <is>
          <t>המטולוגיה</t>
        </is>
      </c>
      <c r="D132" t="inlineStr">
        <is>
          <t>L623</t>
        </is>
      </c>
      <c r="E132" t="inlineStr">
        <is>
          <t>2026-01</t>
        </is>
      </c>
      <c r="F132" t="n">
        <v>120</v>
      </c>
      <c r="G132" t="n">
        <v>141.6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המכון (מעבדה חיצונית)</t>
        </is>
      </c>
      <c r="B133" t="inlineStr">
        <is>
          <t>קביעת סוג דם בחתול</t>
        </is>
      </c>
      <c r="C133" t="inlineStr">
        <is>
          <t>המטולוגיה</t>
        </is>
      </c>
      <c r="D133" t="inlineStr">
        <is>
          <t>L0200</t>
        </is>
      </c>
      <c r="E133" t="inlineStr">
        <is>
          <t>2026-01</t>
        </is>
      </c>
      <c r="F133" t="n">
        <v>160</v>
      </c>
      <c r="G133" t="n">
        <v>188.8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המכון (מעבדה חיצונית)</t>
        </is>
      </c>
      <c r="B134" t="inlineStr">
        <is>
          <t>קביעת סוג דם בחתול x2</t>
        </is>
      </c>
      <c r="C134" t="inlineStr">
        <is>
          <t>המטולוגיה</t>
        </is>
      </c>
      <c r="D134" t="inlineStr">
        <is>
          <t>L0199</t>
        </is>
      </c>
      <c r="E134" t="inlineStr">
        <is>
          <t>2026-01</t>
        </is>
      </c>
      <c r="F134" t="n">
        <v>220</v>
      </c>
      <c r="G134" t="n">
        <v>259.6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המכון (מעבדה חיצונית)</t>
        </is>
      </c>
      <c r="B135" t="inlineStr">
        <is>
          <t>מבחן אגלוטינציה</t>
        </is>
      </c>
      <c r="C135" t="inlineStr">
        <is>
          <t>המטולוגיה</t>
        </is>
      </c>
      <c r="D135" t="inlineStr">
        <is>
          <t>L202</t>
        </is>
      </c>
      <c r="E135" t="inlineStr">
        <is>
          <t>2026-01</t>
        </is>
      </c>
      <c r="F135" t="n">
        <v>110</v>
      </c>
      <c r="G135" t="n">
        <v>129.8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המכון (מעבדה חיצונית)</t>
        </is>
      </c>
      <c r="B136" t="inlineStr">
        <is>
          <t>שבירות אוסמוטית לאריתרוציטים</t>
        </is>
      </c>
      <c r="C136" t="inlineStr">
        <is>
          <t>המטולוגיה</t>
        </is>
      </c>
      <c r="D136" t="inlineStr">
        <is>
          <t>L629</t>
        </is>
      </c>
      <c r="E136" t="inlineStr">
        <is>
          <t>2026-01</t>
        </is>
      </c>
      <c r="F136" t="n">
        <v>120</v>
      </c>
      <c r="G136" t="n">
        <v>141.6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המכון (מעבדה חיצונית)</t>
        </is>
      </c>
      <c r="B137" t="inlineStr">
        <is>
          <t>מבחן קומבס (כלב)</t>
        </is>
      </c>
      <c r="C137" t="inlineStr">
        <is>
          <t>המטולוגיה</t>
        </is>
      </c>
      <c r="D137" t="inlineStr">
        <is>
          <t>L10251</t>
        </is>
      </c>
      <c r="E137" t="inlineStr">
        <is>
          <t>2026-01</t>
        </is>
      </c>
      <c r="F137" t="n">
        <v>310</v>
      </c>
      <c r="G137" t="n">
        <v>365.8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המכון (מעבדה חיצונית)</t>
        </is>
      </c>
      <c r="B138" t="inlineStr">
        <is>
          <t>ציטולוגיה</t>
        </is>
      </c>
      <c r="C138" t="inlineStr">
        <is>
          <t>ציטולוגיה</t>
        </is>
      </c>
      <c r="D138" t="inlineStr">
        <is>
          <t>L233</t>
        </is>
      </c>
      <c r="E138" t="inlineStr">
        <is>
          <t>2026-01</t>
        </is>
      </c>
      <c r="F138" t="n">
        <v>280</v>
      </c>
      <c r="G138" t="n">
        <v>330.4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המכון (מעבדה חיצונית)</t>
        </is>
      </c>
      <c r="B139" t="inlineStr">
        <is>
          <t>ציטולוגיה - משטח נוסף</t>
        </is>
      </c>
      <c r="C139" t="inlineStr">
        <is>
          <t>ציטולוגיה</t>
        </is>
      </c>
      <c r="D139" t="inlineStr">
        <is>
          <t>L2331</t>
        </is>
      </c>
      <c r="E139" t="inlineStr">
        <is>
          <t>2026-01</t>
        </is>
      </c>
      <c r="F139" t="n">
        <v>30</v>
      </c>
      <c r="G139" t="n">
        <v>35.4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המכון (מעבדה חיצונית)</t>
        </is>
      </c>
      <c r="B140" t="inlineStr">
        <is>
          <t>ציטולוגיה – מיקום אנטומי נוסף</t>
        </is>
      </c>
      <c r="C140" t="inlineStr">
        <is>
          <t>ציטולוגיה</t>
        </is>
      </c>
      <c r="D140" t="inlineStr">
        <is>
          <t>L2332</t>
        </is>
      </c>
      <c r="E140" t="inlineStr">
        <is>
          <t>2026-01</t>
        </is>
      </c>
      <c r="F140" t="n">
        <v>100</v>
      </c>
      <c r="G140" t="n">
        <v>118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המכון (מעבדה חיצונית)</t>
        </is>
      </c>
      <c r="B141" t="inlineStr">
        <is>
          <t>ציטולוגיה חוזרת</t>
        </is>
      </c>
      <c r="C141" t="inlineStr">
        <is>
          <t>ציטולוגיה</t>
        </is>
      </c>
      <c r="D141" t="inlineStr">
        <is>
          <t>L2333</t>
        </is>
      </c>
      <c r="E141" t="inlineStr">
        <is>
          <t>2026-01</t>
        </is>
      </c>
      <c r="F141" t="n">
        <v>150</v>
      </c>
      <c r="G141" t="n">
        <v>177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המכון (מעבדה חיצונית)</t>
        </is>
      </c>
      <c r="B142" t="inlineStr">
        <is>
          <t>מגרד עור צבוע</t>
        </is>
      </c>
      <c r="C142" t="inlineStr">
        <is>
          <t>ציטולוגיה</t>
        </is>
      </c>
      <c r="D142" t="inlineStr">
        <is>
          <t>L613</t>
        </is>
      </c>
      <c r="E142" t="inlineStr">
        <is>
          <t>2026-01</t>
        </is>
      </c>
      <c r="F142" t="n">
        <v>120</v>
      </c>
      <c r="G142" t="n">
        <v>141.6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המכון (מעבדה חיצונית)</t>
        </is>
      </c>
      <c r="B143" t="inlineStr">
        <is>
          <t>משטח אוזן צבוע</t>
        </is>
      </c>
      <c r="C143" t="inlineStr">
        <is>
          <t>ציטולוגיה</t>
        </is>
      </c>
      <c r="D143" t="inlineStr">
        <is>
          <t>L616</t>
        </is>
      </c>
      <c r="E143" t="inlineStr">
        <is>
          <t>2026-01</t>
        </is>
      </c>
      <c r="F143" t="n">
        <v>150</v>
      </c>
      <c r="G143" t="n">
        <v>177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המכון (מעבדה חיצונית)</t>
        </is>
      </c>
      <c r="B144" t="inlineStr">
        <is>
          <t>ציטולוגיה CSF (ציטוספין)</t>
        </is>
      </c>
      <c r="C144" t="inlineStr">
        <is>
          <t>ציטולוגיה</t>
        </is>
      </c>
      <c r="D144" t="inlineStr">
        <is>
          <t>L599</t>
        </is>
      </c>
      <c r="E144" t="inlineStr">
        <is>
          <t>2026-01</t>
        </is>
      </c>
      <c r="F144" t="n">
        <v>220</v>
      </c>
      <c r="G144" t="n">
        <v>259.6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המכון (מעבדה חיצונית)</t>
        </is>
      </c>
      <c r="B145" t="inlineStr">
        <is>
          <t>ציטולוגיה בציטוספין</t>
        </is>
      </c>
      <c r="C145" t="inlineStr">
        <is>
          <t>ציטולוגיה</t>
        </is>
      </c>
      <c r="D145" t="inlineStr">
        <is>
          <t>L0594</t>
        </is>
      </c>
      <c r="E145" t="inlineStr">
        <is>
          <t>2026-01</t>
        </is>
      </c>
      <c r="F145" t="n">
        <v>240</v>
      </c>
      <c r="G145" t="n">
        <v>283.2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המכון (מעבדה חיצונית)</t>
        </is>
      </c>
      <c r="B146" t="inlineStr">
        <is>
          <t>אנליזת נוזל גוף</t>
        </is>
      </c>
      <c r="C146" t="inlineStr">
        <is>
          <t>ציטולוגיה</t>
        </is>
      </c>
      <c r="D146" t="inlineStr">
        <is>
          <t>L597</t>
        </is>
      </c>
      <c r="E146" t="inlineStr">
        <is>
          <t>2026-01</t>
        </is>
      </c>
      <c r="F146" t="n">
        <v>240</v>
      </c>
      <c r="G146" t="n">
        <v>283.2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המכון (מעבדה חיצונית)</t>
        </is>
      </c>
      <c r="B147" t="inlineStr">
        <is>
          <t>ציטולוגיה מח עצם</t>
        </is>
      </c>
      <c r="C147" t="inlineStr">
        <is>
          <t>ציטולוגיה</t>
        </is>
      </c>
      <c r="D147" t="inlineStr">
        <is>
          <t>L600</t>
        </is>
      </c>
      <c r="E147" t="inlineStr">
        <is>
          <t>2026-01</t>
        </is>
      </c>
      <c r="F147" t="n">
        <v>410</v>
      </c>
      <c r="G147" t="n">
        <v>483.8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המכון (מעבדה חיצונית)</t>
        </is>
      </c>
      <c r="B148" t="inlineStr">
        <is>
          <t>FIV/FeLV (סרולוגיה)</t>
        </is>
      </c>
      <c r="C148" t="inlineStr">
        <is>
          <t>סרולוגיה/PCR</t>
        </is>
      </c>
      <c r="D148" t="inlineStr">
        <is>
          <t>L225</t>
        </is>
      </c>
      <c r="E148" t="inlineStr">
        <is>
          <t>2026-01</t>
        </is>
      </c>
      <c r="F148" t="n">
        <v>290</v>
      </c>
      <c r="G148" t="n">
        <v>342.2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המכון (מעבדה חיצונית)</t>
        </is>
      </c>
      <c r="B149" t="inlineStr">
        <is>
          <t>ארליכיה</t>
        </is>
      </c>
      <c r="C149" t="inlineStr">
        <is>
          <t>סרולוגיה/PCR</t>
        </is>
      </c>
      <c r="D149" t="inlineStr">
        <is>
          <t>L229</t>
        </is>
      </c>
      <c r="E149" t="inlineStr">
        <is>
          <t>2026-01</t>
        </is>
      </c>
      <c r="F149" t="n">
        <v>180</v>
      </c>
      <c r="G149" t="n">
        <v>212.4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המכון (מעבדה חיצונית)</t>
        </is>
      </c>
      <c r="B150" t="inlineStr">
        <is>
          <t>קורונה</t>
        </is>
      </c>
      <c r="C150" t="inlineStr">
        <is>
          <t>סרולוגיה/PCR</t>
        </is>
      </c>
      <c r="D150" t="inlineStr">
        <is>
          <t>L226</t>
        </is>
      </c>
      <c r="E150" t="inlineStr">
        <is>
          <t>2026-01</t>
        </is>
      </c>
      <c r="F150" t="n">
        <v>170</v>
      </c>
      <c r="G150" t="n">
        <v>200.6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המכון (מעבדה חיצונית)</t>
        </is>
      </c>
      <c r="B151" t="inlineStr">
        <is>
          <t>פרוו (אנטיגן בצואה)</t>
        </is>
      </c>
      <c r="C151" t="inlineStr">
        <is>
          <t>סרולוגיה/PCR</t>
        </is>
      </c>
      <c r="D151" t="inlineStr">
        <is>
          <t>L227</t>
        </is>
      </c>
      <c r="E151" t="inlineStr">
        <is>
          <t>2026-01</t>
        </is>
      </c>
      <c r="F151" t="n">
        <v>210</v>
      </c>
      <c r="G151" t="n">
        <v>247.8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המכון (מעבדה חיצונית)</t>
        </is>
      </c>
      <c r="B152" t="inlineStr">
        <is>
          <t>ג'יארדיה (אנטיגן בצואה)</t>
        </is>
      </c>
      <c r="C152" t="inlineStr">
        <is>
          <t>סרולוגיה/PCR</t>
        </is>
      </c>
      <c r="D152" t="inlineStr">
        <is>
          <t>L0619</t>
        </is>
      </c>
      <c r="E152" t="inlineStr">
        <is>
          <t>2026-01</t>
        </is>
      </c>
      <c r="F152" t="n">
        <v>230</v>
      </c>
      <c r="G152" t="n">
        <v>271.4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המכון (מעבדה חיצונית)</t>
        </is>
      </c>
      <c r="B153" t="inlineStr">
        <is>
          <t>לשמניה</t>
        </is>
      </c>
      <c r="C153" t="inlineStr">
        <is>
          <t>סרולוגיה/PCR</t>
        </is>
      </c>
      <c r="D153" t="inlineStr">
        <is>
          <t>L593</t>
        </is>
      </c>
      <c r="E153" t="inlineStr">
        <is>
          <t>2026-01</t>
        </is>
      </c>
      <c r="F153" t="n">
        <v>420</v>
      </c>
      <c r="G153" t="n">
        <v>495.6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המכון (מעבדה חיצונית)</t>
        </is>
      </c>
      <c r="B154" t="inlineStr">
        <is>
          <t>טוקסופלסמה (סרולוגיה, מכון)</t>
        </is>
      </c>
      <c r="C154" t="inlineStr">
        <is>
          <t>סרולוגיה/PCR</t>
        </is>
      </c>
      <c r="D154" t="inlineStr">
        <is>
          <t>L187</t>
        </is>
      </c>
      <c r="E154" t="inlineStr">
        <is>
          <t>2026-01</t>
        </is>
      </c>
      <c r="F154" t="n">
        <v>250</v>
      </c>
      <c r="G154" t="n">
        <v>295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המכון (מעבדה חיצונית)</t>
        </is>
      </c>
      <c r="B155" t="inlineStr">
        <is>
          <t>ניאוספורה (סרולוגיה, מכון)</t>
        </is>
      </c>
      <c r="C155" t="inlineStr">
        <is>
          <t>סרולוגיה/PCR</t>
        </is>
      </c>
      <c r="D155" t="inlineStr">
        <is>
          <t>L186</t>
        </is>
      </c>
      <c r="E155" t="inlineStr">
        <is>
          <t>2026-01</t>
        </is>
      </c>
      <c r="F155" t="n">
        <v>250</v>
      </c>
      <c r="G155" t="n">
        <v>295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המכון (מעבדה חיצונית)</t>
        </is>
      </c>
      <c r="B156" t="inlineStr">
        <is>
          <t>טוקסופלסמה + נאוספורה (מכון)</t>
        </is>
      </c>
      <c r="C156" t="inlineStr">
        <is>
          <t>סרולוגיה/PCR</t>
        </is>
      </c>
      <c r="D156" t="inlineStr">
        <is>
          <t>L605</t>
        </is>
      </c>
      <c r="E156" t="inlineStr">
        <is>
          <t>2026-01</t>
        </is>
      </c>
      <c r="F156" t="n">
        <v>340</v>
      </c>
      <c r="G156" t="n">
        <v>401.2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המכון (מעבדה חיצונית)</t>
        </is>
      </c>
      <c r="B157" t="inlineStr">
        <is>
          <t>לפטוספירה (סרולוגיה, מכון)</t>
        </is>
      </c>
      <c r="C157" t="inlineStr">
        <is>
          <t>סרולוגיה/PCR</t>
        </is>
      </c>
      <c r="D157" t="inlineStr">
        <is>
          <t>L184</t>
        </is>
      </c>
      <c r="E157" t="inlineStr">
        <is>
          <t>2026-01</t>
        </is>
      </c>
      <c r="F157" t="n">
        <v>250</v>
      </c>
      <c r="G157" t="n">
        <v>295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המכון (מעבדה חיצונית)</t>
        </is>
      </c>
      <c r="B158" t="inlineStr">
        <is>
          <t>ברוצלה (סרולוגיה, מכון)</t>
        </is>
      </c>
      <c r="C158" t="inlineStr">
        <is>
          <t>סרולוגיה/PCR</t>
        </is>
      </c>
      <c r="D158" t="inlineStr">
        <is>
          <t>L0700</t>
        </is>
      </c>
      <c r="E158" t="inlineStr">
        <is>
          <t>2026-01</t>
        </is>
      </c>
      <c r="F158" t="n">
        <v>150</v>
      </c>
      <c r="G158" t="n">
        <v>177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המכון (מעבדה חיצונית)</t>
        </is>
      </c>
      <c r="B159" t="inlineStr">
        <is>
          <t>בדיקת PCR - מעבדת פרופ' גד בנעט</t>
        </is>
      </c>
      <c r="C159" t="inlineStr">
        <is>
          <t>סרולוגיה/PCR</t>
        </is>
      </c>
      <c r="D159" t="inlineStr">
        <is>
          <t>L20184</t>
        </is>
      </c>
      <c r="E159" t="inlineStr">
        <is>
          <t>2026-01</t>
        </is>
      </c>
      <c r="F159" t="n">
        <v>590</v>
      </c>
      <c r="G159" t="n">
        <v>696.2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המכון (מעבדה חיצונית)</t>
        </is>
      </c>
      <c r="B160" t="inlineStr">
        <is>
          <t>פאנל ביוכימי מלא</t>
        </is>
      </c>
      <c r="C160" t="inlineStr">
        <is>
          <t>ביוכימיה</t>
        </is>
      </c>
      <c r="D160" t="inlineStr">
        <is>
          <t>L195</t>
        </is>
      </c>
      <c r="E160" t="inlineStr">
        <is>
          <t>2026-01</t>
        </is>
      </c>
      <c r="F160" t="n">
        <v>310</v>
      </c>
      <c r="G160" t="n">
        <v>365.8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המכון (מעבדה חיצונית)</t>
        </is>
      </c>
      <c r="B161" t="inlineStr">
        <is>
          <t>ביוכימיה 6-8 מדדים</t>
        </is>
      </c>
      <c r="C161" t="inlineStr">
        <is>
          <t>ביוכימיה</t>
        </is>
      </c>
      <c r="D161" t="inlineStr">
        <is>
          <t>L196</t>
        </is>
      </c>
      <c r="E161" t="inlineStr">
        <is>
          <t>2026-01</t>
        </is>
      </c>
      <c r="F161" t="n">
        <v>190</v>
      </c>
      <c r="G161" t="n">
        <v>224.2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המכון (מעבדה חיצונית)</t>
        </is>
      </c>
      <c r="B162" t="inlineStr">
        <is>
          <t>ביוכימיה 2-5 מדדים</t>
        </is>
      </c>
      <c r="C162" t="inlineStr">
        <is>
          <t>ביוכימיה</t>
        </is>
      </c>
      <c r="D162" t="inlineStr">
        <is>
          <t>L197</t>
        </is>
      </c>
      <c r="E162" t="inlineStr">
        <is>
          <t>2026-01</t>
        </is>
      </c>
      <c r="F162" t="n">
        <v>170</v>
      </c>
      <c r="G162" t="n">
        <v>200.6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המכון (מעבדה חיצונית)</t>
        </is>
      </c>
      <c r="B163" t="inlineStr">
        <is>
          <t>ביוכימיה מדד בודד</t>
        </is>
      </c>
      <c r="C163" t="inlineStr">
        <is>
          <t>ביוכימיה</t>
        </is>
      </c>
      <c r="D163" t="inlineStr">
        <is>
          <t>L0196</t>
        </is>
      </c>
      <c r="E163" t="inlineStr">
        <is>
          <t>2026-01</t>
        </is>
      </c>
      <c r="F163" t="n">
        <v>140</v>
      </c>
      <c r="G163" t="n">
        <v>165.2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המכון (מעבדה חיצונית)</t>
        </is>
      </c>
      <c r="B164" t="inlineStr">
        <is>
          <t>ליפאז (DGGR)</t>
        </is>
      </c>
      <c r="C164" t="inlineStr">
        <is>
          <t>ביוכימיה</t>
        </is>
      </c>
      <c r="D164" t="inlineStr">
        <is>
          <t>L621</t>
        </is>
      </c>
      <c r="E164" t="inlineStr">
        <is>
          <t>2026-01</t>
        </is>
      </c>
      <c r="F164" t="n">
        <v>150</v>
      </c>
      <c r="G164" t="n">
        <v>177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המכון (מעבדה חיצונית)</t>
        </is>
      </c>
      <c r="B165" t="inlineStr">
        <is>
          <t>SDMA</t>
        </is>
      </c>
      <c r="C165" t="inlineStr">
        <is>
          <t>ביוכימיה</t>
        </is>
      </c>
      <c r="D165" t="inlineStr">
        <is>
          <t>L20200</t>
        </is>
      </c>
      <c r="E165" t="inlineStr">
        <is>
          <t>2026-01</t>
        </is>
      </c>
      <c r="F165" t="n">
        <v>210</v>
      </c>
      <c r="G165" t="n">
        <v>247.8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המכון (מעבדה חיצונית)</t>
        </is>
      </c>
      <c r="B166" t="inlineStr">
        <is>
          <t>לקטאט</t>
        </is>
      </c>
      <c r="C166" t="inlineStr">
        <is>
          <t>ביוכימיה</t>
        </is>
      </c>
      <c r="D166" t="inlineStr">
        <is>
          <t>L0197</t>
        </is>
      </c>
      <c r="E166" t="inlineStr">
        <is>
          <t>2026-01</t>
        </is>
      </c>
      <c r="F166" t="n">
        <v>140</v>
      </c>
      <c r="G166" t="n">
        <v>165.2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המכון (מעבדה חיצונית)</t>
        </is>
      </c>
      <c r="B167" t="inlineStr">
        <is>
          <t>חומצות מרה x1</t>
        </is>
      </c>
      <c r="C167" t="inlineStr">
        <is>
          <t>ביוכימיה</t>
        </is>
      </c>
      <c r="D167" t="inlineStr">
        <is>
          <t>L93</t>
        </is>
      </c>
      <c r="E167" t="inlineStr">
        <is>
          <t>2026-01</t>
        </is>
      </c>
      <c r="F167" t="n">
        <v>230</v>
      </c>
      <c r="G167" t="n">
        <v>271.4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המכון (מעבדה חיצונית)</t>
        </is>
      </c>
      <c r="B168" t="inlineStr">
        <is>
          <t>חומצות מרה x2</t>
        </is>
      </c>
      <c r="C168" t="inlineStr">
        <is>
          <t>ביוכימיה</t>
        </is>
      </c>
      <c r="D168" t="inlineStr">
        <is>
          <t>L92</t>
        </is>
      </c>
      <c r="E168" t="inlineStr">
        <is>
          <t>2026-01</t>
        </is>
      </c>
      <c r="F168" t="n">
        <v>370</v>
      </c>
      <c r="G168" t="n">
        <v>436.6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המכון (מעבדה חיצונית)</t>
        </is>
      </c>
      <c r="B169" t="inlineStr">
        <is>
          <t>קטונים בדם</t>
        </is>
      </c>
      <c r="C169" t="inlineStr">
        <is>
          <t>ביוכימיה</t>
        </is>
      </c>
      <c r="D169" t="inlineStr">
        <is>
          <t>L634</t>
        </is>
      </c>
      <c r="E169" t="inlineStr">
        <is>
          <t>2026-01</t>
        </is>
      </c>
      <c r="F169" t="n">
        <v>120</v>
      </c>
      <c r="G169" t="n">
        <v>141.6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המכון (מעבדה חיצונית)</t>
        </is>
      </c>
      <c r="B170" t="inlineStr">
        <is>
          <t>פרוקטוזמין</t>
        </is>
      </c>
      <c r="C170" t="inlineStr">
        <is>
          <t>ביוכימיה</t>
        </is>
      </c>
      <c r="D170" t="inlineStr">
        <is>
          <t>L633</t>
        </is>
      </c>
      <c r="E170" t="inlineStr">
        <is>
          <t>2026-01</t>
        </is>
      </c>
      <c r="F170" t="n">
        <v>200</v>
      </c>
      <c r="G170" t="n">
        <v>236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המכון (מעבדה חיצונית)</t>
        </is>
      </c>
      <c r="B171" t="inlineStr">
        <is>
          <t>HbA1c</t>
        </is>
      </c>
      <c r="C171" t="inlineStr">
        <is>
          <t>ביוכימיה</t>
        </is>
      </c>
      <c r="D171" t="inlineStr">
        <is>
          <t>L1206</t>
        </is>
      </c>
      <c r="E171" t="inlineStr">
        <is>
          <t>2026-01</t>
        </is>
      </c>
      <c r="F171" t="n">
        <v>200</v>
      </c>
      <c r="G171" t="n">
        <v>236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המכון (מעבדה חיצונית)</t>
        </is>
      </c>
      <c r="B172" t="inlineStr">
        <is>
          <t>אמוניה</t>
        </is>
      </c>
      <c r="C172" t="inlineStr">
        <is>
          <t>ביוכימיה</t>
        </is>
      </c>
      <c r="D172" t="inlineStr">
        <is>
          <t>L643</t>
        </is>
      </c>
      <c r="E172" t="inlineStr">
        <is>
          <t>2026-01</t>
        </is>
      </c>
      <c r="F172" t="n">
        <v>150</v>
      </c>
      <c r="G172" t="n">
        <v>177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המכון (מעבדה חיצונית)</t>
        </is>
      </c>
      <c r="B173" t="inlineStr">
        <is>
          <t>כולין אסטראז</t>
        </is>
      </c>
      <c r="C173" t="inlineStr">
        <is>
          <t>ביוכימיה</t>
        </is>
      </c>
      <c r="D173" t="inlineStr">
        <is>
          <t>L0198</t>
        </is>
      </c>
      <c r="E173" t="inlineStr">
        <is>
          <t>2026-01</t>
        </is>
      </c>
      <c r="F173" t="n">
        <v>120</v>
      </c>
      <c r="G173" t="n">
        <v>141.6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המכון (מעבדה חיצונית)</t>
        </is>
      </c>
      <c r="B174" t="inlineStr">
        <is>
          <t>חלבון CSF</t>
        </is>
      </c>
      <c r="C174" t="inlineStr">
        <is>
          <t>ביוכימיה</t>
        </is>
      </c>
      <c r="D174" t="inlineStr">
        <is>
          <t>L637</t>
        </is>
      </c>
      <c r="E174" t="inlineStr">
        <is>
          <t>2026-01</t>
        </is>
      </c>
      <c r="F174" t="n">
        <v>150</v>
      </c>
      <c r="G174" t="n">
        <v>177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המכון (מעבדה חיצונית)</t>
        </is>
      </c>
      <c r="B175" t="inlineStr">
        <is>
          <t>iCa + pH</t>
        </is>
      </c>
      <c r="C175" t="inlineStr">
        <is>
          <t>ביוכימיה</t>
        </is>
      </c>
      <c r="D175" t="inlineStr">
        <is>
          <t>L0198</t>
        </is>
      </c>
      <c r="E175" t="inlineStr">
        <is>
          <t>2026-01</t>
        </is>
      </c>
      <c r="F175" t="n">
        <v>160</v>
      </c>
      <c r="G175" t="n">
        <v>188.8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המכון (מעבדה חיצונית)</t>
        </is>
      </c>
      <c r="B176" t="inlineStr">
        <is>
          <t>ברזל + UIBC</t>
        </is>
      </c>
      <c r="C176" t="inlineStr">
        <is>
          <t>ביוכימיה</t>
        </is>
      </c>
      <c r="D176" t="inlineStr">
        <is>
          <t>L644</t>
        </is>
      </c>
      <c r="E176" t="inlineStr">
        <is>
          <t>2026-01</t>
        </is>
      </c>
      <c r="F176" t="n">
        <v>80</v>
      </c>
      <c r="G176" t="n">
        <v>94.40000000000001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המכון (מעבדה חיצונית)</t>
        </is>
      </c>
      <c r="B177" t="inlineStr">
        <is>
          <t>טרופונין T</t>
        </is>
      </c>
      <c r="C177" t="inlineStr">
        <is>
          <t>ביוכימיה</t>
        </is>
      </c>
      <c r="D177" t="inlineStr">
        <is>
          <t>L98</t>
        </is>
      </c>
      <c r="E177" t="inlineStr">
        <is>
          <t>2026-01</t>
        </is>
      </c>
      <c r="F177" t="n">
        <v>120</v>
      </c>
      <c r="G177" t="n">
        <v>141.6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המכון (מעבדה חיצונית)</t>
        </is>
      </c>
      <c r="B178" t="inlineStr">
        <is>
          <t>CRP</t>
        </is>
      </c>
      <c r="C178" t="inlineStr">
        <is>
          <t>ביוכימיה</t>
        </is>
      </c>
      <c r="D178" t="inlineStr">
        <is>
          <t>L19100</t>
        </is>
      </c>
      <c r="E178" t="inlineStr">
        <is>
          <t>2026-01</t>
        </is>
      </c>
      <c r="F178" t="n">
        <v>220</v>
      </c>
      <c r="G178" t="n">
        <v>259.6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המכון (מעבדה חיצונית)</t>
        </is>
      </c>
      <c r="B179" t="inlineStr">
        <is>
          <t>SAA לסוס</t>
        </is>
      </c>
      <c r="C179" t="inlineStr">
        <is>
          <t>ביוכימיה</t>
        </is>
      </c>
      <c r="D179" t="inlineStr">
        <is>
          <t>L28233</t>
        </is>
      </c>
      <c r="E179" t="inlineStr">
        <is>
          <t>2026-01</t>
        </is>
      </c>
      <c r="F179" t="n">
        <v>240</v>
      </c>
      <c r="G179" t="n">
        <v>283.2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המכון (מעבדה חיצונית)</t>
        </is>
      </c>
      <c r="B180" t="inlineStr">
        <is>
          <t>SAA לחתול</t>
        </is>
      </c>
      <c r="C180" t="inlineStr">
        <is>
          <t>ביוכימיה</t>
        </is>
      </c>
      <c r="D180" t="inlineStr">
        <is>
          <t>L20233</t>
        </is>
      </c>
      <c r="E180" t="inlineStr">
        <is>
          <t>2026-01</t>
        </is>
      </c>
      <c r="F180" t="n">
        <v>230</v>
      </c>
      <c r="G180" t="n">
        <v>271.4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המכון (מעבדה חיצונית)</t>
        </is>
      </c>
      <c r="B181" t="inlineStr">
        <is>
          <t>B12</t>
        </is>
      </c>
      <c r="C181" t="inlineStr">
        <is>
          <t>ביוכימיה</t>
        </is>
      </c>
      <c r="D181" t="inlineStr">
        <is>
          <t>L10012</t>
        </is>
      </c>
      <c r="E181" t="inlineStr">
        <is>
          <t>2026-01</t>
        </is>
      </c>
      <c r="F181" t="n">
        <v>180</v>
      </c>
      <c r="G181" t="n">
        <v>212.4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המכון (מעבדה חיצונית)</t>
        </is>
      </c>
      <c r="B182" t="inlineStr">
        <is>
          <t>פולט</t>
        </is>
      </c>
      <c r="C182" t="inlineStr">
        <is>
          <t>ביוכימיה</t>
        </is>
      </c>
      <c r="D182" t="inlineStr">
        <is>
          <t>L10013</t>
        </is>
      </c>
      <c r="E182" t="inlineStr">
        <is>
          <t>2026-01</t>
        </is>
      </c>
      <c r="F182" t="n">
        <v>180</v>
      </c>
      <c r="G182" t="n">
        <v>212.4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המכון (מעבדה חיצונית)</t>
        </is>
      </c>
      <c r="B183" t="inlineStr">
        <is>
          <t>B12 + פולט</t>
        </is>
      </c>
      <c r="C183" t="inlineStr">
        <is>
          <t>ביוכימיה</t>
        </is>
      </c>
      <c r="D183" t="inlineStr">
        <is>
          <t>L0611</t>
        </is>
      </c>
      <c r="E183" t="inlineStr">
        <is>
          <t>2026-01</t>
        </is>
      </c>
      <c r="F183" t="n">
        <v>270</v>
      </c>
      <c r="G183" t="n">
        <v>318.6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המכון (מעבדה חיצונית)</t>
        </is>
      </c>
      <c r="B184" t="inlineStr">
        <is>
          <t>BNP</t>
        </is>
      </c>
      <c r="C184" t="inlineStr">
        <is>
          <t>ביוכימיה</t>
        </is>
      </c>
      <c r="D184" t="inlineStr">
        <is>
          <t>L18892</t>
        </is>
      </c>
      <c r="E184" t="inlineStr">
        <is>
          <t>2026-01</t>
        </is>
      </c>
      <c r="F184" t="n">
        <v>330</v>
      </c>
      <c r="G184" t="n">
        <v>389.4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המכון (מעבדה חיצונית)</t>
        </is>
      </c>
      <c r="B185" t="inlineStr">
        <is>
          <t>אלקטרופורזה</t>
        </is>
      </c>
      <c r="C185" t="inlineStr">
        <is>
          <t>ביוכימיה</t>
        </is>
      </c>
      <c r="D185" t="inlineStr">
        <is>
          <t>L10253</t>
        </is>
      </c>
      <c r="E185" t="inlineStr">
        <is>
          <t>2026-01</t>
        </is>
      </c>
      <c r="F185" t="n">
        <v>460</v>
      </c>
      <c r="G185" t="n">
        <v>542.8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המכון (מעבדה חיצונית)</t>
        </is>
      </c>
      <c r="B186" t="inlineStr">
        <is>
          <t>אלקטרופורזה (כלב)</t>
        </is>
      </c>
      <c r="C186" t="inlineStr">
        <is>
          <t>ביוכימיה</t>
        </is>
      </c>
      <c r="D186" t="inlineStr">
        <is>
          <t>L609</t>
        </is>
      </c>
      <c r="E186" t="inlineStr">
        <is>
          <t>2026-01</t>
        </is>
      </c>
      <c r="F186" t="n">
        <v>380</v>
      </c>
      <c r="G186" t="n">
        <v>448.4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המכון (מעבדה חיצונית)</t>
        </is>
      </c>
      <c r="B187" t="inlineStr">
        <is>
          <t>קורטיזול</t>
        </is>
      </c>
      <c r="C187" t="inlineStr">
        <is>
          <t>הורמונים</t>
        </is>
      </c>
      <c r="D187" t="inlineStr">
        <is>
          <t>L218</t>
        </is>
      </c>
      <c r="E187" t="inlineStr">
        <is>
          <t>2026-01</t>
        </is>
      </c>
      <c r="F187" t="n">
        <v>250</v>
      </c>
      <c r="G187" t="n">
        <v>295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המכון (מעבדה חיצונית)</t>
        </is>
      </c>
      <c r="B188" t="inlineStr">
        <is>
          <t>קורטיזול x2</t>
        </is>
      </c>
      <c r="C188" t="inlineStr">
        <is>
          <t>הורמונים</t>
        </is>
      </c>
      <c r="D188" t="inlineStr">
        <is>
          <t>L219</t>
        </is>
      </c>
      <c r="E188" t="inlineStr">
        <is>
          <t>2026-01</t>
        </is>
      </c>
      <c r="F188" t="n">
        <v>360</v>
      </c>
      <c r="G188" t="n">
        <v>424.8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המכון (מעבדה חיצונית)</t>
        </is>
      </c>
      <c r="B189" t="inlineStr">
        <is>
          <t>קורטיזול x3</t>
        </is>
      </c>
      <c r="C189" t="inlineStr">
        <is>
          <t>הורמונים</t>
        </is>
      </c>
      <c r="D189" t="inlineStr">
        <is>
          <t>L220</t>
        </is>
      </c>
      <c r="E189" t="inlineStr">
        <is>
          <t>2026-01</t>
        </is>
      </c>
      <c r="F189" t="n">
        <v>450</v>
      </c>
      <c r="G189" t="n">
        <v>531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המכון (מעבדה חיצונית)</t>
        </is>
      </c>
      <c r="B190" t="inlineStr">
        <is>
          <t>Total T4</t>
        </is>
      </c>
      <c r="C190" t="inlineStr">
        <is>
          <t>הורמונים</t>
        </is>
      </c>
      <c r="D190" t="inlineStr">
        <is>
          <t>L601</t>
        </is>
      </c>
      <c r="E190" t="inlineStr">
        <is>
          <t>2026-01</t>
        </is>
      </c>
      <c r="F190" t="n">
        <v>250</v>
      </c>
      <c r="G190" t="n">
        <v>295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המכון (מעבדה חיצונית)</t>
        </is>
      </c>
      <c r="B191" t="inlineStr">
        <is>
          <t>Free T4</t>
        </is>
      </c>
      <c r="C191" t="inlineStr">
        <is>
          <t>הורמונים</t>
        </is>
      </c>
      <c r="D191" t="inlineStr">
        <is>
          <t>L646</t>
        </is>
      </c>
      <c r="E191" t="inlineStr">
        <is>
          <t>2026-01</t>
        </is>
      </c>
      <c r="F191" t="n">
        <v>250</v>
      </c>
      <c r="G191" t="n">
        <v>295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המכון (מעבדה חיצונית)</t>
        </is>
      </c>
      <c r="B192" t="inlineStr">
        <is>
          <t>cTSH</t>
        </is>
      </c>
      <c r="C192" t="inlineStr">
        <is>
          <t>הורמונים</t>
        </is>
      </c>
      <c r="D192" t="inlineStr">
        <is>
          <t>L628</t>
        </is>
      </c>
      <c r="E192" t="inlineStr">
        <is>
          <t>2026-01</t>
        </is>
      </c>
      <c r="F192" t="n">
        <v>250</v>
      </c>
      <c r="G192" t="n">
        <v>295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המכון (מעבדה חיצונית)</t>
        </is>
      </c>
      <c r="B193" t="inlineStr">
        <is>
          <t>Free T4 + cTSH</t>
        </is>
      </c>
      <c r="C193" t="inlineStr">
        <is>
          <t>הורמונים</t>
        </is>
      </c>
      <c r="D193" t="inlineStr">
        <is>
          <t>L647</t>
        </is>
      </c>
      <c r="E193" t="inlineStr">
        <is>
          <t>2026-01</t>
        </is>
      </c>
      <c r="F193" t="n">
        <v>360</v>
      </c>
      <c r="G193" t="n">
        <v>424.8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המכון (מעבדה חיצונית)</t>
        </is>
      </c>
      <c r="B194" t="inlineStr">
        <is>
          <t>ACTH</t>
        </is>
      </c>
      <c r="C194" t="inlineStr">
        <is>
          <t>הורמונים</t>
        </is>
      </c>
      <c r="D194" t="inlineStr">
        <is>
          <t>L457</t>
        </is>
      </c>
      <c r="E194" t="inlineStr">
        <is>
          <t>2026-01</t>
        </is>
      </c>
      <c r="F194" t="n">
        <v>250</v>
      </c>
      <c r="G194" t="n">
        <v>295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המכון (מעבדה חיצונית)</t>
        </is>
      </c>
      <c r="B195" t="inlineStr">
        <is>
          <t>IGF-1</t>
        </is>
      </c>
      <c r="C195" t="inlineStr">
        <is>
          <t>הורמונים</t>
        </is>
      </c>
      <c r="D195" t="inlineStr">
        <is>
          <t>L648</t>
        </is>
      </c>
      <c r="E195" t="inlineStr">
        <is>
          <t>2026-01</t>
        </is>
      </c>
      <c r="F195" t="n">
        <v>460</v>
      </c>
      <c r="G195" t="n">
        <v>542.8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המכון (מעבדה חיצונית)</t>
        </is>
      </c>
      <c r="B196" t="inlineStr">
        <is>
          <t>LH</t>
        </is>
      </c>
      <c r="C196" t="inlineStr">
        <is>
          <t>הורמונים</t>
        </is>
      </c>
      <c r="D196" t="inlineStr">
        <is>
          <t>L1191</t>
        </is>
      </c>
      <c r="E196" t="inlineStr">
        <is>
          <t>2026-01</t>
        </is>
      </c>
      <c r="F196" t="n">
        <v>300</v>
      </c>
      <c r="G196" t="n">
        <v>354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המכון (מעבדה חיצונית)</t>
        </is>
      </c>
      <c r="B197" t="inlineStr">
        <is>
          <t>פרוגסטרון</t>
        </is>
      </c>
      <c r="C197" t="inlineStr">
        <is>
          <t>הורמונים</t>
        </is>
      </c>
      <c r="D197" t="inlineStr">
        <is>
          <t>L5941</t>
        </is>
      </c>
      <c r="E197" t="inlineStr">
        <is>
          <t>2026-01</t>
        </is>
      </c>
      <c r="F197" t="n">
        <v>240</v>
      </c>
      <c r="G197" t="n">
        <v>283.2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המכון (מעבדה חיצונית)</t>
        </is>
      </c>
      <c r="B198" t="inlineStr">
        <is>
          <t>PT/PTT</t>
        </is>
      </c>
      <c r="C198" t="inlineStr">
        <is>
          <t>קרישה</t>
        </is>
      </c>
      <c r="D198" t="inlineStr">
        <is>
          <t>L0593</t>
        </is>
      </c>
      <c r="E198" t="inlineStr">
        <is>
          <t>2026-01</t>
        </is>
      </c>
      <c r="F198" t="n">
        <v>250</v>
      </c>
      <c r="G198" t="n">
        <v>295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המכון (מעבדה חיצונית)</t>
        </is>
      </c>
      <c r="B199" t="inlineStr">
        <is>
          <t>PT</t>
        </is>
      </c>
      <c r="C199" t="inlineStr">
        <is>
          <t>קרישה</t>
        </is>
      </c>
      <c r="D199" t="inlineStr">
        <is>
          <t>L591</t>
        </is>
      </c>
      <c r="E199" t="inlineStr">
        <is>
          <t>2026-01</t>
        </is>
      </c>
      <c r="F199" t="n">
        <v>140</v>
      </c>
      <c r="G199" t="n">
        <v>165.2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המכון (מעבדה חיצונית)</t>
        </is>
      </c>
      <c r="B200" t="inlineStr">
        <is>
          <t>PTT</t>
        </is>
      </c>
      <c r="C200" t="inlineStr">
        <is>
          <t>קרישה</t>
        </is>
      </c>
      <c r="D200" t="inlineStr">
        <is>
          <t>L592</t>
        </is>
      </c>
      <c r="E200" t="inlineStr">
        <is>
          <t>2026-01</t>
        </is>
      </c>
      <c r="F200" t="n">
        <v>140</v>
      </c>
      <c r="G200" t="n">
        <v>165.2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המכון (מעבדה חיצונית)</t>
        </is>
      </c>
      <c r="B201" t="inlineStr">
        <is>
          <t>אנטיתרומבין-3</t>
        </is>
      </c>
      <c r="C201" t="inlineStr">
        <is>
          <t>קרישה</t>
        </is>
      </c>
      <c r="D201" t="inlineStr">
        <is>
          <t>L221</t>
        </is>
      </c>
      <c r="E201" t="inlineStr">
        <is>
          <t>2026-01</t>
        </is>
      </c>
      <c r="F201" t="n">
        <v>220</v>
      </c>
      <c r="G201" t="n">
        <v>259.6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המכון (מעבדה חיצונית)</t>
        </is>
      </c>
      <c r="B202" t="inlineStr">
        <is>
          <t>D-dimer</t>
        </is>
      </c>
      <c r="C202" t="inlineStr">
        <is>
          <t>קרישה</t>
        </is>
      </c>
      <c r="D202" t="inlineStr">
        <is>
          <t>L0190</t>
        </is>
      </c>
      <c r="E202" t="inlineStr">
        <is>
          <t>2026-01</t>
        </is>
      </c>
      <c r="F202" t="n">
        <v>180</v>
      </c>
      <c r="G202" t="n">
        <v>212.4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המכון (מעבדה חיצונית)</t>
        </is>
      </c>
      <c r="B203" t="inlineStr">
        <is>
          <t>פאנל קרישה</t>
        </is>
      </c>
      <c r="C203" t="inlineStr">
        <is>
          <t>קרישה</t>
        </is>
      </c>
      <c r="D203" t="inlineStr">
        <is>
          <t>L123002</t>
        </is>
      </c>
      <c r="E203" t="inlineStr">
        <is>
          <t>2026-01</t>
        </is>
      </c>
      <c r="F203" t="n">
        <v>420</v>
      </c>
      <c r="G203" t="n">
        <v>495.6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המכון (מעבדה חיצונית)</t>
        </is>
      </c>
      <c r="B204" t="inlineStr">
        <is>
          <t>פיברינוגן</t>
        </is>
      </c>
      <c r="C204" t="inlineStr">
        <is>
          <t>קרישה</t>
        </is>
      </c>
      <c r="D204" t="inlineStr">
        <is>
          <t>L123003</t>
        </is>
      </c>
      <c r="E204" t="inlineStr">
        <is>
          <t>2026-01</t>
        </is>
      </c>
      <c r="F204" t="n">
        <v>140</v>
      </c>
      <c r="G204" t="n">
        <v>165.2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המכון (מעבדה חיצונית)</t>
        </is>
      </c>
      <c r="B205" t="inlineStr">
        <is>
          <t>TEM (ExTEM + InTEM)</t>
        </is>
      </c>
      <c r="C205" t="inlineStr">
        <is>
          <t>קרישה</t>
        </is>
      </c>
      <c r="D205" t="inlineStr">
        <is>
          <t>L0571</t>
        </is>
      </c>
      <c r="E205" t="inlineStr">
        <is>
          <t>2026-01</t>
        </is>
      </c>
      <c r="F205" t="n">
        <v>440</v>
      </c>
      <c r="G205" t="n">
        <v>519.2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המכון (מעבדה חיצונית)</t>
        </is>
      </c>
      <c r="B206" t="inlineStr">
        <is>
          <t>TEM</t>
        </is>
      </c>
      <c r="C206" t="inlineStr">
        <is>
          <t>קרישה</t>
        </is>
      </c>
      <c r="D206" t="inlineStr">
        <is>
          <t>L10571</t>
        </is>
      </c>
      <c r="E206" t="inlineStr">
        <is>
          <t>2026-01</t>
        </is>
      </c>
      <c r="F206" t="n">
        <v>250</v>
      </c>
      <c r="G206" t="n">
        <v>295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המכון (מעבדה חיצונית)</t>
        </is>
      </c>
      <c r="B207" t="inlineStr">
        <is>
          <t>אנליזת שתן</t>
        </is>
      </c>
      <c r="C207" t="inlineStr">
        <is>
          <t>שתן/צואה/תרביות</t>
        </is>
      </c>
      <c r="E207" t="inlineStr">
        <is>
          <t>2026-01</t>
        </is>
      </c>
      <c r="F207" t="n">
        <v>170</v>
      </c>
      <c r="G207" t="n">
        <v>200.6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המכון (מעבדה חיצונית)</t>
        </is>
      </c>
      <c r="B208" t="inlineStr">
        <is>
          <t>יחס חלבון / קריאטינין בשתן (UPC)</t>
        </is>
      </c>
      <c r="C208" t="inlineStr">
        <is>
          <t>שתן/צואה/תרביות</t>
        </is>
      </c>
      <c r="E208" t="inlineStr">
        <is>
          <t>2026-01</t>
        </is>
      </c>
      <c r="F208" t="n">
        <v>260</v>
      </c>
      <c r="G208" t="n">
        <v>306.8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המכון (מעבדה חיצונית)</t>
        </is>
      </c>
      <c r="B209" t="inlineStr">
        <is>
          <t>מיוגלובין בשתן</t>
        </is>
      </c>
      <c r="C209" t="inlineStr">
        <is>
          <t>שתן/צואה/תרביות</t>
        </is>
      </c>
      <c r="E209" t="inlineStr">
        <is>
          <t>2026-01</t>
        </is>
      </c>
      <c r="F209" t="n">
        <v>120</v>
      </c>
      <c r="G209" t="n">
        <v>141.6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המכון (מעבדה חיצונית)</t>
        </is>
      </c>
      <c r="B210" t="inlineStr">
        <is>
          <t>משטח שתן צבוע</t>
        </is>
      </c>
      <c r="C210" t="inlineStr">
        <is>
          <t>שתן/צואה/תרביות</t>
        </is>
      </c>
      <c r="E210" t="inlineStr">
        <is>
          <t>2026-01</t>
        </is>
      </c>
      <c r="F210" t="n">
        <v>140</v>
      </c>
      <c r="G210" t="n">
        <v>165.2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המכון (מעבדה חיצונית)</t>
        </is>
      </c>
      <c r="B211" t="inlineStr">
        <is>
          <t>דם סמוי בצואה</t>
        </is>
      </c>
      <c r="C211" t="inlineStr">
        <is>
          <t>שתן/צואה/תרביות</t>
        </is>
      </c>
      <c r="E211" t="inlineStr">
        <is>
          <t>2026-01</t>
        </is>
      </c>
      <c r="F211" t="n">
        <v>120</v>
      </c>
      <c r="G211" t="n">
        <v>141.6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המכון (מעבדה חיצונית)</t>
        </is>
      </c>
      <c r="B212" t="inlineStr">
        <is>
          <t>פרזיטולוגיה לצואה (מכון)</t>
        </is>
      </c>
      <c r="C212" t="inlineStr">
        <is>
          <t>שתן/צואה/תרביות</t>
        </is>
      </c>
      <c r="E212" t="inlineStr">
        <is>
          <t>2026-01</t>
        </is>
      </c>
      <c r="F212" t="n">
        <v>290</v>
      </c>
      <c r="G212" t="n">
        <v>342.2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המכון (מעבדה חיצונית)</t>
        </is>
      </c>
      <c r="B213" t="inlineStr">
        <is>
          <t>תרבית ורגישות (מכון)</t>
        </is>
      </c>
      <c r="C213" t="inlineStr">
        <is>
          <t>שתן/צואה/תרביות</t>
        </is>
      </c>
      <c r="E213" t="inlineStr">
        <is>
          <t>2026-01</t>
        </is>
      </c>
      <c r="F213" t="n">
        <v>310</v>
      </c>
      <c r="G213" t="n">
        <v>365.8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המכון (מעבדה חיצונית)</t>
        </is>
      </c>
      <c r="B214" t="inlineStr">
        <is>
          <t>מיקולוגיה (מכון)</t>
        </is>
      </c>
      <c r="C214" t="inlineStr">
        <is>
          <t>שתן/צואה/תרביות</t>
        </is>
      </c>
      <c r="E214" t="inlineStr">
        <is>
          <t>2026-01</t>
        </is>
      </c>
      <c r="F214" t="n">
        <v>240</v>
      </c>
      <c r="G214" t="n">
        <v>283.2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IDEXX</t>
        </is>
      </c>
      <c r="B215" t="inlineStr">
        <is>
          <t>Chem 17 CLIP</t>
        </is>
      </c>
      <c r="C215" t="inlineStr">
        <is>
          <t>בדיקות כלליות</t>
        </is>
      </c>
      <c r="D215" t="inlineStr">
        <is>
          <t>CHEM17</t>
        </is>
      </c>
      <c r="E215" t="inlineStr">
        <is>
          <t>2025-01</t>
        </is>
      </c>
      <c r="F215" t="n">
        <v>197.2</v>
      </c>
      <c r="G215" t="n">
        <v>232.7</v>
      </c>
      <c r="H215">
        <f>הגדרות!B4</f>
        <v/>
      </c>
      <c r="I215">
        <f>F215*(1-H215/100)*1.18</f>
        <v/>
      </c>
      <c r="J215">
        <f>הגדרות!C4</f>
        <v/>
      </c>
      <c r="K215">
        <f>הגדרות!D4</f>
        <v/>
      </c>
      <c r="L215">
        <f>I215*(1+J215/100)+K215</f>
        <v/>
      </c>
    </row>
    <row r="216">
      <c r="A216" t="inlineStr">
        <is>
          <t>IDEXX</t>
        </is>
      </c>
      <c r="B216" t="inlineStr">
        <is>
          <t>Chem 15 CLIP</t>
        </is>
      </c>
      <c r="C216" t="inlineStr">
        <is>
          <t>בדיקות כלליות</t>
        </is>
      </c>
      <c r="D216" t="inlineStr">
        <is>
          <t>CHEM15</t>
        </is>
      </c>
      <c r="E216" t="inlineStr">
        <is>
          <t>2025-01</t>
        </is>
      </c>
      <c r="F216" t="n">
        <v>191.4</v>
      </c>
      <c r="G216" t="n">
        <v>225.85</v>
      </c>
      <c r="H216">
        <f>הגדרות!B4</f>
        <v/>
      </c>
      <c r="I216">
        <f>F216*(1-H216/100)*1.18</f>
        <v/>
      </c>
      <c r="J216">
        <f>הגדרות!C4</f>
        <v/>
      </c>
      <c r="K216">
        <f>הגדרות!D4</f>
        <v/>
      </c>
      <c r="L216">
        <f>I216*(1+J216/100)+K216</f>
        <v/>
      </c>
    </row>
    <row r="217">
      <c r="A217" t="inlineStr">
        <is>
          <t>IDEXX</t>
        </is>
      </c>
      <c r="B217" t="inlineStr">
        <is>
          <t>Chem 10 CLIP</t>
        </is>
      </c>
      <c r="C217" t="inlineStr">
        <is>
          <t>בדיקות כלליות</t>
        </is>
      </c>
      <c r="D217" t="inlineStr">
        <is>
          <t>CHEM10</t>
        </is>
      </c>
      <c r="E217" t="inlineStr">
        <is>
          <t>2025-01</t>
        </is>
      </c>
      <c r="F217" t="n">
        <v>133.4</v>
      </c>
      <c r="G217" t="n">
        <v>157.41</v>
      </c>
      <c r="H217">
        <f>הגדרות!B4</f>
        <v/>
      </c>
      <c r="I217">
        <f>F217*(1-H217/100)*1.18</f>
        <v/>
      </c>
      <c r="J217">
        <f>הגדרות!C4</f>
        <v/>
      </c>
      <c r="K217">
        <f>הגדרות!D4</f>
        <v/>
      </c>
      <c r="L217">
        <f>I217*(1+J217/100)+K217</f>
        <v/>
      </c>
    </row>
    <row r="218">
      <c r="A218" t="inlineStr">
        <is>
          <t>IDEXX</t>
        </is>
      </c>
      <c r="B218" t="inlineStr">
        <is>
          <t>IDEXX CBC-Select</t>
        </is>
      </c>
      <c r="C218" t="inlineStr">
        <is>
          <t>בדיקות כלליות</t>
        </is>
      </c>
      <c r="D218" t="inlineStr">
        <is>
          <t>FBCS</t>
        </is>
      </c>
      <c r="E218" t="inlineStr">
        <is>
          <t>2025-01</t>
        </is>
      </c>
      <c r="F218" t="n">
        <v>223.3</v>
      </c>
      <c r="G218" t="n">
        <v>263.49</v>
      </c>
      <c r="H218">
        <f>הגדרות!B4</f>
        <v/>
      </c>
      <c r="I218">
        <f>F218*(1-H218/100)*1.18</f>
        <v/>
      </c>
      <c r="J218">
        <f>הגדרות!C4</f>
        <v/>
      </c>
      <c r="K218">
        <f>הגדרות!D4</f>
        <v/>
      </c>
      <c r="L218">
        <f>I218*(1+J218/100)+K218</f>
        <v/>
      </c>
    </row>
    <row r="219">
      <c r="A219" t="inlineStr">
        <is>
          <t>IDEXX</t>
        </is>
      </c>
      <c r="B219" t="inlineStr">
        <is>
          <t>Basic Profile (Interpreted)</t>
        </is>
      </c>
      <c r="C219" t="inlineStr">
        <is>
          <t>פאנלים</t>
        </is>
      </c>
      <c r="D219" t="inlineStr">
        <is>
          <t>SP1I</t>
        </is>
      </c>
      <c r="E219" t="inlineStr">
        <is>
          <t>2025-01</t>
        </is>
      </c>
      <c r="F219" t="n">
        <v>319</v>
      </c>
      <c r="G219" t="n">
        <v>376.42</v>
      </c>
      <c r="H219">
        <f>הגדרות!B4</f>
        <v/>
      </c>
      <c r="I219">
        <f>F219*(1-H219/100)*1.18</f>
        <v/>
      </c>
      <c r="J219">
        <f>הגדרות!C4</f>
        <v/>
      </c>
      <c r="K219">
        <f>הגדרות!D4</f>
        <v/>
      </c>
      <c r="L219">
        <f>I219*(1+J219/100)+K219</f>
        <v/>
      </c>
    </row>
    <row r="220">
      <c r="A220" t="inlineStr">
        <is>
          <t>IDEXX</t>
        </is>
      </c>
      <c r="B220" t="inlineStr">
        <is>
          <t>Standard Profile (Interpreted)</t>
        </is>
      </c>
      <c r="C220" t="inlineStr">
        <is>
          <t>פאנלים</t>
        </is>
      </c>
      <c r="D220" t="inlineStr">
        <is>
          <t>SP2I</t>
        </is>
      </c>
      <c r="E220" t="inlineStr">
        <is>
          <t>2025-01</t>
        </is>
      </c>
      <c r="F220" t="n">
        <v>548.1</v>
      </c>
      <c r="G220" t="n">
        <v>646.76</v>
      </c>
      <c r="H220">
        <f>הגדרות!B4</f>
        <v/>
      </c>
      <c r="I220">
        <f>F220*(1-H220/100)*1.18</f>
        <v/>
      </c>
      <c r="J220">
        <f>הגדרות!C4</f>
        <v/>
      </c>
      <c r="K220">
        <f>הגדרות!D4</f>
        <v/>
      </c>
      <c r="L220">
        <f>I220*(1+J220/100)+K220</f>
        <v/>
      </c>
    </row>
    <row r="221">
      <c r="A221" t="inlineStr">
        <is>
          <t>IDEXX</t>
        </is>
      </c>
      <c r="B221" t="inlineStr">
        <is>
          <t>Extended Profile (Interpreted)</t>
        </is>
      </c>
      <c r="C221" t="inlineStr">
        <is>
          <t>פאנלים</t>
        </is>
      </c>
      <c r="D221" t="inlineStr">
        <is>
          <t>SP3I</t>
        </is>
      </c>
      <c r="E221" t="inlineStr">
        <is>
          <t>2025-01</t>
        </is>
      </c>
      <c r="F221" t="n">
        <v>713.4</v>
      </c>
      <c r="G221" t="n">
        <v>841.8099999999999</v>
      </c>
      <c r="H221">
        <f>הגדרות!B4</f>
        <v/>
      </c>
      <c r="I221">
        <f>F221*(1-H221/100)*1.18</f>
        <v/>
      </c>
      <c r="J221">
        <f>הגדרות!C4</f>
        <v/>
      </c>
      <c r="K221">
        <f>הגדרות!D4</f>
        <v/>
      </c>
      <c r="L221">
        <f>I221*(1+J221/100)+K221</f>
        <v/>
      </c>
    </row>
    <row r="222">
      <c r="A222" t="inlineStr">
        <is>
          <t>IDEXX</t>
        </is>
      </c>
      <c r="B222" t="inlineStr">
        <is>
          <t>Cardiopet proBNP (Canine)</t>
        </is>
      </c>
      <c r="C222" t="inlineStr">
        <is>
          <t>לב</t>
        </is>
      </c>
      <c r="D222" t="inlineStr">
        <is>
          <t>CBNP</t>
        </is>
      </c>
      <c r="E222" t="inlineStr">
        <is>
          <t>2025-01</t>
        </is>
      </c>
      <c r="F222" t="n">
        <v>394.4</v>
      </c>
      <c r="G222" t="n">
        <v>465.39</v>
      </c>
      <c r="H222">
        <f>הגדרות!B4</f>
        <v/>
      </c>
      <c r="I222">
        <f>F222*(1-H222/100)*1.18</f>
        <v/>
      </c>
      <c r="J222">
        <f>הגדרות!C4</f>
        <v/>
      </c>
      <c r="K222">
        <f>הגדרות!D4</f>
        <v/>
      </c>
      <c r="L222">
        <f>I222*(1+J222/100)+K222</f>
        <v/>
      </c>
    </row>
    <row r="223">
      <c r="A223" t="inlineStr">
        <is>
          <t>IDEXX</t>
        </is>
      </c>
      <c r="B223" t="inlineStr">
        <is>
          <t>Cardiopet proBNP (Feline)</t>
        </is>
      </c>
      <c r="C223" t="inlineStr">
        <is>
          <t>לב</t>
        </is>
      </c>
      <c r="D223" t="inlineStr">
        <is>
          <t>FBNP</t>
        </is>
      </c>
      <c r="E223" t="inlineStr">
        <is>
          <t>2025-01</t>
        </is>
      </c>
      <c r="F223" t="n">
        <v>394.4</v>
      </c>
      <c r="G223" t="n">
        <v>465.39</v>
      </c>
      <c r="H223">
        <f>הגדרות!B4</f>
        <v/>
      </c>
      <c r="I223">
        <f>F223*(1-H223/100)*1.18</f>
        <v/>
      </c>
      <c r="J223">
        <f>הגדרות!C4</f>
        <v/>
      </c>
      <c r="K223">
        <f>הגדרות!D4</f>
        <v/>
      </c>
      <c r="L223">
        <f>I223*(1+J223/100)+K223</f>
        <v/>
      </c>
    </row>
    <row r="224">
      <c r="A224" t="inlineStr">
        <is>
          <t>IDEXX</t>
        </is>
      </c>
      <c r="B224" t="inlineStr">
        <is>
          <t>Spec cPL (Canine)</t>
        </is>
      </c>
      <c r="C224" t="inlineStr">
        <is>
          <t>לבלב</t>
        </is>
      </c>
      <c r="D224" t="inlineStr">
        <is>
          <t>CPLI</t>
        </is>
      </c>
      <c r="E224" t="inlineStr">
        <is>
          <t>2025-01</t>
        </is>
      </c>
      <c r="F224" t="n">
        <v>495.9</v>
      </c>
      <c r="G224" t="n">
        <v>585.16</v>
      </c>
      <c r="H224">
        <f>הגדרות!B4</f>
        <v/>
      </c>
      <c r="I224">
        <f>F224*(1-H224/100)*1.18</f>
        <v/>
      </c>
      <c r="J224">
        <f>הגדרות!C4</f>
        <v/>
      </c>
      <c r="K224">
        <f>הגדרות!D4</f>
        <v/>
      </c>
      <c r="L224">
        <f>I224*(1+J224/100)+K224</f>
        <v/>
      </c>
    </row>
    <row r="225">
      <c r="A225" t="inlineStr">
        <is>
          <t>IDEXX</t>
        </is>
      </c>
      <c r="B225" t="inlineStr">
        <is>
          <t>Spec fPL (Feline)</t>
        </is>
      </c>
      <c r="C225" t="inlineStr">
        <is>
          <t>לבלב</t>
        </is>
      </c>
      <c r="D225" t="inlineStr">
        <is>
          <t>FPLI</t>
        </is>
      </c>
      <c r="E225" t="inlineStr">
        <is>
          <t>2025-01</t>
        </is>
      </c>
      <c r="F225" t="n">
        <v>495.9</v>
      </c>
      <c r="G225" t="n">
        <v>585.16</v>
      </c>
      <c r="H225">
        <f>הגדרות!B4</f>
        <v/>
      </c>
      <c r="I225">
        <f>F225*(1-H225/100)*1.18</f>
        <v/>
      </c>
      <c r="J225">
        <f>הגדרות!C4</f>
        <v/>
      </c>
      <c r="K225">
        <f>הגדרות!D4</f>
        <v/>
      </c>
      <c r="L225">
        <f>I225*(1+J225/100)+K225</f>
        <v/>
      </c>
    </row>
    <row r="226">
      <c r="A226" t="inlineStr">
        <is>
          <t>IDEXX</t>
        </is>
      </c>
      <c r="B226" t="inlineStr">
        <is>
          <t>SDMA (Canine Feline)</t>
        </is>
      </c>
      <c r="C226" t="inlineStr">
        <is>
          <t>כליות</t>
        </is>
      </c>
      <c r="D226" t="inlineStr">
        <is>
          <t>SDMA</t>
        </is>
      </c>
      <c r="E226" t="inlineStr">
        <is>
          <t>2025-01</t>
        </is>
      </c>
      <c r="F226" t="n">
        <v>150.8</v>
      </c>
      <c r="G226" t="n">
        <v>177.94</v>
      </c>
      <c r="H226">
        <f>הגדרות!B4</f>
        <v/>
      </c>
      <c r="I226">
        <f>F226*(1-H226/100)*1.18</f>
        <v/>
      </c>
      <c r="J226">
        <f>הגדרות!C4</f>
        <v/>
      </c>
      <c r="K226">
        <f>הגדרות!D4</f>
        <v/>
      </c>
      <c r="L226">
        <f>I226*(1+J226/100)+K226</f>
        <v/>
      </c>
    </row>
    <row r="227">
      <c r="A227" t="inlineStr">
        <is>
          <t>IDEXX</t>
        </is>
      </c>
      <c r="B227" t="inlineStr">
        <is>
          <t>FGF-23</t>
        </is>
      </c>
      <c r="C227" t="inlineStr">
        <is>
          <t>כליות</t>
        </is>
      </c>
      <c r="D227" t="inlineStr">
        <is>
          <t>FGF23</t>
        </is>
      </c>
      <c r="E227" t="inlineStr">
        <is>
          <t>2025-01</t>
        </is>
      </c>
      <c r="F227" t="n">
        <v>391.5</v>
      </c>
      <c r="G227" t="n">
        <v>461.97</v>
      </c>
      <c r="H227">
        <f>הגדרות!B4</f>
        <v/>
      </c>
      <c r="I227">
        <f>F227*(1-H227/100)*1.18</f>
        <v/>
      </c>
      <c r="J227">
        <f>הגדרות!C4</f>
        <v/>
      </c>
      <c r="K227">
        <f>הגדרות!D4</f>
        <v/>
      </c>
      <c r="L227">
        <f>I227*(1+J227/100)+K227</f>
        <v/>
      </c>
    </row>
    <row r="228">
      <c r="A228" t="inlineStr">
        <is>
          <t>IDEXX</t>
        </is>
      </c>
      <c r="B228" t="inlineStr">
        <is>
          <t>Kidney Disease Monitoring Profile</t>
        </is>
      </c>
      <c r="C228" t="inlineStr">
        <is>
          <t>כליות</t>
        </is>
      </c>
      <c r="D228" t="inlineStr">
        <is>
          <t>KPI</t>
        </is>
      </c>
      <c r="E228" t="inlineStr">
        <is>
          <t>2025-01</t>
        </is>
      </c>
      <c r="F228" t="n">
        <v>234.9</v>
      </c>
      <c r="G228" t="n">
        <v>277.18</v>
      </c>
      <c r="H228">
        <f>הגדרות!B4</f>
        <v/>
      </c>
      <c r="I228">
        <f>F228*(1-H228/100)*1.18</f>
        <v/>
      </c>
      <c r="J228">
        <f>הגדרות!C4</f>
        <v/>
      </c>
      <c r="K228">
        <f>הגדרות!D4</f>
        <v/>
      </c>
      <c r="L228">
        <f>I228*(1+J228/100)+K228</f>
        <v/>
      </c>
    </row>
    <row r="229">
      <c r="A229" t="inlineStr">
        <is>
          <t>IDEXX</t>
        </is>
      </c>
      <c r="B229" t="inlineStr">
        <is>
          <t>Total T4</t>
        </is>
      </c>
      <c r="C229" t="inlineStr">
        <is>
          <t>תיירואיד</t>
        </is>
      </c>
      <c r="D229" t="inlineStr">
        <is>
          <t>T4M</t>
        </is>
      </c>
      <c r="E229" t="inlineStr">
        <is>
          <t>2025-01</t>
        </is>
      </c>
      <c r="F229" t="n">
        <v>168.2</v>
      </c>
      <c r="G229" t="n">
        <v>198.48</v>
      </c>
      <c r="H229">
        <f>הגדרות!B4</f>
        <v/>
      </c>
      <c r="I229">
        <f>F229*(1-H229/100)*1.18</f>
        <v/>
      </c>
      <c r="J229">
        <f>הגדרות!C4</f>
        <v/>
      </c>
      <c r="K229">
        <f>הגדרות!D4</f>
        <v/>
      </c>
      <c r="L229">
        <f>I229*(1+J229/100)+K229</f>
        <v/>
      </c>
    </row>
    <row r="230">
      <c r="A230" t="inlineStr">
        <is>
          <t>IDEXX</t>
        </is>
      </c>
      <c r="B230" t="inlineStr">
        <is>
          <t>Free T4 (Equilibrium Dialysis)</t>
        </is>
      </c>
      <c r="C230" t="inlineStr">
        <is>
          <t>תיירואיד</t>
        </is>
      </c>
      <c r="D230" t="inlineStr">
        <is>
          <t>FT4R</t>
        </is>
      </c>
      <c r="E230" t="inlineStr">
        <is>
          <t>2025-01</t>
        </is>
      </c>
      <c r="F230" t="n">
        <v>426.3</v>
      </c>
      <c r="G230" t="n">
        <v>503.03</v>
      </c>
      <c r="H230">
        <f>הגדרות!B4</f>
        <v/>
      </c>
      <c r="I230">
        <f>F230*(1-H230/100)*1.18</f>
        <v/>
      </c>
      <c r="J230">
        <f>הגדרות!C4</f>
        <v/>
      </c>
      <c r="K230">
        <f>הגדרות!D4</f>
        <v/>
      </c>
      <c r="L230">
        <f>I230*(1+J230/100)+K230</f>
        <v/>
      </c>
    </row>
    <row r="231">
      <c r="A231" t="inlineStr">
        <is>
          <t>IDEXX</t>
        </is>
      </c>
      <c r="B231" t="inlineStr">
        <is>
          <t>Canine TSH and Total T4</t>
        </is>
      </c>
      <c r="C231" t="inlineStr">
        <is>
          <t>תיירואיד</t>
        </is>
      </c>
      <c r="D231" t="inlineStr">
        <is>
          <t>CTSH</t>
        </is>
      </c>
      <c r="E231" t="inlineStr">
        <is>
          <t>2025-01</t>
        </is>
      </c>
      <c r="F231" t="n">
        <v>348</v>
      </c>
      <c r="G231" t="n">
        <v>410.64</v>
      </c>
      <c r="H231">
        <f>הגדרות!B4</f>
        <v/>
      </c>
      <c r="I231">
        <f>F231*(1-H231/100)*1.18</f>
        <v/>
      </c>
      <c r="J231">
        <f>הגדרות!C4</f>
        <v/>
      </c>
      <c r="K231">
        <f>הגדרות!D4</f>
        <v/>
      </c>
      <c r="L231">
        <f>I231*(1+J231/100)+K231</f>
        <v/>
      </c>
    </row>
    <row r="232">
      <c r="A232" t="inlineStr">
        <is>
          <t>IDEXX</t>
        </is>
      </c>
      <c r="B232" t="inlineStr">
        <is>
          <t>ACTH Stimulation Test</t>
        </is>
      </c>
      <c r="C232" t="inlineStr">
        <is>
          <t>הורמונים</t>
        </is>
      </c>
      <c r="D232" t="inlineStr">
        <is>
          <t>ACTH</t>
        </is>
      </c>
      <c r="E232" t="inlineStr">
        <is>
          <t>2025-01</t>
        </is>
      </c>
      <c r="F232" t="n">
        <v>365.4</v>
      </c>
      <c r="G232" t="n">
        <v>431.17</v>
      </c>
      <c r="H232">
        <f>הגדרות!B4</f>
        <v/>
      </c>
      <c r="I232">
        <f>F232*(1-H232/100)*1.18</f>
        <v/>
      </c>
      <c r="J232">
        <f>הגדרות!C4</f>
        <v/>
      </c>
      <c r="K232">
        <f>הגדרות!D4</f>
        <v/>
      </c>
      <c r="L232">
        <f>I232*(1+J232/100)+K232</f>
        <v/>
      </c>
    </row>
    <row r="233">
      <c r="A233" t="inlineStr">
        <is>
          <t>IDEXX</t>
        </is>
      </c>
      <c r="B233" t="inlineStr">
        <is>
          <t>Cortisol (Basal)</t>
        </is>
      </c>
      <c r="C233" t="inlineStr">
        <is>
          <t>הורמונים</t>
        </is>
      </c>
      <c r="D233" t="inlineStr">
        <is>
          <t>CORT</t>
        </is>
      </c>
      <c r="E233" t="inlineStr">
        <is>
          <t>2025-01</t>
        </is>
      </c>
      <c r="F233" t="n">
        <v>240.7</v>
      </c>
      <c r="G233" t="n">
        <v>284.03</v>
      </c>
      <c r="H233">
        <f>הגדרות!B4</f>
        <v/>
      </c>
      <c r="I233">
        <f>F233*(1-H233/100)*1.18</f>
        <v/>
      </c>
      <c r="J233">
        <f>הגדרות!C4</f>
        <v/>
      </c>
      <c r="K233">
        <f>הגדרות!D4</f>
        <v/>
      </c>
      <c r="L233">
        <f>I233*(1+J233/100)+K233</f>
        <v/>
      </c>
    </row>
    <row r="234">
      <c r="A234" t="inlineStr">
        <is>
          <t>IDEXX</t>
        </is>
      </c>
      <c r="B234" t="inlineStr">
        <is>
          <t>Dexamethasone Suppression Test Low Dose</t>
        </is>
      </c>
      <c r="C234" t="inlineStr">
        <is>
          <t>הורמונים</t>
        </is>
      </c>
      <c r="D234" t="inlineStr">
        <is>
          <t>DEXL</t>
        </is>
      </c>
      <c r="E234" t="inlineStr">
        <is>
          <t>2025-01</t>
        </is>
      </c>
      <c r="F234" t="n">
        <v>556.8</v>
      </c>
      <c r="G234" t="n">
        <v>657.02</v>
      </c>
      <c r="H234">
        <f>הגדרות!B4</f>
        <v/>
      </c>
      <c r="I234">
        <f>F234*(1-H234/100)*1.18</f>
        <v/>
      </c>
      <c r="J234">
        <f>הגדרות!C4</f>
        <v/>
      </c>
      <c r="K234">
        <f>הגדרות!D4</f>
        <v/>
      </c>
      <c r="L234">
        <f>I234*(1+J234/100)+K234</f>
        <v/>
      </c>
    </row>
    <row r="235">
      <c r="A235" t="inlineStr">
        <is>
          <t>IDEXX</t>
        </is>
      </c>
      <c r="B235" t="inlineStr">
        <is>
          <t>Progesterone</t>
        </is>
      </c>
      <c r="C235" t="inlineStr">
        <is>
          <t>הורמונים</t>
        </is>
      </c>
      <c r="D235" t="inlineStr">
        <is>
          <t>PGT</t>
        </is>
      </c>
      <c r="E235" t="inlineStr">
        <is>
          <t>2025-01</t>
        </is>
      </c>
      <c r="F235" t="n">
        <v>292.9</v>
      </c>
      <c r="G235" t="n">
        <v>345.62</v>
      </c>
      <c r="H235">
        <f>הגדרות!B4</f>
        <v/>
      </c>
      <c r="I235">
        <f>F235*(1-H235/100)*1.18</f>
        <v/>
      </c>
      <c r="J235">
        <f>הגדרות!C4</f>
        <v/>
      </c>
      <c r="K235">
        <f>הגדרות!D4</f>
        <v/>
      </c>
      <c r="L235">
        <f>I235*(1+J235/100)+K235</f>
        <v/>
      </c>
    </row>
    <row r="236">
      <c r="A236" t="inlineStr">
        <is>
          <t>IDEXX</t>
        </is>
      </c>
      <c r="B236" t="inlineStr">
        <is>
          <t>Basic Coagulation Profile</t>
        </is>
      </c>
      <c r="C236" t="inlineStr">
        <is>
          <t>קרישה</t>
        </is>
      </c>
      <c r="D236" t="inlineStr">
        <is>
          <t>COAG</t>
        </is>
      </c>
      <c r="E236" t="inlineStr">
        <is>
          <t>2025-01</t>
        </is>
      </c>
      <c r="F236" t="n">
        <v>411.8</v>
      </c>
      <c r="G236" t="n">
        <v>485.92</v>
      </c>
      <c r="H236">
        <f>הגדרות!B4</f>
        <v/>
      </c>
      <c r="I236">
        <f>F236*(1-H236/100)*1.18</f>
        <v/>
      </c>
      <c r="J236">
        <f>הגדרות!C4</f>
        <v/>
      </c>
      <c r="K236">
        <f>הגדרות!D4</f>
        <v/>
      </c>
      <c r="L236">
        <f>I236*(1+J236/100)+K236</f>
        <v/>
      </c>
    </row>
    <row r="237">
      <c r="A237" t="inlineStr">
        <is>
          <t>IDEXX</t>
        </is>
      </c>
      <c r="B237" t="inlineStr">
        <is>
          <t>PT + APTT</t>
        </is>
      </c>
      <c r="C237" t="inlineStr">
        <is>
          <t>קרישה</t>
        </is>
      </c>
      <c r="D237" t="inlineStr">
        <is>
          <t>PTC</t>
        </is>
      </c>
      <c r="E237" t="inlineStr">
        <is>
          <t>2025-01</t>
        </is>
      </c>
      <c r="F237" t="n">
        <v>252.3</v>
      </c>
      <c r="G237" t="n">
        <v>297.71</v>
      </c>
      <c r="H237">
        <f>הגדרות!B4</f>
        <v/>
      </c>
      <c r="I237">
        <f>F237*(1-H237/100)*1.18</f>
        <v/>
      </c>
      <c r="J237">
        <f>הגדרות!C4</f>
        <v/>
      </c>
      <c r="K237">
        <f>הגדרות!D4</f>
        <v/>
      </c>
      <c r="L237">
        <f>I237*(1+J237/100)+K237</f>
        <v/>
      </c>
    </row>
    <row r="238">
      <c r="A238" t="inlineStr">
        <is>
          <t>IDEXX</t>
        </is>
      </c>
      <c r="B238" t="inlineStr">
        <is>
          <t>FeLV Antigen &amp; FIV Antibody</t>
        </is>
      </c>
      <c r="C238" t="inlineStr">
        <is>
          <t>זיהומים</t>
        </is>
      </c>
      <c r="D238" t="inlineStr">
        <is>
          <t>FF</t>
        </is>
      </c>
      <c r="E238" t="inlineStr">
        <is>
          <t>2025-01</t>
        </is>
      </c>
      <c r="F238" t="n">
        <v>377</v>
      </c>
      <c r="G238" t="n">
        <v>444.86</v>
      </c>
      <c r="H238">
        <f>הגדרות!B4</f>
        <v/>
      </c>
      <c r="I238">
        <f>F238*(1-H238/100)*1.18</f>
        <v/>
      </c>
      <c r="J238">
        <f>הגדרות!C4</f>
        <v/>
      </c>
      <c r="K238">
        <f>הגדרות!D4</f>
        <v/>
      </c>
      <c r="L238">
        <f>I238*(1+J238/100)+K238</f>
        <v/>
      </c>
    </row>
    <row r="239">
      <c r="A239" t="inlineStr">
        <is>
          <t>IDEXX</t>
        </is>
      </c>
      <c r="B239" t="inlineStr">
        <is>
          <t>Leishmania Serology (Canine)</t>
        </is>
      </c>
      <c r="C239" t="inlineStr">
        <is>
          <t>זיהומים</t>
        </is>
      </c>
      <c r="D239" t="inlineStr">
        <is>
          <t>LEI</t>
        </is>
      </c>
      <c r="E239" t="inlineStr">
        <is>
          <t>2025-01</t>
        </is>
      </c>
      <c r="F239" t="n">
        <v>342.2</v>
      </c>
      <c r="G239" t="n">
        <v>403.8</v>
      </c>
      <c r="H239">
        <f>הגדרות!B4</f>
        <v/>
      </c>
      <c r="I239">
        <f>F239*(1-H239/100)*1.18</f>
        <v/>
      </c>
      <c r="J239">
        <f>הגדרות!C4</f>
        <v/>
      </c>
      <c r="K239">
        <f>הגדרות!D4</f>
        <v/>
      </c>
      <c r="L239">
        <f>I239*(1+J239/100)+K239</f>
        <v/>
      </c>
    </row>
    <row r="240">
      <c r="A240" t="inlineStr">
        <is>
          <t>IDEXX</t>
        </is>
      </c>
      <c r="B240" t="inlineStr">
        <is>
          <t>Parvovirus (CPV) Antigen</t>
        </is>
      </c>
      <c r="C240" t="inlineStr">
        <is>
          <t>זיהומים</t>
        </is>
      </c>
      <c r="D240" t="inlineStr">
        <is>
          <t>PARV</t>
        </is>
      </c>
      <c r="E240" t="inlineStr">
        <is>
          <t>2025-01</t>
        </is>
      </c>
      <c r="F240" t="n">
        <v>261</v>
      </c>
      <c r="G240" t="n">
        <v>307.98</v>
      </c>
      <c r="H240">
        <f>הגדרות!B4</f>
        <v/>
      </c>
      <c r="I240">
        <f>F240*(1-H240/100)*1.18</f>
        <v/>
      </c>
      <c r="J240">
        <f>הגדרות!C4</f>
        <v/>
      </c>
      <c r="K240">
        <f>הגדרות!D4</f>
        <v/>
      </c>
      <c r="L240">
        <f>I240*(1+J240/100)+K240</f>
        <v/>
      </c>
    </row>
    <row r="241">
      <c r="A241" t="inlineStr">
        <is>
          <t>IDEXX</t>
        </is>
      </c>
      <c r="B241" t="inlineStr">
        <is>
          <t>Heartworm Antigen (Canine)</t>
        </is>
      </c>
      <c r="C241" t="inlineStr">
        <is>
          <t>זיהומים</t>
        </is>
      </c>
      <c r="D241" t="inlineStr">
        <is>
          <t>HW</t>
        </is>
      </c>
      <c r="E241" t="inlineStr">
        <is>
          <t>2025-01</t>
        </is>
      </c>
      <c r="F241" t="n">
        <v>229.1</v>
      </c>
      <c r="G241" t="n">
        <v>270.34</v>
      </c>
      <c r="H241">
        <f>הגדרות!B4</f>
        <v/>
      </c>
      <c r="I241">
        <f>F241*(1-H241/100)*1.18</f>
        <v/>
      </c>
      <c r="J241">
        <f>הגדרות!C4</f>
        <v/>
      </c>
      <c r="K241">
        <f>הגדרות!D4</f>
        <v/>
      </c>
      <c r="L241">
        <f>I241*(1+J241/100)+K241</f>
        <v/>
      </c>
    </row>
    <row r="242">
      <c r="A242" t="inlineStr">
        <is>
          <t>IDEXX</t>
        </is>
      </c>
      <c r="B242" t="inlineStr">
        <is>
          <t>Urine Culture &amp; Sensitivity</t>
        </is>
      </c>
      <c r="C242" t="inlineStr">
        <is>
          <t>שתן</t>
        </is>
      </c>
      <c r="D242" t="inlineStr">
        <is>
          <t>UCUL</t>
        </is>
      </c>
      <c r="E242" t="inlineStr">
        <is>
          <t>2025-01</t>
        </is>
      </c>
      <c r="F242" t="n">
        <v>327.7</v>
      </c>
      <c r="G242" t="n">
        <v>386.69</v>
      </c>
      <c r="H242">
        <f>הגדרות!B4</f>
        <v/>
      </c>
      <c r="I242">
        <f>F242*(1-H242/100)*1.18</f>
        <v/>
      </c>
      <c r="J242">
        <f>הגדרות!C4</f>
        <v/>
      </c>
      <c r="K242">
        <f>הגדרות!D4</f>
        <v/>
      </c>
      <c r="L242">
        <f>I242*(1+J242/100)+K242</f>
        <v/>
      </c>
    </row>
    <row r="243">
      <c r="A243" t="inlineStr">
        <is>
          <t>IDEXX</t>
        </is>
      </c>
      <c r="B243" t="inlineStr">
        <is>
          <t>Protein: Creatinine Ratio (Urine)</t>
        </is>
      </c>
      <c r="C243" t="inlineStr">
        <is>
          <t>שתן</t>
        </is>
      </c>
      <c r="D243" t="inlineStr">
        <is>
          <t>PCRU</t>
        </is>
      </c>
      <c r="E243" t="inlineStr">
        <is>
          <t>2025-01</t>
        </is>
      </c>
      <c r="F243" t="n">
        <v>185.6</v>
      </c>
      <c r="G243" t="n">
        <v>219.01</v>
      </c>
      <c r="H243">
        <f>הגדרות!B4</f>
        <v/>
      </c>
      <c r="I243">
        <f>F243*(1-H243/100)*1.18</f>
        <v/>
      </c>
      <c r="J243">
        <f>הגדרות!C4</f>
        <v/>
      </c>
      <c r="K243">
        <f>הגדרות!D4</f>
        <v/>
      </c>
      <c r="L243">
        <f>I243*(1+J243/100)+K243</f>
        <v/>
      </c>
    </row>
    <row r="244">
      <c r="A244" t="inlineStr">
        <is>
          <t>IDEXX</t>
        </is>
      </c>
      <c r="B244" t="inlineStr">
        <is>
          <t>Histology - 1 Site</t>
        </is>
      </c>
      <c r="C244" t="inlineStr">
        <is>
          <t>פתולוגיה</t>
        </is>
      </c>
      <c r="D244" t="inlineStr">
        <is>
          <t>HIST1</t>
        </is>
      </c>
      <c r="E244" t="inlineStr">
        <is>
          <t>2025-01</t>
        </is>
      </c>
      <c r="F244" t="n">
        <v>609</v>
      </c>
      <c r="G244" t="n">
        <v>718.62</v>
      </c>
      <c r="H244">
        <f>הגדרות!B4</f>
        <v/>
      </c>
      <c r="I244">
        <f>F244*(1-H244/100)*1.18</f>
        <v/>
      </c>
      <c r="J244">
        <f>הגדרות!C4</f>
        <v/>
      </c>
      <c r="K244">
        <f>הגדרות!D4</f>
        <v/>
      </c>
      <c r="L244">
        <f>I244*(1+J244/100)+K244</f>
        <v/>
      </c>
    </row>
    <row r="245">
      <c r="A245" t="inlineStr">
        <is>
          <t>IDEXX</t>
        </is>
      </c>
      <c r="B245" t="inlineStr">
        <is>
          <t>Cytology - 1 sampled site</t>
        </is>
      </c>
      <c r="C245" t="inlineStr">
        <is>
          <t>פתולוגיה</t>
        </is>
      </c>
      <c r="D245" t="inlineStr">
        <is>
          <t>CYTO1</t>
        </is>
      </c>
      <c r="E245" t="inlineStr">
        <is>
          <t>2025-01</t>
        </is>
      </c>
      <c r="F245" t="n">
        <v>510.4</v>
      </c>
      <c r="G245" t="n">
        <v>602.27</v>
      </c>
      <c r="H245">
        <f>הגדרות!B4</f>
        <v/>
      </c>
      <c r="I245">
        <f>F245*(1-H245/100)*1.18</f>
        <v/>
      </c>
      <c r="J245">
        <f>הגדרות!C4</f>
        <v/>
      </c>
      <c r="K245">
        <f>הגדרות!D4</f>
        <v/>
      </c>
      <c r="L245">
        <f>I245*(1+J245/100)+K245</f>
        <v/>
      </c>
    </row>
    <row r="246">
      <c r="A246" t="inlineStr">
        <is>
          <t>IDEXX</t>
        </is>
      </c>
      <c r="B246" t="inlineStr">
        <is>
          <t>Phenobarbital</t>
        </is>
      </c>
      <c r="C246" t="inlineStr">
        <is>
          <t>תרופות</t>
        </is>
      </c>
      <c r="D246" t="inlineStr">
        <is>
          <t>PHEN</t>
        </is>
      </c>
      <c r="E246" t="inlineStr">
        <is>
          <t>2025-01</t>
        </is>
      </c>
      <c r="F246" t="n">
        <v>237.8</v>
      </c>
      <c r="G246" t="n">
        <v>280.6</v>
      </c>
      <c r="H246">
        <f>הגדרות!B4</f>
        <v/>
      </c>
      <c r="I246">
        <f>F246*(1-H246/100)*1.18</f>
        <v/>
      </c>
      <c r="J246">
        <f>הגדרות!C4</f>
        <v/>
      </c>
      <c r="K246">
        <f>הגדרות!D4</f>
        <v/>
      </c>
      <c r="L246">
        <f>I246*(1+J246/100)+K246</f>
        <v/>
      </c>
    </row>
    <row r="247">
      <c r="A247" t="inlineStr">
        <is>
          <t>IDEXX</t>
        </is>
      </c>
      <c r="B247" t="inlineStr">
        <is>
          <t>Potassium Bromide</t>
        </is>
      </c>
      <c r="C247" t="inlineStr">
        <is>
          <t>תרופות</t>
        </is>
      </c>
      <c r="D247" t="inlineStr">
        <is>
          <t>KBR</t>
        </is>
      </c>
      <c r="E247" t="inlineStr">
        <is>
          <t>2025-01</t>
        </is>
      </c>
      <c r="F247" t="n">
        <v>313.2</v>
      </c>
      <c r="G247" t="n">
        <v>369.58</v>
      </c>
      <c r="H247">
        <f>הגדרות!B4</f>
        <v/>
      </c>
      <c r="I247">
        <f>F247*(1-H247/100)*1.18</f>
        <v/>
      </c>
      <c r="J247">
        <f>הגדרות!C4</f>
        <v/>
      </c>
      <c r="K247">
        <f>הגדרות!D4</f>
        <v/>
      </c>
      <c r="L247">
        <f>I247*(1+J247/100)+K247</f>
        <v/>
      </c>
    </row>
    <row r="248">
      <c r="A248" t="inlineStr">
        <is>
          <t>IDEXX</t>
        </is>
      </c>
      <c r="B248" t="inlineStr">
        <is>
          <t>TLI (Canine)</t>
        </is>
      </c>
      <c r="C248" t="inlineStr">
        <is>
          <t>GI</t>
        </is>
      </c>
      <c r="D248" t="inlineStr">
        <is>
          <t>TLIC</t>
        </is>
      </c>
      <c r="E248" t="inlineStr">
        <is>
          <t>2025-01</t>
        </is>
      </c>
      <c r="F248" t="n">
        <v>342.2</v>
      </c>
      <c r="G248" t="n">
        <v>403.8</v>
      </c>
      <c r="H248">
        <f>הגדרות!B4</f>
        <v/>
      </c>
      <c r="I248">
        <f>F248*(1-H248/100)*1.18</f>
        <v/>
      </c>
      <c r="J248">
        <f>הגדרות!C4</f>
        <v/>
      </c>
      <c r="K248">
        <f>הגדרות!D4</f>
        <v/>
      </c>
      <c r="L248">
        <f>I248*(1+J248/100)+K248</f>
        <v/>
      </c>
    </row>
    <row r="249">
      <c r="A249" t="inlineStr">
        <is>
          <t>IDEXX</t>
        </is>
      </c>
      <c r="B249" t="inlineStr">
        <is>
          <t>TLI Folate &amp; Cobalamin (Canine)</t>
        </is>
      </c>
      <c r="C249" t="inlineStr">
        <is>
          <t>GI</t>
        </is>
      </c>
      <c r="D249" t="inlineStr">
        <is>
          <t>TFCB</t>
        </is>
      </c>
      <c r="E249" t="inlineStr">
        <is>
          <t>2025-01</t>
        </is>
      </c>
      <c r="F249" t="n">
        <v>553.9</v>
      </c>
      <c r="G249" t="n">
        <v>653.6</v>
      </c>
      <c r="H249">
        <f>הגדרות!B4</f>
        <v/>
      </c>
      <c r="I249">
        <f>F249*(1-H249/100)*1.18</f>
        <v/>
      </c>
      <c r="J249">
        <f>הגדרות!C4</f>
        <v/>
      </c>
      <c r="K249">
        <f>הגדרות!D4</f>
        <v/>
      </c>
      <c r="L249">
        <f>I249*(1+J249/100)+K249</f>
        <v/>
      </c>
    </row>
    <row r="250">
      <c r="A250" t="inlineStr">
        <is>
          <t>IDEXX</t>
        </is>
      </c>
      <c r="B250" t="inlineStr">
        <is>
          <t>C Reactive Protein (Canine)</t>
        </is>
      </c>
      <c r="C250" t="inlineStr">
        <is>
          <t>דלקת</t>
        </is>
      </c>
      <c r="D250" t="inlineStr">
        <is>
          <t>CRPR</t>
        </is>
      </c>
      <c r="E250" t="inlineStr">
        <is>
          <t>2025-01</t>
        </is>
      </c>
      <c r="F250" t="n">
        <v>118.9</v>
      </c>
      <c r="G250" t="n">
        <v>140.3</v>
      </c>
      <c r="H250">
        <f>הגדרות!B4</f>
        <v/>
      </c>
      <c r="I250">
        <f>F250*(1-H250/100)*1.18</f>
        <v/>
      </c>
      <c r="J250">
        <f>הגדרות!C4</f>
        <v/>
      </c>
      <c r="K250">
        <f>הגדרות!D4</f>
        <v/>
      </c>
      <c r="L250">
        <f>I250*(1+J250/100)+K250</f>
        <v/>
      </c>
    </row>
    <row r="251">
      <c r="A251" t="inlineStr">
        <is>
          <t>IDEXX</t>
        </is>
      </c>
      <c r="B251" t="inlineStr">
        <is>
          <t>Vaccination Status (Canine)</t>
        </is>
      </c>
      <c r="C251" t="inlineStr">
        <is>
          <t>חיסון</t>
        </is>
      </c>
      <c r="D251" t="inlineStr">
        <is>
          <t>DAPS</t>
        </is>
      </c>
      <c r="E251" t="inlineStr">
        <is>
          <t>2025-01</t>
        </is>
      </c>
      <c r="F251" t="n">
        <v>751.1</v>
      </c>
      <c r="G251" t="n">
        <v>886.3</v>
      </c>
      <c r="H251">
        <f>הגדרות!B4</f>
        <v/>
      </c>
      <c r="I251">
        <f>F251*(1-H251/100)*1.18</f>
        <v/>
      </c>
      <c r="J251">
        <f>הגדרות!C4</f>
        <v/>
      </c>
      <c r="K251">
        <f>הגדרות!D4</f>
        <v/>
      </c>
      <c r="L251">
        <f>I251*(1+J251/100)+K251</f>
        <v/>
      </c>
    </row>
    <row r="252">
      <c r="A252" t="inlineStr">
        <is>
          <t>קרניאלי</t>
        </is>
      </c>
      <c r="B252" t="inlineStr">
        <is>
          <t>פאנל מחלות זואונוטיות</t>
        </is>
      </c>
      <c r="C252" t="inlineStr">
        <is>
          <t>פאנלים - עופות</t>
        </is>
      </c>
      <c r="E252" t="inlineStr">
        <is>
          <t>2025-01</t>
        </is>
      </c>
      <c r="F252" t="n">
        <v>160.68</v>
      </c>
      <c r="G252" t="n">
        <v>189.6</v>
      </c>
      <c r="H252">
        <f>הגדרות!B5</f>
        <v/>
      </c>
      <c r="I252">
        <f>F252*(1-H252/100)*1.18</f>
        <v/>
      </c>
      <c r="J252">
        <f>הגדרות!C5</f>
        <v/>
      </c>
      <c r="K252">
        <f>הגדרות!D5</f>
        <v/>
      </c>
      <c r="L252">
        <f>I252*(1+J252/100)+K252</f>
        <v/>
      </c>
    </row>
    <row r="253">
      <c r="A253" t="inlineStr">
        <is>
          <t>קרניאלי</t>
        </is>
      </c>
      <c r="B253" t="inlineStr">
        <is>
          <t>פאנל מערכת נשימה</t>
        </is>
      </c>
      <c r="C253" t="inlineStr">
        <is>
          <t>פאנלים - עופות</t>
        </is>
      </c>
      <c r="E253" t="inlineStr">
        <is>
          <t>2025-01</t>
        </is>
      </c>
      <c r="F253" t="n">
        <v>160.68</v>
      </c>
      <c r="G253" t="n">
        <v>189.6</v>
      </c>
      <c r="H253">
        <f>הגדרות!B5</f>
        <v/>
      </c>
      <c r="I253">
        <f>F253*(1-H253/100)*1.18</f>
        <v/>
      </c>
      <c r="J253">
        <f>הגדרות!C5</f>
        <v/>
      </c>
      <c r="K253">
        <f>הגדרות!D5</f>
        <v/>
      </c>
      <c r="L253">
        <f>I253*(1+J253/100)+K253</f>
        <v/>
      </c>
    </row>
    <row r="254">
      <c r="A254" t="inlineStr">
        <is>
          <t>קרניאלי</t>
        </is>
      </c>
      <c r="B254" t="inlineStr">
        <is>
          <t>פאנל שלשולים</t>
        </is>
      </c>
      <c r="C254" t="inlineStr">
        <is>
          <t>פאנלים - כלבים</t>
        </is>
      </c>
      <c r="E254" t="inlineStr">
        <is>
          <t>2025-01</t>
        </is>
      </c>
      <c r="F254" t="n">
        <v>602.5599999999999</v>
      </c>
      <c r="G254" t="n">
        <v>711.02</v>
      </c>
      <c r="H254">
        <f>הגדרות!B5</f>
        <v/>
      </c>
      <c r="I254">
        <f>F254*(1-H254/100)*1.18</f>
        <v/>
      </c>
      <c r="J254">
        <f>הגדרות!C5</f>
        <v/>
      </c>
      <c r="K254">
        <f>הגדרות!D5</f>
        <v/>
      </c>
      <c r="L254">
        <f>I254*(1+J254/100)+K254</f>
        <v/>
      </c>
    </row>
    <row r="255">
      <c r="A255" t="inlineStr">
        <is>
          <t>קרניאלי</t>
        </is>
      </c>
      <c r="B255" t="inlineStr">
        <is>
          <t>פאנל שלשולים מצומצם</t>
        </is>
      </c>
      <c r="C255" t="inlineStr">
        <is>
          <t>פאנלים - כלבים</t>
        </is>
      </c>
      <c r="E255" t="inlineStr">
        <is>
          <t>2025-01</t>
        </is>
      </c>
      <c r="F255" t="n">
        <v>367.52</v>
      </c>
      <c r="G255" t="n">
        <v>433.67</v>
      </c>
      <c r="H255">
        <f>הגדרות!B5</f>
        <v/>
      </c>
      <c r="I255">
        <f>F255*(1-H255/100)*1.18</f>
        <v/>
      </c>
      <c r="J255">
        <f>הגדרות!C5</f>
        <v/>
      </c>
      <c r="K255">
        <f>הגדרות!D5</f>
        <v/>
      </c>
      <c r="L255">
        <f>I255*(1+J255/100)+K255</f>
        <v/>
      </c>
    </row>
    <row r="256">
      <c r="A256" t="inlineStr">
        <is>
          <t>קרניאלי</t>
        </is>
      </c>
      <c r="B256" t="inlineStr">
        <is>
          <t>פאנל טפילי דם</t>
        </is>
      </c>
      <c r="C256" t="inlineStr">
        <is>
          <t>פאנלים - כלבים</t>
        </is>
      </c>
      <c r="E256" t="inlineStr">
        <is>
          <t>2025-01</t>
        </is>
      </c>
      <c r="F256" t="n">
        <v>405.98</v>
      </c>
      <c r="G256" t="n">
        <v>479.06</v>
      </c>
      <c r="H256">
        <f>הגדרות!B5</f>
        <v/>
      </c>
      <c r="I256">
        <f>F256*(1-H256/100)*1.18</f>
        <v/>
      </c>
      <c r="J256">
        <f>הגדרות!C5</f>
        <v/>
      </c>
      <c r="K256">
        <f>הגדרות!D5</f>
        <v/>
      </c>
      <c r="L256">
        <f>I256*(1+J256/100)+K256</f>
        <v/>
      </c>
    </row>
    <row r="257">
      <c r="A257" t="inlineStr">
        <is>
          <t>קרניאלי</t>
        </is>
      </c>
      <c r="B257" t="inlineStr">
        <is>
          <t>פאנל מחלות זואונוטיות</t>
        </is>
      </c>
      <c r="C257" t="inlineStr">
        <is>
          <t>פאנלים - חתולים</t>
        </is>
      </c>
      <c r="E257" t="inlineStr">
        <is>
          <t>2025-01</t>
        </is>
      </c>
      <c r="F257" t="n">
        <v>376.07</v>
      </c>
      <c r="G257" t="n">
        <v>443.76</v>
      </c>
      <c r="H257">
        <f>הגדרות!B5</f>
        <v/>
      </c>
      <c r="I257">
        <f>F257*(1-H257/100)*1.18</f>
        <v/>
      </c>
      <c r="J257">
        <f>הגדרות!C5</f>
        <v/>
      </c>
      <c r="K257">
        <f>הגדרות!D5</f>
        <v/>
      </c>
      <c r="L257">
        <f>I257*(1+J257/100)+K257</f>
        <v/>
      </c>
    </row>
    <row r="258">
      <c r="A258" t="inlineStr">
        <is>
          <t>קרניאלי</t>
        </is>
      </c>
      <c r="B258" t="inlineStr">
        <is>
          <t>פאנל מערכת נשימה</t>
        </is>
      </c>
      <c r="C258" t="inlineStr">
        <is>
          <t>פאנלים - חתולים</t>
        </is>
      </c>
      <c r="E258" t="inlineStr">
        <is>
          <t>2025-01</t>
        </is>
      </c>
      <c r="F258" t="n">
        <v>564.1</v>
      </c>
      <c r="G258" t="n">
        <v>665.64</v>
      </c>
      <c r="H258">
        <f>הגדרות!B5</f>
        <v/>
      </c>
      <c r="I258">
        <f>F258*(1-H258/100)*1.18</f>
        <v/>
      </c>
      <c r="J258">
        <f>הגדרות!C5</f>
        <v/>
      </c>
      <c r="K258">
        <f>הגדרות!D5</f>
        <v/>
      </c>
      <c r="L258">
        <f>I258*(1+J258/100)+K258</f>
        <v/>
      </c>
    </row>
    <row r="259">
      <c r="A259" t="inlineStr">
        <is>
          <t>קרניאלי</t>
        </is>
      </c>
      <c r="B259" t="inlineStr">
        <is>
          <t>פאנל שלשולים</t>
        </is>
      </c>
      <c r="C259" t="inlineStr">
        <is>
          <t>פאנלים - חתולים</t>
        </is>
      </c>
      <c r="E259" t="inlineStr">
        <is>
          <t>2025-01</t>
        </is>
      </c>
      <c r="F259" t="n">
        <v>367.52</v>
      </c>
      <c r="G259" t="n">
        <v>433.67</v>
      </c>
      <c r="H259">
        <f>הגדרות!B5</f>
        <v/>
      </c>
      <c r="I259">
        <f>F259*(1-H259/100)*1.18</f>
        <v/>
      </c>
      <c r="J259">
        <f>הגדרות!C5</f>
        <v/>
      </c>
      <c r="K259">
        <f>הגדרות!D5</f>
        <v/>
      </c>
      <c r="L259">
        <f>I259*(1+J259/100)+K259</f>
        <v/>
      </c>
    </row>
    <row r="260">
      <c r="A260" t="inlineStr">
        <is>
          <t>קרניאלי</t>
        </is>
      </c>
      <c r="B260" t="inlineStr">
        <is>
          <t>פאנל חתולים גזעיים</t>
        </is>
      </c>
      <c r="C260" t="inlineStr">
        <is>
          <t>פאנלים - חתולים</t>
        </is>
      </c>
      <c r="E260" t="inlineStr">
        <is>
          <t>2025-01</t>
        </is>
      </c>
      <c r="F260" t="n">
        <v>658.12</v>
      </c>
      <c r="G260" t="n">
        <v>776.58</v>
      </c>
      <c r="H260">
        <f>הגדרות!B5</f>
        <v/>
      </c>
      <c r="I260">
        <f>F260*(1-H260/100)*1.18</f>
        <v/>
      </c>
      <c r="J260">
        <f>הגדרות!C5</f>
        <v/>
      </c>
      <c r="K260">
        <f>הגדרות!D5</f>
        <v/>
      </c>
      <c r="L260">
        <f>I260*(1+J260/100)+K260</f>
        <v/>
      </c>
    </row>
    <row r="261">
      <c r="A261" t="inlineStr">
        <is>
          <t>פרופ' בנעט</t>
        </is>
      </c>
      <c r="B261" t="inlineStr">
        <is>
          <t>Ehrlichia spp.</t>
        </is>
      </c>
      <c r="C261" t="inlineStr">
        <is>
          <t>PCR</t>
        </is>
      </c>
      <c r="F261" t="n">
        <v>170.94</v>
      </c>
      <c r="G261" t="n">
        <v>201.71</v>
      </c>
      <c r="H261">
        <f>הגדרות!B6</f>
        <v/>
      </c>
      <c r="I261">
        <f>F261*(1-H261/100)*1.18</f>
        <v/>
      </c>
      <c r="J261">
        <f>הגדרות!C6</f>
        <v/>
      </c>
      <c r="K261">
        <f>הגדרות!D6</f>
        <v/>
      </c>
      <c r="L261">
        <f>I261*(1+J261/100)+K261</f>
        <v/>
      </c>
    </row>
    <row r="262">
      <c r="A262" t="inlineStr">
        <is>
          <t>פרופ' בנעט</t>
        </is>
      </c>
      <c r="B262" t="inlineStr">
        <is>
          <t>Babesia spp.</t>
        </is>
      </c>
      <c r="C262" t="inlineStr">
        <is>
          <t>PCR</t>
        </is>
      </c>
      <c r="F262" t="n">
        <v>170.94</v>
      </c>
      <c r="G262" t="n">
        <v>201.71</v>
      </c>
      <c r="H262">
        <f>הגדרות!B6</f>
        <v/>
      </c>
      <c r="I262">
        <f>F262*(1-H262/100)*1.18</f>
        <v/>
      </c>
      <c r="J262">
        <f>הגדרות!C6</f>
        <v/>
      </c>
      <c r="K262">
        <f>הגדרות!D6</f>
        <v/>
      </c>
      <c r="L262">
        <f>I262*(1+J262/100)+K262</f>
        <v/>
      </c>
    </row>
    <row r="263">
      <c r="A263" t="inlineStr">
        <is>
          <t>פרופ' בנעט</t>
        </is>
      </c>
      <c r="B263" t="inlineStr">
        <is>
          <t>Hepatozoon spp.</t>
        </is>
      </c>
      <c r="C263" t="inlineStr">
        <is>
          <t>PCR</t>
        </is>
      </c>
      <c r="F263" t="n">
        <v>170.94</v>
      </c>
      <c r="G263" t="n">
        <v>201.71</v>
      </c>
      <c r="H263">
        <f>הגדרות!B6</f>
        <v/>
      </c>
      <c r="I263">
        <f>F263*(1-H263/100)*1.18</f>
        <v/>
      </c>
      <c r="J263">
        <f>הגדרות!C6</f>
        <v/>
      </c>
      <c r="K263">
        <f>הגדרות!D6</f>
        <v/>
      </c>
      <c r="L263">
        <f>I263*(1+J263/100)+K263</f>
        <v/>
      </c>
    </row>
    <row r="264">
      <c r="A264" t="inlineStr">
        <is>
          <t>פרופ' בנעט</t>
        </is>
      </c>
      <c r="B264" t="inlineStr">
        <is>
          <t>Borrelia spp (Lyme)</t>
        </is>
      </c>
      <c r="C264" t="inlineStr">
        <is>
          <t>PCR</t>
        </is>
      </c>
      <c r="F264" t="n">
        <v>170.94</v>
      </c>
      <c r="G264" t="n">
        <v>201.71</v>
      </c>
      <c r="H264">
        <f>הגדרות!B6</f>
        <v/>
      </c>
      <c r="I264">
        <f>F264*(1-H264/100)*1.18</f>
        <v/>
      </c>
      <c r="J264">
        <f>הגדרות!C6</f>
        <v/>
      </c>
      <c r="K264">
        <f>הגדרות!D6</f>
        <v/>
      </c>
      <c r="L264">
        <f>I264*(1+J264/100)+K264</f>
        <v/>
      </c>
    </row>
    <row r="265">
      <c r="A265" t="inlineStr">
        <is>
          <t>פרופ' בנעט</t>
        </is>
      </c>
      <c r="B265" t="inlineStr">
        <is>
          <t>Rickettsia spp.</t>
        </is>
      </c>
      <c r="C265" t="inlineStr">
        <is>
          <t>PCR</t>
        </is>
      </c>
      <c r="F265" t="n">
        <v>170.94</v>
      </c>
      <c r="G265" t="n">
        <v>201.71</v>
      </c>
      <c r="H265">
        <f>הגדרות!B6</f>
        <v/>
      </c>
      <c r="I265">
        <f>F265*(1-H265/100)*1.18</f>
        <v/>
      </c>
      <c r="J265">
        <f>הגדרות!C6</f>
        <v/>
      </c>
      <c r="K265">
        <f>הגדרות!D6</f>
        <v/>
      </c>
      <c r="L265">
        <f>I265*(1+J265/100)+K265</f>
        <v/>
      </c>
    </row>
    <row r="266">
      <c r="A266" t="inlineStr">
        <is>
          <t>פרופ' בנעט</t>
        </is>
      </c>
      <c r="B266" t="inlineStr">
        <is>
          <t>Bartonella spp.</t>
        </is>
      </c>
      <c r="C266" t="inlineStr">
        <is>
          <t>PCR</t>
        </is>
      </c>
      <c r="F266" t="n">
        <v>170.94</v>
      </c>
      <c r="G266" t="n">
        <v>201.71</v>
      </c>
      <c r="H266">
        <f>הגדרות!B6</f>
        <v/>
      </c>
      <c r="I266">
        <f>F266*(1-H266/100)*1.18</f>
        <v/>
      </c>
      <c r="J266">
        <f>הגדרות!C6</f>
        <v/>
      </c>
      <c r="K266">
        <f>הגדרות!D6</f>
        <v/>
      </c>
      <c r="L266">
        <f>I266*(1+J266/100)+K266</f>
        <v/>
      </c>
    </row>
    <row r="267">
      <c r="A267" t="inlineStr">
        <is>
          <t>פרופ' בנעט</t>
        </is>
      </c>
      <c r="B267" t="inlineStr">
        <is>
          <t>Mycoplasma Hemofelis/Hemocanis</t>
        </is>
      </c>
      <c r="C267" t="inlineStr">
        <is>
          <t>PCR</t>
        </is>
      </c>
      <c r="F267" t="n">
        <v>170.94</v>
      </c>
      <c r="G267" t="n">
        <v>201.71</v>
      </c>
      <c r="H267">
        <f>הגדרות!B6</f>
        <v/>
      </c>
      <c r="I267">
        <f>F267*(1-H267/100)*1.18</f>
        <v/>
      </c>
      <c r="J267">
        <f>הגדרות!C6</f>
        <v/>
      </c>
      <c r="K267">
        <f>הגדרות!D6</f>
        <v/>
      </c>
      <c r="L267">
        <f>I267*(1+J267/100)+K267</f>
        <v/>
      </c>
    </row>
    <row r="268">
      <c r="A268" t="inlineStr">
        <is>
          <t>פרופ' בנעט</t>
        </is>
      </c>
      <c r="B268" t="inlineStr">
        <is>
          <t>Canine Parvo Virus</t>
        </is>
      </c>
      <c r="C268" t="inlineStr">
        <is>
          <t>PCR</t>
        </is>
      </c>
      <c r="F268" t="n">
        <v>170.94</v>
      </c>
      <c r="G268" t="n">
        <v>201.71</v>
      </c>
      <c r="H268">
        <f>הגדרות!B6</f>
        <v/>
      </c>
      <c r="I268">
        <f>F268*(1-H268/100)*1.18</f>
        <v/>
      </c>
      <c r="J268">
        <f>הגדרות!C6</f>
        <v/>
      </c>
      <c r="K268">
        <f>הגדרות!D6</f>
        <v/>
      </c>
      <c r="L268">
        <f>I268*(1+J268/100)+K268</f>
        <v/>
      </c>
    </row>
    <row r="269">
      <c r="A269" t="inlineStr">
        <is>
          <t>פרופ' בנעט</t>
        </is>
      </c>
      <c r="B269" t="inlineStr">
        <is>
          <t>Canine Distemper Virus</t>
        </is>
      </c>
      <c r="C269" t="inlineStr">
        <is>
          <t>PCR</t>
        </is>
      </c>
      <c r="F269" t="n">
        <v>222.22</v>
      </c>
      <c r="G269" t="n">
        <v>262.22</v>
      </c>
      <c r="H269">
        <f>הגדרות!B6</f>
        <v/>
      </c>
      <c r="I269">
        <f>F269*(1-H269/100)*1.18</f>
        <v/>
      </c>
      <c r="J269">
        <f>הגדרות!C6</f>
        <v/>
      </c>
      <c r="K269">
        <f>הגדרות!D6</f>
        <v/>
      </c>
      <c r="L269">
        <f>I269*(1+J269/100)+K269</f>
        <v/>
      </c>
    </row>
    <row r="270">
      <c r="A270" t="inlineStr">
        <is>
          <t>פרופ' בנעט</t>
        </is>
      </c>
      <c r="B270" t="inlineStr">
        <is>
          <t>Canine Herpes Virus</t>
        </is>
      </c>
      <c r="C270" t="inlineStr">
        <is>
          <t>PCR</t>
        </is>
      </c>
      <c r="F270" t="n">
        <v>170.94</v>
      </c>
      <c r="G270" t="n">
        <v>201.71</v>
      </c>
      <c r="H270">
        <f>הגדרות!B6</f>
        <v/>
      </c>
      <c r="I270">
        <f>F270*(1-H270/100)*1.18</f>
        <v/>
      </c>
      <c r="J270">
        <f>הגדרות!C6</f>
        <v/>
      </c>
      <c r="K270">
        <f>הגדרות!D6</f>
        <v/>
      </c>
      <c r="L270">
        <f>I270*(1+J270/100)+K270</f>
        <v/>
      </c>
    </row>
    <row r="271">
      <c r="A271" t="inlineStr">
        <is>
          <t>פרופ' בנעט</t>
        </is>
      </c>
      <c r="B271" t="inlineStr">
        <is>
          <t>Leishmania</t>
        </is>
      </c>
      <c r="C271" t="inlineStr">
        <is>
          <t>PCR</t>
        </is>
      </c>
      <c r="F271" t="n">
        <v>170.94</v>
      </c>
      <c r="G271" t="n">
        <v>201.71</v>
      </c>
      <c r="H271">
        <f>הגדרות!B6</f>
        <v/>
      </c>
      <c r="I271">
        <f>F271*(1-H271/100)*1.18</f>
        <v/>
      </c>
      <c r="J271">
        <f>הגדרות!C6</f>
        <v/>
      </c>
      <c r="K271">
        <f>הגדרות!D6</f>
        <v/>
      </c>
      <c r="L271">
        <f>I271*(1+J271/100)+K271</f>
        <v/>
      </c>
    </row>
    <row r="272">
      <c r="A272" t="inlineStr">
        <is>
          <t>פרופ' בנעט</t>
        </is>
      </c>
      <c r="B272" t="inlineStr">
        <is>
          <t>Corona Virus</t>
        </is>
      </c>
      <c r="C272" t="inlineStr">
        <is>
          <t>PCR</t>
        </is>
      </c>
      <c r="F272" t="n">
        <v>222.22</v>
      </c>
      <c r="G272" t="n">
        <v>262.22</v>
      </c>
      <c r="H272">
        <f>הגדרות!B6</f>
        <v/>
      </c>
      <c r="I272">
        <f>F272*(1-H272/100)*1.18</f>
        <v/>
      </c>
      <c r="J272">
        <f>הגדרות!C6</f>
        <v/>
      </c>
      <c r="K272">
        <f>הגדרות!D6</f>
        <v/>
      </c>
      <c r="L272">
        <f>I272*(1+J272/100)+K272</f>
        <v/>
      </c>
    </row>
    <row r="273">
      <c r="A273" t="inlineStr">
        <is>
          <t>פרופ' בנעט</t>
        </is>
      </c>
      <c r="B273" t="inlineStr">
        <is>
          <t>Corona Virus (FIP)</t>
        </is>
      </c>
      <c r="C273" t="inlineStr">
        <is>
          <t>PCR</t>
        </is>
      </c>
      <c r="F273" t="n">
        <v>222.22</v>
      </c>
      <c r="G273" t="n">
        <v>262.22</v>
      </c>
      <c r="H273">
        <f>הגדרות!B6</f>
        <v/>
      </c>
      <c r="I273">
        <f>F273*(1-H273/100)*1.18</f>
        <v/>
      </c>
      <c r="J273">
        <f>הגדרות!C6</f>
        <v/>
      </c>
      <c r="K273">
        <f>הגדרות!D6</f>
        <v/>
      </c>
      <c r="L273">
        <f>I273*(1+J273/100)+K273</f>
        <v/>
      </c>
    </row>
    <row r="274">
      <c r="A274" t="inlineStr">
        <is>
          <t>פרופ' בנעט</t>
        </is>
      </c>
      <c r="B274" t="inlineStr">
        <is>
          <t>Salmonella sp.</t>
        </is>
      </c>
      <c r="C274" t="inlineStr">
        <is>
          <t>PCR</t>
        </is>
      </c>
      <c r="F274" t="n">
        <v>170.94</v>
      </c>
      <c r="G274" t="n">
        <v>201.71</v>
      </c>
      <c r="H274">
        <f>הגדרות!B6</f>
        <v/>
      </c>
      <c r="I274">
        <f>F274*(1-H274/100)*1.18</f>
        <v/>
      </c>
      <c r="J274">
        <f>הגדרות!C6</f>
        <v/>
      </c>
      <c r="K274">
        <f>הגדרות!D6</f>
        <v/>
      </c>
      <c r="L274">
        <f>I274*(1+J274/100)+K274</f>
        <v/>
      </c>
    </row>
    <row r="275">
      <c r="A275" t="inlineStr">
        <is>
          <t>פרופ' בנעט</t>
        </is>
      </c>
      <c r="B275" t="inlineStr">
        <is>
          <t>Dirofilaria Immitis / Repens</t>
        </is>
      </c>
      <c r="C275" t="inlineStr">
        <is>
          <t>PCR</t>
        </is>
      </c>
      <c r="F275" t="n">
        <v>170.94</v>
      </c>
      <c r="G275" t="n">
        <v>201.71</v>
      </c>
      <c r="H275">
        <f>הגדרות!B6</f>
        <v/>
      </c>
      <c r="I275">
        <f>F275*(1-H275/100)*1.18</f>
        <v/>
      </c>
      <c r="J275">
        <f>הגדרות!C6</f>
        <v/>
      </c>
      <c r="K275">
        <f>הגדרות!D6</f>
        <v/>
      </c>
      <c r="L275">
        <f>I275*(1+J275/100)+K275</f>
        <v/>
      </c>
    </row>
    <row r="276">
      <c r="A276" t="inlineStr">
        <is>
          <t>פרופ' בנעט</t>
        </is>
      </c>
      <c r="B276" t="inlineStr">
        <is>
          <t>Neospora Caninum</t>
        </is>
      </c>
      <c r="C276" t="inlineStr">
        <is>
          <t>PCR</t>
        </is>
      </c>
      <c r="F276" t="n">
        <v>170.94</v>
      </c>
      <c r="G276" t="n">
        <v>201.71</v>
      </c>
      <c r="H276">
        <f>הגדרות!B6</f>
        <v/>
      </c>
      <c r="I276">
        <f>F276*(1-H276/100)*1.18</f>
        <v/>
      </c>
      <c r="J276">
        <f>הגדרות!C6</f>
        <v/>
      </c>
      <c r="K276">
        <f>הגדרות!D6</f>
        <v/>
      </c>
      <c r="L276">
        <f>I276*(1+J276/100)+K276</f>
        <v/>
      </c>
    </row>
    <row r="277">
      <c r="A277" t="inlineStr">
        <is>
          <t>פרופ' בנעט</t>
        </is>
      </c>
      <c r="B277" t="inlineStr">
        <is>
          <t>Feline Herpes Virus</t>
        </is>
      </c>
      <c r="C277" t="inlineStr">
        <is>
          <t>PCR</t>
        </is>
      </c>
      <c r="F277" t="n">
        <v>170.94</v>
      </c>
      <c r="G277" t="n">
        <v>201.71</v>
      </c>
      <c r="H277">
        <f>הגדרות!B6</f>
        <v/>
      </c>
      <c r="I277">
        <f>F277*(1-H277/100)*1.18</f>
        <v/>
      </c>
      <c r="J277">
        <f>הגדרות!C6</f>
        <v/>
      </c>
      <c r="K277">
        <f>הגדרות!D6</f>
        <v/>
      </c>
      <c r="L277">
        <f>I277*(1+J277/100)+K277</f>
        <v/>
      </c>
    </row>
    <row r="278">
      <c r="A278" t="inlineStr">
        <is>
          <t>פרופ' בנעט</t>
        </is>
      </c>
      <c r="B278" t="inlineStr">
        <is>
          <t>Feline Leukemia Virus (FeLV)</t>
        </is>
      </c>
      <c r="C278" t="inlineStr">
        <is>
          <t>PCR</t>
        </is>
      </c>
      <c r="F278" t="n">
        <v>170.94</v>
      </c>
      <c r="G278" t="n">
        <v>201.71</v>
      </c>
      <c r="H278">
        <f>הגדרות!B6</f>
        <v/>
      </c>
      <c r="I278">
        <f>F278*(1-H278/100)*1.18</f>
        <v/>
      </c>
      <c r="J278">
        <f>הגדרות!C6</f>
        <v/>
      </c>
      <c r="K278">
        <f>הגדרות!D6</f>
        <v/>
      </c>
      <c r="L278">
        <f>I278*(1+J278/100)+K278</f>
        <v/>
      </c>
    </row>
    <row r="279">
      <c r="A279" t="inlineStr">
        <is>
          <t>פרופ' בנעט</t>
        </is>
      </c>
      <c r="B279" t="inlineStr">
        <is>
          <t>Feline Immunodeficiency Virus (FIV)</t>
        </is>
      </c>
      <c r="C279" t="inlineStr">
        <is>
          <t>PCR</t>
        </is>
      </c>
      <c r="F279" t="n">
        <v>170.94</v>
      </c>
      <c r="G279" t="n">
        <v>201.71</v>
      </c>
      <c r="H279">
        <f>הגדרות!B6</f>
        <v/>
      </c>
      <c r="I279">
        <f>F279*(1-H279/100)*1.18</f>
        <v/>
      </c>
      <c r="J279">
        <f>הגדרות!C6</f>
        <v/>
      </c>
      <c r="K279">
        <f>הגדרות!D6</f>
        <v/>
      </c>
      <c r="L279">
        <f>I279*(1+J279/100)+K279</f>
        <v/>
      </c>
    </row>
    <row r="280">
      <c r="A280" t="inlineStr">
        <is>
          <t>פרופ' בנעט</t>
        </is>
      </c>
      <c r="B280" t="inlineStr">
        <is>
          <t>Toxoplasma</t>
        </is>
      </c>
      <c r="C280" t="inlineStr">
        <is>
          <t>PCR</t>
        </is>
      </c>
      <c r="F280" t="n">
        <v>170.94</v>
      </c>
      <c r="G280" t="n">
        <v>201.71</v>
      </c>
      <c r="H280">
        <f>הגדרות!B6</f>
        <v/>
      </c>
      <c r="I280">
        <f>F280*(1-H280/100)*1.18</f>
        <v/>
      </c>
      <c r="J280">
        <f>הגדרות!C6</f>
        <v/>
      </c>
      <c r="K280">
        <f>הגדרות!D6</f>
        <v/>
      </c>
      <c r="L280">
        <f>I280*(1+J280/100)+K280</f>
        <v/>
      </c>
    </row>
    <row r="281">
      <c r="A281" t="inlineStr">
        <is>
          <t>פרופ' בנעט</t>
        </is>
      </c>
      <c r="B281" t="inlineStr">
        <is>
          <t>Panleukopenia Parvo Virus</t>
        </is>
      </c>
      <c r="C281" t="inlineStr">
        <is>
          <t>PCR</t>
        </is>
      </c>
      <c r="F281" t="n">
        <v>170.94</v>
      </c>
      <c r="G281" t="n">
        <v>201.71</v>
      </c>
      <c r="H281">
        <f>הגדרות!B6</f>
        <v/>
      </c>
      <c r="I281">
        <f>F281*(1-H281/100)*1.18</f>
        <v/>
      </c>
      <c r="J281">
        <f>הגדרות!C6</f>
        <v/>
      </c>
      <c r="K281">
        <f>הגדרות!D6</f>
        <v/>
      </c>
      <c r="L281">
        <f>I281*(1+J281/100)+K281</f>
        <v/>
      </c>
    </row>
    <row r="282">
      <c r="A282" t="inlineStr">
        <is>
          <t>פרופ' בנעט</t>
        </is>
      </c>
      <c r="B282" t="inlineStr">
        <is>
          <t>Feline Calici Virus</t>
        </is>
      </c>
      <c r="C282" t="inlineStr">
        <is>
          <t>PCR</t>
        </is>
      </c>
      <c r="F282" t="n">
        <v>222.22</v>
      </c>
      <c r="G282" t="n">
        <v>262.22</v>
      </c>
      <c r="H282">
        <f>הגדרות!B6</f>
        <v/>
      </c>
      <c r="I282">
        <f>F282*(1-H282/100)*1.18</f>
        <v/>
      </c>
      <c r="J282">
        <f>הגדרות!C6</f>
        <v/>
      </c>
      <c r="K282">
        <f>הגדרות!D6</f>
        <v/>
      </c>
      <c r="L282">
        <f>I282*(1+J282/100)+K282</f>
        <v/>
      </c>
    </row>
    <row r="283">
      <c r="A283" t="inlineStr">
        <is>
          <t>פרופ' בנעט</t>
        </is>
      </c>
      <c r="B283" t="inlineStr">
        <is>
          <t>Chlamydophila Felis</t>
        </is>
      </c>
      <c r="C283" t="inlineStr">
        <is>
          <t>PCR</t>
        </is>
      </c>
      <c r="F283" t="n">
        <v>170.94</v>
      </c>
      <c r="G283" t="n">
        <v>201.71</v>
      </c>
      <c r="H283">
        <f>הגדרות!B6</f>
        <v/>
      </c>
      <c r="I283">
        <f>F283*(1-H283/100)*1.18</f>
        <v/>
      </c>
      <c r="J283">
        <f>הגדרות!C6</f>
        <v/>
      </c>
      <c r="K283">
        <f>הגדרות!D6</f>
        <v/>
      </c>
      <c r="L283">
        <f>I283*(1+J283/100)+K283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2026-08-26T08:27:51Z</dcterms:created>
  <dcterms:modified xmlns:dcterms="http://purl.org/dc/terms/" xmlns:xsi="http://www.w3.org/2001/XMLSchema-instance" xsi:type="dcterms:W3CDTF">2026-08-26T08:27:52Z</dcterms:modified>
</cp:coreProperties>
</file>