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מעבדות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CE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"/>
  <sheetViews>
    <sheetView rightToLeft="1" workbookViewId="0">
      <selection activeCell="A1" sqref="A1"/>
    </sheetView>
  </sheetViews>
  <sheetFormatPr baseColWidth="8" defaultRowHeight="15"/>
  <sheetData>
    <row r="1">
      <c r="A1" s="1" t="inlineStr">
        <is>
          <t>ספק</t>
        </is>
      </c>
      <c r="B1" s="1" t="inlineStr">
        <is>
          <t>ההנחה שלי %</t>
        </is>
      </c>
      <c r="C1" s="1" t="inlineStr">
        <is>
          <t>מרווח %</t>
        </is>
      </c>
      <c r="D1" s="1" t="inlineStr">
        <is>
          <t>מרווח ₪ קבוע</t>
        </is>
      </c>
    </row>
    <row r="2">
      <c r="A2" t="inlineStr">
        <is>
          <t>AML</t>
        </is>
      </c>
      <c r="B2" t="n">
        <v>0</v>
      </c>
      <c r="C2" t="n">
        <v>0</v>
      </c>
      <c r="D2" t="n">
        <v>0</v>
      </c>
    </row>
    <row r="3">
      <c r="A3" t="inlineStr">
        <is>
          <t>המכון (מעבדה חיצונית)</t>
        </is>
      </c>
      <c r="B3" t="n">
        <v>0</v>
      </c>
      <c r="C3" t="n">
        <v>0</v>
      </c>
      <c r="D3" t="n">
        <v>0</v>
      </c>
    </row>
    <row r="4">
      <c r="A4" t="inlineStr">
        <is>
          <t>IDEXX</t>
        </is>
      </c>
      <c r="B4" t="n">
        <v>0</v>
      </c>
      <c r="C4" t="n">
        <v>0</v>
      </c>
      <c r="D4" t="n">
        <v>0</v>
      </c>
    </row>
    <row r="5">
      <c r="A5" t="inlineStr">
        <is>
          <t>קרניאלי</t>
        </is>
      </c>
      <c r="B5" t="n">
        <v>0</v>
      </c>
      <c r="C5" t="n">
        <v>0</v>
      </c>
      <c r="D5" t="n">
        <v>0</v>
      </c>
    </row>
    <row r="6">
      <c r="A6" t="inlineStr">
        <is>
          <t>פרופ' בנעט</t>
        </is>
      </c>
      <c r="B6" t="n">
        <v>0</v>
      </c>
      <c r="C6" t="n">
        <v>0</v>
      </c>
      <c r="D6" t="n">
        <v>0</v>
      </c>
    </row>
    <row r="8">
      <c r="A8" t="inlineStr">
        <is>
          <t>נוסחה: עלות = מחיר ללא מע"מ × (1 − הנחה) × 1.18 ; מחיר ללקוח = עלות × (1 + מרווח %) + מרווח ₪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38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20" customWidth="1" min="3" max="3"/>
    <col width="12" customWidth="1" min="4" max="4"/>
    <col width="12" customWidth="1" min="5" max="5"/>
    <col width="14" customWidth="1" min="6" max="6"/>
    <col width="14" customWidth="1" min="7" max="7"/>
    <col width="9" customWidth="1" min="8" max="8"/>
    <col width="18" customWidth="1" min="9" max="9"/>
    <col width="9" customWidth="1" min="10" max="10"/>
    <col width="9" customWidth="1" min="11" max="11"/>
    <col width="14" customWidth="1" min="12" max="12"/>
  </cols>
  <sheetData>
    <row r="1">
      <c r="A1" s="2" t="inlineStr">
        <is>
          <t>ספק</t>
        </is>
      </c>
      <c r="B1" s="2" t="inlineStr">
        <is>
          <t>פריט</t>
        </is>
      </c>
      <c r="C1" s="2" t="inlineStr">
        <is>
          <t>קטגוריה</t>
        </is>
      </c>
      <c r="D1" s="2" t="inlineStr">
        <is>
          <t>מק"ט</t>
        </is>
      </c>
      <c r="E1" s="2" t="inlineStr">
        <is>
          <t>תאריך מחירון</t>
        </is>
      </c>
      <c r="F1" s="2" t="inlineStr">
        <is>
          <t>מחיר ללא מע"מ</t>
        </is>
      </c>
      <c r="G1" s="2" t="inlineStr">
        <is>
          <t>מחיר כולל מע"מ</t>
        </is>
      </c>
      <c r="H1" s="2" t="inlineStr">
        <is>
          <t>הנחה %</t>
        </is>
      </c>
      <c r="I1" s="2" t="inlineStr">
        <is>
          <t>עלות אחרי הנחה (כולל מע"מ)</t>
        </is>
      </c>
      <c r="J1" s="2" t="inlineStr">
        <is>
          <t>מרווח %</t>
        </is>
      </c>
      <c r="K1" s="2" t="inlineStr">
        <is>
          <t>מרווח ₪</t>
        </is>
      </c>
      <c r="L1" s="2" t="inlineStr">
        <is>
          <t>מחיר ללקוח</t>
        </is>
      </c>
    </row>
    <row r="2">
      <c r="A2" t="inlineStr">
        <is>
          <t>AML</t>
        </is>
      </c>
      <c r="B2" t="inlineStr">
        <is>
          <t>פאנל כללי</t>
        </is>
      </c>
      <c r="C2" t="inlineStr">
        <is>
          <t>פאנלים</t>
        </is>
      </c>
      <c r="D2" t="inlineStr">
        <is>
          <t>1001</t>
        </is>
      </c>
      <c r="E2" t="inlineStr">
        <is>
          <t>2026-06</t>
        </is>
      </c>
      <c r="F2" t="n">
        <v>322.03</v>
      </c>
      <c r="G2" t="n">
        <v>380</v>
      </c>
      <c r="H2">
        <f>הגדרות!B2</f>
        <v/>
      </c>
      <c r="I2">
        <f>F2*(1-H2/100)*1.18</f>
        <v/>
      </c>
      <c r="J2">
        <f>הגדרות!C2</f>
        <v/>
      </c>
      <c r="K2">
        <f>הגדרות!D2</f>
        <v/>
      </c>
      <c r="L2">
        <f>I2*(1+J2/100)+K2</f>
        <v/>
      </c>
    </row>
    <row r="3">
      <c r="A3" t="inlineStr">
        <is>
          <t>AML</t>
        </is>
      </c>
      <c r="B3" t="inlineStr">
        <is>
          <t>פאנל כללי חוזר</t>
        </is>
      </c>
      <c r="C3" t="inlineStr">
        <is>
          <t>פאנלים</t>
        </is>
      </c>
      <c r="D3" t="inlineStr">
        <is>
          <t>1001</t>
        </is>
      </c>
      <c r="E3" t="inlineStr">
        <is>
          <t>2026-06</t>
        </is>
      </c>
      <c r="F3" t="n">
        <v>288.14</v>
      </c>
      <c r="G3" t="n">
        <v>340.01</v>
      </c>
      <c r="H3">
        <f>הגדרות!B2</f>
        <v/>
      </c>
      <c r="I3">
        <f>F3*(1-H3/100)*1.18</f>
        <v/>
      </c>
      <c r="J3">
        <f>הגדרות!C2</f>
        <v/>
      </c>
      <c r="K3">
        <f>הגדרות!D2</f>
        <v/>
      </c>
      <c r="L3">
        <f>I3*(1+J3/100)+K3</f>
        <v/>
      </c>
    </row>
    <row r="4">
      <c r="A4" t="inlineStr">
        <is>
          <t>AML</t>
        </is>
      </c>
      <c r="B4" t="inlineStr">
        <is>
          <t>פאנל כימיה בלבד</t>
        </is>
      </c>
      <c r="C4" t="inlineStr">
        <is>
          <t>פאנלים</t>
        </is>
      </c>
      <c r="D4" t="inlineStr">
        <is>
          <t>1002</t>
        </is>
      </c>
      <c r="E4" t="inlineStr">
        <is>
          <t>2026-06</t>
        </is>
      </c>
      <c r="F4" t="n">
        <v>279.66</v>
      </c>
      <c r="G4" t="n">
        <v>330</v>
      </c>
      <c r="H4">
        <f>הגדרות!B2</f>
        <v/>
      </c>
      <c r="I4">
        <f>F4*(1-H4/100)*1.18</f>
        <v/>
      </c>
      <c r="J4">
        <f>הגדרות!C2</f>
        <v/>
      </c>
      <c r="K4">
        <f>הגדרות!D2</f>
        <v/>
      </c>
      <c r="L4">
        <f>I4*(1+J4/100)+K4</f>
        <v/>
      </c>
    </row>
    <row r="5">
      <c r="A5" t="inlineStr">
        <is>
          <t>AML</t>
        </is>
      </c>
      <c r="B5" t="inlineStr">
        <is>
          <t>אלקטרוליטים</t>
        </is>
      </c>
      <c r="C5" t="inlineStr">
        <is>
          <t>פאנלים</t>
        </is>
      </c>
      <c r="D5" t="inlineStr">
        <is>
          <t>1850</t>
        </is>
      </c>
      <c r="E5" t="inlineStr">
        <is>
          <t>2026-06</t>
        </is>
      </c>
      <c r="F5" t="n">
        <v>177.97</v>
      </c>
      <c r="G5" t="n">
        <v>210</v>
      </c>
      <c r="H5">
        <f>הגדרות!B2</f>
        <v/>
      </c>
      <c r="I5">
        <f>F5*(1-H5/100)*1.18</f>
        <v/>
      </c>
      <c r="J5">
        <f>הגדרות!C2</f>
        <v/>
      </c>
      <c r="K5">
        <f>הגדרות!D2</f>
        <v/>
      </c>
      <c r="L5">
        <f>I5*(1+J5/100)+K5</f>
        <v/>
      </c>
    </row>
    <row r="6">
      <c r="A6" t="inlineStr">
        <is>
          <t>AML</t>
        </is>
      </c>
      <c r="B6" t="inlineStr">
        <is>
          <t>ברזל</t>
        </is>
      </c>
      <c r="C6" t="inlineStr">
        <is>
          <t>פאנלים</t>
        </is>
      </c>
      <c r="D6" t="inlineStr">
        <is>
          <t>233</t>
        </is>
      </c>
      <c r="E6" t="inlineStr">
        <is>
          <t>2026-06</t>
        </is>
      </c>
      <c r="F6" t="n">
        <v>152.54</v>
      </c>
      <c r="G6" t="n">
        <v>180</v>
      </c>
      <c r="H6">
        <f>הגדרות!B2</f>
        <v/>
      </c>
      <c r="I6">
        <f>F6*(1-H6/100)*1.18</f>
        <v/>
      </c>
      <c r="J6">
        <f>הגדרות!C2</f>
        <v/>
      </c>
      <c r="K6">
        <f>הגדרות!D2</f>
        <v/>
      </c>
      <c r="L6">
        <f>I6*(1+J6/100)+K6</f>
        <v/>
      </c>
    </row>
    <row r="7">
      <c r="A7" t="inlineStr">
        <is>
          <t>AML</t>
        </is>
      </c>
      <c r="B7" t="inlineStr">
        <is>
          <t>כימיה אחת</t>
        </is>
      </c>
      <c r="C7" t="inlineStr">
        <is>
          <t>פאנלים</t>
        </is>
      </c>
      <c r="E7" t="inlineStr">
        <is>
          <t>2026-06</t>
        </is>
      </c>
      <c r="F7" t="n">
        <v>118.64</v>
      </c>
      <c r="G7" t="n">
        <v>140</v>
      </c>
      <c r="H7">
        <f>הגדרות!B2</f>
        <v/>
      </c>
      <c r="I7">
        <f>F7*(1-H7/100)*1.18</f>
        <v/>
      </c>
      <c r="J7">
        <f>הגדרות!C2</f>
        <v/>
      </c>
      <c r="K7">
        <f>הגדרות!D2</f>
        <v/>
      </c>
      <c r="L7">
        <f>I7*(1+J7/100)+K7</f>
        <v/>
      </c>
    </row>
    <row r="8">
      <c r="A8" t="inlineStr">
        <is>
          <t>AML</t>
        </is>
      </c>
      <c r="B8" t="inlineStr">
        <is>
          <t>תוספת כימיה אחת ל-CBC</t>
        </is>
      </c>
      <c r="C8" t="inlineStr">
        <is>
          <t>פאנלים</t>
        </is>
      </c>
      <c r="E8" t="inlineStr">
        <is>
          <t>2026-06</t>
        </is>
      </c>
      <c r="F8" t="n">
        <v>33.9</v>
      </c>
      <c r="G8" t="n">
        <v>40</v>
      </c>
      <c r="H8">
        <f>הגדרות!B2</f>
        <v/>
      </c>
      <c r="I8">
        <f>F8*(1-H8/100)*1.18</f>
        <v/>
      </c>
      <c r="J8">
        <f>הגדרות!C2</f>
        <v/>
      </c>
      <c r="K8">
        <f>הגדרות!D2</f>
        <v/>
      </c>
      <c r="L8">
        <f>I8*(1+J8/100)+K8</f>
        <v/>
      </c>
    </row>
    <row r="9">
      <c r="A9" t="inlineStr">
        <is>
          <t>AML</t>
        </is>
      </c>
      <c r="B9" t="inlineStr">
        <is>
          <t>פאנל סוסים</t>
        </is>
      </c>
      <c r="C9" t="inlineStr">
        <is>
          <t>פאנלים</t>
        </is>
      </c>
      <c r="D9" t="inlineStr">
        <is>
          <t>1003</t>
        </is>
      </c>
      <c r="E9" t="inlineStr">
        <is>
          <t>2026-06</t>
        </is>
      </c>
      <c r="F9" t="n">
        <v>322.03</v>
      </c>
      <c r="G9" t="n">
        <v>380</v>
      </c>
      <c r="H9">
        <f>הגדרות!B2</f>
        <v/>
      </c>
      <c r="I9">
        <f>F9*(1-H9/100)*1.18</f>
        <v/>
      </c>
      <c r="J9">
        <f>הגדרות!C2</f>
        <v/>
      </c>
      <c r="K9">
        <f>הגדרות!D2</f>
        <v/>
      </c>
      <c r="L9">
        <f>I9*(1+J9/100)+K9</f>
        <v/>
      </c>
    </row>
    <row r="10">
      <c r="A10" t="inlineStr">
        <is>
          <t>AML</t>
        </is>
      </c>
      <c r="B10" t="inlineStr">
        <is>
          <t>פאנל מקוצר</t>
        </is>
      </c>
      <c r="C10" t="inlineStr">
        <is>
          <t>פאנלים</t>
        </is>
      </c>
      <c r="D10" t="inlineStr">
        <is>
          <t>1007</t>
        </is>
      </c>
      <c r="E10" t="inlineStr">
        <is>
          <t>2026-06</t>
        </is>
      </c>
      <c r="F10" t="n">
        <v>288.14</v>
      </c>
      <c r="G10" t="n">
        <v>340.01</v>
      </c>
      <c r="H10">
        <f>הגדרות!B2</f>
        <v/>
      </c>
      <c r="I10">
        <f>F10*(1-H10/100)*1.18</f>
        <v/>
      </c>
      <c r="J10">
        <f>הגדרות!C2</f>
        <v/>
      </c>
      <c r="K10">
        <f>הגדרות!D2</f>
        <v/>
      </c>
      <c r="L10">
        <f>I10*(1+J10/100)+K10</f>
        <v/>
      </c>
    </row>
    <row r="11">
      <c r="A11" t="inlineStr">
        <is>
          <t>AML</t>
        </is>
      </c>
      <c r="B11" t="inlineStr">
        <is>
          <t>פאנל מורחב</t>
        </is>
      </c>
      <c r="C11" t="inlineStr">
        <is>
          <t>פאנלים</t>
        </is>
      </c>
      <c r="D11" t="inlineStr">
        <is>
          <t>1112</t>
        </is>
      </c>
      <c r="E11" t="inlineStr">
        <is>
          <t>2026-06</t>
        </is>
      </c>
      <c r="F11" t="n">
        <v>406.78</v>
      </c>
      <c r="G11" t="n">
        <v>480</v>
      </c>
      <c r="H11">
        <f>הגדרות!B2</f>
        <v/>
      </c>
      <c r="I11">
        <f>F11*(1-H11/100)*1.18</f>
        <v/>
      </c>
      <c r="J11">
        <f>הגדרות!C2</f>
        <v/>
      </c>
      <c r="K11">
        <f>הגדרות!D2</f>
        <v/>
      </c>
      <c r="L11">
        <f>I11*(1+J11/100)+K11</f>
        <v/>
      </c>
    </row>
    <row r="12">
      <c r="A12" t="inlineStr">
        <is>
          <t>AML</t>
        </is>
      </c>
      <c r="B12" t="inlineStr">
        <is>
          <t>מיני פאנל</t>
        </is>
      </c>
      <c r="C12" t="inlineStr">
        <is>
          <t>פאנלים</t>
        </is>
      </c>
      <c r="D12" t="inlineStr">
        <is>
          <t>1070</t>
        </is>
      </c>
      <c r="E12" t="inlineStr">
        <is>
          <t>2026-06</t>
        </is>
      </c>
      <c r="F12" t="n">
        <v>262.71</v>
      </c>
      <c r="G12" t="n">
        <v>310</v>
      </c>
      <c r="H12">
        <f>הגדרות!B2</f>
        <v/>
      </c>
      <c r="I12">
        <f>F12*(1-H12/100)*1.18</f>
        <v/>
      </c>
      <c r="J12">
        <f>הגדרות!C2</f>
        <v/>
      </c>
      <c r="K12">
        <f>הגדרות!D2</f>
        <v/>
      </c>
      <c r="L12">
        <f>I12*(1+J12/100)+K12</f>
        <v/>
      </c>
    </row>
    <row r="13">
      <c r="A13" t="inlineStr">
        <is>
          <t>AML</t>
        </is>
      </c>
      <c r="B13" t="inlineStr">
        <is>
          <t>כימיה כליות</t>
        </is>
      </c>
      <c r="C13" t="inlineStr">
        <is>
          <t>פאנלים</t>
        </is>
      </c>
      <c r="D13" t="inlineStr">
        <is>
          <t>1114</t>
        </is>
      </c>
      <c r="E13" t="inlineStr">
        <is>
          <t>2026-06</t>
        </is>
      </c>
      <c r="F13" t="n">
        <v>228.81</v>
      </c>
      <c r="G13" t="n">
        <v>270</v>
      </c>
      <c r="H13">
        <f>הגדרות!B2</f>
        <v/>
      </c>
      <c r="I13">
        <f>F13*(1-H13/100)*1.18</f>
        <v/>
      </c>
      <c r="J13">
        <f>הגדרות!C2</f>
        <v/>
      </c>
      <c r="K13">
        <f>הגדרות!D2</f>
        <v/>
      </c>
      <c r="L13">
        <f>I13*(1+J13/100)+K13</f>
        <v/>
      </c>
    </row>
    <row r="14">
      <c r="A14" t="inlineStr">
        <is>
          <t>AML</t>
        </is>
      </c>
      <c r="B14" t="inlineStr">
        <is>
          <t>פאנל כליות</t>
        </is>
      </c>
      <c r="C14" t="inlineStr">
        <is>
          <t>פאנלים</t>
        </is>
      </c>
      <c r="D14" t="inlineStr">
        <is>
          <t>1113</t>
        </is>
      </c>
      <c r="E14" t="inlineStr">
        <is>
          <t>2026-06</t>
        </is>
      </c>
      <c r="F14" t="n">
        <v>279.66</v>
      </c>
      <c r="G14" t="n">
        <v>330</v>
      </c>
      <c r="H14">
        <f>הגדרות!B2</f>
        <v/>
      </c>
      <c r="I14">
        <f>F14*(1-H14/100)*1.18</f>
        <v/>
      </c>
      <c r="J14">
        <f>הגדרות!C2</f>
        <v/>
      </c>
      <c r="K14">
        <f>הגדרות!D2</f>
        <v/>
      </c>
      <c r="L14">
        <f>I14*(1+J14/100)+K14</f>
        <v/>
      </c>
    </row>
    <row r="15">
      <c r="A15" t="inlineStr">
        <is>
          <t>AML</t>
        </is>
      </c>
      <c r="B15" t="inlineStr">
        <is>
          <t>כימיה כבד</t>
        </is>
      </c>
      <c r="C15" t="inlineStr">
        <is>
          <t>פאנלים</t>
        </is>
      </c>
      <c r="D15" t="inlineStr">
        <is>
          <t>1115</t>
        </is>
      </c>
      <c r="E15" t="inlineStr">
        <is>
          <t>2026-06</t>
        </is>
      </c>
      <c r="F15" t="n">
        <v>228.81</v>
      </c>
      <c r="G15" t="n">
        <v>270</v>
      </c>
      <c r="H15">
        <f>הגדרות!B2</f>
        <v/>
      </c>
      <c r="I15">
        <f>F15*(1-H15/100)*1.18</f>
        <v/>
      </c>
      <c r="J15">
        <f>הגדרות!C2</f>
        <v/>
      </c>
      <c r="K15">
        <f>הגדרות!D2</f>
        <v/>
      </c>
      <c r="L15">
        <f>I15*(1+J15/100)+K15</f>
        <v/>
      </c>
    </row>
    <row r="16">
      <c r="A16" t="inlineStr">
        <is>
          <t>AML</t>
        </is>
      </c>
      <c r="B16" t="inlineStr">
        <is>
          <t>פאנל כבד</t>
        </is>
      </c>
      <c r="C16" t="inlineStr">
        <is>
          <t>פאנלים</t>
        </is>
      </c>
      <c r="D16" t="inlineStr">
        <is>
          <t>1116</t>
        </is>
      </c>
      <c r="E16" t="inlineStr">
        <is>
          <t>2026-06</t>
        </is>
      </c>
      <c r="F16" t="n">
        <v>279.66</v>
      </c>
      <c r="G16" t="n">
        <v>330</v>
      </c>
      <c r="H16">
        <f>הגדרות!B2</f>
        <v/>
      </c>
      <c r="I16">
        <f>F16*(1-H16/100)*1.18</f>
        <v/>
      </c>
      <c r="J16">
        <f>הגדרות!C2</f>
        <v/>
      </c>
      <c r="K16">
        <f>הגדרות!D2</f>
        <v/>
      </c>
      <c r="L16">
        <f>I16*(1+J16/100)+K16</f>
        <v/>
      </c>
    </row>
    <row r="17">
      <c r="A17" t="inlineStr">
        <is>
          <t>AML</t>
        </is>
      </c>
      <c r="B17" t="inlineStr">
        <is>
          <t>פאנל חתולים</t>
        </is>
      </c>
      <c r="C17" t="inlineStr">
        <is>
          <t>פאנלים</t>
        </is>
      </c>
      <c r="D17" t="inlineStr">
        <is>
          <t>1120</t>
        </is>
      </c>
      <c r="E17" t="inlineStr">
        <is>
          <t>2026-06</t>
        </is>
      </c>
      <c r="F17" t="n">
        <v>593.22</v>
      </c>
      <c r="G17" t="n">
        <v>700</v>
      </c>
      <c r="H17">
        <f>הגדרות!B2</f>
        <v/>
      </c>
      <c r="I17">
        <f>F17*(1-H17/100)*1.18</f>
        <v/>
      </c>
      <c r="J17">
        <f>הגדרות!C2</f>
        <v/>
      </c>
      <c r="K17">
        <f>הגדרות!D2</f>
        <v/>
      </c>
      <c r="L17">
        <f>I17*(1+J17/100)+K17</f>
        <v/>
      </c>
    </row>
    <row r="18">
      <c r="A18" t="inlineStr">
        <is>
          <t>AML</t>
        </is>
      </c>
      <c r="B18" t="inlineStr">
        <is>
          <t>פאנל כללי + 2 סרולוגיות</t>
        </is>
      </c>
      <c r="C18" t="inlineStr">
        <is>
          <t>פאנלים</t>
        </is>
      </c>
      <c r="E18" t="inlineStr">
        <is>
          <t>2026-06</t>
        </is>
      </c>
      <c r="F18" t="n">
        <v>559.3200000000001</v>
      </c>
      <c r="G18" t="n">
        <v>660</v>
      </c>
      <c r="H18">
        <f>הגדרות!B2</f>
        <v/>
      </c>
      <c r="I18">
        <f>F18*(1-H18/100)*1.18</f>
        <v/>
      </c>
      <c r="J18">
        <f>הגדרות!C2</f>
        <v/>
      </c>
      <c r="K18">
        <f>הגדרות!D2</f>
        <v/>
      </c>
      <c r="L18">
        <f>I18*(1+J18/100)+K18</f>
        <v/>
      </c>
    </row>
    <row r="19">
      <c r="A19" t="inlineStr">
        <is>
          <t>AML</t>
        </is>
      </c>
      <c r="B19" t="inlineStr">
        <is>
          <t>פאנל ארליכיה</t>
        </is>
      </c>
      <c r="C19" t="inlineStr">
        <is>
          <t>פאנלים</t>
        </is>
      </c>
      <c r="D19" t="inlineStr">
        <is>
          <t>1122</t>
        </is>
      </c>
      <c r="E19" t="inlineStr">
        <is>
          <t>2026-06</t>
        </is>
      </c>
      <c r="F19" t="n">
        <v>313.56</v>
      </c>
      <c r="G19" t="n">
        <v>370</v>
      </c>
      <c r="H19">
        <f>הגדרות!B2</f>
        <v/>
      </c>
      <c r="I19">
        <f>F19*(1-H19/100)*1.18</f>
        <v/>
      </c>
      <c r="J19">
        <f>הגדרות!C2</f>
        <v/>
      </c>
      <c r="K19">
        <f>הגדרות!D2</f>
        <v/>
      </c>
      <c r="L19">
        <f>I19*(1+J19/100)+K19</f>
        <v/>
      </c>
    </row>
    <row r="20">
      <c r="A20" t="inlineStr">
        <is>
          <t>AML</t>
        </is>
      </c>
      <c r="B20" t="inlineStr">
        <is>
          <t>פאנל כללי + ארליכיה</t>
        </is>
      </c>
      <c r="C20" t="inlineStr">
        <is>
          <t>פאנלים</t>
        </is>
      </c>
      <c r="D20" t="inlineStr">
        <is>
          <t>1085</t>
        </is>
      </c>
      <c r="E20" t="inlineStr">
        <is>
          <t>2026-06</t>
        </is>
      </c>
      <c r="F20" t="n">
        <v>440.68</v>
      </c>
      <c r="G20" t="n">
        <v>520</v>
      </c>
      <c r="H20">
        <f>הגדרות!B2</f>
        <v/>
      </c>
      <c r="I20">
        <f>F20*(1-H20/100)*1.18</f>
        <v/>
      </c>
      <c r="J20">
        <f>הגדרות!C2</f>
        <v/>
      </c>
      <c r="K20">
        <f>הגדרות!D2</f>
        <v/>
      </c>
      <c r="L20">
        <f>I20*(1+J20/100)+K20</f>
        <v/>
      </c>
    </row>
    <row r="21">
      <c r="A21" t="inlineStr">
        <is>
          <t>AML</t>
        </is>
      </c>
      <c r="B21" t="inlineStr">
        <is>
          <t>פאנל דימום</t>
        </is>
      </c>
      <c r="C21" t="inlineStr">
        <is>
          <t>פאנלים</t>
        </is>
      </c>
      <c r="D21" t="inlineStr">
        <is>
          <t>1121</t>
        </is>
      </c>
      <c r="E21" t="inlineStr">
        <is>
          <t>2026-06</t>
        </is>
      </c>
      <c r="F21" t="n">
        <v>423.73</v>
      </c>
      <c r="G21" t="n">
        <v>500</v>
      </c>
      <c r="H21">
        <f>הגדרות!B2</f>
        <v/>
      </c>
      <c r="I21">
        <f>F21*(1-H21/100)*1.18</f>
        <v/>
      </c>
      <c r="J21">
        <f>הגדרות!C2</f>
        <v/>
      </c>
      <c r="K21">
        <f>הגדרות!D2</f>
        <v/>
      </c>
      <c r="L21">
        <f>I21*(1+J21/100)+K21</f>
        <v/>
      </c>
    </row>
    <row r="22">
      <c r="A22" t="inlineStr">
        <is>
          <t>AML</t>
        </is>
      </c>
      <c r="B22" t="inlineStr">
        <is>
          <t>פאנל עם הורמון</t>
        </is>
      </c>
      <c r="C22" t="inlineStr">
        <is>
          <t>פאנלים</t>
        </is>
      </c>
      <c r="D22" t="inlineStr">
        <is>
          <t>1072</t>
        </is>
      </c>
      <c r="E22" t="inlineStr">
        <is>
          <t>2026-06</t>
        </is>
      </c>
      <c r="F22" t="n">
        <v>491.53</v>
      </c>
      <c r="G22" t="n">
        <v>580.01</v>
      </c>
      <c r="H22">
        <f>הגדרות!B2</f>
        <v/>
      </c>
      <c r="I22">
        <f>F22*(1-H22/100)*1.18</f>
        <v/>
      </c>
      <c r="J22">
        <f>הגדרות!C2</f>
        <v/>
      </c>
      <c r="K22">
        <f>הגדרות!D2</f>
        <v/>
      </c>
      <c r="L22">
        <f>I22*(1+J22/100)+K22</f>
        <v/>
      </c>
    </row>
    <row r="23">
      <c r="A23" t="inlineStr">
        <is>
          <t>AML</t>
        </is>
      </c>
      <c r="B23" t="inlineStr">
        <is>
          <t>פאנל עם שני הורמונים</t>
        </is>
      </c>
      <c r="C23" t="inlineStr">
        <is>
          <t>פאנלים</t>
        </is>
      </c>
      <c r="D23" t="inlineStr">
        <is>
          <t>1076</t>
        </is>
      </c>
      <c r="E23" t="inlineStr">
        <is>
          <t>2026-06</t>
        </is>
      </c>
      <c r="F23" t="n">
        <v>584.75</v>
      </c>
      <c r="G23" t="n">
        <v>690.01</v>
      </c>
      <c r="H23">
        <f>הגדרות!B2</f>
        <v/>
      </c>
      <c r="I23">
        <f>F23*(1-H23/100)*1.18</f>
        <v/>
      </c>
      <c r="J23">
        <f>הגדרות!C2</f>
        <v/>
      </c>
      <c r="K23">
        <f>הגדרות!D2</f>
        <v/>
      </c>
      <c r="L23">
        <f>I23*(1+J23/100)+K23</f>
        <v/>
      </c>
    </row>
    <row r="24">
      <c r="A24" t="inlineStr">
        <is>
          <t>AML</t>
        </is>
      </c>
      <c r="B24" t="inlineStr">
        <is>
          <t>כימיה + הורמון</t>
        </is>
      </c>
      <c r="C24" t="inlineStr">
        <is>
          <t>פאנלים</t>
        </is>
      </c>
      <c r="E24" t="inlineStr">
        <is>
          <t>2026-06</t>
        </is>
      </c>
      <c r="F24" t="n">
        <v>449.15</v>
      </c>
      <c r="G24" t="n">
        <v>530</v>
      </c>
      <c r="H24">
        <f>הגדרות!B2</f>
        <v/>
      </c>
      <c r="I24">
        <f>F24*(1-H24/100)*1.18</f>
        <v/>
      </c>
      <c r="J24">
        <f>הגדרות!C2</f>
        <v/>
      </c>
      <c r="K24">
        <f>הגדרות!D2</f>
        <v/>
      </c>
      <c r="L24">
        <f>I24*(1+J24/100)+K24</f>
        <v/>
      </c>
    </row>
    <row r="25">
      <c r="A25" t="inlineStr">
        <is>
          <t>AML</t>
        </is>
      </c>
      <c r="B25" t="inlineStr">
        <is>
          <t>כימיה + שני הורמונים</t>
        </is>
      </c>
      <c r="C25" t="inlineStr">
        <is>
          <t>פאנלים</t>
        </is>
      </c>
      <c r="E25" t="inlineStr">
        <is>
          <t>2026-06</t>
        </is>
      </c>
      <c r="F25" t="n">
        <v>542.37</v>
      </c>
      <c r="G25" t="n">
        <v>640</v>
      </c>
      <c r="H25">
        <f>הגדרות!B2</f>
        <v/>
      </c>
      <c r="I25">
        <f>F25*(1-H25/100)*1.18</f>
        <v/>
      </c>
      <c r="J25">
        <f>הגדרות!C2</f>
        <v/>
      </c>
      <c r="K25">
        <f>הגדרות!D2</f>
        <v/>
      </c>
      <c r="L25">
        <f>I25*(1+J25/100)+K25</f>
        <v/>
      </c>
    </row>
    <row r="26">
      <c r="A26" t="inlineStr">
        <is>
          <t>AML</t>
        </is>
      </c>
      <c r="B26" t="inlineStr">
        <is>
          <t>פאנל כללי + B12 + ח. פולית</t>
        </is>
      </c>
      <c r="C26" t="inlineStr">
        <is>
          <t>פאנלים</t>
        </is>
      </c>
      <c r="E26" t="inlineStr">
        <is>
          <t>2026-06</t>
        </is>
      </c>
      <c r="F26" t="n">
        <v>533.9</v>
      </c>
      <c r="G26" t="n">
        <v>630</v>
      </c>
      <c r="H26">
        <f>הגדרות!B2</f>
        <v/>
      </c>
      <c r="I26">
        <f>F26*(1-H26/100)*1.18</f>
        <v/>
      </c>
      <c r="J26">
        <f>הגדרות!C2</f>
        <v/>
      </c>
      <c r="K26">
        <f>הגדרות!D2</f>
        <v/>
      </c>
      <c r="L26">
        <f>I26*(1+J26/100)+K26</f>
        <v/>
      </c>
    </row>
    <row r="27">
      <c r="A27" t="inlineStr">
        <is>
          <t>AML</t>
        </is>
      </c>
      <c r="B27" t="inlineStr">
        <is>
          <t>פאנל + CTLI</t>
        </is>
      </c>
      <c r="C27" t="inlineStr">
        <is>
          <t>פאנלים</t>
        </is>
      </c>
      <c r="E27" t="inlineStr">
        <is>
          <t>2026-06</t>
        </is>
      </c>
      <c r="F27" t="n">
        <v>533.9</v>
      </c>
      <c r="G27" t="n">
        <v>630</v>
      </c>
      <c r="H27">
        <f>הגדרות!B2</f>
        <v/>
      </c>
      <c r="I27">
        <f>F27*(1-H27/100)*1.18</f>
        <v/>
      </c>
      <c r="J27">
        <f>הגדרות!C2</f>
        <v/>
      </c>
      <c r="K27">
        <f>הגדרות!D2</f>
        <v/>
      </c>
      <c r="L27">
        <f>I27*(1+J27/100)+K27</f>
        <v/>
      </c>
    </row>
    <row r="28">
      <c r="A28" t="inlineStr">
        <is>
          <t>AML</t>
        </is>
      </c>
      <c r="B28" t="inlineStr">
        <is>
          <t>פאנל כללי + B12 + ח.פולית + CTLI</t>
        </is>
      </c>
      <c r="C28" t="inlineStr">
        <is>
          <t>פאנלים</t>
        </is>
      </c>
      <c r="E28" t="inlineStr">
        <is>
          <t>2026-06</t>
        </is>
      </c>
      <c r="F28" t="n">
        <v>677.97</v>
      </c>
      <c r="G28" t="n">
        <v>800</v>
      </c>
      <c r="H28">
        <f>הגדרות!B2</f>
        <v/>
      </c>
      <c r="I28">
        <f>F28*(1-H28/100)*1.18</f>
        <v/>
      </c>
      <c r="J28">
        <f>הגדרות!C2</f>
        <v/>
      </c>
      <c r="K28">
        <f>הגדרות!D2</f>
        <v/>
      </c>
      <c r="L28">
        <f>I28*(1+J28/100)+K28</f>
        <v/>
      </c>
    </row>
    <row r="29">
      <c r="A29" t="inlineStr">
        <is>
          <t>AML</t>
        </is>
      </c>
      <c r="B29" t="inlineStr">
        <is>
          <t>ספירת דם ללא מבדלת</t>
        </is>
      </c>
      <c r="C29" t="inlineStr">
        <is>
          <t>ספירת דם</t>
        </is>
      </c>
      <c r="D29" t="inlineStr">
        <is>
          <t>1110</t>
        </is>
      </c>
      <c r="E29" t="inlineStr">
        <is>
          <t>2026-06</t>
        </is>
      </c>
      <c r="F29" t="n">
        <v>161.02</v>
      </c>
      <c r="G29" t="n">
        <v>190</v>
      </c>
      <c r="H29">
        <f>הגדרות!B2</f>
        <v/>
      </c>
      <c r="I29">
        <f>F29*(1-H29/100)*1.18</f>
        <v/>
      </c>
      <c r="J29">
        <f>הגדרות!C2</f>
        <v/>
      </c>
      <c r="K29">
        <f>הגדרות!D2</f>
        <v/>
      </c>
      <c r="L29">
        <f>I29*(1+J29/100)+K29</f>
        <v/>
      </c>
    </row>
    <row r="30">
      <c r="A30" t="inlineStr">
        <is>
          <t>AML</t>
        </is>
      </c>
      <c r="B30" t="inlineStr">
        <is>
          <t>CBC ספירת דם ומבדלת + הערכת משטח</t>
        </is>
      </c>
      <c r="C30" t="inlineStr">
        <is>
          <t>ספירת דם</t>
        </is>
      </c>
      <c r="D30" t="inlineStr">
        <is>
          <t>1100</t>
        </is>
      </c>
      <c r="E30" t="inlineStr">
        <is>
          <t>2026-06</t>
        </is>
      </c>
      <c r="F30" t="n">
        <v>194.92</v>
      </c>
      <c r="G30" t="n">
        <v>230.01</v>
      </c>
      <c r="H30">
        <f>הגדרות!B2</f>
        <v/>
      </c>
      <c r="I30">
        <f>F30*(1-H30/100)*1.18</f>
        <v/>
      </c>
      <c r="J30">
        <f>הגדרות!C2</f>
        <v/>
      </c>
      <c r="K30">
        <f>הגדרות!D2</f>
        <v/>
      </c>
      <c r="L30">
        <f>I30*(1+J30/100)+K30</f>
        <v/>
      </c>
    </row>
    <row r="31">
      <c r="A31" t="inlineStr">
        <is>
          <t>AML</t>
        </is>
      </c>
      <c r="B31" t="inlineStr">
        <is>
          <t>תפקודי קרישה</t>
        </is>
      </c>
      <c r="C31" t="inlineStr">
        <is>
          <t>ספירת דם</t>
        </is>
      </c>
      <c r="D31" t="inlineStr">
        <is>
          <t>1030</t>
        </is>
      </c>
      <c r="E31" t="inlineStr">
        <is>
          <t>2026-06</t>
        </is>
      </c>
      <c r="F31" t="n">
        <v>262.71</v>
      </c>
      <c r="G31" t="n">
        <v>310</v>
      </c>
      <c r="H31">
        <f>הגדרות!B2</f>
        <v/>
      </c>
      <c r="I31">
        <f>F31*(1-H31/100)*1.18</f>
        <v/>
      </c>
      <c r="J31">
        <f>הגדרות!C2</f>
        <v/>
      </c>
      <c r="K31">
        <f>הגדרות!D2</f>
        <v/>
      </c>
      <c r="L31">
        <f>I31*(1+J31/100)+K31</f>
        <v/>
      </c>
    </row>
    <row r="32">
      <c r="A32" t="inlineStr">
        <is>
          <t>AML</t>
        </is>
      </c>
      <c r="B32" t="inlineStr">
        <is>
          <t>תפקודי קרישה בנוסף לפאנל כללי</t>
        </is>
      </c>
      <c r="C32" t="inlineStr">
        <is>
          <t>ספירת דם</t>
        </is>
      </c>
      <c r="E32" t="inlineStr">
        <is>
          <t>2026-06</t>
        </is>
      </c>
      <c r="F32" t="n">
        <v>466.1</v>
      </c>
      <c r="G32" t="n">
        <v>550</v>
      </c>
      <c r="H32">
        <f>הגדרות!B2</f>
        <v/>
      </c>
      <c r="I32">
        <f>F32*(1-H32/100)*1.18</f>
        <v/>
      </c>
      <c r="J32">
        <f>הגדרות!C2</f>
        <v/>
      </c>
      <c r="K32">
        <f>הגדרות!D2</f>
        <v/>
      </c>
      <c r="L32">
        <f>I32*(1+J32/100)+K32</f>
        <v/>
      </c>
    </row>
    <row r="33">
      <c r="A33" t="inlineStr">
        <is>
          <t>AML</t>
        </is>
      </c>
      <c r="B33" t="inlineStr">
        <is>
          <t>תפקודי קרישה בנוסף ל-CBC והערכת משטח</t>
        </is>
      </c>
      <c r="C33" t="inlineStr">
        <is>
          <t>ספירת דם</t>
        </is>
      </c>
      <c r="D33" t="inlineStr">
        <is>
          <t>1031</t>
        </is>
      </c>
      <c r="E33" t="inlineStr">
        <is>
          <t>2026-06</t>
        </is>
      </c>
      <c r="F33" t="n">
        <v>338.98</v>
      </c>
      <c r="G33" t="n">
        <v>400</v>
      </c>
      <c r="H33">
        <f>הגדרות!B2</f>
        <v/>
      </c>
      <c r="I33">
        <f>F33*(1-H33/100)*1.18</f>
        <v/>
      </c>
      <c r="J33">
        <f>הגדרות!C2</f>
        <v/>
      </c>
      <c r="K33">
        <f>הגדרות!D2</f>
        <v/>
      </c>
      <c r="L33">
        <f>I33*(1+J33/100)+K33</f>
        <v/>
      </c>
    </row>
    <row r="34">
      <c r="A34" t="inlineStr">
        <is>
          <t>AML</t>
        </is>
      </c>
      <c r="B34" t="inlineStr">
        <is>
          <t>ספירה מבדלת בלבד עם הערכת משטח</t>
        </is>
      </c>
      <c r="C34" t="inlineStr">
        <is>
          <t>ספירת דם</t>
        </is>
      </c>
      <c r="D34" t="inlineStr">
        <is>
          <t>1118</t>
        </is>
      </c>
      <c r="E34" t="inlineStr">
        <is>
          <t>2026-06</t>
        </is>
      </c>
      <c r="F34" t="n">
        <v>161.02</v>
      </c>
      <c r="G34" t="n">
        <v>190</v>
      </c>
      <c r="H34">
        <f>הגדרות!B2</f>
        <v/>
      </c>
      <c r="I34">
        <f>F34*(1-H34/100)*1.18</f>
        <v/>
      </c>
      <c r="J34">
        <f>הגדרות!C2</f>
        <v/>
      </c>
      <c r="K34">
        <f>הגדרות!D2</f>
        <v/>
      </c>
      <c r="L34">
        <f>I34*(1+J34/100)+K34</f>
        <v/>
      </c>
    </row>
    <row r="35">
      <c r="A35" t="inlineStr">
        <is>
          <t>AML</t>
        </is>
      </c>
      <c r="B35" t="inlineStr">
        <is>
          <t>דיגוקסין</t>
        </is>
      </c>
      <c r="C35" t="inlineStr">
        <is>
          <t>רמת תרופות בדם</t>
        </is>
      </c>
      <c r="D35" t="inlineStr">
        <is>
          <t>601</t>
        </is>
      </c>
      <c r="E35" t="inlineStr">
        <is>
          <t>2026-06</t>
        </is>
      </c>
      <c r="F35" t="n">
        <v>330.51</v>
      </c>
      <c r="G35" t="n">
        <v>390</v>
      </c>
      <c r="H35">
        <f>הגדרות!B2</f>
        <v/>
      </c>
      <c r="I35">
        <f>F35*(1-H35/100)*1.18</f>
        <v/>
      </c>
      <c r="J35">
        <f>הגדרות!C2</f>
        <v/>
      </c>
      <c r="K35">
        <f>הגדרות!D2</f>
        <v/>
      </c>
      <c r="L35">
        <f>I35*(1+J35/100)+K35</f>
        <v/>
      </c>
    </row>
    <row r="36">
      <c r="A36" t="inlineStr">
        <is>
          <t>AML</t>
        </is>
      </c>
      <c r="B36" t="inlineStr">
        <is>
          <t>פנוברביטל</t>
        </is>
      </c>
      <c r="C36" t="inlineStr">
        <is>
          <t>רמת תרופות בדם</t>
        </is>
      </c>
      <c r="D36" t="inlineStr">
        <is>
          <t>608</t>
        </is>
      </c>
      <c r="E36" t="inlineStr">
        <is>
          <t>2026-06</t>
        </is>
      </c>
      <c r="F36" t="n">
        <v>279.66</v>
      </c>
      <c r="G36" t="n">
        <v>330</v>
      </c>
      <c r="H36">
        <f>הגדרות!B2</f>
        <v/>
      </c>
      <c r="I36">
        <f>F36*(1-H36/100)*1.18</f>
        <v/>
      </c>
      <c r="J36">
        <f>הגדרות!C2</f>
        <v/>
      </c>
      <c r="K36">
        <f>הגדרות!D2</f>
        <v/>
      </c>
      <c r="L36">
        <f>I36*(1+J36/100)+K36</f>
        <v/>
      </c>
    </row>
    <row r="37">
      <c r="A37" t="inlineStr">
        <is>
          <t>AML</t>
        </is>
      </c>
      <c r="B37" t="inlineStr">
        <is>
          <t>אשלגן ברומיד**</t>
        </is>
      </c>
      <c r="C37" t="inlineStr">
        <is>
          <t>רמת תרופות בדם</t>
        </is>
      </c>
      <c r="D37" t="inlineStr">
        <is>
          <t>1069</t>
        </is>
      </c>
      <c r="E37" t="inlineStr">
        <is>
          <t>2026-06</t>
        </is>
      </c>
      <c r="F37" t="n">
        <v>542.37</v>
      </c>
      <c r="G37" t="n">
        <v>640</v>
      </c>
      <c r="H37">
        <f>הגדרות!B2</f>
        <v/>
      </c>
      <c r="I37">
        <f>F37*(1-H37/100)*1.18</f>
        <v/>
      </c>
      <c r="J37">
        <f>הגדרות!C2</f>
        <v/>
      </c>
      <c r="K37">
        <f>הגדרות!D2</f>
        <v/>
      </c>
      <c r="L37">
        <f>I37*(1+J37/100)+K37</f>
        <v/>
      </c>
    </row>
    <row r="38">
      <c r="A38" t="inlineStr">
        <is>
          <t>AML</t>
        </is>
      </c>
      <c r="B38" t="inlineStr">
        <is>
          <t>אשלגן ברומיד + פנוברביטל**</t>
        </is>
      </c>
      <c r="C38" t="inlineStr">
        <is>
          <t>רמת תרופות בדם</t>
        </is>
      </c>
      <c r="E38" t="inlineStr">
        <is>
          <t>2026-06</t>
        </is>
      </c>
      <c r="F38" t="n">
        <v>720.34</v>
      </c>
      <c r="G38" t="n">
        <v>850</v>
      </c>
      <c r="H38">
        <f>הגדרות!B2</f>
        <v/>
      </c>
      <c r="I38">
        <f>F38*(1-H38/100)*1.18</f>
        <v/>
      </c>
      <c r="J38">
        <f>הגדרות!C2</f>
        <v/>
      </c>
      <c r="K38">
        <f>הגדרות!D2</f>
        <v/>
      </c>
      <c r="L38">
        <f>I38*(1+J38/100)+K38</f>
        <v/>
      </c>
    </row>
    <row r="39">
      <c r="A39" t="inlineStr">
        <is>
          <t>AML</t>
        </is>
      </c>
      <c r="B39" t="inlineStr">
        <is>
          <t>ציקלוספורין</t>
        </is>
      </c>
      <c r="C39" t="inlineStr">
        <is>
          <t>רמת תרופות בדם</t>
        </is>
      </c>
      <c r="D39" t="inlineStr">
        <is>
          <t>650</t>
        </is>
      </c>
      <c r="E39" t="inlineStr">
        <is>
          <t>2026-06</t>
        </is>
      </c>
      <c r="F39" t="n">
        <v>330.51</v>
      </c>
      <c r="G39" t="n">
        <v>390</v>
      </c>
      <c r="H39">
        <f>הגדרות!B2</f>
        <v/>
      </c>
      <c r="I39">
        <f>F39*(1-H39/100)*1.18</f>
        <v/>
      </c>
      <c r="J39">
        <f>הגדרות!C2</f>
        <v/>
      </c>
      <c r="K39">
        <f>הגדרות!D2</f>
        <v/>
      </c>
      <c r="L39">
        <f>I39*(1+J39/100)+K39</f>
        <v/>
      </c>
    </row>
    <row r="40">
      <c r="A40" t="inlineStr">
        <is>
          <t>AML</t>
        </is>
      </c>
      <c r="B40" t="inlineStr">
        <is>
          <t>קפרה*</t>
        </is>
      </c>
      <c r="C40" t="inlineStr">
        <is>
          <t>רמת תרופות בדם</t>
        </is>
      </c>
      <c r="D40" t="inlineStr">
        <is>
          <t>606</t>
        </is>
      </c>
      <c r="E40" t="inlineStr">
        <is>
          <t>2026-06</t>
        </is>
      </c>
      <c r="F40" t="n">
        <v>449.15</v>
      </c>
      <c r="G40" t="n">
        <v>530</v>
      </c>
      <c r="H40">
        <f>הגדרות!B2</f>
        <v/>
      </c>
      <c r="I40">
        <f>F40*(1-H40/100)*1.18</f>
        <v/>
      </c>
      <c r="J40">
        <f>הגדרות!C2</f>
        <v/>
      </c>
      <c r="K40">
        <f>הגדרות!D2</f>
        <v/>
      </c>
      <c r="L40">
        <f>I40*(1+J40/100)+K40</f>
        <v/>
      </c>
    </row>
    <row r="41">
      <c r="A41" t="inlineStr">
        <is>
          <t>AML</t>
        </is>
      </c>
      <c r="B41" t="inlineStr">
        <is>
          <t>פרוקטוזאמין</t>
        </is>
      </c>
      <c r="C41" t="inlineStr">
        <is>
          <t>בדיקות מיוחדות</t>
        </is>
      </c>
      <c r="D41" t="inlineStr">
        <is>
          <t>643</t>
        </is>
      </c>
      <c r="E41" t="inlineStr">
        <is>
          <t>2026-06</t>
        </is>
      </c>
      <c r="F41" t="n">
        <v>211.86</v>
      </c>
      <c r="G41" t="n">
        <v>249.99</v>
      </c>
      <c r="H41">
        <f>הגדרות!B2</f>
        <v/>
      </c>
      <c r="I41">
        <f>F41*(1-H41/100)*1.18</f>
        <v/>
      </c>
      <c r="J41">
        <f>הגדרות!C2</f>
        <v/>
      </c>
      <c r="K41">
        <f>הגדרות!D2</f>
        <v/>
      </c>
      <c r="L41">
        <f>I41*(1+J41/100)+K41</f>
        <v/>
      </c>
    </row>
    <row r="42">
      <c r="A42" t="inlineStr">
        <is>
          <t>AML</t>
        </is>
      </c>
      <c r="B42" t="inlineStr">
        <is>
          <t>C. TLI</t>
        </is>
      </c>
      <c r="C42" t="inlineStr">
        <is>
          <t>בדיקות מיוחדות</t>
        </is>
      </c>
      <c r="D42" t="inlineStr">
        <is>
          <t>1021</t>
        </is>
      </c>
      <c r="E42" t="inlineStr">
        <is>
          <t>2026-06</t>
        </is>
      </c>
      <c r="F42" t="n">
        <v>279.66</v>
      </c>
      <c r="G42" t="n">
        <v>330</v>
      </c>
      <c r="H42">
        <f>הגדרות!B2</f>
        <v/>
      </c>
      <c r="I42">
        <f>F42*(1-H42/100)*1.18</f>
        <v/>
      </c>
      <c r="J42">
        <f>הגדרות!C2</f>
        <v/>
      </c>
      <c r="K42">
        <f>הגדרות!D2</f>
        <v/>
      </c>
      <c r="L42">
        <f>I42*(1+J42/100)+K42</f>
        <v/>
      </c>
    </row>
    <row r="43">
      <c r="A43" t="inlineStr">
        <is>
          <t>AML</t>
        </is>
      </c>
      <c r="B43" t="inlineStr">
        <is>
          <t>fTLI + Folic acid &amp; B12**</t>
        </is>
      </c>
      <c r="C43" t="inlineStr">
        <is>
          <t>בדיקות מיוחדות</t>
        </is>
      </c>
      <c r="E43" t="inlineStr">
        <is>
          <t>2026-06</t>
        </is>
      </c>
      <c r="F43" t="n">
        <v>635.59</v>
      </c>
      <c r="G43" t="n">
        <v>750</v>
      </c>
      <c r="H43">
        <f>הגדרות!B2</f>
        <v/>
      </c>
      <c r="I43">
        <f>F43*(1-H43/100)*1.18</f>
        <v/>
      </c>
      <c r="J43">
        <f>הגדרות!C2</f>
        <v/>
      </c>
      <c r="K43">
        <f>הגדרות!D2</f>
        <v/>
      </c>
      <c r="L43">
        <f>I43*(1+J43/100)+K43</f>
        <v/>
      </c>
    </row>
    <row r="44">
      <c r="A44" t="inlineStr">
        <is>
          <t>AML</t>
        </is>
      </c>
      <c r="B44" t="inlineStr">
        <is>
          <t>fTLI</t>
        </is>
      </c>
      <c r="C44" t="inlineStr">
        <is>
          <t>בדיקות מיוחדות</t>
        </is>
      </c>
      <c r="D44" t="inlineStr">
        <is>
          <t>1022</t>
        </is>
      </c>
      <c r="E44" t="inlineStr">
        <is>
          <t>2026-06</t>
        </is>
      </c>
      <c r="F44" t="n">
        <v>550.85</v>
      </c>
      <c r="G44" t="n">
        <v>650</v>
      </c>
      <c r="H44">
        <f>הגדרות!B2</f>
        <v/>
      </c>
      <c r="I44">
        <f>F44*(1-H44/100)*1.18</f>
        <v/>
      </c>
      <c r="J44">
        <f>הגדרות!C2</f>
        <v/>
      </c>
      <c r="K44">
        <f>הגדרות!D2</f>
        <v/>
      </c>
      <c r="L44">
        <f>I44*(1+J44/100)+K44</f>
        <v/>
      </c>
    </row>
    <row r="45">
      <c r="A45" t="inlineStr">
        <is>
          <t>AML</t>
        </is>
      </c>
      <c r="B45" t="inlineStr">
        <is>
          <t>Texas 4 - כלב</t>
        </is>
      </c>
      <c r="C45" t="inlineStr">
        <is>
          <t>בדיקות מיוחדות</t>
        </is>
      </c>
      <c r="E45" t="inlineStr">
        <is>
          <t>2026-06</t>
        </is>
      </c>
      <c r="F45" t="n">
        <v>745.76</v>
      </c>
      <c r="G45" t="n">
        <v>880</v>
      </c>
      <c r="H45">
        <f>הגדרות!B2</f>
        <v/>
      </c>
      <c r="I45">
        <f>F45*(1-H45/100)*1.18</f>
        <v/>
      </c>
      <c r="J45">
        <f>הגדרות!C2</f>
        <v/>
      </c>
      <c r="K45">
        <f>הגדרות!D2</f>
        <v/>
      </c>
      <c r="L45">
        <f>I45*(1+J45/100)+K45</f>
        <v/>
      </c>
    </row>
    <row r="46">
      <c r="A46" t="inlineStr">
        <is>
          <t>AML</t>
        </is>
      </c>
      <c r="B46" t="inlineStr">
        <is>
          <t>כולינאסטראז*</t>
        </is>
      </c>
      <c r="C46" t="inlineStr">
        <is>
          <t>בדיקות מיוחדות</t>
        </is>
      </c>
      <c r="D46" t="inlineStr">
        <is>
          <t>619</t>
        </is>
      </c>
      <c r="E46" t="inlineStr">
        <is>
          <t>2026-06</t>
        </is>
      </c>
      <c r="F46" t="n">
        <v>330.51</v>
      </c>
      <c r="G46" t="n">
        <v>390</v>
      </c>
      <c r="H46">
        <f>הגדרות!B2</f>
        <v/>
      </c>
      <c r="I46">
        <f>F46*(1-H46/100)*1.18</f>
        <v/>
      </c>
      <c r="J46">
        <f>הגדרות!C2</f>
        <v/>
      </c>
      <c r="K46">
        <f>הגדרות!D2</f>
        <v/>
      </c>
      <c r="L46">
        <f>I46*(1+J46/100)+K46</f>
        <v/>
      </c>
    </row>
    <row r="47">
      <c r="A47" t="inlineStr">
        <is>
          <t>AML</t>
        </is>
      </c>
      <c r="B47" t="inlineStr">
        <is>
          <t>B12 + Folic acid</t>
        </is>
      </c>
      <c r="C47" t="inlineStr">
        <is>
          <t>בדיקות מיוחדות</t>
        </is>
      </c>
      <c r="D47" t="inlineStr">
        <is>
          <t>1066</t>
        </is>
      </c>
      <c r="E47" t="inlineStr">
        <is>
          <t>2026-06</t>
        </is>
      </c>
      <c r="F47" t="n">
        <v>279.66</v>
      </c>
      <c r="G47" t="n">
        <v>330</v>
      </c>
      <c r="H47">
        <f>הגדרות!B2</f>
        <v/>
      </c>
      <c r="I47">
        <f>F47*(1-H47/100)*1.18</f>
        <v/>
      </c>
      <c r="J47">
        <f>הגדרות!C2</f>
        <v/>
      </c>
      <c r="K47">
        <f>הגדרות!D2</f>
        <v/>
      </c>
      <c r="L47">
        <f>I47*(1+J47/100)+K47</f>
        <v/>
      </c>
    </row>
    <row r="48">
      <c r="A48" t="inlineStr">
        <is>
          <t>AML</t>
        </is>
      </c>
      <c r="B48" t="inlineStr">
        <is>
          <t>PEP*</t>
        </is>
      </c>
      <c r="C48" t="inlineStr">
        <is>
          <t>בדיקות מיוחדות</t>
        </is>
      </c>
      <c r="D48" t="inlineStr">
        <is>
          <t>1054</t>
        </is>
      </c>
      <c r="E48" t="inlineStr">
        <is>
          <t>2026-06</t>
        </is>
      </c>
      <c r="F48" t="n">
        <v>330.51</v>
      </c>
      <c r="G48" t="n">
        <v>390</v>
      </c>
      <c r="H48">
        <f>הגדרות!B2</f>
        <v/>
      </c>
      <c r="I48">
        <f>F48*(1-H48/100)*1.18</f>
        <v/>
      </c>
      <c r="J48">
        <f>הגדרות!C2</f>
        <v/>
      </c>
      <c r="K48">
        <f>הגדרות!D2</f>
        <v/>
      </c>
      <c r="L48">
        <f>I48*(1+J48/100)+K48</f>
        <v/>
      </c>
    </row>
    <row r="49">
      <c r="A49" t="inlineStr">
        <is>
          <t>AML</t>
        </is>
      </c>
      <c r="B49" t="inlineStr">
        <is>
          <t>ANA**</t>
        </is>
      </c>
      <c r="C49" t="inlineStr">
        <is>
          <t>בדיקות מיוחדות</t>
        </is>
      </c>
      <c r="D49" t="inlineStr">
        <is>
          <t>1503</t>
        </is>
      </c>
      <c r="E49" t="inlineStr">
        <is>
          <t>2026-06</t>
        </is>
      </c>
      <c r="F49" t="n">
        <v>559.3200000000001</v>
      </c>
      <c r="G49" t="n">
        <v>660</v>
      </c>
      <c r="H49">
        <f>הגדרות!B2</f>
        <v/>
      </c>
      <c r="I49">
        <f>F49*(1-H49/100)*1.18</f>
        <v/>
      </c>
      <c r="J49">
        <f>הגדרות!C2</f>
        <v/>
      </c>
      <c r="K49">
        <f>הגדרות!D2</f>
        <v/>
      </c>
      <c r="L49">
        <f>I49*(1+J49/100)+K49</f>
        <v/>
      </c>
    </row>
    <row r="50">
      <c r="A50" t="inlineStr">
        <is>
          <t>AML</t>
        </is>
      </c>
      <c r="B50" t="inlineStr">
        <is>
          <t>ProBnp לחתול</t>
        </is>
      </c>
      <c r="C50" t="inlineStr">
        <is>
          <t>בדיקות מיוחדות</t>
        </is>
      </c>
      <c r="D50" t="inlineStr">
        <is>
          <t>1506</t>
        </is>
      </c>
      <c r="E50" t="inlineStr">
        <is>
          <t>2026-06</t>
        </is>
      </c>
      <c r="F50" t="n">
        <v>237.29</v>
      </c>
      <c r="G50" t="n">
        <v>280</v>
      </c>
      <c r="H50">
        <f>הגדרות!B2</f>
        <v/>
      </c>
      <c r="I50">
        <f>F50*(1-H50/100)*1.18</f>
        <v/>
      </c>
      <c r="J50">
        <f>הגדרות!C2</f>
        <v/>
      </c>
      <c r="K50">
        <f>הגדרות!D2</f>
        <v/>
      </c>
      <c r="L50">
        <f>I50*(1+J50/100)+K50</f>
        <v/>
      </c>
    </row>
    <row r="51">
      <c r="A51" t="inlineStr">
        <is>
          <t>AML</t>
        </is>
      </c>
      <c r="B51" t="inlineStr">
        <is>
          <t>MDR-1*</t>
        </is>
      </c>
      <c r="C51" t="inlineStr">
        <is>
          <t>בדיקות מיוחדות</t>
        </is>
      </c>
      <c r="D51" t="inlineStr">
        <is>
          <t>1171</t>
        </is>
      </c>
      <c r="E51" t="inlineStr">
        <is>
          <t>2026-06</t>
        </is>
      </c>
      <c r="F51" t="n">
        <v>449.15</v>
      </c>
      <c r="G51" t="n">
        <v>530</v>
      </c>
      <c r="H51">
        <f>הגדרות!B2</f>
        <v/>
      </c>
      <c r="I51">
        <f>F51*(1-H51/100)*1.18</f>
        <v/>
      </c>
      <c r="J51">
        <f>הגדרות!C2</f>
        <v/>
      </c>
      <c r="K51">
        <f>הגדרות!D2</f>
        <v/>
      </c>
      <c r="L51">
        <f>I51*(1+J51/100)+K51</f>
        <v/>
      </c>
    </row>
    <row r="52">
      <c r="A52" t="inlineStr">
        <is>
          <t>AML</t>
        </is>
      </c>
      <c r="B52" t="inlineStr">
        <is>
          <t>Cpli-DGGR</t>
        </is>
      </c>
      <c r="C52" t="inlineStr">
        <is>
          <t>בדיקות מיוחדות</t>
        </is>
      </c>
      <c r="D52" t="inlineStr">
        <is>
          <t>1656</t>
        </is>
      </c>
      <c r="E52" t="inlineStr">
        <is>
          <t>2026-06</t>
        </is>
      </c>
      <c r="F52" t="n">
        <v>254.24</v>
      </c>
      <c r="G52" t="n">
        <v>300</v>
      </c>
      <c r="H52">
        <f>הגדרות!B2</f>
        <v/>
      </c>
      <c r="I52">
        <f>F52*(1-H52/100)*1.18</f>
        <v/>
      </c>
      <c r="J52">
        <f>הגדרות!C2</f>
        <v/>
      </c>
      <c r="K52">
        <f>הגדרות!D2</f>
        <v/>
      </c>
      <c r="L52">
        <f>I52*(1+J52/100)+K52</f>
        <v/>
      </c>
    </row>
    <row r="53">
      <c r="A53" t="inlineStr">
        <is>
          <t>AML</t>
        </is>
      </c>
      <c r="B53" t="inlineStr">
        <is>
          <t>Fpli-DGGR</t>
        </is>
      </c>
      <c r="C53" t="inlineStr">
        <is>
          <t>בדיקות מיוחדות</t>
        </is>
      </c>
      <c r="D53" t="inlineStr">
        <is>
          <t>1657</t>
        </is>
      </c>
      <c r="E53" t="inlineStr">
        <is>
          <t>2026-06</t>
        </is>
      </c>
      <c r="F53" t="n">
        <v>254.24</v>
      </c>
      <c r="G53" t="n">
        <v>300</v>
      </c>
      <c r="H53">
        <f>הגדרות!B2</f>
        <v/>
      </c>
      <c r="I53">
        <f>F53*(1-H53/100)*1.18</f>
        <v/>
      </c>
      <c r="J53">
        <f>הגדרות!C2</f>
        <v/>
      </c>
      <c r="K53">
        <f>הגדרות!D2</f>
        <v/>
      </c>
      <c r="L53">
        <f>I53*(1+J53/100)+K53</f>
        <v/>
      </c>
    </row>
    <row r="54">
      <c r="A54" t="inlineStr">
        <is>
          <t>AML</t>
        </is>
      </c>
      <c r="B54" t="inlineStr">
        <is>
          <t>Vit.B12 + Folic acid + CTLI</t>
        </is>
      </c>
      <c r="C54" t="inlineStr">
        <is>
          <t>בדיקות מיוחדות</t>
        </is>
      </c>
      <c r="E54" t="inlineStr">
        <is>
          <t>2026-06</t>
        </is>
      </c>
      <c r="F54" t="n">
        <v>491.53</v>
      </c>
      <c r="G54" t="n">
        <v>580.01</v>
      </c>
      <c r="H54">
        <f>הגדרות!B2</f>
        <v/>
      </c>
      <c r="I54">
        <f>F54*(1-H54/100)*1.18</f>
        <v/>
      </c>
      <c r="J54">
        <f>הגדרות!C2</f>
        <v/>
      </c>
      <c r="K54">
        <f>הגדרות!D2</f>
        <v/>
      </c>
      <c r="L54">
        <f>I54*(1+J54/100)+K54</f>
        <v/>
      </c>
    </row>
    <row r="55">
      <c r="A55" t="inlineStr">
        <is>
          <t>AML</t>
        </is>
      </c>
      <c r="B55" t="inlineStr">
        <is>
          <t>מיאסטניה גרביס**</t>
        </is>
      </c>
      <c r="C55" t="inlineStr">
        <is>
          <t>בדיקות מיוחדות</t>
        </is>
      </c>
      <c r="D55" t="inlineStr">
        <is>
          <t>597</t>
        </is>
      </c>
      <c r="E55" t="inlineStr">
        <is>
          <t>2026-06</t>
        </is>
      </c>
      <c r="F55" t="n">
        <v>830.51</v>
      </c>
      <c r="G55" t="n">
        <v>980</v>
      </c>
      <c r="H55">
        <f>הגדרות!B2</f>
        <v/>
      </c>
      <c r="I55">
        <f>F55*(1-H55/100)*1.18</f>
        <v/>
      </c>
      <c r="J55">
        <f>הגדרות!C2</f>
        <v/>
      </c>
      <c r="K55">
        <f>הגדרות!D2</f>
        <v/>
      </c>
      <c r="L55">
        <f>I55*(1+J55/100)+K55</f>
        <v/>
      </c>
    </row>
    <row r="56">
      <c r="A56" t="inlineStr">
        <is>
          <t>AML</t>
        </is>
      </c>
      <c r="B56" t="inlineStr">
        <is>
          <t>2M antibody - mmm**</t>
        </is>
      </c>
      <c r="C56" t="inlineStr">
        <is>
          <t>בדיקות מיוחדות</t>
        </is>
      </c>
      <c r="D56" t="inlineStr">
        <is>
          <t>600</t>
        </is>
      </c>
      <c r="E56" t="inlineStr">
        <is>
          <t>2026-06</t>
        </is>
      </c>
      <c r="F56" t="n">
        <v>830.51</v>
      </c>
      <c r="G56" t="n">
        <v>980</v>
      </c>
      <c r="H56">
        <f>הגדרות!B2</f>
        <v/>
      </c>
      <c r="I56">
        <f>F56*(1-H56/100)*1.18</f>
        <v/>
      </c>
      <c r="J56">
        <f>הגדרות!C2</f>
        <v/>
      </c>
      <c r="K56">
        <f>הגדרות!D2</f>
        <v/>
      </c>
      <c r="L56">
        <f>I56*(1+J56/100)+K56</f>
        <v/>
      </c>
    </row>
    <row r="57">
      <c r="A57" t="inlineStr">
        <is>
          <t>AML</t>
        </is>
      </c>
      <c r="B57" t="inlineStr">
        <is>
          <t>חומצות מרה</t>
        </is>
      </c>
      <c r="C57" t="inlineStr">
        <is>
          <t>בדיקות מיוחדות</t>
        </is>
      </c>
      <c r="D57" t="inlineStr">
        <is>
          <t>585</t>
        </is>
      </c>
      <c r="E57" t="inlineStr">
        <is>
          <t>2026-06</t>
        </is>
      </c>
      <c r="F57" t="n">
        <v>288.14</v>
      </c>
      <c r="G57" t="n">
        <v>340.01</v>
      </c>
      <c r="H57">
        <f>הגדרות!B2</f>
        <v/>
      </c>
      <c r="I57">
        <f>F57*(1-H57/100)*1.18</f>
        <v/>
      </c>
      <c r="J57">
        <f>הגדרות!C2</f>
        <v/>
      </c>
      <c r="K57">
        <f>הגדרות!D2</f>
        <v/>
      </c>
      <c r="L57">
        <f>I57*(1+J57/100)+K57</f>
        <v/>
      </c>
    </row>
    <row r="58">
      <c r="A58" t="inlineStr">
        <is>
          <t>AML</t>
        </is>
      </c>
      <c r="B58" t="inlineStr">
        <is>
          <t>קומבס לכלב</t>
        </is>
      </c>
      <c r="C58" t="inlineStr">
        <is>
          <t>בדיקות מיוחדות</t>
        </is>
      </c>
      <c r="D58" t="inlineStr">
        <is>
          <t>1501</t>
        </is>
      </c>
      <c r="E58" t="inlineStr">
        <is>
          <t>2026-06</t>
        </is>
      </c>
      <c r="F58" t="n">
        <v>288.14</v>
      </c>
      <c r="G58" t="n">
        <v>340.01</v>
      </c>
      <c r="H58">
        <f>הגדרות!B2</f>
        <v/>
      </c>
      <c r="I58">
        <f>F58*(1-H58/100)*1.18</f>
        <v/>
      </c>
      <c r="J58">
        <f>הגדרות!C2</f>
        <v/>
      </c>
      <c r="K58">
        <f>הגדרות!D2</f>
        <v/>
      </c>
      <c r="L58">
        <f>I58*(1+J58/100)+K58</f>
        <v/>
      </c>
    </row>
    <row r="59">
      <c r="A59" t="inlineStr">
        <is>
          <t>AML</t>
        </is>
      </c>
      <c r="B59" t="inlineStr">
        <is>
          <t>SDMA</t>
        </is>
      </c>
      <c r="C59" t="inlineStr">
        <is>
          <t>בדיקות מיוחדות</t>
        </is>
      </c>
      <c r="D59" t="inlineStr">
        <is>
          <t>301</t>
        </is>
      </c>
      <c r="E59" t="inlineStr">
        <is>
          <t>2026-06</t>
        </is>
      </c>
      <c r="F59" t="n">
        <v>211.86</v>
      </c>
      <c r="G59" t="n">
        <v>249.99</v>
      </c>
      <c r="H59">
        <f>הגדרות!B2</f>
        <v/>
      </c>
      <c r="I59">
        <f>F59*(1-H59/100)*1.18</f>
        <v/>
      </c>
      <c r="J59">
        <f>הגדרות!C2</f>
        <v/>
      </c>
      <c r="K59">
        <f>הגדרות!D2</f>
        <v/>
      </c>
      <c r="L59">
        <f>I59*(1+J59/100)+K59</f>
        <v/>
      </c>
    </row>
    <row r="60">
      <c r="A60" t="inlineStr">
        <is>
          <t>AML</t>
        </is>
      </c>
      <c r="B60" t="inlineStr">
        <is>
          <t>CRP כלב</t>
        </is>
      </c>
      <c r="C60" t="inlineStr">
        <is>
          <t>בדיקות מיוחדות</t>
        </is>
      </c>
      <c r="D60" t="inlineStr">
        <is>
          <t>4070</t>
        </is>
      </c>
      <c r="E60" t="inlineStr">
        <is>
          <t>2026-06</t>
        </is>
      </c>
      <c r="F60" t="n">
        <v>254.24</v>
      </c>
      <c r="G60" t="n">
        <v>300</v>
      </c>
      <c r="H60">
        <f>הגדרות!B2</f>
        <v/>
      </c>
      <c r="I60">
        <f>F60*(1-H60/100)*1.18</f>
        <v/>
      </c>
      <c r="J60">
        <f>הגדרות!C2</f>
        <v/>
      </c>
      <c r="K60">
        <f>הגדרות!D2</f>
        <v/>
      </c>
      <c r="L60">
        <f>I60*(1+J60/100)+K60</f>
        <v/>
      </c>
    </row>
    <row r="61">
      <c r="A61" t="inlineStr">
        <is>
          <t>AML</t>
        </is>
      </c>
      <c r="B61" t="inlineStr">
        <is>
          <t>תרבית + רגישות</t>
        </is>
      </c>
      <c r="C61" t="inlineStr">
        <is>
          <t>תרביות</t>
        </is>
      </c>
      <c r="D61" t="inlineStr">
        <is>
          <t>1040</t>
        </is>
      </c>
      <c r="E61" t="inlineStr">
        <is>
          <t>2026-06</t>
        </is>
      </c>
      <c r="F61" t="n">
        <v>288.14</v>
      </c>
      <c r="G61" t="n">
        <v>340.01</v>
      </c>
      <c r="H61">
        <f>הגדרות!B2</f>
        <v/>
      </c>
      <c r="I61">
        <f>F61*(1-H61/100)*1.18</f>
        <v/>
      </c>
      <c r="J61">
        <f>הגדרות!C2</f>
        <v/>
      </c>
      <c r="K61">
        <f>הגדרות!D2</f>
        <v/>
      </c>
      <c r="L61">
        <f>I61*(1+J61/100)+K61</f>
        <v/>
      </c>
    </row>
    <row r="62">
      <c r="A62" t="inlineStr">
        <is>
          <t>AML</t>
        </is>
      </c>
      <c r="B62" t="inlineStr">
        <is>
          <t>תרבית לפטריות</t>
        </is>
      </c>
      <c r="C62" t="inlineStr">
        <is>
          <t>תרביות</t>
        </is>
      </c>
      <c r="D62" t="inlineStr">
        <is>
          <t>1045</t>
        </is>
      </c>
      <c r="E62" t="inlineStr">
        <is>
          <t>2026-06</t>
        </is>
      </c>
      <c r="F62" t="n">
        <v>262.71</v>
      </c>
      <c r="G62" t="n">
        <v>310</v>
      </c>
      <c r="H62">
        <f>הגדרות!B2</f>
        <v/>
      </c>
      <c r="I62">
        <f>F62*(1-H62/100)*1.18</f>
        <v/>
      </c>
      <c r="J62">
        <f>הגדרות!C2</f>
        <v/>
      </c>
      <c r="K62">
        <f>הגדרות!D2</f>
        <v/>
      </c>
      <c r="L62">
        <f>I62*(1+J62/100)+K62</f>
        <v/>
      </c>
    </row>
    <row r="63">
      <c r="A63" t="inlineStr">
        <is>
          <t>AML</t>
        </is>
      </c>
      <c r="B63" t="inlineStr">
        <is>
          <t>בדיקת שתן כללית (סטיק ומיקרוסקופיה)</t>
        </is>
      </c>
      <c r="C63" t="inlineStr">
        <is>
          <t>תרביות</t>
        </is>
      </c>
      <c r="D63" t="inlineStr">
        <is>
          <t>1014</t>
        </is>
      </c>
      <c r="E63" t="inlineStr">
        <is>
          <t>2026-06</t>
        </is>
      </c>
      <c r="F63" t="n">
        <v>194.92</v>
      </c>
      <c r="G63" t="n">
        <v>230.01</v>
      </c>
      <c r="H63">
        <f>הגדרות!B2</f>
        <v/>
      </c>
      <c r="I63">
        <f>F63*(1-H63/100)*1.18</f>
        <v/>
      </c>
      <c r="J63">
        <f>הגדרות!C2</f>
        <v/>
      </c>
      <c r="K63">
        <f>הגדרות!D2</f>
        <v/>
      </c>
      <c r="L63">
        <f>I63*(1+J63/100)+K63</f>
        <v/>
      </c>
    </row>
    <row r="64">
      <c r="A64" t="inlineStr">
        <is>
          <t>AML</t>
        </is>
      </c>
      <c r="B64" t="inlineStr">
        <is>
          <t>בדיקת שתן כללית + תרבית ורגישות</t>
        </is>
      </c>
      <c r="C64" t="inlineStr">
        <is>
          <t>תרביות</t>
        </is>
      </c>
      <c r="D64" t="inlineStr">
        <is>
          <t>1011</t>
        </is>
      </c>
      <c r="E64" t="inlineStr">
        <is>
          <t>2026-06</t>
        </is>
      </c>
      <c r="F64" t="n">
        <v>305.08</v>
      </c>
      <c r="G64" t="n">
        <v>359.99</v>
      </c>
      <c r="H64">
        <f>הגדרות!B2</f>
        <v/>
      </c>
      <c r="I64">
        <f>F64*(1-H64/100)*1.18</f>
        <v/>
      </c>
      <c r="J64">
        <f>הגדרות!C2</f>
        <v/>
      </c>
      <c r="K64">
        <f>הגדרות!D2</f>
        <v/>
      </c>
      <c r="L64">
        <f>I64*(1+J64/100)+K64</f>
        <v/>
      </c>
    </row>
    <row r="65">
      <c r="A65" t="inlineStr">
        <is>
          <t>AML</t>
        </is>
      </c>
      <c r="B65" t="inlineStr">
        <is>
          <t>תרבית שתן</t>
        </is>
      </c>
      <c r="C65" t="inlineStr">
        <is>
          <t>תרביות</t>
        </is>
      </c>
      <c r="D65" t="inlineStr">
        <is>
          <t>1311</t>
        </is>
      </c>
      <c r="E65" t="inlineStr">
        <is>
          <t>2026-06</t>
        </is>
      </c>
      <c r="F65" t="n">
        <v>262.71</v>
      </c>
      <c r="G65" t="n">
        <v>310</v>
      </c>
      <c r="H65">
        <f>הגדרות!B2</f>
        <v/>
      </c>
      <c r="I65">
        <f>F65*(1-H65/100)*1.18</f>
        <v/>
      </c>
      <c r="J65">
        <f>הגדרות!C2</f>
        <v/>
      </c>
      <c r="K65">
        <f>הגדרות!D2</f>
        <v/>
      </c>
      <c r="L65">
        <f>I65*(1+J65/100)+K65</f>
        <v/>
      </c>
    </row>
    <row r="66">
      <c r="A66" t="inlineStr">
        <is>
          <t>AML</t>
        </is>
      </c>
      <c r="B66" t="inlineStr">
        <is>
          <t>יחס חלבון/קריאטינין בשתן</t>
        </is>
      </c>
      <c r="C66" t="inlineStr">
        <is>
          <t>תרביות</t>
        </is>
      </c>
      <c r="D66" t="inlineStr">
        <is>
          <t>1019</t>
        </is>
      </c>
      <c r="E66" t="inlineStr">
        <is>
          <t>2026-06</t>
        </is>
      </c>
      <c r="F66" t="n">
        <v>211.86</v>
      </c>
      <c r="G66" t="n">
        <v>249.99</v>
      </c>
      <c r="H66">
        <f>הגדרות!B2</f>
        <v/>
      </c>
      <c r="I66">
        <f>F66*(1-H66/100)*1.18</f>
        <v/>
      </c>
      <c r="J66">
        <f>הגדרות!C2</f>
        <v/>
      </c>
      <c r="K66">
        <f>הגדרות!D2</f>
        <v/>
      </c>
      <c r="L66">
        <f>I66*(1+J66/100)+K66</f>
        <v/>
      </c>
    </row>
    <row r="67">
      <c r="A67" t="inlineStr">
        <is>
          <t>AML</t>
        </is>
      </c>
      <c r="B67" t="inlineStr">
        <is>
          <t>תרבית צואה</t>
        </is>
      </c>
      <c r="C67" t="inlineStr">
        <is>
          <t>תרביות</t>
        </is>
      </c>
      <c r="E67" t="inlineStr">
        <is>
          <t>2026-06</t>
        </is>
      </c>
      <c r="F67" t="n">
        <v>288.14</v>
      </c>
      <c r="G67" t="n">
        <v>340.01</v>
      </c>
      <c r="H67">
        <f>הגדרות!B2</f>
        <v/>
      </c>
      <c r="I67">
        <f>F67*(1-H67/100)*1.18</f>
        <v/>
      </c>
      <c r="J67">
        <f>הגדרות!C2</f>
        <v/>
      </c>
      <c r="K67">
        <f>הגדרות!D2</f>
        <v/>
      </c>
      <c r="L67">
        <f>I67*(1+J67/100)+K67</f>
        <v/>
      </c>
    </row>
    <row r="68">
      <c r="A68" t="inlineStr">
        <is>
          <t>AML</t>
        </is>
      </c>
      <c r="B68" t="inlineStr">
        <is>
          <t>צואה לפרזיטים בהצפה</t>
        </is>
      </c>
      <c r="C68" t="inlineStr">
        <is>
          <t>תרביות</t>
        </is>
      </c>
      <c r="D68" t="inlineStr">
        <is>
          <t>343</t>
        </is>
      </c>
      <c r="E68" t="inlineStr">
        <is>
          <t>2026-06</t>
        </is>
      </c>
      <c r="F68" t="n">
        <v>169.49</v>
      </c>
      <c r="G68" t="n">
        <v>200</v>
      </c>
      <c r="H68">
        <f>הגדרות!B2</f>
        <v/>
      </c>
      <c r="I68">
        <f>F68*(1-H68/100)*1.18</f>
        <v/>
      </c>
      <c r="J68">
        <f>הגדרות!C2</f>
        <v/>
      </c>
      <c r="K68">
        <f>הגדרות!D2</f>
        <v/>
      </c>
      <c r="L68">
        <f>I68*(1+J68/100)+K68</f>
        <v/>
      </c>
    </row>
    <row r="69">
      <c r="A69" t="inlineStr">
        <is>
          <t>AML</t>
        </is>
      </c>
      <c r="B69" t="inlineStr">
        <is>
          <t>בדיקת צואה לפרזיטים + תרבית</t>
        </is>
      </c>
      <c r="C69" t="inlineStr">
        <is>
          <t>תרביות</t>
        </is>
      </c>
      <c r="D69" t="inlineStr">
        <is>
          <t>1341</t>
        </is>
      </c>
      <c r="E69" t="inlineStr">
        <is>
          <t>2026-06</t>
        </is>
      </c>
      <c r="F69" t="n">
        <v>279.66</v>
      </c>
      <c r="G69" t="n">
        <v>330</v>
      </c>
      <c r="H69">
        <f>הגדרות!B2</f>
        <v/>
      </c>
      <c r="I69">
        <f>F69*(1-H69/100)*1.18</f>
        <v/>
      </c>
      <c r="J69">
        <f>הגדרות!C2</f>
        <v/>
      </c>
      <c r="K69">
        <f>הגדרות!D2</f>
        <v/>
      </c>
      <c r="L69">
        <f>I69*(1+J69/100)+K69</f>
        <v/>
      </c>
    </row>
    <row r="70">
      <c r="A70" t="inlineStr">
        <is>
          <t>AML</t>
        </is>
      </c>
      <c r="B70" t="inlineStr">
        <is>
          <t>תרבית כפולה</t>
        </is>
      </c>
      <c r="C70" t="inlineStr">
        <is>
          <t>תרביות</t>
        </is>
      </c>
      <c r="E70" t="inlineStr">
        <is>
          <t>2026-06</t>
        </is>
      </c>
      <c r="F70" t="n">
        <v>466.1</v>
      </c>
      <c r="G70" t="n">
        <v>550</v>
      </c>
      <c r="H70">
        <f>הגדרות!B2</f>
        <v/>
      </c>
      <c r="I70">
        <f>F70*(1-H70/100)*1.18</f>
        <v/>
      </c>
      <c r="J70">
        <f>הגדרות!C2</f>
        <v/>
      </c>
      <c r="K70">
        <f>הגדרות!D2</f>
        <v/>
      </c>
      <c r="L70">
        <f>I70*(1+J70/100)+K70</f>
        <v/>
      </c>
    </row>
    <row r="71">
      <c r="A71" t="inlineStr">
        <is>
          <t>AML</t>
        </is>
      </c>
      <c r="B71" t="inlineStr">
        <is>
          <t>תרבית מ-3 מקומות</t>
        </is>
      </c>
      <c r="C71" t="inlineStr">
        <is>
          <t>תרביות</t>
        </is>
      </c>
      <c r="E71" t="inlineStr">
        <is>
          <t>2026-06</t>
        </is>
      </c>
      <c r="F71" t="n">
        <v>644.0700000000001</v>
      </c>
      <c r="G71" t="n">
        <v>760</v>
      </c>
      <c r="H71">
        <f>הגדרות!B2</f>
        <v/>
      </c>
      <c r="I71">
        <f>F71*(1-H71/100)*1.18</f>
        <v/>
      </c>
      <c r="J71">
        <f>הגדרות!C2</f>
        <v/>
      </c>
      <c r="K71">
        <f>הגדרות!D2</f>
        <v/>
      </c>
      <c r="L71">
        <f>I71*(1+J71/100)+K71</f>
        <v/>
      </c>
    </row>
    <row r="72">
      <c r="A72" t="inlineStr">
        <is>
          <t>AML</t>
        </is>
      </c>
      <c r="B72" t="inlineStr">
        <is>
          <t>אבן מדרכי השתן*</t>
        </is>
      </c>
      <c r="C72" t="inlineStr">
        <is>
          <t>תרביות</t>
        </is>
      </c>
      <c r="D72" t="inlineStr">
        <is>
          <t>285</t>
        </is>
      </c>
      <c r="E72" t="inlineStr">
        <is>
          <t>2026-06</t>
        </is>
      </c>
      <c r="F72" t="n">
        <v>288.14</v>
      </c>
      <c r="G72" t="n">
        <v>340.01</v>
      </c>
      <c r="H72">
        <f>הגדרות!B2</f>
        <v/>
      </c>
      <c r="I72">
        <f>F72*(1-H72/100)*1.18</f>
        <v/>
      </c>
      <c r="J72">
        <f>הגדרות!C2</f>
        <v/>
      </c>
      <c r="K72">
        <f>הגדרות!D2</f>
        <v/>
      </c>
      <c r="L72">
        <f>I72*(1+J72/100)+K72</f>
        <v/>
      </c>
    </row>
    <row r="73">
      <c r="A73" t="inlineStr">
        <is>
          <t>AML</t>
        </is>
      </c>
      <c r="B73" t="inlineStr">
        <is>
          <t>בדיקת צואה לספירוצרקה*</t>
        </is>
      </c>
      <c r="C73" t="inlineStr">
        <is>
          <t>תרביות</t>
        </is>
      </c>
      <c r="D73" t="inlineStr">
        <is>
          <t>1600</t>
        </is>
      </c>
      <c r="E73" t="inlineStr">
        <is>
          <t>2026-06</t>
        </is>
      </c>
      <c r="F73" t="n">
        <v>254.24</v>
      </c>
      <c r="G73" t="n">
        <v>300</v>
      </c>
      <c r="H73">
        <f>הגדרות!B2</f>
        <v/>
      </c>
      <c r="I73">
        <f>F73*(1-H73/100)*1.18</f>
        <v/>
      </c>
      <c r="J73">
        <f>הגדרות!C2</f>
        <v/>
      </c>
      <c r="K73">
        <f>הגדרות!D2</f>
        <v/>
      </c>
      <c r="L73">
        <f>I73*(1+J73/100)+K73</f>
        <v/>
      </c>
    </row>
    <row r="74">
      <c r="A74" t="inlineStr">
        <is>
          <t>AML</t>
        </is>
      </c>
      <c r="B74" t="inlineStr">
        <is>
          <t>בדיקת צואה כללית + ספירוצרקה*</t>
        </is>
      </c>
      <c r="C74" t="inlineStr">
        <is>
          <t>תרביות</t>
        </is>
      </c>
      <c r="D74" t="inlineStr">
        <is>
          <t>1630</t>
        </is>
      </c>
      <c r="E74" t="inlineStr">
        <is>
          <t>2026-06</t>
        </is>
      </c>
      <c r="F74" t="n">
        <v>423.73</v>
      </c>
      <c r="G74" t="n">
        <v>500</v>
      </c>
      <c r="H74">
        <f>הגדרות!B2</f>
        <v/>
      </c>
      <c r="I74">
        <f>F74*(1-H74/100)*1.18</f>
        <v/>
      </c>
      <c r="J74">
        <f>הגדרות!C2</f>
        <v/>
      </c>
      <c r="K74">
        <f>הגדרות!D2</f>
        <v/>
      </c>
      <c r="L74">
        <f>I74*(1+J74/100)+K74</f>
        <v/>
      </c>
    </row>
    <row r="75">
      <c r="A75" t="inlineStr">
        <is>
          <t>AML</t>
        </is>
      </c>
      <c r="B75" t="inlineStr">
        <is>
          <t>תרבית דם</t>
        </is>
      </c>
      <c r="C75" t="inlineStr">
        <is>
          <t>תרביות</t>
        </is>
      </c>
      <c r="E75" t="inlineStr">
        <is>
          <t>2026-06</t>
        </is>
      </c>
      <c r="F75" t="n">
        <v>389.83</v>
      </c>
      <c r="G75" t="n">
        <v>460</v>
      </c>
      <c r="H75">
        <f>הגדרות!B2</f>
        <v/>
      </c>
      <c r="I75">
        <f>F75*(1-H75/100)*1.18</f>
        <v/>
      </c>
      <c r="J75">
        <f>הגדרות!C2</f>
        <v/>
      </c>
      <c r="K75">
        <f>הגדרות!D2</f>
        <v/>
      </c>
      <c r="L75">
        <f>I75*(1+J75/100)+K75</f>
        <v/>
      </c>
    </row>
    <row r="76">
      <c r="A76" t="inlineStr">
        <is>
          <t>AML</t>
        </is>
      </c>
      <c r="B76" t="inlineStr">
        <is>
          <t>צואה לבדיקת דיסביוזיס</t>
        </is>
      </c>
      <c r="C76" t="inlineStr">
        <is>
          <t>תרביות</t>
        </is>
      </c>
      <c r="E76" t="inlineStr">
        <is>
          <t>2026-06</t>
        </is>
      </c>
      <c r="F76" t="n">
        <v>677.97</v>
      </c>
      <c r="G76" t="n">
        <v>800</v>
      </c>
      <c r="H76">
        <f>הגדרות!B2</f>
        <v/>
      </c>
      <c r="I76">
        <f>F76*(1-H76/100)*1.18</f>
        <v/>
      </c>
      <c r="J76">
        <f>הגדרות!C2</f>
        <v/>
      </c>
      <c r="K76">
        <f>הגדרות!D2</f>
        <v/>
      </c>
      <c r="L76">
        <f>I76*(1+J76/100)+K76</f>
        <v/>
      </c>
    </row>
    <row r="77">
      <c r="A77" t="inlineStr">
        <is>
          <t>AML</t>
        </is>
      </c>
      <c r="B77" t="inlineStr">
        <is>
          <t>FeLV</t>
        </is>
      </c>
      <c r="C77" t="inlineStr">
        <is>
          <t>סרולוגיה</t>
        </is>
      </c>
      <c r="D77" t="inlineStr">
        <is>
          <t>1055</t>
        </is>
      </c>
      <c r="E77" t="inlineStr">
        <is>
          <t>2026-06</t>
        </is>
      </c>
      <c r="F77" t="n">
        <v>194.92</v>
      </c>
      <c r="G77" t="n">
        <v>230.01</v>
      </c>
      <c r="H77">
        <f>הגדרות!B2</f>
        <v/>
      </c>
      <c r="I77">
        <f>F77*(1-H77/100)*1.18</f>
        <v/>
      </c>
      <c r="J77">
        <f>הגדרות!C2</f>
        <v/>
      </c>
      <c r="K77">
        <f>הגדרות!D2</f>
        <v/>
      </c>
      <c r="L77">
        <f>I77*(1+J77/100)+K77</f>
        <v/>
      </c>
    </row>
    <row r="78">
      <c r="A78" t="inlineStr">
        <is>
          <t>AML</t>
        </is>
      </c>
      <c r="B78" t="inlineStr">
        <is>
          <t>FIV</t>
        </is>
      </c>
      <c r="C78" t="inlineStr">
        <is>
          <t>סרולוגיה</t>
        </is>
      </c>
      <c r="D78" t="inlineStr">
        <is>
          <t>4442</t>
        </is>
      </c>
      <c r="E78" t="inlineStr">
        <is>
          <t>2026-06</t>
        </is>
      </c>
      <c r="F78" t="n">
        <v>194.92</v>
      </c>
      <c r="G78" t="n">
        <v>230.01</v>
      </c>
      <c r="H78">
        <f>הגדרות!B2</f>
        <v/>
      </c>
      <c r="I78">
        <f>F78*(1-H78/100)*1.18</f>
        <v/>
      </c>
      <c r="J78">
        <f>הגדרות!C2</f>
        <v/>
      </c>
      <c r="K78">
        <f>הגדרות!D2</f>
        <v/>
      </c>
      <c r="L78">
        <f>I78*(1+J78/100)+K78</f>
        <v/>
      </c>
    </row>
    <row r="79">
      <c r="A79" t="inlineStr">
        <is>
          <t>AML</t>
        </is>
      </c>
      <c r="B79" t="inlineStr">
        <is>
          <t>FIP</t>
        </is>
      </c>
      <c r="C79" t="inlineStr">
        <is>
          <t>סרולוגיה</t>
        </is>
      </c>
      <c r="D79" t="inlineStr">
        <is>
          <t>1062</t>
        </is>
      </c>
      <c r="E79" t="inlineStr">
        <is>
          <t>2026-06</t>
        </is>
      </c>
      <c r="F79" t="n">
        <v>194.92</v>
      </c>
      <c r="G79" t="n">
        <v>230.01</v>
      </c>
      <c r="H79">
        <f>הגדרות!B2</f>
        <v/>
      </c>
      <c r="I79">
        <f>F79*(1-H79/100)*1.18</f>
        <v/>
      </c>
      <c r="J79">
        <f>הגדרות!C2</f>
        <v/>
      </c>
      <c r="K79">
        <f>הגדרות!D2</f>
        <v/>
      </c>
      <c r="L79">
        <f>I79*(1+J79/100)+K79</f>
        <v/>
      </c>
    </row>
    <row r="80">
      <c r="A80" t="inlineStr">
        <is>
          <t>AML</t>
        </is>
      </c>
      <c r="B80" t="inlineStr">
        <is>
          <t>FIV+FeLV</t>
        </is>
      </c>
      <c r="C80" t="inlineStr">
        <is>
          <t>סרולוגיה</t>
        </is>
      </c>
      <c r="D80" t="inlineStr">
        <is>
          <t>4441</t>
        </is>
      </c>
      <c r="E80" t="inlineStr">
        <is>
          <t>2026-06</t>
        </is>
      </c>
      <c r="F80" t="n">
        <v>313.56</v>
      </c>
      <c r="G80" t="n">
        <v>370</v>
      </c>
      <c r="H80">
        <f>הגדרות!B2</f>
        <v/>
      </c>
      <c r="I80">
        <f>F80*(1-H80/100)*1.18</f>
        <v/>
      </c>
      <c r="J80">
        <f>הגדרות!C2</f>
        <v/>
      </c>
      <c r="K80">
        <f>הגדרות!D2</f>
        <v/>
      </c>
      <c r="L80">
        <f>I80*(1+J80/100)+K80</f>
        <v/>
      </c>
    </row>
    <row r="81">
      <c r="A81" t="inlineStr">
        <is>
          <t>AML</t>
        </is>
      </c>
      <c r="B81" t="inlineStr">
        <is>
          <t>FIP+FIV+FeLV</t>
        </is>
      </c>
      <c r="C81" t="inlineStr">
        <is>
          <t>סרולוגיה</t>
        </is>
      </c>
      <c r="D81" t="inlineStr">
        <is>
          <t>4443</t>
        </is>
      </c>
      <c r="E81" t="inlineStr">
        <is>
          <t>2026-06</t>
        </is>
      </c>
      <c r="F81" t="n">
        <v>432.2</v>
      </c>
      <c r="G81" t="n">
        <v>510</v>
      </c>
      <c r="H81">
        <f>הגדרות!B2</f>
        <v/>
      </c>
      <c r="I81">
        <f>F81*(1-H81/100)*1.18</f>
        <v/>
      </c>
      <c r="J81">
        <f>הגדרות!C2</f>
        <v/>
      </c>
      <c r="K81">
        <f>הגדרות!D2</f>
        <v/>
      </c>
      <c r="L81">
        <f>I81*(1+J81/100)+K81</f>
        <v/>
      </c>
    </row>
    <row r="82">
      <c r="A82" t="inlineStr">
        <is>
          <t>AML</t>
        </is>
      </c>
      <c r="B82" t="inlineStr">
        <is>
          <t>FIV+FIP</t>
        </is>
      </c>
      <c r="C82" t="inlineStr">
        <is>
          <t>סרולוגיה</t>
        </is>
      </c>
      <c r="D82" t="inlineStr">
        <is>
          <t>4445</t>
        </is>
      </c>
      <c r="E82" t="inlineStr">
        <is>
          <t>2026-06</t>
        </is>
      </c>
      <c r="F82" t="n">
        <v>313.56</v>
      </c>
      <c r="G82" t="n">
        <v>370</v>
      </c>
      <c r="H82">
        <f>הגדרות!B2</f>
        <v/>
      </c>
      <c r="I82">
        <f>F82*(1-H82/100)*1.18</f>
        <v/>
      </c>
      <c r="J82">
        <f>הגדרות!C2</f>
        <v/>
      </c>
      <c r="K82">
        <f>הגדרות!D2</f>
        <v/>
      </c>
      <c r="L82">
        <f>I82*(1+J82/100)+K82</f>
        <v/>
      </c>
    </row>
    <row r="83">
      <c r="A83" t="inlineStr">
        <is>
          <t>AML</t>
        </is>
      </c>
      <c r="B83" t="inlineStr">
        <is>
          <t>כלבלבת + פרוו</t>
        </is>
      </c>
      <c r="C83" t="inlineStr">
        <is>
          <t>סרולוגיה</t>
        </is>
      </c>
      <c r="D83" t="inlineStr">
        <is>
          <t>1080</t>
        </is>
      </c>
      <c r="E83" t="inlineStr">
        <is>
          <t>2026-06</t>
        </is>
      </c>
      <c r="F83" t="n">
        <v>194.92</v>
      </c>
      <c r="G83" t="n">
        <v>230.01</v>
      </c>
      <c r="H83">
        <f>הגדרות!B2</f>
        <v/>
      </c>
      <c r="I83">
        <f>F83*(1-H83/100)*1.18</f>
        <v/>
      </c>
      <c r="J83">
        <f>הגדרות!C2</f>
        <v/>
      </c>
      <c r="K83">
        <f>הגדרות!D2</f>
        <v/>
      </c>
      <c r="L83">
        <f>I83*(1+J83/100)+K83</f>
        <v/>
      </c>
    </row>
    <row r="84">
      <c r="A84" t="inlineStr">
        <is>
          <t>AML</t>
        </is>
      </c>
      <c r="B84" t="inlineStr">
        <is>
          <t>ארליכיה</t>
        </is>
      </c>
      <c r="C84" t="inlineStr">
        <is>
          <t>סרולוגיה</t>
        </is>
      </c>
      <c r="D84" t="inlineStr">
        <is>
          <t>1083</t>
        </is>
      </c>
      <c r="E84" t="inlineStr">
        <is>
          <t>2026-06</t>
        </is>
      </c>
      <c r="F84" t="n">
        <v>194.92</v>
      </c>
      <c r="G84" t="n">
        <v>230.01</v>
      </c>
      <c r="H84">
        <f>הגדרות!B2</f>
        <v/>
      </c>
      <c r="I84">
        <f>F84*(1-H84/100)*1.18</f>
        <v/>
      </c>
      <c r="J84">
        <f>הגדרות!C2</f>
        <v/>
      </c>
      <c r="K84">
        <f>הגדרות!D2</f>
        <v/>
      </c>
      <c r="L84">
        <f>I84*(1+J84/100)+K84</f>
        <v/>
      </c>
    </row>
    <row r="85">
      <c r="A85" t="inlineStr">
        <is>
          <t>AML</t>
        </is>
      </c>
      <c r="B85" t="inlineStr">
        <is>
          <t>לישמניה</t>
        </is>
      </c>
      <c r="C85" t="inlineStr">
        <is>
          <t>סרולוגיה</t>
        </is>
      </c>
      <c r="D85" t="inlineStr">
        <is>
          <t>584</t>
        </is>
      </c>
      <c r="E85" t="inlineStr">
        <is>
          <t>2026-06</t>
        </is>
      </c>
      <c r="F85" t="n">
        <v>194.92</v>
      </c>
      <c r="G85" t="n">
        <v>230.01</v>
      </c>
      <c r="H85">
        <f>הגדרות!B2</f>
        <v/>
      </c>
      <c r="I85">
        <f>F85*(1-H85/100)*1.18</f>
        <v/>
      </c>
      <c r="J85">
        <f>הגדרות!C2</f>
        <v/>
      </c>
      <c r="K85">
        <f>הגדרות!D2</f>
        <v/>
      </c>
      <c r="L85">
        <f>I85*(1+J85/100)+K85</f>
        <v/>
      </c>
    </row>
    <row r="86">
      <c r="A86" t="inlineStr">
        <is>
          <t>AML</t>
        </is>
      </c>
      <c r="B86" t="inlineStr">
        <is>
          <t>טוקסופלסמה בחתולים</t>
        </is>
      </c>
      <c r="C86" t="inlineStr">
        <is>
          <t>סרולוגיה</t>
        </is>
      </c>
      <c r="D86" t="inlineStr">
        <is>
          <t>1006</t>
        </is>
      </c>
      <c r="E86" t="inlineStr">
        <is>
          <t>2026-06</t>
        </is>
      </c>
      <c r="F86" t="n">
        <v>194.92</v>
      </c>
      <c r="G86" t="n">
        <v>230.01</v>
      </c>
      <c r="H86">
        <f>הגדרות!B2</f>
        <v/>
      </c>
      <c r="I86">
        <f>F86*(1-H86/100)*1.18</f>
        <v/>
      </c>
      <c r="J86">
        <f>הגדרות!C2</f>
        <v/>
      </c>
      <c r="K86">
        <f>הגדרות!D2</f>
        <v/>
      </c>
      <c r="L86">
        <f>I86*(1+J86/100)+K86</f>
        <v/>
      </c>
    </row>
    <row r="87">
      <c r="A87" t="inlineStr">
        <is>
          <t>AML</t>
        </is>
      </c>
      <c r="B87" t="inlineStr">
        <is>
          <t>פרוו בצואה</t>
        </is>
      </c>
      <c r="C87" t="inlineStr">
        <is>
          <t>סרולוגיה</t>
        </is>
      </c>
      <c r="D87" t="inlineStr">
        <is>
          <t>1606</t>
        </is>
      </c>
      <c r="E87" t="inlineStr">
        <is>
          <t>2026-06</t>
        </is>
      </c>
      <c r="F87" t="n">
        <v>194.92</v>
      </c>
      <c r="G87" t="n">
        <v>230.01</v>
      </c>
      <c r="H87">
        <f>הגדרות!B2</f>
        <v/>
      </c>
      <c r="I87">
        <f>F87*(1-H87/100)*1.18</f>
        <v/>
      </c>
      <c r="J87">
        <f>הגדרות!C2</f>
        <v/>
      </c>
      <c r="K87">
        <f>הגדרות!D2</f>
        <v/>
      </c>
      <c r="L87">
        <f>I87*(1+J87/100)+K87</f>
        <v/>
      </c>
    </row>
    <row r="88">
      <c r="A88" t="inlineStr">
        <is>
          <t>AML</t>
        </is>
      </c>
      <c r="B88" t="inlineStr">
        <is>
          <t>Canine Vaccicheck</t>
        </is>
      </c>
      <c r="C88" t="inlineStr">
        <is>
          <t>סרולוגיה</t>
        </is>
      </c>
      <c r="D88" t="inlineStr">
        <is>
          <t>587</t>
        </is>
      </c>
      <c r="E88" t="inlineStr">
        <is>
          <t>2026-06</t>
        </is>
      </c>
      <c r="F88" t="n">
        <v>237.29</v>
      </c>
      <c r="G88" t="n">
        <v>280</v>
      </c>
      <c r="H88">
        <f>הגדרות!B2</f>
        <v/>
      </c>
      <c r="I88">
        <f>F88*(1-H88/100)*1.18</f>
        <v/>
      </c>
      <c r="J88">
        <f>הגדרות!C2</f>
        <v/>
      </c>
      <c r="K88">
        <f>הגדרות!D2</f>
        <v/>
      </c>
      <c r="L88">
        <f>I88*(1+J88/100)+K88</f>
        <v/>
      </c>
    </row>
    <row r="89">
      <c r="A89" t="inlineStr">
        <is>
          <t>AML</t>
        </is>
      </c>
      <c r="B89" t="inlineStr">
        <is>
          <t>Fungal Profile**</t>
        </is>
      </c>
      <c r="C89" t="inlineStr">
        <is>
          <t>סרולוגיה</t>
        </is>
      </c>
      <c r="D89" t="inlineStr">
        <is>
          <t>1180</t>
        </is>
      </c>
      <c r="E89" t="inlineStr">
        <is>
          <t>2026-06</t>
        </is>
      </c>
      <c r="F89" t="n">
        <v>703.39</v>
      </c>
      <c r="G89" t="n">
        <v>830</v>
      </c>
      <c r="H89">
        <f>הגדרות!B2</f>
        <v/>
      </c>
      <c r="I89">
        <f>F89*(1-H89/100)*1.18</f>
        <v/>
      </c>
      <c r="J89">
        <f>הגדרות!C2</f>
        <v/>
      </c>
      <c r="K89">
        <f>הגדרות!D2</f>
        <v/>
      </c>
      <c r="L89">
        <f>I89*(1+J89/100)+K89</f>
        <v/>
      </c>
    </row>
    <row r="90">
      <c r="A90" t="inlineStr">
        <is>
          <t>AML</t>
        </is>
      </c>
      <c r="B90" t="inlineStr">
        <is>
          <t>Cryptococcal antigen**</t>
        </is>
      </c>
      <c r="C90" t="inlineStr">
        <is>
          <t>סרולוגיה</t>
        </is>
      </c>
      <c r="D90" t="inlineStr">
        <is>
          <t>1023</t>
        </is>
      </c>
      <c r="E90" t="inlineStr">
        <is>
          <t>2026-06</t>
        </is>
      </c>
      <c r="F90" t="n">
        <v>635.59</v>
      </c>
      <c r="G90" t="n">
        <v>750</v>
      </c>
      <c r="H90">
        <f>הגדרות!B2</f>
        <v/>
      </c>
      <c r="I90">
        <f>F90*(1-H90/100)*1.18</f>
        <v/>
      </c>
      <c r="J90">
        <f>הגדרות!C2</f>
        <v/>
      </c>
      <c r="K90">
        <f>הגדרות!D2</f>
        <v/>
      </c>
      <c r="L90">
        <f>I90*(1+J90/100)+K90</f>
        <v/>
      </c>
    </row>
    <row r="91">
      <c r="A91" t="inlineStr">
        <is>
          <t>AML</t>
        </is>
      </c>
      <c r="B91" t="inlineStr">
        <is>
          <t>Neospora + Toxoplasma*</t>
        </is>
      </c>
      <c r="C91" t="inlineStr">
        <is>
          <t>סרולוגיה</t>
        </is>
      </c>
      <c r="D91" t="inlineStr">
        <is>
          <t>2002+1505</t>
        </is>
      </c>
      <c r="E91" t="inlineStr">
        <is>
          <t>2026-06</t>
        </is>
      </c>
      <c r="F91" t="n">
        <v>313.56</v>
      </c>
      <c r="G91" t="n">
        <v>370</v>
      </c>
      <c r="H91">
        <f>הגדרות!B2</f>
        <v/>
      </c>
      <c r="I91">
        <f>F91*(1-H91/100)*1.18</f>
        <v/>
      </c>
      <c r="J91">
        <f>הגדרות!C2</f>
        <v/>
      </c>
      <c r="K91">
        <f>הגדרות!D2</f>
        <v/>
      </c>
      <c r="L91">
        <f>I91*(1+J91/100)+K91</f>
        <v/>
      </c>
    </row>
    <row r="92">
      <c r="A92" t="inlineStr">
        <is>
          <t>AML</t>
        </is>
      </c>
      <c r="B92" t="inlineStr">
        <is>
          <t>Toxoplasma or Neospora*</t>
        </is>
      </c>
      <c r="C92" t="inlineStr">
        <is>
          <t>סרולוגיה</t>
        </is>
      </c>
      <c r="E92" t="inlineStr">
        <is>
          <t>2026-06</t>
        </is>
      </c>
      <c r="F92" t="n">
        <v>262.71</v>
      </c>
      <c r="G92" t="n">
        <v>310</v>
      </c>
      <c r="H92">
        <f>הגדרות!B2</f>
        <v/>
      </c>
      <c r="I92">
        <f>F92*(1-H92/100)*1.18</f>
        <v/>
      </c>
      <c r="J92">
        <f>הגדרות!C2</f>
        <v/>
      </c>
      <c r="K92">
        <f>הגדרות!D2</f>
        <v/>
      </c>
      <c r="L92">
        <f>I92*(1+J92/100)+K92</f>
        <v/>
      </c>
    </row>
    <row r="93">
      <c r="A93" t="inlineStr">
        <is>
          <t>AML</t>
        </is>
      </c>
      <c r="B93" t="inlineStr">
        <is>
          <t>לפטוספירוזיס</t>
        </is>
      </c>
      <c r="C93" t="inlineStr">
        <is>
          <t>סרולוגיה</t>
        </is>
      </c>
      <c r="D93" t="inlineStr">
        <is>
          <t>1966</t>
        </is>
      </c>
      <c r="E93" t="inlineStr">
        <is>
          <t>2026-06</t>
        </is>
      </c>
      <c r="F93" t="n">
        <v>237.29</v>
      </c>
      <c r="G93" t="n">
        <v>280</v>
      </c>
      <c r="H93">
        <f>הגדרות!B2</f>
        <v/>
      </c>
      <c r="I93">
        <f>F93*(1-H93/100)*1.18</f>
        <v/>
      </c>
      <c r="J93">
        <f>הגדרות!C2</f>
        <v/>
      </c>
      <c r="K93">
        <f>הגדרות!D2</f>
        <v/>
      </c>
      <c r="L93">
        <f>I93*(1+J93/100)+K93</f>
        <v/>
      </c>
    </row>
    <row r="94">
      <c r="A94" t="inlineStr">
        <is>
          <t>AML</t>
        </is>
      </c>
      <c r="B94" t="inlineStr">
        <is>
          <t>סרולוגיה לברוצלה</t>
        </is>
      </c>
      <c r="C94" t="inlineStr">
        <is>
          <t>סרולוגיה</t>
        </is>
      </c>
      <c r="E94" t="inlineStr">
        <is>
          <t>2026-06</t>
        </is>
      </c>
      <c r="F94" t="n">
        <v>194.92</v>
      </c>
      <c r="G94" t="n">
        <v>230.01</v>
      </c>
      <c r="H94">
        <f>הגדרות!B2</f>
        <v/>
      </c>
      <c r="I94">
        <f>F94*(1-H94/100)*1.18</f>
        <v/>
      </c>
      <c r="J94">
        <f>הגדרות!C2</f>
        <v/>
      </c>
      <c r="K94">
        <f>הגדרות!D2</f>
        <v/>
      </c>
      <c r="L94">
        <f>I94*(1+J94/100)+K94</f>
        <v/>
      </c>
    </row>
    <row r="95">
      <c r="A95" t="inlineStr">
        <is>
          <t>AML</t>
        </is>
      </c>
      <c r="B95" t="inlineStr">
        <is>
          <t>Serum Amyloid A - SAA</t>
        </is>
      </c>
      <c r="C95" t="inlineStr">
        <is>
          <t>סרולוגיה</t>
        </is>
      </c>
      <c r="E95" t="inlineStr">
        <is>
          <t>2026-06</t>
        </is>
      </c>
      <c r="F95" t="n">
        <v>271.19</v>
      </c>
      <c r="G95" t="n">
        <v>320</v>
      </c>
      <c r="H95">
        <f>הגדרות!B2</f>
        <v/>
      </c>
      <c r="I95">
        <f>F95*(1-H95/100)*1.18</f>
        <v/>
      </c>
      <c r="J95">
        <f>הגדרות!C2</f>
        <v/>
      </c>
      <c r="K95">
        <f>הגדרות!D2</f>
        <v/>
      </c>
      <c r="L95">
        <f>I95*(1+J95/100)+K95</f>
        <v/>
      </c>
    </row>
    <row r="96">
      <c r="A96" t="inlineStr">
        <is>
          <t>AML</t>
        </is>
      </c>
      <c r="B96" t="inlineStr">
        <is>
          <t>ארליכיה קאניס</t>
        </is>
      </c>
      <c r="C96" t="inlineStr">
        <is>
          <t>PCR</t>
        </is>
      </c>
      <c r="E96" t="inlineStr">
        <is>
          <t>2026-06</t>
        </is>
      </c>
      <c r="F96" t="n">
        <v>262.71</v>
      </c>
      <c r="G96" t="n">
        <v>310</v>
      </c>
      <c r="H96">
        <f>הגדרות!B2</f>
        <v/>
      </c>
      <c r="I96">
        <f>F96*(1-H96/100)*1.18</f>
        <v/>
      </c>
      <c r="J96">
        <f>הגדרות!C2</f>
        <v/>
      </c>
      <c r="K96">
        <f>הגדרות!D2</f>
        <v/>
      </c>
      <c r="L96">
        <f>I96*(1+J96/100)+K96</f>
        <v/>
      </c>
    </row>
    <row r="97">
      <c r="A97" t="inlineStr">
        <is>
          <t>AML</t>
        </is>
      </c>
      <c r="B97" t="inlineStr">
        <is>
          <t>אנאפלאזמה פלאטיס</t>
        </is>
      </c>
      <c r="C97" t="inlineStr">
        <is>
          <t>PCR</t>
        </is>
      </c>
      <c r="E97" t="inlineStr">
        <is>
          <t>2026-06</t>
        </is>
      </c>
      <c r="F97" t="n">
        <v>262.71</v>
      </c>
      <c r="G97" t="n">
        <v>310</v>
      </c>
      <c r="H97">
        <f>הגדרות!B2</f>
        <v/>
      </c>
      <c r="I97">
        <f>F97*(1-H97/100)*1.18</f>
        <v/>
      </c>
      <c r="J97">
        <f>הגדרות!C2</f>
        <v/>
      </c>
      <c r="K97">
        <f>הגדרות!D2</f>
        <v/>
      </c>
      <c r="L97">
        <f>I97*(1+J97/100)+K97</f>
        <v/>
      </c>
    </row>
    <row r="98">
      <c r="A98" t="inlineStr">
        <is>
          <t>AML</t>
        </is>
      </c>
      <c r="B98" t="inlineStr">
        <is>
          <t>בבזיה spp</t>
        </is>
      </c>
      <c r="C98" t="inlineStr">
        <is>
          <t>PCR</t>
        </is>
      </c>
      <c r="E98" t="inlineStr">
        <is>
          <t>2026-06</t>
        </is>
      </c>
      <c r="F98" t="n">
        <v>262.71</v>
      </c>
      <c r="G98" t="n">
        <v>310</v>
      </c>
      <c r="H98">
        <f>הגדרות!B2</f>
        <v/>
      </c>
      <c r="I98">
        <f>F98*(1-H98/100)*1.18</f>
        <v/>
      </c>
      <c r="J98">
        <f>הגדרות!C2</f>
        <v/>
      </c>
      <c r="K98">
        <f>הגדרות!D2</f>
        <v/>
      </c>
      <c r="L98">
        <f>I98*(1+J98/100)+K98</f>
        <v/>
      </c>
    </row>
    <row r="99">
      <c r="A99" t="inlineStr">
        <is>
          <t>AML</t>
        </is>
      </c>
      <c r="B99" t="inlineStr">
        <is>
          <t>לשמניה</t>
        </is>
      </c>
      <c r="C99" t="inlineStr">
        <is>
          <t>PCR</t>
        </is>
      </c>
      <c r="E99" t="inlineStr">
        <is>
          <t>2026-06</t>
        </is>
      </c>
      <c r="F99" t="n">
        <v>262.71</v>
      </c>
      <c r="G99" t="n">
        <v>310</v>
      </c>
      <c r="H99">
        <f>הגדרות!B2</f>
        <v/>
      </c>
      <c r="I99">
        <f>F99*(1-H99/100)*1.18</f>
        <v/>
      </c>
      <c r="J99">
        <f>הגדרות!C2</f>
        <v/>
      </c>
      <c r="K99">
        <f>הגדרות!D2</f>
        <v/>
      </c>
      <c r="L99">
        <f>I99*(1+J99/100)+K99</f>
        <v/>
      </c>
    </row>
    <row r="100">
      <c r="A100" t="inlineStr">
        <is>
          <t>AML</t>
        </is>
      </c>
      <c r="B100" t="inlineStr">
        <is>
          <t>לישמניה PCR + סרולוגיה</t>
        </is>
      </c>
      <c r="C100" t="inlineStr">
        <is>
          <t>PCR</t>
        </is>
      </c>
      <c r="E100" t="inlineStr">
        <is>
          <t>2026-06</t>
        </is>
      </c>
      <c r="F100" t="n">
        <v>372.88</v>
      </c>
      <c r="G100" t="n">
        <v>440</v>
      </c>
      <c r="H100">
        <f>הגדרות!B2</f>
        <v/>
      </c>
      <c r="I100">
        <f>F100*(1-H100/100)*1.18</f>
        <v/>
      </c>
      <c r="J100">
        <f>הגדרות!C2</f>
        <v/>
      </c>
      <c r="K100">
        <f>הגדרות!D2</f>
        <v/>
      </c>
      <c r="L100">
        <f>I100*(1+J100/100)+K100</f>
        <v/>
      </c>
    </row>
    <row r="101">
      <c r="A101" t="inlineStr">
        <is>
          <t>AML</t>
        </is>
      </c>
      <c r="B101" t="inlineStr">
        <is>
          <t>מיקופלסמה המופליס</t>
        </is>
      </c>
      <c r="C101" t="inlineStr">
        <is>
          <t>PCR</t>
        </is>
      </c>
      <c r="E101" t="inlineStr">
        <is>
          <t>2026-06</t>
        </is>
      </c>
      <c r="F101" t="n">
        <v>262.71</v>
      </c>
      <c r="G101" t="n">
        <v>310</v>
      </c>
      <c r="H101">
        <f>הגדרות!B2</f>
        <v/>
      </c>
      <c r="I101">
        <f>F101*(1-H101/100)*1.18</f>
        <v/>
      </c>
      <c r="J101">
        <f>הגדרות!C2</f>
        <v/>
      </c>
      <c r="K101">
        <f>הגדרות!D2</f>
        <v/>
      </c>
      <c r="L101">
        <f>I101*(1+J101/100)+K101</f>
        <v/>
      </c>
    </row>
    <row r="102">
      <c r="A102" t="inlineStr">
        <is>
          <t>AML</t>
        </is>
      </c>
      <c r="B102" t="inlineStr">
        <is>
          <t>לפטוספירה</t>
        </is>
      </c>
      <c r="C102" t="inlineStr">
        <is>
          <t>PCR</t>
        </is>
      </c>
      <c r="E102" t="inlineStr">
        <is>
          <t>2026-06</t>
        </is>
      </c>
      <c r="F102" t="n">
        <v>262.71</v>
      </c>
      <c r="G102" t="n">
        <v>310</v>
      </c>
      <c r="H102">
        <f>הגדרות!B2</f>
        <v/>
      </c>
      <c r="I102">
        <f>F102*(1-H102/100)*1.18</f>
        <v/>
      </c>
      <c r="J102">
        <f>הגדרות!C2</f>
        <v/>
      </c>
      <c r="K102">
        <f>הגדרות!D2</f>
        <v/>
      </c>
      <c r="L102">
        <f>I102*(1+J102/100)+K102</f>
        <v/>
      </c>
    </row>
    <row r="103">
      <c r="A103" t="inlineStr">
        <is>
          <t>AML</t>
        </is>
      </c>
      <c r="B103" t="inlineStr">
        <is>
          <t>פרוו/פאנלאוקופניה</t>
        </is>
      </c>
      <c r="C103" t="inlineStr">
        <is>
          <t>PCR</t>
        </is>
      </c>
      <c r="E103" t="inlineStr">
        <is>
          <t>2026-06</t>
        </is>
      </c>
      <c r="F103" t="n">
        <v>262.71</v>
      </c>
      <c r="G103" t="n">
        <v>310</v>
      </c>
      <c r="H103">
        <f>הגדרות!B2</f>
        <v/>
      </c>
      <c r="I103">
        <f>F103*(1-H103/100)*1.18</f>
        <v/>
      </c>
      <c r="J103">
        <f>הגדרות!C2</f>
        <v/>
      </c>
      <c r="K103">
        <f>הגדרות!D2</f>
        <v/>
      </c>
      <c r="L103">
        <f>I103*(1+J103/100)+K103</f>
        <v/>
      </c>
    </row>
    <row r="104">
      <c r="A104" t="inlineStr">
        <is>
          <t>AML</t>
        </is>
      </c>
      <c r="B104" t="inlineStr">
        <is>
          <t>PCR - שני פתוגנים</t>
        </is>
      </c>
      <c r="C104" t="inlineStr">
        <is>
          <t>PCR</t>
        </is>
      </c>
      <c r="E104" t="inlineStr">
        <is>
          <t>2026-06</t>
        </is>
      </c>
      <c r="F104" t="n">
        <v>432.2</v>
      </c>
      <c r="G104" t="n">
        <v>510</v>
      </c>
      <c r="H104">
        <f>הגדרות!B2</f>
        <v/>
      </c>
      <c r="I104">
        <f>F104*(1-H104/100)*1.18</f>
        <v/>
      </c>
      <c r="J104">
        <f>הגדרות!C2</f>
        <v/>
      </c>
      <c r="K104">
        <f>הגדרות!D2</f>
        <v/>
      </c>
      <c r="L104">
        <f>I104*(1+J104/100)+K104</f>
        <v/>
      </c>
    </row>
    <row r="105">
      <c r="A105" t="inlineStr">
        <is>
          <t>AML</t>
        </is>
      </c>
      <c r="B105" t="inlineStr">
        <is>
          <t>פאנל טפילי דם</t>
        </is>
      </c>
      <c r="C105" t="inlineStr">
        <is>
          <t>PCR</t>
        </is>
      </c>
      <c r="E105" t="inlineStr">
        <is>
          <t>2026-06</t>
        </is>
      </c>
      <c r="F105" t="n">
        <v>593.22</v>
      </c>
      <c r="G105" t="n">
        <v>700</v>
      </c>
      <c r="H105">
        <f>הגדרות!B2</f>
        <v/>
      </c>
      <c r="I105">
        <f>F105*(1-H105/100)*1.18</f>
        <v/>
      </c>
      <c r="J105">
        <f>הגדרות!C2</f>
        <v/>
      </c>
      <c r="K105">
        <f>הגדרות!D2</f>
        <v/>
      </c>
      <c r="L105">
        <f>I105*(1+J105/100)+K105</f>
        <v/>
      </c>
    </row>
    <row r="106">
      <c r="A106" t="inlineStr">
        <is>
          <t>AML</t>
        </is>
      </c>
      <c r="B106" t="inlineStr">
        <is>
          <t>TT4</t>
        </is>
      </c>
      <c r="C106" t="inlineStr">
        <is>
          <t>הורמונים</t>
        </is>
      </c>
      <c r="D106" t="inlineStr">
        <is>
          <t>1049</t>
        </is>
      </c>
      <c r="E106" t="inlineStr">
        <is>
          <t>2026-06</t>
        </is>
      </c>
      <c r="F106" t="n">
        <v>254.24</v>
      </c>
      <c r="G106" t="n">
        <v>300</v>
      </c>
      <c r="H106">
        <f>הגדרות!B2</f>
        <v/>
      </c>
      <c r="I106">
        <f>F106*(1-H106/100)*1.18</f>
        <v/>
      </c>
      <c r="J106">
        <f>הגדרות!C2</f>
        <v/>
      </c>
      <c r="K106">
        <f>הגדרות!D2</f>
        <v/>
      </c>
      <c r="L106">
        <f>I106*(1+J106/100)+K106</f>
        <v/>
      </c>
    </row>
    <row r="107">
      <c r="A107" t="inlineStr">
        <is>
          <t>AML</t>
        </is>
      </c>
      <c r="B107" t="inlineStr">
        <is>
          <t>TSH</t>
        </is>
      </c>
      <c r="C107" t="inlineStr">
        <is>
          <t>הורמונים</t>
        </is>
      </c>
      <c r="D107" t="inlineStr">
        <is>
          <t>1150</t>
        </is>
      </c>
      <c r="E107" t="inlineStr">
        <is>
          <t>2026-06</t>
        </is>
      </c>
      <c r="F107" t="n">
        <v>254.24</v>
      </c>
      <c r="G107" t="n">
        <v>300</v>
      </c>
      <c r="H107">
        <f>הגדרות!B2</f>
        <v/>
      </c>
      <c r="I107">
        <f>F107*(1-H107/100)*1.18</f>
        <v/>
      </c>
      <c r="J107">
        <f>הגדרות!C2</f>
        <v/>
      </c>
      <c r="K107">
        <f>הגדרות!D2</f>
        <v/>
      </c>
      <c r="L107">
        <f>I107*(1+J107/100)+K107</f>
        <v/>
      </c>
    </row>
    <row r="108">
      <c r="A108" t="inlineStr">
        <is>
          <t>AML</t>
        </is>
      </c>
      <c r="B108" t="inlineStr">
        <is>
          <t>FT4</t>
        </is>
      </c>
      <c r="C108" t="inlineStr">
        <is>
          <t>הורמונים</t>
        </is>
      </c>
      <c r="D108" t="inlineStr">
        <is>
          <t>1050</t>
        </is>
      </c>
      <c r="E108" t="inlineStr">
        <is>
          <t>2026-06</t>
        </is>
      </c>
      <c r="F108" t="n">
        <v>254.24</v>
      </c>
      <c r="G108" t="n">
        <v>300</v>
      </c>
      <c r="H108">
        <f>הגדרות!B2</f>
        <v/>
      </c>
      <c r="I108">
        <f>F108*(1-H108/100)*1.18</f>
        <v/>
      </c>
      <c r="J108">
        <f>הגדרות!C2</f>
        <v/>
      </c>
      <c r="K108">
        <f>הגדרות!D2</f>
        <v/>
      </c>
      <c r="L108">
        <f>I108*(1+J108/100)+K108</f>
        <v/>
      </c>
    </row>
    <row r="109">
      <c r="A109" t="inlineStr">
        <is>
          <t>AML</t>
        </is>
      </c>
      <c r="B109" t="inlineStr">
        <is>
          <t>פאנל תיירואיד</t>
        </is>
      </c>
      <c r="C109" t="inlineStr">
        <is>
          <t>הורמונים</t>
        </is>
      </c>
      <c r="D109" t="inlineStr">
        <is>
          <t>1078</t>
        </is>
      </c>
      <c r="E109" t="inlineStr">
        <is>
          <t>2026-06</t>
        </is>
      </c>
      <c r="F109" t="n">
        <v>406.78</v>
      </c>
      <c r="G109" t="n">
        <v>480</v>
      </c>
      <c r="H109">
        <f>הגדרות!B2</f>
        <v/>
      </c>
      <c r="I109">
        <f>F109*(1-H109/100)*1.18</f>
        <v/>
      </c>
      <c r="J109">
        <f>הגדרות!C2</f>
        <v/>
      </c>
      <c r="K109">
        <f>הגדרות!D2</f>
        <v/>
      </c>
      <c r="L109">
        <f>I109*(1+J109/100)+K109</f>
        <v/>
      </c>
    </row>
    <row r="110">
      <c r="A110" t="inlineStr">
        <is>
          <t>AML</t>
        </is>
      </c>
      <c r="B110" t="inlineStr">
        <is>
          <t>פאנל תיירואיד מורחב**</t>
        </is>
      </c>
      <c r="C110" t="inlineStr">
        <is>
          <t>הורמונים</t>
        </is>
      </c>
      <c r="D110" t="inlineStr">
        <is>
          <t>10010</t>
        </is>
      </c>
      <c r="E110" t="inlineStr">
        <is>
          <t>2026-06</t>
        </is>
      </c>
      <c r="F110" t="n">
        <v>754.24</v>
      </c>
      <c r="G110" t="n">
        <v>890</v>
      </c>
      <c r="H110">
        <f>הגדרות!B2</f>
        <v/>
      </c>
      <c r="I110">
        <f>F110*(1-H110/100)*1.18</f>
        <v/>
      </c>
      <c r="J110">
        <f>הגדרות!C2</f>
        <v/>
      </c>
      <c r="K110">
        <f>הגדרות!D2</f>
        <v/>
      </c>
      <c r="L110">
        <f>I110*(1+J110/100)+K110</f>
        <v/>
      </c>
    </row>
    <row r="111">
      <c r="A111" t="inlineStr">
        <is>
          <t>AML</t>
        </is>
      </c>
      <c r="B111" t="inlineStr">
        <is>
          <t>קורטיזול</t>
        </is>
      </c>
      <c r="C111" t="inlineStr">
        <is>
          <t>הורמונים</t>
        </is>
      </c>
      <c r="D111" t="inlineStr">
        <is>
          <t>1053</t>
        </is>
      </c>
      <c r="E111" t="inlineStr">
        <is>
          <t>2026-06</t>
        </is>
      </c>
      <c r="F111" t="n">
        <v>254.24</v>
      </c>
      <c r="G111" t="n">
        <v>300</v>
      </c>
      <c r="H111">
        <f>הגדרות!B2</f>
        <v/>
      </c>
      <c r="I111">
        <f>F111*(1-H111/100)*1.18</f>
        <v/>
      </c>
      <c r="J111">
        <f>הגדרות!C2</f>
        <v/>
      </c>
      <c r="K111">
        <f>הגדרות!D2</f>
        <v/>
      </c>
      <c r="L111">
        <f>I111*(1+J111/100)+K111</f>
        <v/>
      </c>
    </row>
    <row r="112">
      <c r="A112" t="inlineStr">
        <is>
          <t>AML</t>
        </is>
      </c>
      <c r="B112" t="inlineStr">
        <is>
          <t>קורטיזול X2</t>
        </is>
      </c>
      <c r="C112" t="inlineStr">
        <is>
          <t>הורמונים</t>
        </is>
      </c>
      <c r="D112" t="inlineStr">
        <is>
          <t>1302</t>
        </is>
      </c>
      <c r="E112" t="inlineStr">
        <is>
          <t>2026-06</t>
        </is>
      </c>
      <c r="F112" t="n">
        <v>372.88</v>
      </c>
      <c r="G112" t="n">
        <v>440</v>
      </c>
      <c r="H112">
        <f>הגדרות!B2</f>
        <v/>
      </c>
      <c r="I112">
        <f>F112*(1-H112/100)*1.18</f>
        <v/>
      </c>
      <c r="J112">
        <f>הגדרות!C2</f>
        <v/>
      </c>
      <c r="K112">
        <f>הגדרות!D2</f>
        <v/>
      </c>
      <c r="L112">
        <f>I112*(1+J112/100)+K112</f>
        <v/>
      </c>
    </row>
    <row r="113">
      <c r="A113" t="inlineStr">
        <is>
          <t>AML</t>
        </is>
      </c>
      <c r="B113" t="inlineStr">
        <is>
          <t>קורטיזול X2 (מעקב)</t>
        </is>
      </c>
      <c r="C113" t="inlineStr">
        <is>
          <t>הורמונים</t>
        </is>
      </c>
      <c r="E113" t="inlineStr">
        <is>
          <t>2026-06</t>
        </is>
      </c>
      <c r="F113" t="n">
        <v>330.51</v>
      </c>
      <c r="G113" t="n">
        <v>390</v>
      </c>
      <c r="H113">
        <f>הגדרות!B2</f>
        <v/>
      </c>
      <c r="I113">
        <f>F113*(1-H113/100)*1.18</f>
        <v/>
      </c>
      <c r="J113">
        <f>הגדרות!C2</f>
        <v/>
      </c>
      <c r="K113">
        <f>הגדרות!D2</f>
        <v/>
      </c>
      <c r="L113">
        <f>I113*(1+J113/100)+K113</f>
        <v/>
      </c>
    </row>
    <row r="114">
      <c r="A114" t="inlineStr">
        <is>
          <t>AML</t>
        </is>
      </c>
      <c r="B114" t="inlineStr">
        <is>
          <t>קורטיזול X3</t>
        </is>
      </c>
      <c r="C114" t="inlineStr">
        <is>
          <t>הורמונים</t>
        </is>
      </c>
      <c r="D114" t="inlineStr">
        <is>
          <t>1303</t>
        </is>
      </c>
      <c r="E114" t="inlineStr">
        <is>
          <t>2026-06</t>
        </is>
      </c>
      <c r="F114" t="n">
        <v>466.1</v>
      </c>
      <c r="G114" t="n">
        <v>550</v>
      </c>
      <c r="H114">
        <f>הגדרות!B2</f>
        <v/>
      </c>
      <c r="I114">
        <f>F114*(1-H114/100)*1.18</f>
        <v/>
      </c>
      <c r="J114">
        <f>הגדרות!C2</f>
        <v/>
      </c>
      <c r="K114">
        <f>הגדרות!D2</f>
        <v/>
      </c>
      <c r="L114">
        <f>I114*(1+J114/100)+K114</f>
        <v/>
      </c>
    </row>
    <row r="115">
      <c r="A115" t="inlineStr">
        <is>
          <t>AML</t>
        </is>
      </c>
      <c r="B115" t="inlineStr">
        <is>
          <t>fT4 + TSH</t>
        </is>
      </c>
      <c r="C115" t="inlineStr">
        <is>
          <t>הורמונים</t>
        </is>
      </c>
      <c r="D115" t="inlineStr">
        <is>
          <t>1071</t>
        </is>
      </c>
      <c r="E115" t="inlineStr">
        <is>
          <t>2026-06</t>
        </is>
      </c>
      <c r="F115" t="n">
        <v>372.88</v>
      </c>
      <c r="G115" t="n">
        <v>440</v>
      </c>
      <c r="H115">
        <f>הגדרות!B2</f>
        <v/>
      </c>
      <c r="I115">
        <f>F115*(1-H115/100)*1.18</f>
        <v/>
      </c>
      <c r="J115">
        <f>הגדרות!C2</f>
        <v/>
      </c>
      <c r="K115">
        <f>הגדרות!D2</f>
        <v/>
      </c>
      <c r="L115">
        <f>I115*(1+J115/100)+K115</f>
        <v/>
      </c>
    </row>
    <row r="116">
      <c r="A116" t="inlineStr">
        <is>
          <t>AML</t>
        </is>
      </c>
      <c r="B116" t="inlineStr">
        <is>
          <t>פרוגסטרון</t>
        </is>
      </c>
      <c r="C116" t="inlineStr">
        <is>
          <t>הורמונים</t>
        </is>
      </c>
      <c r="D116" t="inlineStr">
        <is>
          <t>1008</t>
        </is>
      </c>
      <c r="E116" t="inlineStr">
        <is>
          <t>2026-06</t>
        </is>
      </c>
      <c r="F116" t="n">
        <v>254.24</v>
      </c>
      <c r="G116" t="n">
        <v>300</v>
      </c>
      <c r="H116">
        <f>הגדרות!B2</f>
        <v/>
      </c>
      <c r="I116">
        <f>F116*(1-H116/100)*1.18</f>
        <v/>
      </c>
      <c r="J116">
        <f>הגדרות!C2</f>
        <v/>
      </c>
      <c r="K116">
        <f>הגדרות!D2</f>
        <v/>
      </c>
      <c r="L116">
        <f>I116*(1+J116/100)+K116</f>
        <v/>
      </c>
    </row>
    <row r="117">
      <c r="A117" t="inlineStr">
        <is>
          <t>AML</t>
        </is>
      </c>
      <c r="B117" t="inlineStr">
        <is>
          <t>טסטוסטרון</t>
        </is>
      </c>
      <c r="C117" t="inlineStr">
        <is>
          <t>הורמונים</t>
        </is>
      </c>
      <c r="D117" t="inlineStr">
        <is>
          <t>1057</t>
        </is>
      </c>
      <c r="E117" t="inlineStr">
        <is>
          <t>2026-06</t>
        </is>
      </c>
      <c r="F117" t="n">
        <v>279.66</v>
      </c>
      <c r="G117" t="n">
        <v>330</v>
      </c>
      <c r="H117">
        <f>הגדרות!B2</f>
        <v/>
      </c>
      <c r="I117">
        <f>F117*(1-H117/100)*1.18</f>
        <v/>
      </c>
      <c r="J117">
        <f>הגדרות!C2</f>
        <v/>
      </c>
      <c r="K117">
        <f>הגדרות!D2</f>
        <v/>
      </c>
      <c r="L117">
        <f>I117*(1+J117/100)+K117</f>
        <v/>
      </c>
    </row>
    <row r="118">
      <c r="A118" t="inlineStr">
        <is>
          <t>AML</t>
        </is>
      </c>
      <c r="B118" t="inlineStr">
        <is>
          <t>אסטרוגן</t>
        </is>
      </c>
      <c r="C118" t="inlineStr">
        <is>
          <t>הורמונים</t>
        </is>
      </c>
      <c r="D118" t="inlineStr">
        <is>
          <t>1061</t>
        </is>
      </c>
      <c r="E118" t="inlineStr">
        <is>
          <t>2026-06</t>
        </is>
      </c>
      <c r="F118" t="n">
        <v>279.66</v>
      </c>
      <c r="G118" t="n">
        <v>330</v>
      </c>
      <c r="H118">
        <f>הגדרות!B2</f>
        <v/>
      </c>
      <c r="I118">
        <f>F118*(1-H118/100)*1.18</f>
        <v/>
      </c>
      <c r="J118">
        <f>הגדרות!C2</f>
        <v/>
      </c>
      <c r="K118">
        <f>הגדרות!D2</f>
        <v/>
      </c>
      <c r="L118">
        <f>I118*(1+J118/100)+K118</f>
        <v/>
      </c>
    </row>
    <row r="119">
      <c r="A119" t="inlineStr">
        <is>
          <t>AML</t>
        </is>
      </c>
      <c r="B119" t="inlineStr">
        <is>
          <t>LH</t>
        </is>
      </c>
      <c r="C119" t="inlineStr">
        <is>
          <t>הורמונים</t>
        </is>
      </c>
      <c r="D119" t="inlineStr">
        <is>
          <t>582</t>
        </is>
      </c>
      <c r="E119" t="inlineStr">
        <is>
          <t>2026-06</t>
        </is>
      </c>
      <c r="F119" t="n">
        <v>296.61</v>
      </c>
      <c r="G119" t="n">
        <v>350</v>
      </c>
      <c r="H119">
        <f>הגדרות!B2</f>
        <v/>
      </c>
      <c r="I119">
        <f>F119*(1-H119/100)*1.18</f>
        <v/>
      </c>
      <c r="J119">
        <f>הגדרות!C2</f>
        <v/>
      </c>
      <c r="K119">
        <f>הגדרות!D2</f>
        <v/>
      </c>
      <c r="L119">
        <f>I119*(1+J119/100)+K119</f>
        <v/>
      </c>
    </row>
    <row r="120">
      <c r="A120" t="inlineStr">
        <is>
          <t>AML</t>
        </is>
      </c>
      <c r="B120" t="inlineStr">
        <is>
          <t>אינסולין**</t>
        </is>
      </c>
      <c r="C120" t="inlineStr">
        <is>
          <t>הורמונים</t>
        </is>
      </c>
      <c r="D120" t="inlineStr">
        <is>
          <t>580</t>
        </is>
      </c>
      <c r="E120" t="inlineStr">
        <is>
          <t>2026-06</t>
        </is>
      </c>
      <c r="F120" t="n">
        <v>415.25</v>
      </c>
      <c r="G120" t="n">
        <v>490</v>
      </c>
      <c r="H120">
        <f>הגדרות!B2</f>
        <v/>
      </c>
      <c r="I120">
        <f>F120*(1-H120/100)*1.18</f>
        <v/>
      </c>
      <c r="J120">
        <f>הגדרות!C2</f>
        <v/>
      </c>
      <c r="K120">
        <f>הגדרות!D2</f>
        <v/>
      </c>
      <c r="L120">
        <f>I120*(1+J120/100)+K120</f>
        <v/>
      </c>
    </row>
    <row r="121">
      <c r="A121" t="inlineStr">
        <is>
          <t>AML</t>
        </is>
      </c>
      <c r="B121" t="inlineStr">
        <is>
          <t>יחס קורטיזול/קראטינין בשתן*</t>
        </is>
      </c>
      <c r="C121" t="inlineStr">
        <is>
          <t>הורמונים</t>
        </is>
      </c>
      <c r="D121" t="inlineStr">
        <is>
          <t>539+2619</t>
        </is>
      </c>
      <c r="E121" t="inlineStr">
        <is>
          <t>2026-06</t>
        </is>
      </c>
      <c r="F121" t="n">
        <v>237.29</v>
      </c>
      <c r="G121" t="n">
        <v>280</v>
      </c>
      <c r="H121">
        <f>הגדרות!B2</f>
        <v/>
      </c>
      <c r="I121">
        <f>F121*(1-H121/100)*1.18</f>
        <v/>
      </c>
      <c r="J121">
        <f>הגדרות!C2</f>
        <v/>
      </c>
      <c r="K121">
        <f>הגדרות!D2</f>
        <v/>
      </c>
      <c r="L121">
        <f>I121*(1+J121/100)+K121</f>
        <v/>
      </c>
    </row>
    <row r="122">
      <c r="A122" t="inlineStr">
        <is>
          <t>AML</t>
        </is>
      </c>
      <c r="B122" t="inlineStr">
        <is>
          <t>היסטופתולוגיה</t>
        </is>
      </c>
      <c r="C122" t="inlineStr">
        <is>
          <t>פתולוגיה</t>
        </is>
      </c>
      <c r="D122" t="inlineStr">
        <is>
          <t>1502</t>
        </is>
      </c>
      <c r="E122" t="inlineStr">
        <is>
          <t>2026-06</t>
        </is>
      </c>
      <c r="F122" t="n">
        <v>381.36</v>
      </c>
      <c r="G122" t="n">
        <v>450</v>
      </c>
      <c r="H122">
        <f>הגדרות!B2</f>
        <v/>
      </c>
      <c r="I122">
        <f>F122*(1-H122/100)*1.18</f>
        <v/>
      </c>
      <c r="J122">
        <f>הגדרות!C2</f>
        <v/>
      </c>
      <c r="K122">
        <f>הגדרות!D2</f>
        <v/>
      </c>
      <c r="L122">
        <f>I122*(1+J122/100)+K122</f>
        <v/>
      </c>
    </row>
    <row r="123">
      <c r="A123" t="inlineStr">
        <is>
          <t>AML</t>
        </is>
      </c>
      <c r="B123" t="inlineStr">
        <is>
          <t>ציטולוגיה</t>
        </is>
      </c>
      <c r="C123" t="inlineStr">
        <is>
          <t>פתולוגיה</t>
        </is>
      </c>
      <c r="D123" t="inlineStr">
        <is>
          <t>1099</t>
        </is>
      </c>
      <c r="E123" t="inlineStr">
        <is>
          <t>2026-06</t>
        </is>
      </c>
      <c r="F123" t="n">
        <v>254.24</v>
      </c>
      <c r="G123" t="n">
        <v>300</v>
      </c>
      <c r="H123">
        <f>הגדרות!B2</f>
        <v/>
      </c>
      <c r="I123">
        <f>F123*(1-H123/100)*1.18</f>
        <v/>
      </c>
      <c r="J123">
        <f>הגדרות!C2</f>
        <v/>
      </c>
      <c r="K123">
        <f>הגדרות!D2</f>
        <v/>
      </c>
      <c r="L123">
        <f>I123*(1+J123/100)+K123</f>
        <v/>
      </c>
    </row>
    <row r="124">
      <c r="A124" t="inlineStr">
        <is>
          <t>AML</t>
        </is>
      </c>
      <c r="B124" t="inlineStr">
        <is>
          <t>אנליזת נוזלי גוף</t>
        </is>
      </c>
      <c r="C124" t="inlineStr">
        <is>
          <t>פתולוגיה</t>
        </is>
      </c>
      <c r="D124" t="inlineStr">
        <is>
          <t>1075</t>
        </is>
      </c>
      <c r="E124" t="inlineStr">
        <is>
          <t>2026-06</t>
        </is>
      </c>
      <c r="F124" t="n">
        <v>296.61</v>
      </c>
      <c r="G124" t="n">
        <v>350</v>
      </c>
      <c r="H124">
        <f>הגדרות!B2</f>
        <v/>
      </c>
      <c r="I124">
        <f>F124*(1-H124/100)*1.18</f>
        <v/>
      </c>
      <c r="J124">
        <f>הגדרות!C2</f>
        <v/>
      </c>
      <c r="K124">
        <f>הגדרות!D2</f>
        <v/>
      </c>
      <c r="L124">
        <f>I124*(1+J124/100)+K124</f>
        <v/>
      </c>
    </row>
    <row r="125">
      <c r="A125" t="inlineStr">
        <is>
          <t>המכון (מעבדה חיצונית)</t>
        </is>
      </c>
      <c r="B125" t="inlineStr">
        <is>
          <t>ספירת דם + פאנל ביוכימי מלא ללקוח פרטי (ללא משטח)</t>
        </is>
      </c>
      <c r="C125" t="inlineStr">
        <is>
          <t>המטולוגיה</t>
        </is>
      </c>
      <c r="D125" t="inlineStr">
        <is>
          <t>L188+L195</t>
        </is>
      </c>
      <c r="E125" t="inlineStr">
        <is>
          <t>2026-01</t>
        </is>
      </c>
      <c r="F125" t="n">
        <v>320</v>
      </c>
      <c r="G125" t="n">
        <v>377.6</v>
      </c>
      <c r="H125">
        <f>הגדרות!B3</f>
        <v/>
      </c>
      <c r="I125">
        <f>F125*(1-H125/100)*1.18</f>
        <v/>
      </c>
      <c r="J125">
        <f>הגדרות!C3</f>
        <v/>
      </c>
      <c r="K125">
        <f>הגדרות!D3</f>
        <v/>
      </c>
      <c r="L125">
        <f>I125*(1+J125/100)+K125</f>
        <v/>
      </c>
    </row>
    <row r="126">
      <c r="A126" t="inlineStr">
        <is>
          <t>המכון (מעבדה חיצונית)</t>
        </is>
      </c>
      <c r="B126" t="inlineStr">
        <is>
          <t>ספירת דם + פאנל ביוכימי מלא ללקוח פרטי (כולל משטח)</t>
        </is>
      </c>
      <c r="C126" t="inlineStr">
        <is>
          <t>המטולוגיה</t>
        </is>
      </c>
      <c r="D126" t="inlineStr">
        <is>
          <t>L188+L195</t>
        </is>
      </c>
      <c r="E126" t="inlineStr">
        <is>
          <t>2026-01</t>
        </is>
      </c>
      <c r="F126" t="n">
        <v>380</v>
      </c>
      <c r="G126" t="n">
        <v>448.4</v>
      </c>
      <c r="H126">
        <f>הגדרות!B3</f>
        <v/>
      </c>
      <c r="I126">
        <f>F126*(1-H126/100)*1.18</f>
        <v/>
      </c>
      <c r="J126">
        <f>הגדרות!C3</f>
        <v/>
      </c>
      <c r="K126">
        <f>הגדרות!D3</f>
        <v/>
      </c>
      <c r="L126">
        <f>I126*(1+J126/100)+K126</f>
        <v/>
      </c>
    </row>
    <row r="127">
      <c r="A127" t="inlineStr">
        <is>
          <t>המכון (מעבדה חיצונית)</t>
        </is>
      </c>
      <c r="B127" t="inlineStr">
        <is>
          <t>ספירת דם + פאנל ביוכימי מלא לוטרינר (ללא משטח)</t>
        </is>
      </c>
      <c r="C127" t="inlineStr">
        <is>
          <t>המטולוגיה</t>
        </is>
      </c>
      <c r="D127" t="inlineStr">
        <is>
          <t>L188+L195</t>
        </is>
      </c>
      <c r="E127" t="inlineStr">
        <is>
          <t>2026-01</t>
        </is>
      </c>
      <c r="F127" t="n">
        <v>250</v>
      </c>
      <c r="G127" t="n">
        <v>295</v>
      </c>
      <c r="H127">
        <f>הגדרות!B3</f>
        <v/>
      </c>
      <c r="I127">
        <f>F127*(1-H127/100)*1.18</f>
        <v/>
      </c>
      <c r="J127">
        <f>הגדרות!C3</f>
        <v/>
      </c>
      <c r="K127">
        <f>הגדרות!D3</f>
        <v/>
      </c>
      <c r="L127">
        <f>I127*(1+J127/100)+K127</f>
        <v/>
      </c>
    </row>
    <row r="128">
      <c r="A128" t="inlineStr">
        <is>
          <t>המכון (מעבדה חיצונית)</t>
        </is>
      </c>
      <c r="B128" t="inlineStr">
        <is>
          <t>ספירת דם + פאנל ביוכימי מלא לוטרינר (כולל משטח)</t>
        </is>
      </c>
      <c r="C128" t="inlineStr">
        <is>
          <t>המטולוגיה</t>
        </is>
      </c>
      <c r="D128" t="inlineStr">
        <is>
          <t>L188+L195</t>
        </is>
      </c>
      <c r="E128" t="inlineStr">
        <is>
          <t>2026-01</t>
        </is>
      </c>
      <c r="F128" t="n">
        <v>300</v>
      </c>
      <c r="G128" t="n">
        <v>354</v>
      </c>
      <c r="H128">
        <f>הגדרות!B3</f>
        <v/>
      </c>
      <c r="I128">
        <f>F128*(1-H128/100)*1.18</f>
        <v/>
      </c>
      <c r="J128">
        <f>הגדרות!C3</f>
        <v/>
      </c>
      <c r="K128">
        <f>הגדרות!D3</f>
        <v/>
      </c>
      <c r="L128">
        <f>I128*(1+J128/100)+K128</f>
        <v/>
      </c>
    </row>
    <row r="129">
      <c r="A129" t="inlineStr">
        <is>
          <t>המכון (מעבדה חיצונית)</t>
        </is>
      </c>
      <c r="B129" t="inlineStr">
        <is>
          <t>ספירת דם ומשטח</t>
        </is>
      </c>
      <c r="C129" t="inlineStr">
        <is>
          <t>המטולוגיה</t>
        </is>
      </c>
      <c r="D129" t="inlineStr">
        <is>
          <t>L188</t>
        </is>
      </c>
      <c r="E129" t="inlineStr">
        <is>
          <t>2026-01</t>
        </is>
      </c>
      <c r="F129" t="n">
        <v>180</v>
      </c>
      <c r="G129" t="n">
        <v>212.4</v>
      </c>
      <c r="H129">
        <f>הגדרות!B3</f>
        <v/>
      </c>
      <c r="I129">
        <f>F129*(1-H129/100)*1.18</f>
        <v/>
      </c>
      <c r="J129">
        <f>הגדרות!C3</f>
        <v/>
      </c>
      <c r="K129">
        <f>הגדרות!D3</f>
        <v/>
      </c>
      <c r="L129">
        <f>I129*(1+J129/100)+K129</f>
        <v/>
      </c>
    </row>
    <row r="130">
      <c r="A130" t="inlineStr">
        <is>
          <t>המכון (מעבדה חיצונית)</t>
        </is>
      </c>
      <c r="B130" t="inlineStr">
        <is>
          <t>משטח דם בלבד</t>
        </is>
      </c>
      <c r="C130" t="inlineStr">
        <is>
          <t>המטולוגיה</t>
        </is>
      </c>
      <c r="D130" t="inlineStr">
        <is>
          <t>L604</t>
        </is>
      </c>
      <c r="E130" t="inlineStr">
        <is>
          <t>2026-01</t>
        </is>
      </c>
      <c r="F130" t="n">
        <v>140</v>
      </c>
      <c r="G130" t="n">
        <v>165.2</v>
      </c>
      <c r="H130">
        <f>הגדרות!B3</f>
        <v/>
      </c>
      <c r="I130">
        <f>F130*(1-H130/100)*1.18</f>
        <v/>
      </c>
      <c r="J130">
        <f>הגדרות!C3</f>
        <v/>
      </c>
      <c r="K130">
        <f>הגדרות!D3</f>
        <v/>
      </c>
      <c r="L130">
        <f>I130*(1+J130/100)+K130</f>
        <v/>
      </c>
    </row>
    <row r="131">
      <c r="A131" t="inlineStr">
        <is>
          <t>המכון (מעבדה חיצונית)</t>
        </is>
      </c>
      <c r="B131" t="inlineStr">
        <is>
          <t>צביעת רטיקולוציטים</t>
        </is>
      </c>
      <c r="C131" t="inlineStr">
        <is>
          <t>המטולוגיה</t>
        </is>
      </c>
      <c r="D131" t="inlineStr">
        <is>
          <t>L611</t>
        </is>
      </c>
      <c r="E131" t="inlineStr">
        <is>
          <t>2026-01</t>
        </is>
      </c>
      <c r="F131" t="n">
        <v>120</v>
      </c>
      <c r="G131" t="n">
        <v>141.6</v>
      </c>
      <c r="H131">
        <f>הגדרות!B3</f>
        <v/>
      </c>
      <c r="I131">
        <f>F131*(1-H131/100)*1.18</f>
        <v/>
      </c>
      <c r="J131">
        <f>הגדרות!C3</f>
        <v/>
      </c>
      <c r="K131">
        <f>הגדרות!D3</f>
        <v/>
      </c>
      <c r="L131">
        <f>I131*(1+J131/100)+K131</f>
        <v/>
      </c>
    </row>
    <row r="132">
      <c r="A132" t="inlineStr">
        <is>
          <t>המכון (מעבדה חיצונית)</t>
        </is>
      </c>
      <c r="B132" t="inlineStr">
        <is>
          <t>התאמת דם</t>
        </is>
      </c>
      <c r="C132" t="inlineStr">
        <is>
          <t>המטולוגיה</t>
        </is>
      </c>
      <c r="D132" t="inlineStr">
        <is>
          <t>L623</t>
        </is>
      </c>
      <c r="E132" t="inlineStr">
        <is>
          <t>2026-01</t>
        </is>
      </c>
      <c r="F132" t="n">
        <v>120</v>
      </c>
      <c r="G132" t="n">
        <v>141.6</v>
      </c>
      <c r="H132">
        <f>הגדרות!B3</f>
        <v/>
      </c>
      <c r="I132">
        <f>F132*(1-H132/100)*1.18</f>
        <v/>
      </c>
      <c r="J132">
        <f>הגדרות!C3</f>
        <v/>
      </c>
      <c r="K132">
        <f>הגדרות!D3</f>
        <v/>
      </c>
      <c r="L132">
        <f>I132*(1+J132/100)+K132</f>
        <v/>
      </c>
    </row>
    <row r="133">
      <c r="A133" t="inlineStr">
        <is>
          <t>המכון (מעבדה חיצונית)</t>
        </is>
      </c>
      <c r="B133" t="inlineStr">
        <is>
          <t>קביעת סוג דם בחתול</t>
        </is>
      </c>
      <c r="C133" t="inlineStr">
        <is>
          <t>המטולוגיה</t>
        </is>
      </c>
      <c r="D133" t="inlineStr">
        <is>
          <t>L0200</t>
        </is>
      </c>
      <c r="E133" t="inlineStr">
        <is>
          <t>2026-01</t>
        </is>
      </c>
      <c r="F133" t="n">
        <v>160</v>
      </c>
      <c r="G133" t="n">
        <v>188.8</v>
      </c>
      <c r="H133">
        <f>הגדרות!B3</f>
        <v/>
      </c>
      <c r="I133">
        <f>F133*(1-H133/100)*1.18</f>
        <v/>
      </c>
      <c r="J133">
        <f>הגדרות!C3</f>
        <v/>
      </c>
      <c r="K133">
        <f>הגדרות!D3</f>
        <v/>
      </c>
      <c r="L133">
        <f>I133*(1+J133/100)+K133</f>
        <v/>
      </c>
    </row>
    <row r="134">
      <c r="A134" t="inlineStr">
        <is>
          <t>המכון (מעבדה חיצונית)</t>
        </is>
      </c>
      <c r="B134" t="inlineStr">
        <is>
          <t>קביעת סוג דם בחתול x2</t>
        </is>
      </c>
      <c r="C134" t="inlineStr">
        <is>
          <t>המטולוגיה</t>
        </is>
      </c>
      <c r="D134" t="inlineStr">
        <is>
          <t>L0199</t>
        </is>
      </c>
      <c r="E134" t="inlineStr">
        <is>
          <t>2026-01</t>
        </is>
      </c>
      <c r="F134" t="n">
        <v>220</v>
      </c>
      <c r="G134" t="n">
        <v>259.6</v>
      </c>
      <c r="H134">
        <f>הגדרות!B3</f>
        <v/>
      </c>
      <c r="I134">
        <f>F134*(1-H134/100)*1.18</f>
        <v/>
      </c>
      <c r="J134">
        <f>הגדרות!C3</f>
        <v/>
      </c>
      <c r="K134">
        <f>הגדרות!D3</f>
        <v/>
      </c>
      <c r="L134">
        <f>I134*(1+J134/100)+K134</f>
        <v/>
      </c>
    </row>
    <row r="135">
      <c r="A135" t="inlineStr">
        <is>
          <t>המכון (מעבדה חיצונית)</t>
        </is>
      </c>
      <c r="B135" t="inlineStr">
        <is>
          <t>מבחן אגלוטינציה</t>
        </is>
      </c>
      <c r="C135" t="inlineStr">
        <is>
          <t>המטולוגיה</t>
        </is>
      </c>
      <c r="D135" t="inlineStr">
        <is>
          <t>L202</t>
        </is>
      </c>
      <c r="E135" t="inlineStr">
        <is>
          <t>2026-01</t>
        </is>
      </c>
      <c r="F135" t="n">
        <v>110</v>
      </c>
      <c r="G135" t="n">
        <v>129.8</v>
      </c>
      <c r="H135">
        <f>הגדרות!B3</f>
        <v/>
      </c>
      <c r="I135">
        <f>F135*(1-H135/100)*1.18</f>
        <v/>
      </c>
      <c r="J135">
        <f>הגדרות!C3</f>
        <v/>
      </c>
      <c r="K135">
        <f>הגדרות!D3</f>
        <v/>
      </c>
      <c r="L135">
        <f>I135*(1+J135/100)+K135</f>
        <v/>
      </c>
    </row>
    <row r="136">
      <c r="A136" t="inlineStr">
        <is>
          <t>המכון (מעבדה חיצונית)</t>
        </is>
      </c>
      <c r="B136" t="inlineStr">
        <is>
          <t>שבירות אוסמוטית לאריתרוציטים</t>
        </is>
      </c>
      <c r="C136" t="inlineStr">
        <is>
          <t>המטולוגיה</t>
        </is>
      </c>
      <c r="D136" t="inlineStr">
        <is>
          <t>L629</t>
        </is>
      </c>
      <c r="E136" t="inlineStr">
        <is>
          <t>2026-01</t>
        </is>
      </c>
      <c r="F136" t="n">
        <v>120</v>
      </c>
      <c r="G136" t="n">
        <v>141.6</v>
      </c>
      <c r="H136">
        <f>הגדרות!B3</f>
        <v/>
      </c>
      <c r="I136">
        <f>F136*(1-H136/100)*1.18</f>
        <v/>
      </c>
      <c r="J136">
        <f>הגדרות!C3</f>
        <v/>
      </c>
      <c r="K136">
        <f>הגדרות!D3</f>
        <v/>
      </c>
      <c r="L136">
        <f>I136*(1+J136/100)+K136</f>
        <v/>
      </c>
    </row>
    <row r="137">
      <c r="A137" t="inlineStr">
        <is>
          <t>המכון (מעבדה חיצונית)</t>
        </is>
      </c>
      <c r="B137" t="inlineStr">
        <is>
          <t>מבחן קומבס (כלב)</t>
        </is>
      </c>
      <c r="C137" t="inlineStr">
        <is>
          <t>המטולוגיה</t>
        </is>
      </c>
      <c r="D137" t="inlineStr">
        <is>
          <t>L10251</t>
        </is>
      </c>
      <c r="E137" t="inlineStr">
        <is>
          <t>2026-01</t>
        </is>
      </c>
      <c r="F137" t="n">
        <v>310</v>
      </c>
      <c r="G137" t="n">
        <v>365.8</v>
      </c>
      <c r="H137">
        <f>הגדרות!B3</f>
        <v/>
      </c>
      <c r="I137">
        <f>F137*(1-H137/100)*1.18</f>
        <v/>
      </c>
      <c r="J137">
        <f>הגדרות!C3</f>
        <v/>
      </c>
      <c r="K137">
        <f>הגדרות!D3</f>
        <v/>
      </c>
      <c r="L137">
        <f>I137*(1+J137/100)+K137</f>
        <v/>
      </c>
    </row>
    <row r="138">
      <c r="A138" t="inlineStr">
        <is>
          <t>המכון (מעבדה חיצונית)</t>
        </is>
      </c>
      <c r="B138" t="inlineStr">
        <is>
          <t>ציטולוגיה</t>
        </is>
      </c>
      <c r="C138" t="inlineStr">
        <is>
          <t>ציטולוגיה</t>
        </is>
      </c>
      <c r="D138" t="inlineStr">
        <is>
          <t>L233</t>
        </is>
      </c>
      <c r="E138" t="inlineStr">
        <is>
          <t>2026-01</t>
        </is>
      </c>
      <c r="F138" t="n">
        <v>280</v>
      </c>
      <c r="G138" t="n">
        <v>330.4</v>
      </c>
      <c r="H138">
        <f>הגדרות!B3</f>
        <v/>
      </c>
      <c r="I138">
        <f>F138*(1-H138/100)*1.18</f>
        <v/>
      </c>
      <c r="J138">
        <f>הגדרות!C3</f>
        <v/>
      </c>
      <c r="K138">
        <f>הגדרות!D3</f>
        <v/>
      </c>
      <c r="L138">
        <f>I138*(1+J138/100)+K138</f>
        <v/>
      </c>
    </row>
    <row r="139">
      <c r="A139" t="inlineStr">
        <is>
          <t>המכון (מעבדה חיצונית)</t>
        </is>
      </c>
      <c r="B139" t="inlineStr">
        <is>
          <t>ציטולוגיה - משטח נוסף</t>
        </is>
      </c>
      <c r="C139" t="inlineStr">
        <is>
          <t>ציטולוגיה</t>
        </is>
      </c>
      <c r="D139" t="inlineStr">
        <is>
          <t>L2331</t>
        </is>
      </c>
      <c r="E139" t="inlineStr">
        <is>
          <t>2026-01</t>
        </is>
      </c>
      <c r="F139" t="n">
        <v>30</v>
      </c>
      <c r="G139" t="n">
        <v>35.4</v>
      </c>
      <c r="H139">
        <f>הגדרות!B3</f>
        <v/>
      </c>
      <c r="I139">
        <f>F139*(1-H139/100)*1.18</f>
        <v/>
      </c>
      <c r="J139">
        <f>הגדרות!C3</f>
        <v/>
      </c>
      <c r="K139">
        <f>הגדרות!D3</f>
        <v/>
      </c>
      <c r="L139">
        <f>I139*(1+J139/100)+K139</f>
        <v/>
      </c>
    </row>
    <row r="140">
      <c r="A140" t="inlineStr">
        <is>
          <t>המכון (מעבדה חיצונית)</t>
        </is>
      </c>
      <c r="B140" t="inlineStr">
        <is>
          <t>ציטולוגיה – מיקום אנטומי נוסף</t>
        </is>
      </c>
      <c r="C140" t="inlineStr">
        <is>
          <t>ציטולוגיה</t>
        </is>
      </c>
      <c r="D140" t="inlineStr">
        <is>
          <t>L2332</t>
        </is>
      </c>
      <c r="E140" t="inlineStr">
        <is>
          <t>2026-01</t>
        </is>
      </c>
      <c r="F140" t="n">
        <v>100</v>
      </c>
      <c r="G140" t="n">
        <v>118</v>
      </c>
      <c r="H140">
        <f>הגדרות!B3</f>
        <v/>
      </c>
      <c r="I140">
        <f>F140*(1-H140/100)*1.18</f>
        <v/>
      </c>
      <c r="J140">
        <f>הגדרות!C3</f>
        <v/>
      </c>
      <c r="K140">
        <f>הגדרות!D3</f>
        <v/>
      </c>
      <c r="L140">
        <f>I140*(1+J140/100)+K140</f>
        <v/>
      </c>
    </row>
    <row r="141">
      <c r="A141" t="inlineStr">
        <is>
          <t>המכון (מעבדה חיצונית)</t>
        </is>
      </c>
      <c r="B141" t="inlineStr">
        <is>
          <t>ציטולוגיה חוזרת</t>
        </is>
      </c>
      <c r="C141" t="inlineStr">
        <is>
          <t>ציטולוגיה</t>
        </is>
      </c>
      <c r="D141" t="inlineStr">
        <is>
          <t>L2333</t>
        </is>
      </c>
      <c r="E141" t="inlineStr">
        <is>
          <t>2026-01</t>
        </is>
      </c>
      <c r="F141" t="n">
        <v>150</v>
      </c>
      <c r="G141" t="n">
        <v>177</v>
      </c>
      <c r="H141">
        <f>הגדרות!B3</f>
        <v/>
      </c>
      <c r="I141">
        <f>F141*(1-H141/100)*1.18</f>
        <v/>
      </c>
      <c r="J141">
        <f>הגדרות!C3</f>
        <v/>
      </c>
      <c r="K141">
        <f>הגדרות!D3</f>
        <v/>
      </c>
      <c r="L141">
        <f>I141*(1+J141/100)+K141</f>
        <v/>
      </c>
    </row>
    <row r="142">
      <c r="A142" t="inlineStr">
        <is>
          <t>המכון (מעבדה חיצונית)</t>
        </is>
      </c>
      <c r="B142" t="inlineStr">
        <is>
          <t>מגרד עור צבוע</t>
        </is>
      </c>
      <c r="C142" t="inlineStr">
        <is>
          <t>ציטולוגיה</t>
        </is>
      </c>
      <c r="D142" t="inlineStr">
        <is>
          <t>L613</t>
        </is>
      </c>
      <c r="E142" t="inlineStr">
        <is>
          <t>2026-01</t>
        </is>
      </c>
      <c r="F142" t="n">
        <v>120</v>
      </c>
      <c r="G142" t="n">
        <v>141.6</v>
      </c>
      <c r="H142">
        <f>הגדרות!B3</f>
        <v/>
      </c>
      <c r="I142">
        <f>F142*(1-H142/100)*1.18</f>
        <v/>
      </c>
      <c r="J142">
        <f>הגדרות!C3</f>
        <v/>
      </c>
      <c r="K142">
        <f>הגדרות!D3</f>
        <v/>
      </c>
      <c r="L142">
        <f>I142*(1+J142/100)+K142</f>
        <v/>
      </c>
    </row>
    <row r="143">
      <c r="A143" t="inlineStr">
        <is>
          <t>המכון (מעבדה חיצונית)</t>
        </is>
      </c>
      <c r="B143" t="inlineStr">
        <is>
          <t>משטח אוזן צבוע</t>
        </is>
      </c>
      <c r="C143" t="inlineStr">
        <is>
          <t>ציטולוגיה</t>
        </is>
      </c>
      <c r="D143" t="inlineStr">
        <is>
          <t>L616</t>
        </is>
      </c>
      <c r="E143" t="inlineStr">
        <is>
          <t>2026-01</t>
        </is>
      </c>
      <c r="F143" t="n">
        <v>150</v>
      </c>
      <c r="G143" t="n">
        <v>177</v>
      </c>
      <c r="H143">
        <f>הגדרות!B3</f>
        <v/>
      </c>
      <c r="I143">
        <f>F143*(1-H143/100)*1.18</f>
        <v/>
      </c>
      <c r="J143">
        <f>הגדרות!C3</f>
        <v/>
      </c>
      <c r="K143">
        <f>הגדרות!D3</f>
        <v/>
      </c>
      <c r="L143">
        <f>I143*(1+J143/100)+K143</f>
        <v/>
      </c>
    </row>
    <row r="144">
      <c r="A144" t="inlineStr">
        <is>
          <t>המכון (מעבדה חיצונית)</t>
        </is>
      </c>
      <c r="B144" t="inlineStr">
        <is>
          <t>ציטולוגיה CSF (ציטוספין)</t>
        </is>
      </c>
      <c r="C144" t="inlineStr">
        <is>
          <t>ציטולוגיה</t>
        </is>
      </c>
      <c r="D144" t="inlineStr">
        <is>
          <t>L599</t>
        </is>
      </c>
      <c r="E144" t="inlineStr">
        <is>
          <t>2026-01</t>
        </is>
      </c>
      <c r="F144" t="n">
        <v>220</v>
      </c>
      <c r="G144" t="n">
        <v>259.6</v>
      </c>
      <c r="H144">
        <f>הגדרות!B3</f>
        <v/>
      </c>
      <c r="I144">
        <f>F144*(1-H144/100)*1.18</f>
        <v/>
      </c>
      <c r="J144">
        <f>הגדרות!C3</f>
        <v/>
      </c>
      <c r="K144">
        <f>הגדרות!D3</f>
        <v/>
      </c>
      <c r="L144">
        <f>I144*(1+J144/100)+K144</f>
        <v/>
      </c>
    </row>
    <row r="145">
      <c r="A145" t="inlineStr">
        <is>
          <t>המכון (מעבדה חיצונית)</t>
        </is>
      </c>
      <c r="B145" t="inlineStr">
        <is>
          <t>ציטולוגיה בציטוספין</t>
        </is>
      </c>
      <c r="C145" t="inlineStr">
        <is>
          <t>ציטולוגיה</t>
        </is>
      </c>
      <c r="D145" t="inlineStr">
        <is>
          <t>L0594</t>
        </is>
      </c>
      <c r="E145" t="inlineStr">
        <is>
          <t>2026-01</t>
        </is>
      </c>
      <c r="F145" t="n">
        <v>240</v>
      </c>
      <c r="G145" t="n">
        <v>283.2</v>
      </c>
      <c r="H145">
        <f>הגדרות!B3</f>
        <v/>
      </c>
      <c r="I145">
        <f>F145*(1-H145/100)*1.18</f>
        <v/>
      </c>
      <c r="J145">
        <f>הגדרות!C3</f>
        <v/>
      </c>
      <c r="K145">
        <f>הגדרות!D3</f>
        <v/>
      </c>
      <c r="L145">
        <f>I145*(1+J145/100)+K145</f>
        <v/>
      </c>
    </row>
    <row r="146">
      <c r="A146" t="inlineStr">
        <is>
          <t>המכון (מעבדה חיצונית)</t>
        </is>
      </c>
      <c r="B146" t="inlineStr">
        <is>
          <t>אנליזת נוזל גוף</t>
        </is>
      </c>
      <c r="C146" t="inlineStr">
        <is>
          <t>ציטולוגיה</t>
        </is>
      </c>
      <c r="D146" t="inlineStr">
        <is>
          <t>L597</t>
        </is>
      </c>
      <c r="E146" t="inlineStr">
        <is>
          <t>2026-01</t>
        </is>
      </c>
      <c r="F146" t="n">
        <v>240</v>
      </c>
      <c r="G146" t="n">
        <v>283.2</v>
      </c>
      <c r="H146">
        <f>הגדרות!B3</f>
        <v/>
      </c>
      <c r="I146">
        <f>F146*(1-H146/100)*1.18</f>
        <v/>
      </c>
      <c r="J146">
        <f>הגדרות!C3</f>
        <v/>
      </c>
      <c r="K146">
        <f>הגדרות!D3</f>
        <v/>
      </c>
      <c r="L146">
        <f>I146*(1+J146/100)+K146</f>
        <v/>
      </c>
    </row>
    <row r="147">
      <c r="A147" t="inlineStr">
        <is>
          <t>המכון (מעבדה חיצונית)</t>
        </is>
      </c>
      <c r="B147" t="inlineStr">
        <is>
          <t>ציטולוגיה מח עצם</t>
        </is>
      </c>
      <c r="C147" t="inlineStr">
        <is>
          <t>ציטולוגיה</t>
        </is>
      </c>
      <c r="D147" t="inlineStr">
        <is>
          <t>L600</t>
        </is>
      </c>
      <c r="E147" t="inlineStr">
        <is>
          <t>2026-01</t>
        </is>
      </c>
      <c r="F147" t="n">
        <v>410</v>
      </c>
      <c r="G147" t="n">
        <v>483.8</v>
      </c>
      <c r="H147">
        <f>הגדרות!B3</f>
        <v/>
      </c>
      <c r="I147">
        <f>F147*(1-H147/100)*1.18</f>
        <v/>
      </c>
      <c r="J147">
        <f>הגדרות!C3</f>
        <v/>
      </c>
      <c r="K147">
        <f>הגדרות!D3</f>
        <v/>
      </c>
      <c r="L147">
        <f>I147*(1+J147/100)+K147</f>
        <v/>
      </c>
    </row>
    <row r="148">
      <c r="A148" t="inlineStr">
        <is>
          <t>המכון (מעבדה חיצונית)</t>
        </is>
      </c>
      <c r="B148" t="inlineStr">
        <is>
          <t>FIV/FeLV (סרולוגיה)</t>
        </is>
      </c>
      <c r="C148" t="inlineStr">
        <is>
          <t>סרולוגיה/PCR</t>
        </is>
      </c>
      <c r="D148" t="inlineStr">
        <is>
          <t>L225</t>
        </is>
      </c>
      <c r="E148" t="inlineStr">
        <is>
          <t>2026-01</t>
        </is>
      </c>
      <c r="F148" t="n">
        <v>290</v>
      </c>
      <c r="G148" t="n">
        <v>342.2</v>
      </c>
      <c r="H148">
        <f>הגדרות!B3</f>
        <v/>
      </c>
      <c r="I148">
        <f>F148*(1-H148/100)*1.18</f>
        <v/>
      </c>
      <c r="J148">
        <f>הגדרות!C3</f>
        <v/>
      </c>
      <c r="K148">
        <f>הגדרות!D3</f>
        <v/>
      </c>
      <c r="L148">
        <f>I148*(1+J148/100)+K148</f>
        <v/>
      </c>
    </row>
    <row r="149">
      <c r="A149" t="inlineStr">
        <is>
          <t>המכון (מעבדה חיצונית)</t>
        </is>
      </c>
      <c r="B149" t="inlineStr">
        <is>
          <t>ארליכיה</t>
        </is>
      </c>
      <c r="C149" t="inlineStr">
        <is>
          <t>סרולוגיה/PCR</t>
        </is>
      </c>
      <c r="D149" t="inlineStr">
        <is>
          <t>L229</t>
        </is>
      </c>
      <c r="E149" t="inlineStr">
        <is>
          <t>2026-01</t>
        </is>
      </c>
      <c r="F149" t="n">
        <v>180</v>
      </c>
      <c r="G149" t="n">
        <v>212.4</v>
      </c>
      <c r="H149">
        <f>הגדרות!B3</f>
        <v/>
      </c>
      <c r="I149">
        <f>F149*(1-H149/100)*1.18</f>
        <v/>
      </c>
      <c r="J149">
        <f>הגדרות!C3</f>
        <v/>
      </c>
      <c r="K149">
        <f>הגדרות!D3</f>
        <v/>
      </c>
      <c r="L149">
        <f>I149*(1+J149/100)+K149</f>
        <v/>
      </c>
    </row>
    <row r="150">
      <c r="A150" t="inlineStr">
        <is>
          <t>המכון (מעבדה חיצונית)</t>
        </is>
      </c>
      <c r="B150" t="inlineStr">
        <is>
          <t>קורונה</t>
        </is>
      </c>
      <c r="C150" t="inlineStr">
        <is>
          <t>סרולוגיה/PCR</t>
        </is>
      </c>
      <c r="D150" t="inlineStr">
        <is>
          <t>L226</t>
        </is>
      </c>
      <c r="E150" t="inlineStr">
        <is>
          <t>2026-01</t>
        </is>
      </c>
      <c r="F150" t="n">
        <v>170</v>
      </c>
      <c r="G150" t="n">
        <v>200.6</v>
      </c>
      <c r="H150">
        <f>הגדרות!B3</f>
        <v/>
      </c>
      <c r="I150">
        <f>F150*(1-H150/100)*1.18</f>
        <v/>
      </c>
      <c r="J150">
        <f>הגדרות!C3</f>
        <v/>
      </c>
      <c r="K150">
        <f>הגדרות!D3</f>
        <v/>
      </c>
      <c r="L150">
        <f>I150*(1+J150/100)+K150</f>
        <v/>
      </c>
    </row>
    <row r="151">
      <c r="A151" t="inlineStr">
        <is>
          <t>המכון (מעבדה חיצונית)</t>
        </is>
      </c>
      <c r="B151" t="inlineStr">
        <is>
          <t>פרוו (אנטיגן בצואה)</t>
        </is>
      </c>
      <c r="C151" t="inlineStr">
        <is>
          <t>סרולוגיה/PCR</t>
        </is>
      </c>
      <c r="D151" t="inlineStr">
        <is>
          <t>L227</t>
        </is>
      </c>
      <c r="E151" t="inlineStr">
        <is>
          <t>2026-01</t>
        </is>
      </c>
      <c r="F151" t="n">
        <v>210</v>
      </c>
      <c r="G151" t="n">
        <v>247.8</v>
      </c>
      <c r="H151">
        <f>הגדרות!B3</f>
        <v/>
      </c>
      <c r="I151">
        <f>F151*(1-H151/100)*1.18</f>
        <v/>
      </c>
      <c r="J151">
        <f>הגדרות!C3</f>
        <v/>
      </c>
      <c r="K151">
        <f>הגדרות!D3</f>
        <v/>
      </c>
      <c r="L151">
        <f>I151*(1+J151/100)+K151</f>
        <v/>
      </c>
    </row>
    <row r="152">
      <c r="A152" t="inlineStr">
        <is>
          <t>המכון (מעבדה חיצונית)</t>
        </is>
      </c>
      <c r="B152" t="inlineStr">
        <is>
          <t>ג'יארדיה (אנטיגן בצואה)</t>
        </is>
      </c>
      <c r="C152" t="inlineStr">
        <is>
          <t>סרולוגיה/PCR</t>
        </is>
      </c>
      <c r="D152" t="inlineStr">
        <is>
          <t>L0619</t>
        </is>
      </c>
      <c r="E152" t="inlineStr">
        <is>
          <t>2026-01</t>
        </is>
      </c>
      <c r="F152" t="n">
        <v>230</v>
      </c>
      <c r="G152" t="n">
        <v>271.4</v>
      </c>
      <c r="H152">
        <f>הגדרות!B3</f>
        <v/>
      </c>
      <c r="I152">
        <f>F152*(1-H152/100)*1.18</f>
        <v/>
      </c>
      <c r="J152">
        <f>הגדרות!C3</f>
        <v/>
      </c>
      <c r="K152">
        <f>הגדרות!D3</f>
        <v/>
      </c>
      <c r="L152">
        <f>I152*(1+J152/100)+K152</f>
        <v/>
      </c>
    </row>
    <row r="153">
      <c r="A153" t="inlineStr">
        <is>
          <t>המכון (מעבדה חיצונית)</t>
        </is>
      </c>
      <c r="B153" t="inlineStr">
        <is>
          <t>לשמניה</t>
        </is>
      </c>
      <c r="C153" t="inlineStr">
        <is>
          <t>סרולוגיה/PCR</t>
        </is>
      </c>
      <c r="D153" t="inlineStr">
        <is>
          <t>L593</t>
        </is>
      </c>
      <c r="E153" t="inlineStr">
        <is>
          <t>2026-01</t>
        </is>
      </c>
      <c r="F153" t="n">
        <v>420</v>
      </c>
      <c r="G153" t="n">
        <v>495.6</v>
      </c>
      <c r="H153">
        <f>הגדרות!B3</f>
        <v/>
      </c>
      <c r="I153">
        <f>F153*(1-H153/100)*1.18</f>
        <v/>
      </c>
      <c r="J153">
        <f>הגדרות!C3</f>
        <v/>
      </c>
      <c r="K153">
        <f>הגדרות!D3</f>
        <v/>
      </c>
      <c r="L153">
        <f>I153*(1+J153/100)+K153</f>
        <v/>
      </c>
    </row>
    <row r="154">
      <c r="A154" t="inlineStr">
        <is>
          <t>המכון (מעבדה חיצונית)</t>
        </is>
      </c>
      <c r="B154" t="inlineStr">
        <is>
          <t>טוקסופלסמה (סרולוגיה, מכון)</t>
        </is>
      </c>
      <c r="C154" t="inlineStr">
        <is>
          <t>סרולוגיה/PCR</t>
        </is>
      </c>
      <c r="D154" t="inlineStr">
        <is>
          <t>L187</t>
        </is>
      </c>
      <c r="E154" t="inlineStr">
        <is>
          <t>2026-01</t>
        </is>
      </c>
      <c r="F154" t="n">
        <v>250</v>
      </c>
      <c r="G154" t="n">
        <v>295</v>
      </c>
      <c r="H154">
        <f>הגדרות!B3</f>
        <v/>
      </c>
      <c r="I154">
        <f>F154*(1-H154/100)*1.18</f>
        <v/>
      </c>
      <c r="J154">
        <f>הגדרות!C3</f>
        <v/>
      </c>
      <c r="K154">
        <f>הגדרות!D3</f>
        <v/>
      </c>
      <c r="L154">
        <f>I154*(1+J154/100)+K154</f>
        <v/>
      </c>
    </row>
    <row r="155">
      <c r="A155" t="inlineStr">
        <is>
          <t>המכון (מעבדה חיצונית)</t>
        </is>
      </c>
      <c r="B155" t="inlineStr">
        <is>
          <t>ניאוספורה (סרולוגיה, מכון)</t>
        </is>
      </c>
      <c r="C155" t="inlineStr">
        <is>
          <t>סרולוגיה/PCR</t>
        </is>
      </c>
      <c r="D155" t="inlineStr">
        <is>
          <t>L186</t>
        </is>
      </c>
      <c r="E155" t="inlineStr">
        <is>
          <t>2026-01</t>
        </is>
      </c>
      <c r="F155" t="n">
        <v>250</v>
      </c>
      <c r="G155" t="n">
        <v>295</v>
      </c>
      <c r="H155">
        <f>הגדרות!B3</f>
        <v/>
      </c>
      <c r="I155">
        <f>F155*(1-H155/100)*1.18</f>
        <v/>
      </c>
      <c r="J155">
        <f>הגדרות!C3</f>
        <v/>
      </c>
      <c r="K155">
        <f>הגדרות!D3</f>
        <v/>
      </c>
      <c r="L155">
        <f>I155*(1+J155/100)+K155</f>
        <v/>
      </c>
    </row>
    <row r="156">
      <c r="A156" t="inlineStr">
        <is>
          <t>המכון (מעבדה חיצונית)</t>
        </is>
      </c>
      <c r="B156" t="inlineStr">
        <is>
          <t>טוקסופלסמה + נאוספורה (מכון)</t>
        </is>
      </c>
      <c r="C156" t="inlineStr">
        <is>
          <t>סרולוגיה/PCR</t>
        </is>
      </c>
      <c r="D156" t="inlineStr">
        <is>
          <t>L605</t>
        </is>
      </c>
      <c r="E156" t="inlineStr">
        <is>
          <t>2026-01</t>
        </is>
      </c>
      <c r="F156" t="n">
        <v>340</v>
      </c>
      <c r="G156" t="n">
        <v>401.2</v>
      </c>
      <c r="H156">
        <f>הגדרות!B3</f>
        <v/>
      </c>
      <c r="I156">
        <f>F156*(1-H156/100)*1.18</f>
        <v/>
      </c>
      <c r="J156">
        <f>הגדרות!C3</f>
        <v/>
      </c>
      <c r="K156">
        <f>הגדרות!D3</f>
        <v/>
      </c>
      <c r="L156">
        <f>I156*(1+J156/100)+K156</f>
        <v/>
      </c>
    </row>
    <row r="157">
      <c r="A157" t="inlineStr">
        <is>
          <t>המכון (מעבדה חיצונית)</t>
        </is>
      </c>
      <c r="B157" t="inlineStr">
        <is>
          <t>לפטוספירה (סרולוגיה, מכון)</t>
        </is>
      </c>
      <c r="C157" t="inlineStr">
        <is>
          <t>סרולוגיה/PCR</t>
        </is>
      </c>
      <c r="D157" t="inlineStr">
        <is>
          <t>L184</t>
        </is>
      </c>
      <c r="E157" t="inlineStr">
        <is>
          <t>2026-01</t>
        </is>
      </c>
      <c r="F157" t="n">
        <v>250</v>
      </c>
      <c r="G157" t="n">
        <v>295</v>
      </c>
      <c r="H157">
        <f>הגדרות!B3</f>
        <v/>
      </c>
      <c r="I157">
        <f>F157*(1-H157/100)*1.18</f>
        <v/>
      </c>
      <c r="J157">
        <f>הגדרות!C3</f>
        <v/>
      </c>
      <c r="K157">
        <f>הגדרות!D3</f>
        <v/>
      </c>
      <c r="L157">
        <f>I157*(1+J157/100)+K157</f>
        <v/>
      </c>
    </row>
    <row r="158">
      <c r="A158" t="inlineStr">
        <is>
          <t>המכון (מעבדה חיצונית)</t>
        </is>
      </c>
      <c r="B158" t="inlineStr">
        <is>
          <t>ברוצלה (סרולוגיה, מכון)</t>
        </is>
      </c>
      <c r="C158" t="inlineStr">
        <is>
          <t>סרולוגיה/PCR</t>
        </is>
      </c>
      <c r="D158" t="inlineStr">
        <is>
          <t>L0700</t>
        </is>
      </c>
      <c r="E158" t="inlineStr">
        <is>
          <t>2026-01</t>
        </is>
      </c>
      <c r="F158" t="n">
        <v>150</v>
      </c>
      <c r="G158" t="n">
        <v>177</v>
      </c>
      <c r="H158">
        <f>הגדרות!B3</f>
        <v/>
      </c>
      <c r="I158">
        <f>F158*(1-H158/100)*1.18</f>
        <v/>
      </c>
      <c r="J158">
        <f>הגדרות!C3</f>
        <v/>
      </c>
      <c r="K158">
        <f>הגדרות!D3</f>
        <v/>
      </c>
      <c r="L158">
        <f>I158*(1+J158/100)+K158</f>
        <v/>
      </c>
    </row>
    <row r="159">
      <c r="A159" t="inlineStr">
        <is>
          <t>המכון (מעבדה חיצונית)</t>
        </is>
      </c>
      <c r="B159" t="inlineStr">
        <is>
          <t>בדיקת PCR - מעבדת פרופ' גד בנעט</t>
        </is>
      </c>
      <c r="C159" t="inlineStr">
        <is>
          <t>סרולוגיה/PCR</t>
        </is>
      </c>
      <c r="D159" t="inlineStr">
        <is>
          <t>L20184</t>
        </is>
      </c>
      <c r="E159" t="inlineStr">
        <is>
          <t>2026-01</t>
        </is>
      </c>
      <c r="F159" t="n">
        <v>590</v>
      </c>
      <c r="G159" t="n">
        <v>696.2</v>
      </c>
      <c r="H159">
        <f>הגדרות!B3</f>
        <v/>
      </c>
      <c r="I159">
        <f>F159*(1-H159/100)*1.18</f>
        <v/>
      </c>
      <c r="J159">
        <f>הגדרות!C3</f>
        <v/>
      </c>
      <c r="K159">
        <f>הגדרות!D3</f>
        <v/>
      </c>
      <c r="L159">
        <f>I159*(1+J159/100)+K159</f>
        <v/>
      </c>
    </row>
    <row r="160">
      <c r="A160" t="inlineStr">
        <is>
          <t>המכון (מעבדה חיצונית)</t>
        </is>
      </c>
      <c r="B160" t="inlineStr">
        <is>
          <t>פאנל ביוכימי מלא</t>
        </is>
      </c>
      <c r="C160" t="inlineStr">
        <is>
          <t>ביוכימיה</t>
        </is>
      </c>
      <c r="D160" t="inlineStr">
        <is>
          <t>L195</t>
        </is>
      </c>
      <c r="E160" t="inlineStr">
        <is>
          <t>2026-01</t>
        </is>
      </c>
      <c r="F160" t="n">
        <v>310</v>
      </c>
      <c r="G160" t="n">
        <v>365.8</v>
      </c>
      <c r="H160">
        <f>הגדרות!B3</f>
        <v/>
      </c>
      <c r="I160">
        <f>F160*(1-H160/100)*1.18</f>
        <v/>
      </c>
      <c r="J160">
        <f>הגדרות!C3</f>
        <v/>
      </c>
      <c r="K160">
        <f>הגדרות!D3</f>
        <v/>
      </c>
      <c r="L160">
        <f>I160*(1+J160/100)+K160</f>
        <v/>
      </c>
    </row>
    <row r="161">
      <c r="A161" t="inlineStr">
        <is>
          <t>המכון (מעבדה חיצונית)</t>
        </is>
      </c>
      <c r="B161" t="inlineStr">
        <is>
          <t>ביוכימיה 6-8 מדדים</t>
        </is>
      </c>
      <c r="C161" t="inlineStr">
        <is>
          <t>ביוכימיה</t>
        </is>
      </c>
      <c r="D161" t="inlineStr">
        <is>
          <t>L196</t>
        </is>
      </c>
      <c r="E161" t="inlineStr">
        <is>
          <t>2026-01</t>
        </is>
      </c>
      <c r="F161" t="n">
        <v>190</v>
      </c>
      <c r="G161" t="n">
        <v>224.2</v>
      </c>
      <c r="H161">
        <f>הגדרות!B3</f>
        <v/>
      </c>
      <c r="I161">
        <f>F161*(1-H161/100)*1.18</f>
        <v/>
      </c>
      <c r="J161">
        <f>הגדרות!C3</f>
        <v/>
      </c>
      <c r="K161">
        <f>הגדרות!D3</f>
        <v/>
      </c>
      <c r="L161">
        <f>I161*(1+J161/100)+K161</f>
        <v/>
      </c>
    </row>
    <row r="162">
      <c r="A162" t="inlineStr">
        <is>
          <t>המכון (מעבדה חיצונית)</t>
        </is>
      </c>
      <c r="B162" t="inlineStr">
        <is>
          <t>ביוכימיה 2-5 מדדים</t>
        </is>
      </c>
      <c r="C162" t="inlineStr">
        <is>
          <t>ביוכימיה</t>
        </is>
      </c>
      <c r="D162" t="inlineStr">
        <is>
          <t>L197</t>
        </is>
      </c>
      <c r="E162" t="inlineStr">
        <is>
          <t>2026-01</t>
        </is>
      </c>
      <c r="F162" t="n">
        <v>170</v>
      </c>
      <c r="G162" t="n">
        <v>200.6</v>
      </c>
      <c r="H162">
        <f>הגדרות!B3</f>
        <v/>
      </c>
      <c r="I162">
        <f>F162*(1-H162/100)*1.18</f>
        <v/>
      </c>
      <c r="J162">
        <f>הגדרות!C3</f>
        <v/>
      </c>
      <c r="K162">
        <f>הגדרות!D3</f>
        <v/>
      </c>
      <c r="L162">
        <f>I162*(1+J162/100)+K162</f>
        <v/>
      </c>
    </row>
    <row r="163">
      <c r="A163" t="inlineStr">
        <is>
          <t>המכון (מעבדה חיצונית)</t>
        </is>
      </c>
      <c r="B163" t="inlineStr">
        <is>
          <t>ביוכימיה מדד בודד</t>
        </is>
      </c>
      <c r="C163" t="inlineStr">
        <is>
          <t>ביוכימיה</t>
        </is>
      </c>
      <c r="D163" t="inlineStr">
        <is>
          <t>L0196</t>
        </is>
      </c>
      <c r="E163" t="inlineStr">
        <is>
          <t>2026-01</t>
        </is>
      </c>
      <c r="F163" t="n">
        <v>140</v>
      </c>
      <c r="G163" t="n">
        <v>165.2</v>
      </c>
      <c r="H163">
        <f>הגדרות!B3</f>
        <v/>
      </c>
      <c r="I163">
        <f>F163*(1-H163/100)*1.18</f>
        <v/>
      </c>
      <c r="J163">
        <f>הגדרות!C3</f>
        <v/>
      </c>
      <c r="K163">
        <f>הגדרות!D3</f>
        <v/>
      </c>
      <c r="L163">
        <f>I163*(1+J163/100)+K163</f>
        <v/>
      </c>
    </row>
    <row r="164">
      <c r="A164" t="inlineStr">
        <is>
          <t>המכון (מעבדה חיצונית)</t>
        </is>
      </c>
      <c r="B164" t="inlineStr">
        <is>
          <t>ליפאז (DGGR)</t>
        </is>
      </c>
      <c r="C164" t="inlineStr">
        <is>
          <t>ביוכימיה</t>
        </is>
      </c>
      <c r="D164" t="inlineStr">
        <is>
          <t>L621</t>
        </is>
      </c>
      <c r="E164" t="inlineStr">
        <is>
          <t>2026-01</t>
        </is>
      </c>
      <c r="F164" t="n">
        <v>150</v>
      </c>
      <c r="G164" t="n">
        <v>177</v>
      </c>
      <c r="H164">
        <f>הגדרות!B3</f>
        <v/>
      </c>
      <c r="I164">
        <f>F164*(1-H164/100)*1.18</f>
        <v/>
      </c>
      <c r="J164">
        <f>הגדרות!C3</f>
        <v/>
      </c>
      <c r="K164">
        <f>הגדרות!D3</f>
        <v/>
      </c>
      <c r="L164">
        <f>I164*(1+J164/100)+K164</f>
        <v/>
      </c>
    </row>
    <row r="165">
      <c r="A165" t="inlineStr">
        <is>
          <t>המכון (מעבדה חיצונית)</t>
        </is>
      </c>
      <c r="B165" t="inlineStr">
        <is>
          <t>SDMA</t>
        </is>
      </c>
      <c r="C165" t="inlineStr">
        <is>
          <t>ביוכימיה</t>
        </is>
      </c>
      <c r="D165" t="inlineStr">
        <is>
          <t>L20200</t>
        </is>
      </c>
      <c r="E165" t="inlineStr">
        <is>
          <t>2026-01</t>
        </is>
      </c>
      <c r="F165" t="n">
        <v>210</v>
      </c>
      <c r="G165" t="n">
        <v>247.8</v>
      </c>
      <c r="H165">
        <f>הגדרות!B3</f>
        <v/>
      </c>
      <c r="I165">
        <f>F165*(1-H165/100)*1.18</f>
        <v/>
      </c>
      <c r="J165">
        <f>הגדרות!C3</f>
        <v/>
      </c>
      <c r="K165">
        <f>הגדרות!D3</f>
        <v/>
      </c>
      <c r="L165">
        <f>I165*(1+J165/100)+K165</f>
        <v/>
      </c>
    </row>
    <row r="166">
      <c r="A166" t="inlineStr">
        <is>
          <t>המכון (מעבדה חיצונית)</t>
        </is>
      </c>
      <c r="B166" t="inlineStr">
        <is>
          <t>לקטאט</t>
        </is>
      </c>
      <c r="C166" t="inlineStr">
        <is>
          <t>ביוכימיה</t>
        </is>
      </c>
      <c r="D166" t="inlineStr">
        <is>
          <t>L0197</t>
        </is>
      </c>
      <c r="E166" t="inlineStr">
        <is>
          <t>2026-01</t>
        </is>
      </c>
      <c r="F166" t="n">
        <v>140</v>
      </c>
      <c r="G166" t="n">
        <v>165.2</v>
      </c>
      <c r="H166">
        <f>הגדרות!B3</f>
        <v/>
      </c>
      <c r="I166">
        <f>F166*(1-H166/100)*1.18</f>
        <v/>
      </c>
      <c r="J166">
        <f>הגדרות!C3</f>
        <v/>
      </c>
      <c r="K166">
        <f>הגדרות!D3</f>
        <v/>
      </c>
      <c r="L166">
        <f>I166*(1+J166/100)+K166</f>
        <v/>
      </c>
    </row>
    <row r="167">
      <c r="A167" t="inlineStr">
        <is>
          <t>המכון (מעבדה חיצונית)</t>
        </is>
      </c>
      <c r="B167" t="inlineStr">
        <is>
          <t>חומצות מרה x1</t>
        </is>
      </c>
      <c r="C167" t="inlineStr">
        <is>
          <t>ביוכימיה</t>
        </is>
      </c>
      <c r="D167" t="inlineStr">
        <is>
          <t>L93</t>
        </is>
      </c>
      <c r="E167" t="inlineStr">
        <is>
          <t>2026-01</t>
        </is>
      </c>
      <c r="F167" t="n">
        <v>230</v>
      </c>
      <c r="G167" t="n">
        <v>271.4</v>
      </c>
      <c r="H167">
        <f>הגדרות!B3</f>
        <v/>
      </c>
      <c r="I167">
        <f>F167*(1-H167/100)*1.18</f>
        <v/>
      </c>
      <c r="J167">
        <f>הגדרות!C3</f>
        <v/>
      </c>
      <c r="K167">
        <f>הגדרות!D3</f>
        <v/>
      </c>
      <c r="L167">
        <f>I167*(1+J167/100)+K167</f>
        <v/>
      </c>
    </row>
    <row r="168">
      <c r="A168" t="inlineStr">
        <is>
          <t>המכון (מעבדה חיצונית)</t>
        </is>
      </c>
      <c r="B168" t="inlineStr">
        <is>
          <t>חומצות מרה x2</t>
        </is>
      </c>
      <c r="C168" t="inlineStr">
        <is>
          <t>ביוכימיה</t>
        </is>
      </c>
      <c r="D168" t="inlineStr">
        <is>
          <t>L92</t>
        </is>
      </c>
      <c r="E168" t="inlineStr">
        <is>
          <t>2026-01</t>
        </is>
      </c>
      <c r="F168" t="n">
        <v>370</v>
      </c>
      <c r="G168" t="n">
        <v>436.6</v>
      </c>
      <c r="H168">
        <f>הגדרות!B3</f>
        <v/>
      </c>
      <c r="I168">
        <f>F168*(1-H168/100)*1.18</f>
        <v/>
      </c>
      <c r="J168">
        <f>הגדרות!C3</f>
        <v/>
      </c>
      <c r="K168">
        <f>הגדרות!D3</f>
        <v/>
      </c>
      <c r="L168">
        <f>I168*(1+J168/100)+K168</f>
        <v/>
      </c>
    </row>
    <row r="169">
      <c r="A169" t="inlineStr">
        <is>
          <t>המכון (מעבדה חיצונית)</t>
        </is>
      </c>
      <c r="B169" t="inlineStr">
        <is>
          <t>קטונים בדם</t>
        </is>
      </c>
      <c r="C169" t="inlineStr">
        <is>
          <t>ביוכימיה</t>
        </is>
      </c>
      <c r="D169" t="inlineStr">
        <is>
          <t>L634</t>
        </is>
      </c>
      <c r="E169" t="inlineStr">
        <is>
          <t>2026-01</t>
        </is>
      </c>
      <c r="F169" t="n">
        <v>120</v>
      </c>
      <c r="G169" t="n">
        <v>141.6</v>
      </c>
      <c r="H169">
        <f>הגדרות!B3</f>
        <v/>
      </c>
      <c r="I169">
        <f>F169*(1-H169/100)*1.18</f>
        <v/>
      </c>
      <c r="J169">
        <f>הגדרות!C3</f>
        <v/>
      </c>
      <c r="K169">
        <f>הגדרות!D3</f>
        <v/>
      </c>
      <c r="L169">
        <f>I169*(1+J169/100)+K169</f>
        <v/>
      </c>
    </row>
    <row r="170">
      <c r="A170" t="inlineStr">
        <is>
          <t>המכון (מעבדה חיצונית)</t>
        </is>
      </c>
      <c r="B170" t="inlineStr">
        <is>
          <t>פרוקטוזמין</t>
        </is>
      </c>
      <c r="C170" t="inlineStr">
        <is>
          <t>ביוכימיה</t>
        </is>
      </c>
      <c r="D170" t="inlineStr">
        <is>
          <t>L633</t>
        </is>
      </c>
      <c r="E170" t="inlineStr">
        <is>
          <t>2026-01</t>
        </is>
      </c>
      <c r="F170" t="n">
        <v>200</v>
      </c>
      <c r="G170" t="n">
        <v>236</v>
      </c>
      <c r="H170">
        <f>הגדרות!B3</f>
        <v/>
      </c>
      <c r="I170">
        <f>F170*(1-H170/100)*1.18</f>
        <v/>
      </c>
      <c r="J170">
        <f>הגדרות!C3</f>
        <v/>
      </c>
      <c r="K170">
        <f>הגדרות!D3</f>
        <v/>
      </c>
      <c r="L170">
        <f>I170*(1+J170/100)+K170</f>
        <v/>
      </c>
    </row>
    <row r="171">
      <c r="A171" t="inlineStr">
        <is>
          <t>המכון (מעבדה חיצונית)</t>
        </is>
      </c>
      <c r="B171" t="inlineStr">
        <is>
          <t>HbA1c</t>
        </is>
      </c>
      <c r="C171" t="inlineStr">
        <is>
          <t>ביוכימיה</t>
        </is>
      </c>
      <c r="D171" t="inlineStr">
        <is>
          <t>L1206</t>
        </is>
      </c>
      <c r="E171" t="inlineStr">
        <is>
          <t>2026-01</t>
        </is>
      </c>
      <c r="F171" t="n">
        <v>200</v>
      </c>
      <c r="G171" t="n">
        <v>236</v>
      </c>
      <c r="H171">
        <f>הגדרות!B3</f>
        <v/>
      </c>
      <c r="I171">
        <f>F171*(1-H171/100)*1.18</f>
        <v/>
      </c>
      <c r="J171">
        <f>הגדרות!C3</f>
        <v/>
      </c>
      <c r="K171">
        <f>הגדרות!D3</f>
        <v/>
      </c>
      <c r="L171">
        <f>I171*(1+J171/100)+K171</f>
        <v/>
      </c>
    </row>
    <row r="172">
      <c r="A172" t="inlineStr">
        <is>
          <t>המכון (מעבדה חיצונית)</t>
        </is>
      </c>
      <c r="B172" t="inlineStr">
        <is>
          <t>אמוניה</t>
        </is>
      </c>
      <c r="C172" t="inlineStr">
        <is>
          <t>ביוכימיה</t>
        </is>
      </c>
      <c r="D172" t="inlineStr">
        <is>
          <t>L643</t>
        </is>
      </c>
      <c r="E172" t="inlineStr">
        <is>
          <t>2026-01</t>
        </is>
      </c>
      <c r="F172" t="n">
        <v>150</v>
      </c>
      <c r="G172" t="n">
        <v>177</v>
      </c>
      <c r="H172">
        <f>הגדרות!B3</f>
        <v/>
      </c>
      <c r="I172">
        <f>F172*(1-H172/100)*1.18</f>
        <v/>
      </c>
      <c r="J172">
        <f>הגדרות!C3</f>
        <v/>
      </c>
      <c r="K172">
        <f>הגדרות!D3</f>
        <v/>
      </c>
      <c r="L172">
        <f>I172*(1+J172/100)+K172</f>
        <v/>
      </c>
    </row>
    <row r="173">
      <c r="A173" t="inlineStr">
        <is>
          <t>המכון (מעבדה חיצונית)</t>
        </is>
      </c>
      <c r="B173" t="inlineStr">
        <is>
          <t>כולין אסטראז</t>
        </is>
      </c>
      <c r="C173" t="inlineStr">
        <is>
          <t>ביוכימיה</t>
        </is>
      </c>
      <c r="D173" t="inlineStr">
        <is>
          <t>L0198</t>
        </is>
      </c>
      <c r="E173" t="inlineStr">
        <is>
          <t>2026-01</t>
        </is>
      </c>
      <c r="F173" t="n">
        <v>120</v>
      </c>
      <c r="G173" t="n">
        <v>141.6</v>
      </c>
      <c r="H173">
        <f>הגדרות!B3</f>
        <v/>
      </c>
      <c r="I173">
        <f>F173*(1-H173/100)*1.18</f>
        <v/>
      </c>
      <c r="J173">
        <f>הגדרות!C3</f>
        <v/>
      </c>
      <c r="K173">
        <f>הגדרות!D3</f>
        <v/>
      </c>
      <c r="L173">
        <f>I173*(1+J173/100)+K173</f>
        <v/>
      </c>
    </row>
    <row r="174">
      <c r="A174" t="inlineStr">
        <is>
          <t>המכון (מעבדה חיצונית)</t>
        </is>
      </c>
      <c r="B174" t="inlineStr">
        <is>
          <t>חלבון CSF</t>
        </is>
      </c>
      <c r="C174" t="inlineStr">
        <is>
          <t>ביוכימיה</t>
        </is>
      </c>
      <c r="D174" t="inlineStr">
        <is>
          <t>L637</t>
        </is>
      </c>
      <c r="E174" t="inlineStr">
        <is>
          <t>2026-01</t>
        </is>
      </c>
      <c r="F174" t="n">
        <v>150</v>
      </c>
      <c r="G174" t="n">
        <v>177</v>
      </c>
      <c r="H174">
        <f>הגדרות!B3</f>
        <v/>
      </c>
      <c r="I174">
        <f>F174*(1-H174/100)*1.18</f>
        <v/>
      </c>
      <c r="J174">
        <f>הגדרות!C3</f>
        <v/>
      </c>
      <c r="K174">
        <f>הגדרות!D3</f>
        <v/>
      </c>
      <c r="L174">
        <f>I174*(1+J174/100)+K174</f>
        <v/>
      </c>
    </row>
    <row r="175">
      <c r="A175" t="inlineStr">
        <is>
          <t>המכון (מעבדה חיצונית)</t>
        </is>
      </c>
      <c r="B175" t="inlineStr">
        <is>
          <t>iCa + pH</t>
        </is>
      </c>
      <c r="C175" t="inlineStr">
        <is>
          <t>ביוכימיה</t>
        </is>
      </c>
      <c r="D175" t="inlineStr">
        <is>
          <t>L0198</t>
        </is>
      </c>
      <c r="E175" t="inlineStr">
        <is>
          <t>2026-01</t>
        </is>
      </c>
      <c r="F175" t="n">
        <v>160</v>
      </c>
      <c r="G175" t="n">
        <v>188.8</v>
      </c>
      <c r="H175">
        <f>הגדרות!B3</f>
        <v/>
      </c>
      <c r="I175">
        <f>F175*(1-H175/100)*1.18</f>
        <v/>
      </c>
      <c r="J175">
        <f>הגדרות!C3</f>
        <v/>
      </c>
      <c r="K175">
        <f>הגדרות!D3</f>
        <v/>
      </c>
      <c r="L175">
        <f>I175*(1+J175/100)+K175</f>
        <v/>
      </c>
    </row>
    <row r="176">
      <c r="A176" t="inlineStr">
        <is>
          <t>המכון (מעבדה חיצונית)</t>
        </is>
      </c>
      <c r="B176" t="inlineStr">
        <is>
          <t>ברזל + UIBC</t>
        </is>
      </c>
      <c r="C176" t="inlineStr">
        <is>
          <t>ביוכימיה</t>
        </is>
      </c>
      <c r="D176" t="inlineStr">
        <is>
          <t>L644</t>
        </is>
      </c>
      <c r="E176" t="inlineStr">
        <is>
          <t>2026-01</t>
        </is>
      </c>
      <c r="F176" t="n">
        <v>80</v>
      </c>
      <c r="G176" t="n">
        <v>94.40000000000001</v>
      </c>
      <c r="H176">
        <f>הגדרות!B3</f>
        <v/>
      </c>
      <c r="I176">
        <f>F176*(1-H176/100)*1.18</f>
        <v/>
      </c>
      <c r="J176">
        <f>הגדרות!C3</f>
        <v/>
      </c>
      <c r="K176">
        <f>הגדרות!D3</f>
        <v/>
      </c>
      <c r="L176">
        <f>I176*(1+J176/100)+K176</f>
        <v/>
      </c>
    </row>
    <row r="177">
      <c r="A177" t="inlineStr">
        <is>
          <t>המכון (מעבדה חיצונית)</t>
        </is>
      </c>
      <c r="B177" t="inlineStr">
        <is>
          <t>טרופונין T</t>
        </is>
      </c>
      <c r="C177" t="inlineStr">
        <is>
          <t>ביוכימיה</t>
        </is>
      </c>
      <c r="D177" t="inlineStr">
        <is>
          <t>L98</t>
        </is>
      </c>
      <c r="E177" t="inlineStr">
        <is>
          <t>2026-01</t>
        </is>
      </c>
      <c r="F177" t="n">
        <v>120</v>
      </c>
      <c r="G177" t="n">
        <v>141.6</v>
      </c>
      <c r="H177">
        <f>הגדרות!B3</f>
        <v/>
      </c>
      <c r="I177">
        <f>F177*(1-H177/100)*1.18</f>
        <v/>
      </c>
      <c r="J177">
        <f>הגדרות!C3</f>
        <v/>
      </c>
      <c r="K177">
        <f>הגדרות!D3</f>
        <v/>
      </c>
      <c r="L177">
        <f>I177*(1+J177/100)+K177</f>
        <v/>
      </c>
    </row>
    <row r="178">
      <c r="A178" t="inlineStr">
        <is>
          <t>המכון (מעבדה חיצונית)</t>
        </is>
      </c>
      <c r="B178" t="inlineStr">
        <is>
          <t>CRP</t>
        </is>
      </c>
      <c r="C178" t="inlineStr">
        <is>
          <t>ביוכימיה</t>
        </is>
      </c>
      <c r="D178" t="inlineStr">
        <is>
          <t>L19100</t>
        </is>
      </c>
      <c r="E178" t="inlineStr">
        <is>
          <t>2026-01</t>
        </is>
      </c>
      <c r="F178" t="n">
        <v>220</v>
      </c>
      <c r="G178" t="n">
        <v>259.6</v>
      </c>
      <c r="H178">
        <f>הגדרות!B3</f>
        <v/>
      </c>
      <c r="I178">
        <f>F178*(1-H178/100)*1.18</f>
        <v/>
      </c>
      <c r="J178">
        <f>הגדרות!C3</f>
        <v/>
      </c>
      <c r="K178">
        <f>הגדרות!D3</f>
        <v/>
      </c>
      <c r="L178">
        <f>I178*(1+J178/100)+K178</f>
        <v/>
      </c>
    </row>
    <row r="179">
      <c r="A179" t="inlineStr">
        <is>
          <t>המכון (מעבדה חיצונית)</t>
        </is>
      </c>
      <c r="B179" t="inlineStr">
        <is>
          <t>SAA לסוס</t>
        </is>
      </c>
      <c r="C179" t="inlineStr">
        <is>
          <t>ביוכימיה</t>
        </is>
      </c>
      <c r="D179" t="inlineStr">
        <is>
          <t>L28233</t>
        </is>
      </c>
      <c r="E179" t="inlineStr">
        <is>
          <t>2026-01</t>
        </is>
      </c>
      <c r="F179" t="n">
        <v>240</v>
      </c>
      <c r="G179" t="n">
        <v>283.2</v>
      </c>
      <c r="H179">
        <f>הגדרות!B3</f>
        <v/>
      </c>
      <c r="I179">
        <f>F179*(1-H179/100)*1.18</f>
        <v/>
      </c>
      <c r="J179">
        <f>הגדרות!C3</f>
        <v/>
      </c>
      <c r="K179">
        <f>הגדרות!D3</f>
        <v/>
      </c>
      <c r="L179">
        <f>I179*(1+J179/100)+K179</f>
        <v/>
      </c>
    </row>
    <row r="180">
      <c r="A180" t="inlineStr">
        <is>
          <t>המכון (מעבדה חיצונית)</t>
        </is>
      </c>
      <c r="B180" t="inlineStr">
        <is>
          <t>SAA לחתול</t>
        </is>
      </c>
      <c r="C180" t="inlineStr">
        <is>
          <t>ביוכימיה</t>
        </is>
      </c>
      <c r="D180" t="inlineStr">
        <is>
          <t>L20233</t>
        </is>
      </c>
      <c r="E180" t="inlineStr">
        <is>
          <t>2026-01</t>
        </is>
      </c>
      <c r="F180" t="n">
        <v>230</v>
      </c>
      <c r="G180" t="n">
        <v>271.4</v>
      </c>
      <c r="H180">
        <f>הגדרות!B3</f>
        <v/>
      </c>
      <c r="I180">
        <f>F180*(1-H180/100)*1.18</f>
        <v/>
      </c>
      <c r="J180">
        <f>הגדרות!C3</f>
        <v/>
      </c>
      <c r="K180">
        <f>הגדרות!D3</f>
        <v/>
      </c>
      <c r="L180">
        <f>I180*(1+J180/100)+K180</f>
        <v/>
      </c>
    </row>
    <row r="181">
      <c r="A181" t="inlineStr">
        <is>
          <t>המכון (מעבדה חיצונית)</t>
        </is>
      </c>
      <c r="B181" t="inlineStr">
        <is>
          <t>B12</t>
        </is>
      </c>
      <c r="C181" t="inlineStr">
        <is>
          <t>ביוכימיה</t>
        </is>
      </c>
      <c r="D181" t="inlineStr">
        <is>
          <t>L10012</t>
        </is>
      </c>
      <c r="E181" t="inlineStr">
        <is>
          <t>2026-01</t>
        </is>
      </c>
      <c r="F181" t="n">
        <v>180</v>
      </c>
      <c r="G181" t="n">
        <v>212.4</v>
      </c>
      <c r="H181">
        <f>הגדרות!B3</f>
        <v/>
      </c>
      <c r="I181">
        <f>F181*(1-H181/100)*1.18</f>
        <v/>
      </c>
      <c r="J181">
        <f>הגדרות!C3</f>
        <v/>
      </c>
      <c r="K181">
        <f>הגדרות!D3</f>
        <v/>
      </c>
      <c r="L181">
        <f>I181*(1+J181/100)+K181</f>
        <v/>
      </c>
    </row>
    <row r="182">
      <c r="A182" t="inlineStr">
        <is>
          <t>המכון (מעבדה חיצונית)</t>
        </is>
      </c>
      <c r="B182" t="inlineStr">
        <is>
          <t>פולט</t>
        </is>
      </c>
      <c r="C182" t="inlineStr">
        <is>
          <t>ביוכימיה</t>
        </is>
      </c>
      <c r="D182" t="inlineStr">
        <is>
          <t>L10013</t>
        </is>
      </c>
      <c r="E182" t="inlineStr">
        <is>
          <t>2026-01</t>
        </is>
      </c>
      <c r="F182" t="n">
        <v>180</v>
      </c>
      <c r="G182" t="n">
        <v>212.4</v>
      </c>
      <c r="H182">
        <f>הגדרות!B3</f>
        <v/>
      </c>
      <c r="I182">
        <f>F182*(1-H182/100)*1.18</f>
        <v/>
      </c>
      <c r="J182">
        <f>הגדרות!C3</f>
        <v/>
      </c>
      <c r="K182">
        <f>הגדרות!D3</f>
        <v/>
      </c>
      <c r="L182">
        <f>I182*(1+J182/100)+K182</f>
        <v/>
      </c>
    </row>
    <row r="183">
      <c r="A183" t="inlineStr">
        <is>
          <t>המכון (מעבדה חיצונית)</t>
        </is>
      </c>
      <c r="B183" t="inlineStr">
        <is>
          <t>B12 + פולט</t>
        </is>
      </c>
      <c r="C183" t="inlineStr">
        <is>
          <t>ביוכימיה</t>
        </is>
      </c>
      <c r="D183" t="inlineStr">
        <is>
          <t>L0611</t>
        </is>
      </c>
      <c r="E183" t="inlineStr">
        <is>
          <t>2026-01</t>
        </is>
      </c>
      <c r="F183" t="n">
        <v>270</v>
      </c>
      <c r="G183" t="n">
        <v>318.6</v>
      </c>
      <c r="H183">
        <f>הגדרות!B3</f>
        <v/>
      </c>
      <c r="I183">
        <f>F183*(1-H183/100)*1.18</f>
        <v/>
      </c>
      <c r="J183">
        <f>הגדרות!C3</f>
        <v/>
      </c>
      <c r="K183">
        <f>הגדרות!D3</f>
        <v/>
      </c>
      <c r="L183">
        <f>I183*(1+J183/100)+K183</f>
        <v/>
      </c>
    </row>
    <row r="184">
      <c r="A184" t="inlineStr">
        <is>
          <t>המכון (מעבדה חיצונית)</t>
        </is>
      </c>
      <c r="B184" t="inlineStr">
        <is>
          <t>BNP</t>
        </is>
      </c>
      <c r="C184" t="inlineStr">
        <is>
          <t>ביוכימיה</t>
        </is>
      </c>
      <c r="D184" t="inlineStr">
        <is>
          <t>L18892</t>
        </is>
      </c>
      <c r="E184" t="inlineStr">
        <is>
          <t>2026-01</t>
        </is>
      </c>
      <c r="F184" t="n">
        <v>330</v>
      </c>
      <c r="G184" t="n">
        <v>389.4</v>
      </c>
      <c r="H184">
        <f>הגדרות!B3</f>
        <v/>
      </c>
      <c r="I184">
        <f>F184*(1-H184/100)*1.18</f>
        <v/>
      </c>
      <c r="J184">
        <f>הגדרות!C3</f>
        <v/>
      </c>
      <c r="K184">
        <f>הגדרות!D3</f>
        <v/>
      </c>
      <c r="L184">
        <f>I184*(1+J184/100)+K184</f>
        <v/>
      </c>
    </row>
    <row r="185">
      <c r="A185" t="inlineStr">
        <is>
          <t>המכון (מעבדה חיצונית)</t>
        </is>
      </c>
      <c r="B185" t="inlineStr">
        <is>
          <t>אלקטרופורזה</t>
        </is>
      </c>
      <c r="C185" t="inlineStr">
        <is>
          <t>ביוכימיה</t>
        </is>
      </c>
      <c r="D185" t="inlineStr">
        <is>
          <t>L10253</t>
        </is>
      </c>
      <c r="E185" t="inlineStr">
        <is>
          <t>2026-01</t>
        </is>
      </c>
      <c r="F185" t="n">
        <v>460</v>
      </c>
      <c r="G185" t="n">
        <v>542.8</v>
      </c>
      <c r="H185">
        <f>הגדרות!B3</f>
        <v/>
      </c>
      <c r="I185">
        <f>F185*(1-H185/100)*1.18</f>
        <v/>
      </c>
      <c r="J185">
        <f>הגדרות!C3</f>
        <v/>
      </c>
      <c r="K185">
        <f>הגדרות!D3</f>
        <v/>
      </c>
      <c r="L185">
        <f>I185*(1+J185/100)+K185</f>
        <v/>
      </c>
    </row>
    <row r="186">
      <c r="A186" t="inlineStr">
        <is>
          <t>המכון (מעבדה חיצונית)</t>
        </is>
      </c>
      <c r="B186" t="inlineStr">
        <is>
          <t>אלקטרופורזה (כלב)</t>
        </is>
      </c>
      <c r="C186" t="inlineStr">
        <is>
          <t>ביוכימיה</t>
        </is>
      </c>
      <c r="D186" t="inlineStr">
        <is>
          <t>L609</t>
        </is>
      </c>
      <c r="E186" t="inlineStr">
        <is>
          <t>2026-01</t>
        </is>
      </c>
      <c r="F186" t="n">
        <v>380</v>
      </c>
      <c r="G186" t="n">
        <v>448.4</v>
      </c>
      <c r="H186">
        <f>הגדרות!B3</f>
        <v/>
      </c>
      <c r="I186">
        <f>F186*(1-H186/100)*1.18</f>
        <v/>
      </c>
      <c r="J186">
        <f>הגדרות!C3</f>
        <v/>
      </c>
      <c r="K186">
        <f>הגדרות!D3</f>
        <v/>
      </c>
      <c r="L186">
        <f>I186*(1+J186/100)+K186</f>
        <v/>
      </c>
    </row>
    <row r="187">
      <c r="A187" t="inlineStr">
        <is>
          <t>המכון (מעבדה חיצונית)</t>
        </is>
      </c>
      <c r="B187" t="inlineStr">
        <is>
          <t>קורטיזול</t>
        </is>
      </c>
      <c r="C187" t="inlineStr">
        <is>
          <t>הורמונים</t>
        </is>
      </c>
      <c r="D187" t="inlineStr">
        <is>
          <t>L218</t>
        </is>
      </c>
      <c r="E187" t="inlineStr">
        <is>
          <t>2026-01</t>
        </is>
      </c>
      <c r="F187" t="n">
        <v>250</v>
      </c>
      <c r="G187" t="n">
        <v>295</v>
      </c>
      <c r="H187">
        <f>הגדרות!B3</f>
        <v/>
      </c>
      <c r="I187">
        <f>F187*(1-H187/100)*1.18</f>
        <v/>
      </c>
      <c r="J187">
        <f>הגדרות!C3</f>
        <v/>
      </c>
      <c r="K187">
        <f>הגדרות!D3</f>
        <v/>
      </c>
      <c r="L187">
        <f>I187*(1+J187/100)+K187</f>
        <v/>
      </c>
    </row>
    <row r="188">
      <c r="A188" t="inlineStr">
        <is>
          <t>המכון (מעבדה חיצונית)</t>
        </is>
      </c>
      <c r="B188" t="inlineStr">
        <is>
          <t>קורטיזול x2</t>
        </is>
      </c>
      <c r="C188" t="inlineStr">
        <is>
          <t>הורמונים</t>
        </is>
      </c>
      <c r="D188" t="inlineStr">
        <is>
          <t>L219</t>
        </is>
      </c>
      <c r="E188" t="inlineStr">
        <is>
          <t>2026-01</t>
        </is>
      </c>
      <c r="F188" t="n">
        <v>360</v>
      </c>
      <c r="G188" t="n">
        <v>424.8</v>
      </c>
      <c r="H188">
        <f>הגדרות!B3</f>
        <v/>
      </c>
      <c r="I188">
        <f>F188*(1-H188/100)*1.18</f>
        <v/>
      </c>
      <c r="J188">
        <f>הגדרות!C3</f>
        <v/>
      </c>
      <c r="K188">
        <f>הגדרות!D3</f>
        <v/>
      </c>
      <c r="L188">
        <f>I188*(1+J188/100)+K188</f>
        <v/>
      </c>
    </row>
    <row r="189">
      <c r="A189" t="inlineStr">
        <is>
          <t>המכון (מעבדה חיצונית)</t>
        </is>
      </c>
      <c r="B189" t="inlineStr">
        <is>
          <t>קורטיזול x3</t>
        </is>
      </c>
      <c r="C189" t="inlineStr">
        <is>
          <t>הורמונים</t>
        </is>
      </c>
      <c r="D189" t="inlineStr">
        <is>
          <t>L220</t>
        </is>
      </c>
      <c r="E189" t="inlineStr">
        <is>
          <t>2026-01</t>
        </is>
      </c>
      <c r="F189" t="n">
        <v>450</v>
      </c>
      <c r="G189" t="n">
        <v>531</v>
      </c>
      <c r="H189">
        <f>הגדרות!B3</f>
        <v/>
      </c>
      <c r="I189">
        <f>F189*(1-H189/100)*1.18</f>
        <v/>
      </c>
      <c r="J189">
        <f>הגדרות!C3</f>
        <v/>
      </c>
      <c r="K189">
        <f>הגדרות!D3</f>
        <v/>
      </c>
      <c r="L189">
        <f>I189*(1+J189/100)+K189</f>
        <v/>
      </c>
    </row>
    <row r="190">
      <c r="A190" t="inlineStr">
        <is>
          <t>המכון (מעבדה חיצונית)</t>
        </is>
      </c>
      <c r="B190" t="inlineStr">
        <is>
          <t>Total T4</t>
        </is>
      </c>
      <c r="C190" t="inlineStr">
        <is>
          <t>הורמונים</t>
        </is>
      </c>
      <c r="D190" t="inlineStr">
        <is>
          <t>L601</t>
        </is>
      </c>
      <c r="E190" t="inlineStr">
        <is>
          <t>2026-01</t>
        </is>
      </c>
      <c r="F190" t="n">
        <v>250</v>
      </c>
      <c r="G190" t="n">
        <v>295</v>
      </c>
      <c r="H190">
        <f>הגדרות!B3</f>
        <v/>
      </c>
      <c r="I190">
        <f>F190*(1-H190/100)*1.18</f>
        <v/>
      </c>
      <c r="J190">
        <f>הגדרות!C3</f>
        <v/>
      </c>
      <c r="K190">
        <f>הגדרות!D3</f>
        <v/>
      </c>
      <c r="L190">
        <f>I190*(1+J190/100)+K190</f>
        <v/>
      </c>
    </row>
    <row r="191">
      <c r="A191" t="inlineStr">
        <is>
          <t>המכון (מעבדה חיצונית)</t>
        </is>
      </c>
      <c r="B191" t="inlineStr">
        <is>
          <t>Free T4</t>
        </is>
      </c>
      <c r="C191" t="inlineStr">
        <is>
          <t>הורמונים</t>
        </is>
      </c>
      <c r="D191" t="inlineStr">
        <is>
          <t>L646</t>
        </is>
      </c>
      <c r="E191" t="inlineStr">
        <is>
          <t>2026-01</t>
        </is>
      </c>
      <c r="F191" t="n">
        <v>250</v>
      </c>
      <c r="G191" t="n">
        <v>295</v>
      </c>
      <c r="H191">
        <f>הגדרות!B3</f>
        <v/>
      </c>
      <c r="I191">
        <f>F191*(1-H191/100)*1.18</f>
        <v/>
      </c>
      <c r="J191">
        <f>הגדרות!C3</f>
        <v/>
      </c>
      <c r="K191">
        <f>הגדרות!D3</f>
        <v/>
      </c>
      <c r="L191">
        <f>I191*(1+J191/100)+K191</f>
        <v/>
      </c>
    </row>
    <row r="192">
      <c r="A192" t="inlineStr">
        <is>
          <t>המכון (מעבדה חיצונית)</t>
        </is>
      </c>
      <c r="B192" t="inlineStr">
        <is>
          <t>cTSH</t>
        </is>
      </c>
      <c r="C192" t="inlineStr">
        <is>
          <t>הורמונים</t>
        </is>
      </c>
      <c r="D192" t="inlineStr">
        <is>
          <t>L628</t>
        </is>
      </c>
      <c r="E192" t="inlineStr">
        <is>
          <t>2026-01</t>
        </is>
      </c>
      <c r="F192" t="n">
        <v>250</v>
      </c>
      <c r="G192" t="n">
        <v>295</v>
      </c>
      <c r="H192">
        <f>הגדרות!B3</f>
        <v/>
      </c>
      <c r="I192">
        <f>F192*(1-H192/100)*1.18</f>
        <v/>
      </c>
      <c r="J192">
        <f>הגדרות!C3</f>
        <v/>
      </c>
      <c r="K192">
        <f>הגדרות!D3</f>
        <v/>
      </c>
      <c r="L192">
        <f>I192*(1+J192/100)+K192</f>
        <v/>
      </c>
    </row>
    <row r="193">
      <c r="A193" t="inlineStr">
        <is>
          <t>המכון (מעבדה חיצונית)</t>
        </is>
      </c>
      <c r="B193" t="inlineStr">
        <is>
          <t>Free T4 + cTSH</t>
        </is>
      </c>
      <c r="C193" t="inlineStr">
        <is>
          <t>הורמונים</t>
        </is>
      </c>
      <c r="D193" t="inlineStr">
        <is>
          <t>L647</t>
        </is>
      </c>
      <c r="E193" t="inlineStr">
        <is>
          <t>2026-01</t>
        </is>
      </c>
      <c r="F193" t="n">
        <v>360</v>
      </c>
      <c r="G193" t="n">
        <v>424.8</v>
      </c>
      <c r="H193">
        <f>הגדרות!B3</f>
        <v/>
      </c>
      <c r="I193">
        <f>F193*(1-H193/100)*1.18</f>
        <v/>
      </c>
      <c r="J193">
        <f>הגדרות!C3</f>
        <v/>
      </c>
      <c r="K193">
        <f>הגדרות!D3</f>
        <v/>
      </c>
      <c r="L193">
        <f>I193*(1+J193/100)+K193</f>
        <v/>
      </c>
    </row>
    <row r="194">
      <c r="A194" t="inlineStr">
        <is>
          <t>המכון (מעבדה חיצונית)</t>
        </is>
      </c>
      <c r="B194" t="inlineStr">
        <is>
          <t>ACTH</t>
        </is>
      </c>
      <c r="C194" t="inlineStr">
        <is>
          <t>הורמונים</t>
        </is>
      </c>
      <c r="D194" t="inlineStr">
        <is>
          <t>L457</t>
        </is>
      </c>
      <c r="E194" t="inlineStr">
        <is>
          <t>2026-01</t>
        </is>
      </c>
      <c r="F194" t="n">
        <v>250</v>
      </c>
      <c r="G194" t="n">
        <v>295</v>
      </c>
      <c r="H194">
        <f>הגדרות!B3</f>
        <v/>
      </c>
      <c r="I194">
        <f>F194*(1-H194/100)*1.18</f>
        <v/>
      </c>
      <c r="J194">
        <f>הגדרות!C3</f>
        <v/>
      </c>
      <c r="K194">
        <f>הגדרות!D3</f>
        <v/>
      </c>
      <c r="L194">
        <f>I194*(1+J194/100)+K194</f>
        <v/>
      </c>
    </row>
    <row r="195">
      <c r="A195" t="inlineStr">
        <is>
          <t>המכון (מעבדה חיצונית)</t>
        </is>
      </c>
      <c r="B195" t="inlineStr">
        <is>
          <t>IGF-1</t>
        </is>
      </c>
      <c r="C195" t="inlineStr">
        <is>
          <t>הורמונים</t>
        </is>
      </c>
      <c r="D195" t="inlineStr">
        <is>
          <t>L648</t>
        </is>
      </c>
      <c r="E195" t="inlineStr">
        <is>
          <t>2026-01</t>
        </is>
      </c>
      <c r="F195" t="n">
        <v>460</v>
      </c>
      <c r="G195" t="n">
        <v>542.8</v>
      </c>
      <c r="H195">
        <f>הגדרות!B3</f>
        <v/>
      </c>
      <c r="I195">
        <f>F195*(1-H195/100)*1.18</f>
        <v/>
      </c>
      <c r="J195">
        <f>הגדרות!C3</f>
        <v/>
      </c>
      <c r="K195">
        <f>הגדרות!D3</f>
        <v/>
      </c>
      <c r="L195">
        <f>I195*(1+J195/100)+K195</f>
        <v/>
      </c>
    </row>
    <row r="196">
      <c r="A196" t="inlineStr">
        <is>
          <t>המכון (מעבדה חיצונית)</t>
        </is>
      </c>
      <c r="B196" t="inlineStr">
        <is>
          <t>LH</t>
        </is>
      </c>
      <c r="C196" t="inlineStr">
        <is>
          <t>הורמונים</t>
        </is>
      </c>
      <c r="D196" t="inlineStr">
        <is>
          <t>L1191</t>
        </is>
      </c>
      <c r="E196" t="inlineStr">
        <is>
          <t>2026-01</t>
        </is>
      </c>
      <c r="F196" t="n">
        <v>300</v>
      </c>
      <c r="G196" t="n">
        <v>354</v>
      </c>
      <c r="H196">
        <f>הגדרות!B3</f>
        <v/>
      </c>
      <c r="I196">
        <f>F196*(1-H196/100)*1.18</f>
        <v/>
      </c>
      <c r="J196">
        <f>הגדרות!C3</f>
        <v/>
      </c>
      <c r="K196">
        <f>הגדרות!D3</f>
        <v/>
      </c>
      <c r="L196">
        <f>I196*(1+J196/100)+K196</f>
        <v/>
      </c>
    </row>
    <row r="197">
      <c r="A197" t="inlineStr">
        <is>
          <t>המכון (מעבדה חיצונית)</t>
        </is>
      </c>
      <c r="B197" t="inlineStr">
        <is>
          <t>פרוגסטרון</t>
        </is>
      </c>
      <c r="C197" t="inlineStr">
        <is>
          <t>הורמונים</t>
        </is>
      </c>
      <c r="D197" t="inlineStr">
        <is>
          <t>L5941</t>
        </is>
      </c>
      <c r="E197" t="inlineStr">
        <is>
          <t>2026-01</t>
        </is>
      </c>
      <c r="F197" t="n">
        <v>240</v>
      </c>
      <c r="G197" t="n">
        <v>283.2</v>
      </c>
      <c r="H197">
        <f>הגדרות!B3</f>
        <v/>
      </c>
      <c r="I197">
        <f>F197*(1-H197/100)*1.18</f>
        <v/>
      </c>
      <c r="J197">
        <f>הגדרות!C3</f>
        <v/>
      </c>
      <c r="K197">
        <f>הגדרות!D3</f>
        <v/>
      </c>
      <c r="L197">
        <f>I197*(1+J197/100)+K197</f>
        <v/>
      </c>
    </row>
    <row r="198">
      <c r="A198" t="inlineStr">
        <is>
          <t>המכון (מעבדה חיצונית)</t>
        </is>
      </c>
      <c r="B198" t="inlineStr">
        <is>
          <t>PT/PTT</t>
        </is>
      </c>
      <c r="C198" t="inlineStr">
        <is>
          <t>קרישה</t>
        </is>
      </c>
      <c r="D198" t="inlineStr">
        <is>
          <t>L0593</t>
        </is>
      </c>
      <c r="E198" t="inlineStr">
        <is>
          <t>2026-01</t>
        </is>
      </c>
      <c r="F198" t="n">
        <v>250</v>
      </c>
      <c r="G198" t="n">
        <v>295</v>
      </c>
      <c r="H198">
        <f>הגדרות!B3</f>
        <v/>
      </c>
      <c r="I198">
        <f>F198*(1-H198/100)*1.18</f>
        <v/>
      </c>
      <c r="J198">
        <f>הגדרות!C3</f>
        <v/>
      </c>
      <c r="K198">
        <f>הגדרות!D3</f>
        <v/>
      </c>
      <c r="L198">
        <f>I198*(1+J198/100)+K198</f>
        <v/>
      </c>
    </row>
    <row r="199">
      <c r="A199" t="inlineStr">
        <is>
          <t>המכון (מעבדה חיצונית)</t>
        </is>
      </c>
      <c r="B199" t="inlineStr">
        <is>
          <t>PT</t>
        </is>
      </c>
      <c r="C199" t="inlineStr">
        <is>
          <t>קרישה</t>
        </is>
      </c>
      <c r="D199" t="inlineStr">
        <is>
          <t>L591</t>
        </is>
      </c>
      <c r="E199" t="inlineStr">
        <is>
          <t>2026-01</t>
        </is>
      </c>
      <c r="F199" t="n">
        <v>140</v>
      </c>
      <c r="G199" t="n">
        <v>165.2</v>
      </c>
      <c r="H199">
        <f>הגדרות!B3</f>
        <v/>
      </c>
      <c r="I199">
        <f>F199*(1-H199/100)*1.18</f>
        <v/>
      </c>
      <c r="J199">
        <f>הגדרות!C3</f>
        <v/>
      </c>
      <c r="K199">
        <f>הגדרות!D3</f>
        <v/>
      </c>
      <c r="L199">
        <f>I199*(1+J199/100)+K199</f>
        <v/>
      </c>
    </row>
    <row r="200">
      <c r="A200" t="inlineStr">
        <is>
          <t>המכון (מעבדה חיצונית)</t>
        </is>
      </c>
      <c r="B200" t="inlineStr">
        <is>
          <t>PTT</t>
        </is>
      </c>
      <c r="C200" t="inlineStr">
        <is>
          <t>קרישה</t>
        </is>
      </c>
      <c r="D200" t="inlineStr">
        <is>
          <t>L592</t>
        </is>
      </c>
      <c r="E200" t="inlineStr">
        <is>
          <t>2026-01</t>
        </is>
      </c>
      <c r="F200" t="n">
        <v>140</v>
      </c>
      <c r="G200" t="n">
        <v>165.2</v>
      </c>
      <c r="H200">
        <f>הגדרות!B3</f>
        <v/>
      </c>
      <c r="I200">
        <f>F200*(1-H200/100)*1.18</f>
        <v/>
      </c>
      <c r="J200">
        <f>הגדרות!C3</f>
        <v/>
      </c>
      <c r="K200">
        <f>הגדרות!D3</f>
        <v/>
      </c>
      <c r="L200">
        <f>I200*(1+J200/100)+K200</f>
        <v/>
      </c>
    </row>
    <row r="201">
      <c r="A201" t="inlineStr">
        <is>
          <t>המכון (מעבדה חיצונית)</t>
        </is>
      </c>
      <c r="B201" t="inlineStr">
        <is>
          <t>אנטיתרומבין-3</t>
        </is>
      </c>
      <c r="C201" t="inlineStr">
        <is>
          <t>קרישה</t>
        </is>
      </c>
      <c r="D201" t="inlineStr">
        <is>
          <t>L221</t>
        </is>
      </c>
      <c r="E201" t="inlineStr">
        <is>
          <t>2026-01</t>
        </is>
      </c>
      <c r="F201" t="n">
        <v>220</v>
      </c>
      <c r="G201" t="n">
        <v>259.6</v>
      </c>
      <c r="H201">
        <f>הגדרות!B3</f>
        <v/>
      </c>
      <c r="I201">
        <f>F201*(1-H201/100)*1.18</f>
        <v/>
      </c>
      <c r="J201">
        <f>הגדרות!C3</f>
        <v/>
      </c>
      <c r="K201">
        <f>הגדרות!D3</f>
        <v/>
      </c>
      <c r="L201">
        <f>I201*(1+J201/100)+K201</f>
        <v/>
      </c>
    </row>
    <row r="202">
      <c r="A202" t="inlineStr">
        <is>
          <t>המכון (מעבדה חיצונית)</t>
        </is>
      </c>
      <c r="B202" t="inlineStr">
        <is>
          <t>D-dimer</t>
        </is>
      </c>
      <c r="C202" t="inlineStr">
        <is>
          <t>קרישה</t>
        </is>
      </c>
      <c r="D202" t="inlineStr">
        <is>
          <t>L0190</t>
        </is>
      </c>
      <c r="E202" t="inlineStr">
        <is>
          <t>2026-01</t>
        </is>
      </c>
      <c r="F202" t="n">
        <v>180</v>
      </c>
      <c r="G202" t="n">
        <v>212.4</v>
      </c>
      <c r="H202">
        <f>הגדרות!B3</f>
        <v/>
      </c>
      <c r="I202">
        <f>F202*(1-H202/100)*1.18</f>
        <v/>
      </c>
      <c r="J202">
        <f>הגדרות!C3</f>
        <v/>
      </c>
      <c r="K202">
        <f>הגדרות!D3</f>
        <v/>
      </c>
      <c r="L202">
        <f>I202*(1+J202/100)+K202</f>
        <v/>
      </c>
    </row>
    <row r="203">
      <c r="A203" t="inlineStr">
        <is>
          <t>המכון (מעבדה חיצונית)</t>
        </is>
      </c>
      <c r="B203" t="inlineStr">
        <is>
          <t>פאנל קרישה</t>
        </is>
      </c>
      <c r="C203" t="inlineStr">
        <is>
          <t>קרישה</t>
        </is>
      </c>
      <c r="D203" t="inlineStr">
        <is>
          <t>L123002</t>
        </is>
      </c>
      <c r="E203" t="inlineStr">
        <is>
          <t>2026-01</t>
        </is>
      </c>
      <c r="F203" t="n">
        <v>420</v>
      </c>
      <c r="G203" t="n">
        <v>495.6</v>
      </c>
      <c r="H203">
        <f>הגדרות!B3</f>
        <v/>
      </c>
      <c r="I203">
        <f>F203*(1-H203/100)*1.18</f>
        <v/>
      </c>
      <c r="J203">
        <f>הגדרות!C3</f>
        <v/>
      </c>
      <c r="K203">
        <f>הגדרות!D3</f>
        <v/>
      </c>
      <c r="L203">
        <f>I203*(1+J203/100)+K203</f>
        <v/>
      </c>
    </row>
    <row r="204">
      <c r="A204" t="inlineStr">
        <is>
          <t>המכון (מעבדה חיצונית)</t>
        </is>
      </c>
      <c r="B204" t="inlineStr">
        <is>
          <t>פיברינוגן</t>
        </is>
      </c>
      <c r="C204" t="inlineStr">
        <is>
          <t>קרישה</t>
        </is>
      </c>
      <c r="D204" t="inlineStr">
        <is>
          <t>L123003</t>
        </is>
      </c>
      <c r="E204" t="inlineStr">
        <is>
          <t>2026-01</t>
        </is>
      </c>
      <c r="F204" t="n">
        <v>140</v>
      </c>
      <c r="G204" t="n">
        <v>165.2</v>
      </c>
      <c r="H204">
        <f>הגדרות!B3</f>
        <v/>
      </c>
      <c r="I204">
        <f>F204*(1-H204/100)*1.18</f>
        <v/>
      </c>
      <c r="J204">
        <f>הגדרות!C3</f>
        <v/>
      </c>
      <c r="K204">
        <f>הגדרות!D3</f>
        <v/>
      </c>
      <c r="L204">
        <f>I204*(1+J204/100)+K204</f>
        <v/>
      </c>
    </row>
    <row r="205">
      <c r="A205" t="inlineStr">
        <is>
          <t>המכון (מעבדה חיצונית)</t>
        </is>
      </c>
      <c r="B205" t="inlineStr">
        <is>
          <t>TEM (ExTEM + InTEM)</t>
        </is>
      </c>
      <c r="C205" t="inlineStr">
        <is>
          <t>קרישה</t>
        </is>
      </c>
      <c r="D205" t="inlineStr">
        <is>
          <t>L0571</t>
        </is>
      </c>
      <c r="E205" t="inlineStr">
        <is>
          <t>2026-01</t>
        </is>
      </c>
      <c r="F205" t="n">
        <v>440</v>
      </c>
      <c r="G205" t="n">
        <v>519.2</v>
      </c>
      <c r="H205">
        <f>הגדרות!B3</f>
        <v/>
      </c>
      <c r="I205">
        <f>F205*(1-H205/100)*1.18</f>
        <v/>
      </c>
      <c r="J205">
        <f>הגדרות!C3</f>
        <v/>
      </c>
      <c r="K205">
        <f>הגדרות!D3</f>
        <v/>
      </c>
      <c r="L205">
        <f>I205*(1+J205/100)+K205</f>
        <v/>
      </c>
    </row>
    <row r="206">
      <c r="A206" t="inlineStr">
        <is>
          <t>המכון (מעבדה חיצונית)</t>
        </is>
      </c>
      <c r="B206" t="inlineStr">
        <is>
          <t>TEM</t>
        </is>
      </c>
      <c r="C206" t="inlineStr">
        <is>
          <t>קרישה</t>
        </is>
      </c>
      <c r="D206" t="inlineStr">
        <is>
          <t>L10571</t>
        </is>
      </c>
      <c r="E206" t="inlineStr">
        <is>
          <t>2026-01</t>
        </is>
      </c>
      <c r="F206" t="n">
        <v>250</v>
      </c>
      <c r="G206" t="n">
        <v>295</v>
      </c>
      <c r="H206">
        <f>הגדרות!B3</f>
        <v/>
      </c>
      <c r="I206">
        <f>F206*(1-H206/100)*1.18</f>
        <v/>
      </c>
      <c r="J206">
        <f>הגדרות!C3</f>
        <v/>
      </c>
      <c r="K206">
        <f>הגדרות!D3</f>
        <v/>
      </c>
      <c r="L206">
        <f>I206*(1+J206/100)+K206</f>
        <v/>
      </c>
    </row>
    <row r="207">
      <c r="A207" t="inlineStr">
        <is>
          <t>המכון (מעבדה חיצונית)</t>
        </is>
      </c>
      <c r="B207" t="inlineStr">
        <is>
          <t>אנליזת שתן</t>
        </is>
      </c>
      <c r="C207" t="inlineStr">
        <is>
          <t>שתן/צואה/תרביות</t>
        </is>
      </c>
      <c r="E207" t="inlineStr">
        <is>
          <t>2026-01</t>
        </is>
      </c>
      <c r="F207" t="n">
        <v>170</v>
      </c>
      <c r="G207" t="n">
        <v>200.6</v>
      </c>
      <c r="H207">
        <f>הגדרות!B3</f>
        <v/>
      </c>
      <c r="I207">
        <f>F207*(1-H207/100)*1.18</f>
        <v/>
      </c>
      <c r="J207">
        <f>הגדרות!C3</f>
        <v/>
      </c>
      <c r="K207">
        <f>הגדרות!D3</f>
        <v/>
      </c>
      <c r="L207">
        <f>I207*(1+J207/100)+K207</f>
        <v/>
      </c>
    </row>
    <row r="208">
      <c r="A208" t="inlineStr">
        <is>
          <t>המכון (מעבדה חיצונית)</t>
        </is>
      </c>
      <c r="B208" t="inlineStr">
        <is>
          <t>יחס חלבון / קריאטינין בשתן (UPC)</t>
        </is>
      </c>
      <c r="C208" t="inlineStr">
        <is>
          <t>שתן/צואה/תרביות</t>
        </is>
      </c>
      <c r="E208" t="inlineStr">
        <is>
          <t>2026-01</t>
        </is>
      </c>
      <c r="F208" t="n">
        <v>260</v>
      </c>
      <c r="G208" t="n">
        <v>306.8</v>
      </c>
      <c r="H208">
        <f>הגדרות!B3</f>
        <v/>
      </c>
      <c r="I208">
        <f>F208*(1-H208/100)*1.18</f>
        <v/>
      </c>
      <c r="J208">
        <f>הגדרות!C3</f>
        <v/>
      </c>
      <c r="K208">
        <f>הגדרות!D3</f>
        <v/>
      </c>
      <c r="L208">
        <f>I208*(1+J208/100)+K208</f>
        <v/>
      </c>
    </row>
    <row r="209">
      <c r="A209" t="inlineStr">
        <is>
          <t>המכון (מעבדה חיצונית)</t>
        </is>
      </c>
      <c r="B209" t="inlineStr">
        <is>
          <t>מיוגלובין בשתן</t>
        </is>
      </c>
      <c r="C209" t="inlineStr">
        <is>
          <t>שתן/צואה/תרביות</t>
        </is>
      </c>
      <c r="E209" t="inlineStr">
        <is>
          <t>2026-01</t>
        </is>
      </c>
      <c r="F209" t="n">
        <v>120</v>
      </c>
      <c r="G209" t="n">
        <v>141.6</v>
      </c>
      <c r="H209">
        <f>הגדרות!B3</f>
        <v/>
      </c>
      <c r="I209">
        <f>F209*(1-H209/100)*1.18</f>
        <v/>
      </c>
      <c r="J209">
        <f>הגדרות!C3</f>
        <v/>
      </c>
      <c r="K209">
        <f>הגדרות!D3</f>
        <v/>
      </c>
      <c r="L209">
        <f>I209*(1+J209/100)+K209</f>
        <v/>
      </c>
    </row>
    <row r="210">
      <c r="A210" t="inlineStr">
        <is>
          <t>המכון (מעבדה חיצונית)</t>
        </is>
      </c>
      <c r="B210" t="inlineStr">
        <is>
          <t>משטח שתן צבוע</t>
        </is>
      </c>
      <c r="C210" t="inlineStr">
        <is>
          <t>שתן/צואה/תרביות</t>
        </is>
      </c>
      <c r="E210" t="inlineStr">
        <is>
          <t>2026-01</t>
        </is>
      </c>
      <c r="F210" t="n">
        <v>140</v>
      </c>
      <c r="G210" t="n">
        <v>165.2</v>
      </c>
      <c r="H210">
        <f>הגדרות!B3</f>
        <v/>
      </c>
      <c r="I210">
        <f>F210*(1-H210/100)*1.18</f>
        <v/>
      </c>
      <c r="J210">
        <f>הגדרות!C3</f>
        <v/>
      </c>
      <c r="K210">
        <f>הגדרות!D3</f>
        <v/>
      </c>
      <c r="L210">
        <f>I210*(1+J210/100)+K210</f>
        <v/>
      </c>
    </row>
    <row r="211">
      <c r="A211" t="inlineStr">
        <is>
          <t>המכון (מעבדה חיצונית)</t>
        </is>
      </c>
      <c r="B211" t="inlineStr">
        <is>
          <t>דם סמוי בצואה</t>
        </is>
      </c>
      <c r="C211" t="inlineStr">
        <is>
          <t>שתן/צואה/תרביות</t>
        </is>
      </c>
      <c r="E211" t="inlineStr">
        <is>
          <t>2026-01</t>
        </is>
      </c>
      <c r="F211" t="n">
        <v>120</v>
      </c>
      <c r="G211" t="n">
        <v>141.6</v>
      </c>
      <c r="H211">
        <f>הגדרות!B3</f>
        <v/>
      </c>
      <c r="I211">
        <f>F211*(1-H211/100)*1.18</f>
        <v/>
      </c>
      <c r="J211">
        <f>הגדרות!C3</f>
        <v/>
      </c>
      <c r="K211">
        <f>הגדרות!D3</f>
        <v/>
      </c>
      <c r="L211">
        <f>I211*(1+J211/100)+K211</f>
        <v/>
      </c>
    </row>
    <row r="212">
      <c r="A212" t="inlineStr">
        <is>
          <t>המכון (מעבדה חיצונית)</t>
        </is>
      </c>
      <c r="B212" t="inlineStr">
        <is>
          <t>פרזיטולוגיה לצואה (מכון)</t>
        </is>
      </c>
      <c r="C212" t="inlineStr">
        <is>
          <t>שתן/צואה/תרביות</t>
        </is>
      </c>
      <c r="E212" t="inlineStr">
        <is>
          <t>2026-01</t>
        </is>
      </c>
      <c r="F212" t="n">
        <v>290</v>
      </c>
      <c r="G212" t="n">
        <v>342.2</v>
      </c>
      <c r="H212">
        <f>הגדרות!B3</f>
        <v/>
      </c>
      <c r="I212">
        <f>F212*(1-H212/100)*1.18</f>
        <v/>
      </c>
      <c r="J212">
        <f>הגדרות!C3</f>
        <v/>
      </c>
      <c r="K212">
        <f>הגדרות!D3</f>
        <v/>
      </c>
      <c r="L212">
        <f>I212*(1+J212/100)+K212</f>
        <v/>
      </c>
    </row>
    <row r="213">
      <c r="A213" t="inlineStr">
        <is>
          <t>המכון (מעבדה חיצונית)</t>
        </is>
      </c>
      <c r="B213" t="inlineStr">
        <is>
          <t>תרבית ורגישות (מכון)</t>
        </is>
      </c>
      <c r="C213" t="inlineStr">
        <is>
          <t>שתן/צואה/תרביות</t>
        </is>
      </c>
      <c r="E213" t="inlineStr">
        <is>
          <t>2026-01</t>
        </is>
      </c>
      <c r="F213" t="n">
        <v>310</v>
      </c>
      <c r="G213" t="n">
        <v>365.8</v>
      </c>
      <c r="H213">
        <f>הגדרות!B3</f>
        <v/>
      </c>
      <c r="I213">
        <f>F213*(1-H213/100)*1.18</f>
        <v/>
      </c>
      <c r="J213">
        <f>הגדרות!C3</f>
        <v/>
      </c>
      <c r="K213">
        <f>הגדרות!D3</f>
        <v/>
      </c>
      <c r="L213">
        <f>I213*(1+J213/100)+K213</f>
        <v/>
      </c>
    </row>
    <row r="214">
      <c r="A214" t="inlineStr">
        <is>
          <t>המכון (מעבדה חיצונית)</t>
        </is>
      </c>
      <c r="B214" t="inlineStr">
        <is>
          <t>מיקולוגיה (מכון)</t>
        </is>
      </c>
      <c r="C214" t="inlineStr">
        <is>
          <t>שתן/צואה/תרביות</t>
        </is>
      </c>
      <c r="E214" t="inlineStr">
        <is>
          <t>2026-01</t>
        </is>
      </c>
      <c r="F214" t="n">
        <v>240</v>
      </c>
      <c r="G214" t="n">
        <v>283.2</v>
      </c>
      <c r="H214">
        <f>הגדרות!B3</f>
        <v/>
      </c>
      <c r="I214">
        <f>F214*(1-H214/100)*1.18</f>
        <v/>
      </c>
      <c r="J214">
        <f>הגדרות!C3</f>
        <v/>
      </c>
      <c r="K214">
        <f>הגדרות!D3</f>
        <v/>
      </c>
      <c r="L214">
        <f>I214*(1+J214/100)+K214</f>
        <v/>
      </c>
    </row>
    <row r="215">
      <c r="A215" t="inlineStr">
        <is>
          <t>IDEXX</t>
        </is>
      </c>
      <c r="B215" t="inlineStr">
        <is>
          <t>Angio Detect™ Test (Lungworm) (Canine) - Add-On</t>
        </is>
      </c>
      <c r="D215" t="inlineStr">
        <is>
          <t>AANGIO</t>
        </is>
      </c>
      <c r="E215" t="inlineStr">
        <is>
          <t>2025-01</t>
        </is>
      </c>
      <c r="F215" t="n">
        <v>110.2</v>
      </c>
      <c r="G215" t="n">
        <v>130.04</v>
      </c>
      <c r="H215">
        <f>הגדרות!B4</f>
        <v/>
      </c>
      <c r="I215">
        <f>F215*(1-H215/100)*1.18</f>
        <v/>
      </c>
      <c r="J215">
        <f>הגדרות!C4</f>
        <v/>
      </c>
      <c r="K215">
        <f>הגדרות!D4</f>
        <v/>
      </c>
      <c r="L215">
        <f>I215*(1+J215/100)+K215</f>
        <v/>
      </c>
    </row>
    <row r="216">
      <c r="A216" t="inlineStr">
        <is>
          <t>IDEXX</t>
        </is>
      </c>
      <c r="B216" t="inlineStr">
        <is>
          <t>Bile Acid Stimulation Test - Add-On</t>
        </is>
      </c>
      <c r="D216" t="inlineStr">
        <is>
          <t>ABAS</t>
        </is>
      </c>
      <c r="E216" t="inlineStr">
        <is>
          <t>2025-01</t>
        </is>
      </c>
      <c r="F216" t="n">
        <v>124.7</v>
      </c>
      <c r="G216" t="n">
        <v>147.15</v>
      </c>
      <c r="H216">
        <f>הגדרות!B4</f>
        <v/>
      </c>
      <c r="I216">
        <f>F216*(1-H216/100)*1.18</f>
        <v/>
      </c>
      <c r="J216">
        <f>הגדרות!C4</f>
        <v/>
      </c>
      <c r="K216">
        <f>הגדרות!D4</f>
        <v/>
      </c>
      <c r="L216">
        <f>I216*(1+J216/100)+K216</f>
        <v/>
      </c>
    </row>
    <row r="217">
      <c r="A217" t="inlineStr">
        <is>
          <t>IDEXX</t>
        </is>
      </c>
      <c r="B217" t="inlineStr">
        <is>
          <t>Total Bilirubin - Add-On</t>
        </is>
      </c>
      <c r="D217" t="inlineStr">
        <is>
          <t>ABILT</t>
        </is>
      </c>
      <c r="E217" t="inlineStr">
        <is>
          <t>2025-01</t>
        </is>
      </c>
      <c r="F217" t="n">
        <v>37.7</v>
      </c>
      <c r="G217" t="n">
        <v>44.49</v>
      </c>
      <c r="H217">
        <f>הגדרות!B4</f>
        <v/>
      </c>
      <c r="I217">
        <f>F217*(1-H217/100)*1.18</f>
        <v/>
      </c>
      <c r="J217">
        <f>הגדרות!C4</f>
        <v/>
      </c>
      <c r="K217">
        <f>הגדרות!D4</f>
        <v/>
      </c>
      <c r="L217">
        <f>I217*(1+J217/100)+K217</f>
        <v/>
      </c>
    </row>
    <row r="218">
      <c r="A218" t="inlineStr">
        <is>
          <t>IDEXX</t>
        </is>
      </c>
      <c r="B218" t="inlineStr">
        <is>
          <t>Cardiopet® proBNP (Feline) - Add-On</t>
        </is>
      </c>
      <c r="D218" t="inlineStr">
        <is>
          <t>ABNF</t>
        </is>
      </c>
      <c r="E218" t="inlineStr">
        <is>
          <t>2025-01</t>
        </is>
      </c>
      <c r="F218" t="n">
        <v>237.8</v>
      </c>
      <c r="G218" t="n">
        <v>280.6</v>
      </c>
      <c r="H218">
        <f>הגדרות!B4</f>
        <v/>
      </c>
      <c r="I218">
        <f>F218*(1-H218/100)*1.18</f>
        <v/>
      </c>
      <c r="J218">
        <f>הגדרות!C4</f>
        <v/>
      </c>
      <c r="K218">
        <f>הגדרות!D4</f>
        <v/>
      </c>
      <c r="L218">
        <f>I218*(1+J218/100)+K218</f>
        <v/>
      </c>
    </row>
    <row r="219">
      <c r="A219" t="inlineStr">
        <is>
          <t>IDEXX</t>
        </is>
      </c>
      <c r="B219" t="inlineStr">
        <is>
          <t>Cardiopet® proBNP (Canine) - Add-On</t>
        </is>
      </c>
      <c r="D219" t="inlineStr">
        <is>
          <t>ABNP</t>
        </is>
      </c>
      <c r="E219" t="inlineStr">
        <is>
          <t>2025-01</t>
        </is>
      </c>
      <c r="F219" t="n">
        <v>237.8</v>
      </c>
      <c r="G219" t="n">
        <v>280.6</v>
      </c>
      <c r="H219">
        <f>הגדרות!B4</f>
        <v/>
      </c>
      <c r="I219">
        <f>F219*(1-H219/100)*1.18</f>
        <v/>
      </c>
      <c r="J219">
        <f>הגדרות!C4</f>
        <v/>
      </c>
      <c r="K219">
        <f>הגדרות!D4</f>
        <v/>
      </c>
      <c r="L219">
        <f>I219*(1+J219/100)+K219</f>
        <v/>
      </c>
    </row>
    <row r="220">
      <c r="A220" t="inlineStr">
        <is>
          <t>IDEXX</t>
        </is>
      </c>
      <c r="B220" t="inlineStr">
        <is>
          <t>Avian Bornavirus Cloacal PCR</t>
        </is>
      </c>
      <c r="D220" t="inlineStr">
        <is>
          <t>ABVP</t>
        </is>
      </c>
      <c r="E220" t="inlineStr">
        <is>
          <t>2025-01</t>
        </is>
      </c>
      <c r="F220" t="n">
        <v>368.3</v>
      </c>
      <c r="G220" t="n">
        <v>434.59</v>
      </c>
      <c r="H220">
        <f>הגדרות!B4</f>
        <v/>
      </c>
      <c r="I220">
        <f>F220*(1-H220/100)*1.18</f>
        <v/>
      </c>
      <c r="J220">
        <f>הגדרות!C4</f>
        <v/>
      </c>
      <c r="K220">
        <f>הגדרות!D4</f>
        <v/>
      </c>
      <c r="L220">
        <f>I220*(1+J220/100)+K220</f>
        <v/>
      </c>
    </row>
    <row r="221">
      <c r="A221" t="inlineStr">
        <is>
          <t>IDEXX</t>
        </is>
      </c>
      <c r="B221" t="inlineStr">
        <is>
          <t>Coombs' Test (Canine) - Add-On</t>
        </is>
      </c>
      <c r="D221" t="inlineStr">
        <is>
          <t>ACC</t>
        </is>
      </c>
      <c r="E221" t="inlineStr">
        <is>
          <t>2025-01</t>
        </is>
      </c>
      <c r="F221" t="n">
        <v>159.5</v>
      </c>
      <c r="G221" t="n">
        <v>188.21</v>
      </c>
      <c r="H221">
        <f>הגדרות!B4</f>
        <v/>
      </c>
      <c r="I221">
        <f>F221*(1-H221/100)*1.18</f>
        <v/>
      </c>
      <c r="J221">
        <f>הגדרות!C4</f>
        <v/>
      </c>
      <c r="K221">
        <f>הגדרות!D4</f>
        <v/>
      </c>
      <c r="L221">
        <f>I221*(1+J221/100)+K221</f>
        <v/>
      </c>
    </row>
    <row r="222">
      <c r="A222" t="inlineStr">
        <is>
          <t>IDEXX</t>
        </is>
      </c>
      <c r="B222" t="inlineStr">
        <is>
          <t>Basic Coagulation Screen - Add-On</t>
        </is>
      </c>
      <c r="D222" t="inlineStr">
        <is>
          <t>ACOA</t>
        </is>
      </c>
      <c r="E222" t="inlineStr">
        <is>
          <t>2025-01</t>
        </is>
      </c>
      <c r="F222" t="n">
        <v>319</v>
      </c>
      <c r="G222" t="n">
        <v>376.42</v>
      </c>
      <c r="H222">
        <f>הגדרות!B4</f>
        <v/>
      </c>
      <c r="I222">
        <f>F222*(1-H222/100)*1.18</f>
        <v/>
      </c>
      <c r="J222">
        <f>הגדרות!C4</f>
        <v/>
      </c>
      <c r="K222">
        <f>הגדרות!D4</f>
        <v/>
      </c>
      <c r="L222">
        <f>I222*(1+J222/100)+K222</f>
        <v/>
      </c>
    </row>
    <row r="223">
      <c r="A223" t="inlineStr">
        <is>
          <t>IDEXX</t>
        </is>
      </c>
      <c r="B223" t="inlineStr">
        <is>
          <t>Cortisol - Add-On</t>
        </is>
      </c>
      <c r="D223" t="inlineStr">
        <is>
          <t>ACORT</t>
        </is>
      </c>
      <c r="E223" t="inlineStr">
        <is>
          <t>2025-01</t>
        </is>
      </c>
      <c r="F223" t="n">
        <v>145</v>
      </c>
      <c r="G223" t="n">
        <v>171.1</v>
      </c>
      <c r="H223">
        <f>הגדרות!B4</f>
        <v/>
      </c>
      <c r="I223">
        <f>F223*(1-H223/100)*1.18</f>
        <v/>
      </c>
      <c r="J223">
        <f>הגדרות!C4</f>
        <v/>
      </c>
      <c r="K223">
        <f>הגדרות!D4</f>
        <v/>
      </c>
      <c r="L223">
        <f>I223*(1+J223/100)+K223</f>
        <v/>
      </c>
    </row>
    <row r="224">
      <c r="A224" t="inlineStr">
        <is>
          <t>IDEXX</t>
        </is>
      </c>
      <c r="B224" t="inlineStr">
        <is>
          <t>Spec cPL® (Canine) - Add-On</t>
        </is>
      </c>
      <c r="D224" t="inlineStr">
        <is>
          <t>ACPL</t>
        </is>
      </c>
      <c r="E224" t="inlineStr">
        <is>
          <t>2025-01</t>
        </is>
      </c>
      <c r="F224" t="n">
        <v>298.7</v>
      </c>
      <c r="G224" t="n">
        <v>352.47</v>
      </c>
      <c r="H224">
        <f>הגדרות!B4</f>
        <v/>
      </c>
      <c r="I224">
        <f>F224*(1-H224/100)*1.18</f>
        <v/>
      </c>
      <c r="J224">
        <f>הגדרות!C4</f>
        <v/>
      </c>
      <c r="K224">
        <f>הגדרות!D4</f>
        <v/>
      </c>
      <c r="L224">
        <f>I224*(1+J224/100)+K224</f>
        <v/>
      </c>
    </row>
    <row r="225">
      <c r="A225" t="inlineStr">
        <is>
          <t>IDEXX</t>
        </is>
      </c>
      <c r="B225" t="inlineStr">
        <is>
          <t>C Reactive Protein (Canine) - Add-On</t>
        </is>
      </c>
      <c r="D225" t="inlineStr">
        <is>
          <t>ACRP</t>
        </is>
      </c>
      <c r="E225" t="inlineStr">
        <is>
          <t>2025-01</t>
        </is>
      </c>
      <c r="F225" t="n">
        <v>72.5</v>
      </c>
      <c r="G225" t="n">
        <v>85.55</v>
      </c>
      <c r="H225">
        <f>הגדרות!B4</f>
        <v/>
      </c>
      <c r="I225">
        <f>F225*(1-H225/100)*1.18</f>
        <v/>
      </c>
      <c r="J225">
        <f>הגדרות!C4</f>
        <v/>
      </c>
      <c r="K225">
        <f>הגדרות!D4</f>
        <v/>
      </c>
      <c r="L225">
        <f>I225*(1+J225/100)+K225</f>
        <v/>
      </c>
    </row>
    <row r="226">
      <c r="A226" t="inlineStr">
        <is>
          <t>IDEXX</t>
        </is>
      </c>
      <c r="B226" t="inlineStr">
        <is>
          <t>Spec cPL®, TLI, Folate &amp; Cobalamin (Canine) - Add-O</t>
        </is>
      </c>
      <c r="D226" t="inlineStr">
        <is>
          <t>nACTF</t>
        </is>
      </c>
      <c r="E226" t="inlineStr">
        <is>
          <t>2025-01</t>
        </is>
      </c>
      <c r="F226" t="n">
        <v>507.5</v>
      </c>
      <c r="G226" t="n">
        <v>598.85</v>
      </c>
      <c r="H226">
        <f>הגדרות!B4</f>
        <v/>
      </c>
      <c r="I226">
        <f>F226*(1-H226/100)*1.18</f>
        <v/>
      </c>
      <c r="J226">
        <f>הגדרות!C4</f>
        <v/>
      </c>
      <c r="K226">
        <f>הגדרות!D4</f>
        <v/>
      </c>
      <c r="L226">
        <f>I226*(1+J226/100)+K226</f>
        <v/>
      </c>
    </row>
    <row r="227">
      <c r="A227" t="inlineStr">
        <is>
          <t>IDEXX</t>
        </is>
      </c>
      <c r="B227" t="inlineStr">
        <is>
          <t>ACTH Stimulation Test</t>
        </is>
      </c>
      <c r="D227" t="inlineStr">
        <is>
          <t>ACTH</t>
        </is>
      </c>
      <c r="E227" t="inlineStr">
        <is>
          <t>2025-01</t>
        </is>
      </c>
      <c r="F227" t="n">
        <v>365.4</v>
      </c>
      <c r="G227" t="n">
        <v>431.17</v>
      </c>
      <c r="H227">
        <f>הגדרות!B4</f>
        <v/>
      </c>
      <c r="I227">
        <f>F227*(1-H227/100)*1.18</f>
        <v/>
      </c>
      <c r="J227">
        <f>הגדרות!C4</f>
        <v/>
      </c>
      <c r="K227">
        <f>הגדרות!D4</f>
        <v/>
      </c>
      <c r="L227">
        <f>I227*(1+J227/100)+K227</f>
        <v/>
      </c>
    </row>
    <row r="228">
      <c r="A228" t="inlineStr">
        <is>
          <t>IDEXX</t>
        </is>
      </c>
      <c r="B228" t="inlineStr">
        <is>
          <t>ACTH Stimulation Test (Vetoryl®)</t>
        </is>
      </c>
      <c r="D228" t="inlineStr">
        <is>
          <t>ACTV</t>
        </is>
      </c>
      <c r="E228" t="inlineStr">
        <is>
          <t>2025-01</t>
        </is>
      </c>
      <c r="F228" t="n">
        <v>365.4</v>
      </c>
      <c r="G228" t="n">
        <v>431.17</v>
      </c>
      <c r="H228">
        <f>הגדרות!B4</f>
        <v/>
      </c>
      <c r="I228">
        <f>F228*(1-H228/100)*1.18</f>
        <v/>
      </c>
      <c r="J228">
        <f>הגדרות!C4</f>
        <v/>
      </c>
      <c r="K228">
        <f>הגדרות!D4</f>
        <v/>
      </c>
      <c r="L228">
        <f>I228*(1+J228/100)+K228</f>
        <v/>
      </c>
    </row>
    <row r="229">
      <c r="A229" t="inlineStr">
        <is>
          <t>IDEXX</t>
        </is>
      </c>
      <c r="B229" t="inlineStr">
        <is>
          <t>Cystatin B (Canine/Feline) - Add-On</t>
        </is>
      </c>
      <c r="D229" t="inlineStr">
        <is>
          <t>ACYSB</t>
        </is>
      </c>
      <c r="E229" t="inlineStr">
        <is>
          <t>2025-01</t>
        </is>
      </c>
      <c r="F229" t="n">
        <v>89.90000000000001</v>
      </c>
      <c r="G229" t="n">
        <v>106.08</v>
      </c>
      <c r="H229">
        <f>הגדרות!B4</f>
        <v/>
      </c>
      <c r="I229">
        <f>F229*(1-H229/100)*1.18</f>
        <v/>
      </c>
      <c r="J229">
        <f>הגדרות!C4</f>
        <v/>
      </c>
      <c r="K229">
        <f>הגדרות!D4</f>
        <v/>
      </c>
      <c r="L229">
        <f>I229*(1+J229/100)+K229</f>
        <v/>
      </c>
    </row>
    <row r="230">
      <c r="A230" t="inlineStr">
        <is>
          <t>IDEXX</t>
        </is>
      </c>
      <c r="B230" t="inlineStr">
        <is>
          <t>Adenovirus DNA PCR</t>
        </is>
      </c>
      <c r="D230" t="inlineStr">
        <is>
          <t>ADVP</t>
        </is>
      </c>
      <c r="E230" t="inlineStr">
        <is>
          <t>2025-01</t>
        </is>
      </c>
      <c r="F230" t="n">
        <v>368.3</v>
      </c>
      <c r="G230" t="n">
        <v>434.59</v>
      </c>
      <c r="H230">
        <f>הגדרות!B4</f>
        <v/>
      </c>
      <c r="I230">
        <f>F230*(1-H230/100)*1.18</f>
        <v/>
      </c>
      <c r="J230">
        <f>הגדרות!C4</f>
        <v/>
      </c>
      <c r="K230">
        <f>הגדרות!D4</f>
        <v/>
      </c>
      <c r="L230">
        <f>I230*(1+J230/100)+K230</f>
        <v/>
      </c>
    </row>
    <row r="231">
      <c r="A231" t="inlineStr">
        <is>
          <t>IDEXX</t>
        </is>
      </c>
      <c r="B231" t="inlineStr">
        <is>
          <t>Comprehensive Haematology - Add-On</t>
        </is>
      </c>
      <c r="D231" t="inlineStr">
        <is>
          <t>AFBC</t>
        </is>
      </c>
      <c r="E231" t="inlineStr">
        <is>
          <t>2025-01</t>
        </is>
      </c>
      <c r="F231" t="n">
        <v>145</v>
      </c>
      <c r="G231" t="n">
        <v>171.1</v>
      </c>
      <c r="H231">
        <f>הגדרות!B4</f>
        <v/>
      </c>
      <c r="I231">
        <f>F231*(1-H231/100)*1.18</f>
        <v/>
      </c>
      <c r="J231">
        <f>הגדרות!C4</f>
        <v/>
      </c>
      <c r="K231">
        <f>הגדרות!D4</f>
        <v/>
      </c>
      <c r="L231">
        <f>I231*(1+J231/100)+K231</f>
        <v/>
      </c>
    </row>
    <row r="232">
      <c r="A232" t="inlineStr">
        <is>
          <t>IDEXX</t>
        </is>
      </c>
      <c r="B232" t="inlineStr">
        <is>
          <t>Coombs' Test (Feline) - Add-On</t>
        </is>
      </c>
      <c r="D232" t="inlineStr">
        <is>
          <t>AFC</t>
        </is>
      </c>
      <c r="E232" t="inlineStr">
        <is>
          <t>2025-01</t>
        </is>
      </c>
      <c r="F232" t="n">
        <v>159.5</v>
      </c>
      <c r="G232" t="n">
        <v>188.21</v>
      </c>
      <c r="H232">
        <f>הגדרות!B4</f>
        <v/>
      </c>
      <c r="I232">
        <f>F232*(1-H232/100)*1.18</f>
        <v/>
      </c>
      <c r="J232">
        <f>הגדרות!C4</f>
        <v/>
      </c>
      <c r="K232">
        <f>הגדרות!D4</f>
        <v/>
      </c>
      <c r="L232">
        <f>I232*(1+J232/100)+K232</f>
        <v/>
      </c>
    </row>
    <row r="233">
      <c r="A233" t="inlineStr">
        <is>
          <t>IDEXX</t>
        </is>
      </c>
      <c r="B233" t="inlineStr">
        <is>
          <t>Spec fPL®, Folate &amp; Cobalamin (Feline) - Add-On</t>
        </is>
      </c>
      <c r="D233" t="inlineStr">
        <is>
          <t>AFCS</t>
        </is>
      </c>
      <c r="E233" t="inlineStr">
        <is>
          <t>2025-01</t>
        </is>
      </c>
      <c r="F233" t="n">
        <v>417.6</v>
      </c>
      <c r="G233" t="n">
        <v>492.77</v>
      </c>
      <c r="H233">
        <f>הגדרות!B4</f>
        <v/>
      </c>
      <c r="I233">
        <f>F233*(1-H233/100)*1.18</f>
        <v/>
      </c>
      <c r="J233">
        <f>הגדרות!C4</f>
        <v/>
      </c>
      <c r="K233">
        <f>הגדרות!D4</f>
        <v/>
      </c>
      <c r="L233">
        <f>I233*(1+J233/100)+K233</f>
        <v/>
      </c>
    </row>
    <row r="234">
      <c r="A234" t="inlineStr">
        <is>
          <t>IDEXX</t>
        </is>
      </c>
      <c r="B234" t="inlineStr">
        <is>
          <t>Faecal Dx® Antigen Panel - Add-On</t>
        </is>
      </c>
      <c r="D234" t="inlineStr">
        <is>
          <t>AFET</t>
        </is>
      </c>
      <c r="E234" t="inlineStr">
        <is>
          <t>2025-01</t>
        </is>
      </c>
      <c r="F234" t="n">
        <v>87</v>
      </c>
      <c r="G234" t="n">
        <v>102.66</v>
      </c>
      <c r="H234">
        <f>הגדרות!B4</f>
        <v/>
      </c>
      <c r="I234">
        <f>F234*(1-H234/100)*1.18</f>
        <v/>
      </c>
      <c r="J234">
        <f>הגדרות!C4</f>
        <v/>
      </c>
      <c r="K234">
        <f>הגדרות!D4</f>
        <v/>
      </c>
      <c r="L234">
        <f>I234*(1+J234/100)+K234</f>
        <v/>
      </c>
    </row>
    <row r="235">
      <c r="A235" t="inlineStr">
        <is>
          <t>IDEXX</t>
        </is>
      </c>
      <c r="B235" t="inlineStr">
        <is>
          <t>FeLV &amp; FIV - Add-On</t>
        </is>
      </c>
      <c r="D235" t="inlineStr">
        <is>
          <t>AFF</t>
        </is>
      </c>
      <c r="E235" t="inlineStr">
        <is>
          <t>2025-01</t>
        </is>
      </c>
      <c r="F235" t="n">
        <v>350.9</v>
      </c>
      <c r="G235" t="n">
        <v>414.06</v>
      </c>
      <c r="H235">
        <f>הגדרות!B4</f>
        <v/>
      </c>
      <c r="I235">
        <f>F235*(1-H235/100)*1.18</f>
        <v/>
      </c>
      <c r="J235">
        <f>הגדרות!C4</f>
        <v/>
      </c>
      <c r="K235">
        <f>הגדרות!D4</f>
        <v/>
      </c>
      <c r="L235">
        <f>I235*(1+J235/100)+K235</f>
        <v/>
      </c>
    </row>
    <row r="236">
      <c r="A236" t="inlineStr">
        <is>
          <t>IDEXX</t>
        </is>
      </c>
      <c r="B236" t="inlineStr">
        <is>
          <t>FGF-23 (Feline) - Add-On</t>
        </is>
      </c>
      <c r="D236" t="inlineStr">
        <is>
          <t>AFGF23</t>
        </is>
      </c>
      <c r="E236" t="inlineStr">
        <is>
          <t>2025-01</t>
        </is>
      </c>
      <c r="F236" t="n">
        <v>234.9</v>
      </c>
      <c r="G236" t="n">
        <v>277.18</v>
      </c>
      <c r="H236">
        <f>הגדרות!B4</f>
        <v/>
      </c>
      <c r="I236">
        <f>F236*(1-H236/100)*1.18</f>
        <v/>
      </c>
      <c r="J236">
        <f>הגדרות!C4</f>
        <v/>
      </c>
      <c r="K236">
        <f>הגדרות!D4</f>
        <v/>
      </c>
      <c r="L236">
        <f>I236*(1+J236/100)+K236</f>
        <v/>
      </c>
    </row>
    <row r="237">
      <c r="A237" t="inlineStr">
        <is>
          <t>IDEXX</t>
        </is>
      </c>
      <c r="B237" t="inlineStr">
        <is>
          <t>Blood Film Examination - Add-On</t>
        </is>
      </c>
      <c r="D237" t="inlineStr">
        <is>
          <t>AFILM</t>
        </is>
      </c>
      <c r="E237" t="inlineStr">
        <is>
          <t>2025-01</t>
        </is>
      </c>
      <c r="F237" t="n">
        <v>98.59999999999999</v>
      </c>
      <c r="G237" t="n">
        <v>116.35</v>
      </c>
      <c r="H237">
        <f>הגדרות!B4</f>
        <v/>
      </c>
      <c r="I237">
        <f>F237*(1-H237/100)*1.18</f>
        <v/>
      </c>
      <c r="J237">
        <f>הגדרות!C4</f>
        <v/>
      </c>
      <c r="K237">
        <f>הגדרות!D4</f>
        <v/>
      </c>
      <c r="L237">
        <f>I237*(1+J237/100)+K237</f>
        <v/>
      </c>
    </row>
    <row r="238">
      <c r="A238" t="inlineStr">
        <is>
          <t>IDEXX</t>
        </is>
      </c>
      <c r="B238" t="inlineStr">
        <is>
          <t>Folate &amp; Cobalamin - Add-On</t>
        </is>
      </c>
      <c r="D238" t="inlineStr">
        <is>
          <t>AFOLCB</t>
        </is>
      </c>
      <c r="E238" t="inlineStr">
        <is>
          <t>2025-01</t>
        </is>
      </c>
      <c r="F238" t="n">
        <v>203</v>
      </c>
      <c r="G238" t="n">
        <v>239.54</v>
      </c>
      <c r="H238">
        <f>הגדרות!B4</f>
        <v/>
      </c>
      <c r="I238">
        <f>F238*(1-H238/100)*1.18</f>
        <v/>
      </c>
      <c r="J238">
        <f>הגדרות!C4</f>
        <v/>
      </c>
      <c r="K238">
        <f>הגדרות!D4</f>
        <v/>
      </c>
      <c r="L238">
        <f>I238*(1+J238/100)+K238</f>
        <v/>
      </c>
    </row>
    <row r="239">
      <c r="A239" t="inlineStr">
        <is>
          <t>IDEXX</t>
        </is>
      </c>
      <c r="B239" t="inlineStr">
        <is>
          <t>Spec fPL® (Feline) - Add-On</t>
        </is>
      </c>
      <c r="D239" t="inlineStr">
        <is>
          <t>AFPL</t>
        </is>
      </c>
      <c r="E239" t="inlineStr">
        <is>
          <t>2025-01</t>
        </is>
      </c>
      <c r="F239" t="n">
        <v>298.7</v>
      </c>
      <c r="G239" t="n">
        <v>352.47</v>
      </c>
      <c r="H239">
        <f>הגדרות!B4</f>
        <v/>
      </c>
      <c r="I239">
        <f>F239*(1-H239/100)*1.18</f>
        <v/>
      </c>
      <c r="J239">
        <f>הגדרות!C4</f>
        <v/>
      </c>
      <c r="K239">
        <f>הגדרות!D4</f>
        <v/>
      </c>
      <c r="L239">
        <f>I239*(1+J239/100)+K239</f>
        <v/>
      </c>
    </row>
    <row r="240">
      <c r="A240" t="inlineStr">
        <is>
          <t>IDEXX</t>
        </is>
      </c>
      <c r="B240" t="inlineStr">
        <is>
          <t>Fructosamine - Add-On</t>
        </is>
      </c>
      <c r="D240" t="inlineStr">
        <is>
          <t>AFRU</t>
        </is>
      </c>
      <c r="E240" t="inlineStr">
        <is>
          <t>2025-01</t>
        </is>
      </c>
      <c r="F240" t="n">
        <v>89.90000000000001</v>
      </c>
      <c r="G240" t="n">
        <v>106.08</v>
      </c>
      <c r="H240">
        <f>הגדרות!B4</f>
        <v/>
      </c>
      <c r="I240">
        <f>F240*(1-H240/100)*1.18</f>
        <v/>
      </c>
      <c r="J240">
        <f>הגדרות!C4</f>
        <v/>
      </c>
      <c r="K240">
        <f>הגדרות!D4</f>
        <v/>
      </c>
      <c r="L240">
        <f>I240*(1+J240/100)+K240</f>
        <v/>
      </c>
    </row>
    <row r="241">
      <c r="A241" t="inlineStr">
        <is>
          <t>IDEXX</t>
        </is>
      </c>
      <c r="B241" t="inlineStr">
        <is>
          <t>Free T4 by Equilibrium Dialysis - Add-On</t>
        </is>
      </c>
      <c r="D241" t="inlineStr">
        <is>
          <t>AFT4</t>
        </is>
      </c>
      <c r="E241" t="inlineStr">
        <is>
          <t>2025-01</t>
        </is>
      </c>
      <c r="F241" t="n">
        <v>255.2</v>
      </c>
      <c r="G241" t="n">
        <v>301.14</v>
      </c>
      <c r="H241">
        <f>הגדרות!B4</f>
        <v/>
      </c>
      <c r="I241">
        <f>F241*(1-H241/100)*1.18</f>
        <v/>
      </c>
      <c r="J241">
        <f>הגדרות!C4</f>
        <v/>
      </c>
      <c r="K241">
        <f>הגדרות!D4</f>
        <v/>
      </c>
      <c r="L241">
        <f>I241*(1+J241/100)+K241</f>
        <v/>
      </c>
    </row>
    <row r="242">
      <c r="A242" t="inlineStr">
        <is>
          <t>IDEXX</t>
        </is>
      </c>
      <c r="B242" t="inlineStr">
        <is>
          <t>Spec fPL®, TLI, Folate &amp; Cobalamin (Feline) - Add-On</t>
        </is>
      </c>
      <c r="D242" t="inlineStr">
        <is>
          <t>AFTC</t>
        </is>
      </c>
      <c r="E242" t="inlineStr">
        <is>
          <t>2025-01</t>
        </is>
      </c>
      <c r="F242" t="n">
        <v>611.9</v>
      </c>
      <c r="G242" t="n">
        <v>722.04</v>
      </c>
      <c r="H242">
        <f>הגדרות!B4</f>
        <v/>
      </c>
      <c r="I242">
        <f>F242*(1-H242/100)*1.18</f>
        <v/>
      </c>
      <c r="J242">
        <f>הגדרות!C4</f>
        <v/>
      </c>
      <c r="K242">
        <f>הגדרות!D4</f>
        <v/>
      </c>
      <c r="L242">
        <f>I242*(1+J242/100)+K242</f>
        <v/>
      </c>
    </row>
    <row r="243">
      <c r="A243" t="inlineStr">
        <is>
          <t>IDEXX</t>
        </is>
      </c>
      <c r="B243" t="inlineStr">
        <is>
          <t>GGT - Add-On</t>
        </is>
      </c>
      <c r="D243" t="inlineStr">
        <is>
          <t>AGGT</t>
        </is>
      </c>
      <c r="E243" t="inlineStr">
        <is>
          <t>2025-01</t>
        </is>
      </c>
      <c r="F243" t="n">
        <v>37.7</v>
      </c>
      <c r="G243" t="n">
        <v>44.49</v>
      </c>
      <c r="H243">
        <f>הגדרות!B4</f>
        <v/>
      </c>
      <c r="I243">
        <f>F243*(1-H243/100)*1.18</f>
        <v/>
      </c>
      <c r="J243">
        <f>הגדרות!C4</f>
        <v/>
      </c>
      <c r="K243">
        <f>הגדרות!D4</f>
        <v/>
      </c>
      <c r="L243">
        <f>I243*(1+J243/100)+K243</f>
        <v/>
      </c>
    </row>
    <row r="244">
      <c r="A244" t="inlineStr">
        <is>
          <t>IDEXX</t>
        </is>
      </c>
      <c r="B244" t="inlineStr">
        <is>
          <t>Add Histology to a Dermatology Investigative Profile</t>
        </is>
      </c>
      <c r="D244" t="inlineStr">
        <is>
          <t>AHIS</t>
        </is>
      </c>
      <c r="E244" t="inlineStr">
        <is>
          <t>2025-01</t>
        </is>
      </c>
      <c r="F244" t="n">
        <v>513.3</v>
      </c>
      <c r="G244" t="n">
        <v>605.6900000000001</v>
      </c>
      <c r="H244">
        <f>הגדרות!B4</f>
        <v/>
      </c>
      <c r="I244">
        <f>F244*(1-H244/100)*1.18</f>
        <v/>
      </c>
      <c r="J244">
        <f>הגדרות!C4</f>
        <v/>
      </c>
      <c r="K244">
        <f>הגדרות!D4</f>
        <v/>
      </c>
      <c r="L244">
        <f>I244*(1+J244/100)+K244</f>
        <v/>
      </c>
    </row>
    <row r="245">
      <c r="A245" t="inlineStr">
        <is>
          <t>IDEXX</t>
        </is>
      </c>
      <c r="B245" t="inlineStr">
        <is>
          <t>Glucose and Insulin (Canine)</t>
        </is>
      </c>
      <c r="D245" t="inlineStr">
        <is>
          <t>AIGR</t>
        </is>
      </c>
      <c r="E245" t="inlineStr">
        <is>
          <t>2025-01</t>
        </is>
      </c>
      <c r="F245" t="n">
        <v>368.3</v>
      </c>
      <c r="G245" t="n">
        <v>434.59</v>
      </c>
      <c r="H245">
        <f>הגדרות!B4</f>
        <v/>
      </c>
      <c r="I245">
        <f>F245*(1-H245/100)*1.18</f>
        <v/>
      </c>
      <c r="J245">
        <f>הגדרות!C4</f>
        <v/>
      </c>
      <c r="K245">
        <f>הגדרות!D4</f>
        <v/>
      </c>
      <c r="L245">
        <f>I245*(1+J245/100)+K245</f>
        <v/>
      </c>
    </row>
    <row r="246">
      <c r="A246" t="inlineStr">
        <is>
          <t>IDEXX</t>
        </is>
      </c>
      <c r="B246" t="inlineStr">
        <is>
          <t>Leishmania serology (Canine) - Add-On</t>
        </is>
      </c>
      <c r="D246" t="inlineStr">
        <is>
          <t>ALEI</t>
        </is>
      </c>
      <c r="E246" t="inlineStr">
        <is>
          <t>2025-01</t>
        </is>
      </c>
      <c r="F246" t="n">
        <v>205.9</v>
      </c>
      <c r="G246" t="n">
        <v>242.96</v>
      </c>
      <c r="H246">
        <f>הגדרות!B4</f>
        <v/>
      </c>
      <c r="I246">
        <f>F246*(1-H246/100)*1.18</f>
        <v/>
      </c>
      <c r="J246">
        <f>הגדרות!C4</f>
        <v/>
      </c>
      <c r="K246">
        <f>הגדרות!D4</f>
        <v/>
      </c>
      <c r="L246">
        <f>I246*(1+J246/100)+K246</f>
        <v/>
      </c>
    </row>
    <row r="247">
      <c r="A247" t="inlineStr">
        <is>
          <t>IDEXX</t>
        </is>
      </c>
      <c r="B247" t="inlineStr">
        <is>
          <t>Aleutian Mink Disease (Parvovirus)</t>
        </is>
      </c>
      <c r="D247" t="inlineStr">
        <is>
          <t>AMD</t>
        </is>
      </c>
      <c r="E247" t="inlineStr">
        <is>
          <t>2025-01</t>
        </is>
      </c>
      <c r="F247" t="n">
        <v>1058.5</v>
      </c>
      <c r="G247" t="n">
        <v>1249.03</v>
      </c>
      <c r="H247">
        <f>הגדרות!B4</f>
        <v/>
      </c>
      <c r="I247">
        <f>F247*(1-H247/100)*1.18</f>
        <v/>
      </c>
      <c r="J247">
        <f>הגדרות!C4</f>
        <v/>
      </c>
      <c r="K247">
        <f>הגדרות!D4</f>
        <v/>
      </c>
      <c r="L247">
        <f>I247*(1+J247/100)+K247</f>
        <v/>
      </c>
    </row>
    <row r="248">
      <c r="A248" t="inlineStr">
        <is>
          <t>IDEXX</t>
        </is>
      </c>
      <c r="B248" t="inlineStr">
        <is>
          <t>Anti-Mullerian Hormone</t>
        </is>
      </c>
      <c r="D248" t="inlineStr">
        <is>
          <t>AMH</t>
        </is>
      </c>
      <c r="E248" t="inlineStr">
        <is>
          <t>2025-01</t>
        </is>
      </c>
      <c r="F248" t="n">
        <v>603.2</v>
      </c>
      <c r="G248" t="n">
        <v>711.78</v>
      </c>
      <c r="H248">
        <f>הגדרות!B4</f>
        <v/>
      </c>
      <c r="I248">
        <f>F248*(1-H248/100)*1.18</f>
        <v/>
      </c>
      <c r="J248">
        <f>הגדרות!C4</f>
        <v/>
      </c>
      <c r="K248">
        <f>הגדרות!D4</f>
        <v/>
      </c>
      <c r="L248">
        <f>I248*(1+J248/100)+K248</f>
        <v/>
      </c>
    </row>
    <row r="249">
      <c r="A249" t="inlineStr">
        <is>
          <t>IDEXX</t>
        </is>
      </c>
      <c r="B249" t="inlineStr">
        <is>
          <t>Haemotropic Mycoplasma PCR Panel (Feline) - Add-O</t>
        </is>
      </c>
      <c r="D249" t="inlineStr">
        <is>
          <t>nAMPC</t>
        </is>
      </c>
      <c r="E249" t="inlineStr">
        <is>
          <t>2025-01</t>
        </is>
      </c>
      <c r="F249" t="n">
        <v>582.9</v>
      </c>
      <c r="G249" t="n">
        <v>687.8200000000001</v>
      </c>
      <c r="H249">
        <f>הגדרות!B4</f>
        <v/>
      </c>
      <c r="I249">
        <f>F249*(1-H249/100)*1.18</f>
        <v/>
      </c>
      <c r="J249">
        <f>הגדרות!C4</f>
        <v/>
      </c>
      <c r="K249">
        <f>הגדרות!D4</f>
        <v/>
      </c>
      <c r="L249">
        <f>I249*(1+J249/100)+K249</f>
        <v/>
      </c>
    </row>
    <row r="250">
      <c r="A250" t="inlineStr">
        <is>
          <t>IDEXX</t>
        </is>
      </c>
      <c r="B250" t="inlineStr">
        <is>
          <t>Antinuclear Antibodies (Canine)</t>
        </is>
      </c>
      <c r="D250" t="inlineStr">
        <is>
          <t>ANF</t>
        </is>
      </c>
      <c r="E250" t="inlineStr">
        <is>
          <t>2025-01</t>
        </is>
      </c>
      <c r="F250" t="n">
        <v>356.7</v>
      </c>
      <c r="G250" t="n">
        <v>420.91</v>
      </c>
      <c r="H250">
        <f>הגדרות!B4</f>
        <v/>
      </c>
      <c r="I250">
        <f>F250*(1-H250/100)*1.18</f>
        <v/>
      </c>
      <c r="J250">
        <f>הגדרות!C4</f>
        <v/>
      </c>
      <c r="K250">
        <f>הגדרות!D4</f>
        <v/>
      </c>
      <c r="L250">
        <f>I250*(1+J250/100)+K250</f>
        <v/>
      </c>
    </row>
    <row r="251">
      <c r="A251" t="inlineStr">
        <is>
          <t>IDEXX</t>
        </is>
      </c>
      <c r="B251" t="inlineStr">
        <is>
          <t>Angio Detect™ Test (Lungworm) (Canine)</t>
        </is>
      </c>
      <c r="D251" t="inlineStr">
        <is>
          <t>ANGIO</t>
        </is>
      </c>
      <c r="E251" t="inlineStr">
        <is>
          <t>2025-01</t>
        </is>
      </c>
      <c r="F251" t="n">
        <v>185.6</v>
      </c>
      <c r="G251" t="n">
        <v>219.01</v>
      </c>
      <c r="H251">
        <f>הגדרות!B4</f>
        <v/>
      </c>
      <c r="I251">
        <f>F251*(1-H251/100)*1.18</f>
        <v/>
      </c>
      <c r="J251">
        <f>הגדרות!C4</f>
        <v/>
      </c>
      <c r="K251">
        <f>הגדרות!D4</f>
        <v/>
      </c>
      <c r="L251">
        <f>I251*(1+J251/100)+K251</f>
        <v/>
      </c>
    </row>
    <row r="252">
      <c r="A252" t="inlineStr">
        <is>
          <t>IDEXX</t>
        </is>
      </c>
      <c r="B252" t="inlineStr">
        <is>
          <t>Urine Protein:Creatinine Ratio - Add-On</t>
        </is>
      </c>
      <c r="D252" t="inlineStr">
        <is>
          <t>APCR</t>
        </is>
      </c>
      <c r="E252" t="inlineStr">
        <is>
          <t>2025-01</t>
        </is>
      </c>
      <c r="F252" t="n">
        <v>150.8</v>
      </c>
      <c r="G252" t="n">
        <v>177.94</v>
      </c>
      <c r="H252">
        <f>הגדרות!B4</f>
        <v/>
      </c>
      <c r="I252">
        <f>F252*(1-H252/100)*1.18</f>
        <v/>
      </c>
      <c r="J252">
        <f>הגדרות!C4</f>
        <v/>
      </c>
      <c r="K252">
        <f>הגדרות!D4</f>
        <v/>
      </c>
      <c r="L252">
        <f>I252*(1+J252/100)+K252</f>
        <v/>
      </c>
    </row>
    <row r="253">
      <c r="A253" t="inlineStr">
        <is>
          <t>IDEXX</t>
        </is>
      </c>
      <c r="B253" t="inlineStr">
        <is>
          <t>Acetylcholine Receptor Antibodies</t>
        </is>
      </c>
      <c r="D253" t="inlineStr">
        <is>
          <t>ARA</t>
        </is>
      </c>
      <c r="E253" t="inlineStr">
        <is>
          <t>2025-01</t>
        </is>
      </c>
      <c r="F253" t="n">
        <v>1122.3</v>
      </c>
      <c r="G253" t="n">
        <v>1324.31</v>
      </c>
      <c r="H253">
        <f>הגדרות!B4</f>
        <v/>
      </c>
      <c r="I253">
        <f>F253*(1-H253/100)*1.18</f>
        <v/>
      </c>
      <c r="J253">
        <f>הגדרות!C4</f>
        <v/>
      </c>
      <c r="K253">
        <f>הגדרות!D4</f>
        <v/>
      </c>
      <c r="L253">
        <f>I253*(1+J253/100)+K253</f>
        <v/>
      </c>
    </row>
    <row r="254">
      <c r="A254" t="inlineStr">
        <is>
          <t>IDEXX</t>
        </is>
      </c>
      <c r="B254" t="inlineStr">
        <is>
          <t>Arenavirus RNA PCR</t>
        </is>
      </c>
      <c r="D254" t="inlineStr">
        <is>
          <t>ARVP</t>
        </is>
      </c>
      <c r="E254" t="inlineStr">
        <is>
          <t>2025-01</t>
        </is>
      </c>
      <c r="F254" t="n">
        <v>707.6</v>
      </c>
      <c r="G254" t="n">
        <v>834.97</v>
      </c>
      <c r="H254">
        <f>הגדרות!B4</f>
        <v/>
      </c>
      <c r="I254">
        <f>F254*(1-H254/100)*1.18</f>
        <v/>
      </c>
      <c r="J254">
        <f>הגדרות!C4</f>
        <v/>
      </c>
      <c r="K254">
        <f>הגדרות!D4</f>
        <v/>
      </c>
      <c r="L254">
        <f>I254*(1+J254/100)+K254</f>
        <v/>
      </c>
    </row>
    <row r="255">
      <c r="A255" t="inlineStr">
        <is>
          <t>IDEXX</t>
        </is>
      </c>
      <c r="B255" t="inlineStr">
        <is>
          <t>Basic Faecal Screen plus Giardia Antigen - Add-On</t>
        </is>
      </c>
      <c r="D255" t="inlineStr">
        <is>
          <t>ASARCG</t>
        </is>
      </c>
      <c r="E255" t="inlineStr">
        <is>
          <t>2025-01</t>
        </is>
      </c>
      <c r="F255" t="n">
        <v>278.4</v>
      </c>
      <c r="G255" t="n">
        <v>328.51</v>
      </c>
      <c r="H255">
        <f>הגדרות!B4</f>
        <v/>
      </c>
      <c r="I255">
        <f>F255*(1-H255/100)*1.18</f>
        <v/>
      </c>
      <c r="J255">
        <f>הגדרות!C4</f>
        <v/>
      </c>
      <c r="K255">
        <f>הגדרות!D4</f>
        <v/>
      </c>
      <c r="L255">
        <f>I255*(1+J255/100)+K255</f>
        <v/>
      </c>
    </row>
    <row r="256">
      <c r="A256" t="inlineStr">
        <is>
          <t>IDEXX</t>
        </is>
      </c>
      <c r="B256" t="inlineStr">
        <is>
          <t>SDMA - Add-On</t>
        </is>
      </c>
      <c r="D256" t="inlineStr">
        <is>
          <t>ASDMA</t>
        </is>
      </c>
      <c r="E256" t="inlineStr">
        <is>
          <t>2025-01</t>
        </is>
      </c>
      <c r="F256" t="n">
        <v>89.90000000000001</v>
      </c>
      <c r="G256" t="n">
        <v>106.08</v>
      </c>
      <c r="H256">
        <f>הגדרות!B4</f>
        <v/>
      </c>
      <c r="I256">
        <f>F256*(1-H256/100)*1.18</f>
        <v/>
      </c>
      <c r="J256">
        <f>הגדרות!C4</f>
        <v/>
      </c>
      <c r="K256">
        <f>הגדרות!D4</f>
        <v/>
      </c>
      <c r="L256">
        <f>I256*(1+J256/100)+K256</f>
        <v/>
      </c>
    </row>
    <row r="257">
      <c r="A257" t="inlineStr">
        <is>
          <t>IDEXX</t>
        </is>
      </c>
      <c r="B257" t="inlineStr">
        <is>
          <t>Serum Protein Electrophoresis - Add-On</t>
        </is>
      </c>
      <c r="D257" t="inlineStr">
        <is>
          <t>ASPE</t>
        </is>
      </c>
      <c r="E257" t="inlineStr">
        <is>
          <t>2025-01</t>
        </is>
      </c>
      <c r="F257" t="n">
        <v>127.6</v>
      </c>
      <c r="G257" t="n">
        <v>150.57</v>
      </c>
      <c r="H257">
        <f>הגדרות!B4</f>
        <v/>
      </c>
      <c r="I257">
        <f>F257*(1-H257/100)*1.18</f>
        <v/>
      </c>
      <c r="J257">
        <f>הגדרות!C4</f>
        <v/>
      </c>
      <c r="K257">
        <f>הגדרות!D4</f>
        <v/>
      </c>
      <c r="L257">
        <f>I257*(1+J257/100)+K257</f>
        <v/>
      </c>
    </row>
    <row r="258">
      <c r="A258" t="inlineStr">
        <is>
          <t>IDEXX</t>
        </is>
      </c>
      <c r="B258" t="inlineStr">
        <is>
          <t>Aspergillus Antibody</t>
        </is>
      </c>
      <c r="D258" t="inlineStr">
        <is>
          <t>ASPS</t>
        </is>
      </c>
      <c r="E258" t="inlineStr">
        <is>
          <t>2025-01</t>
        </is>
      </c>
      <c r="F258" t="n">
        <v>472.7</v>
      </c>
      <c r="G258" t="n">
        <v>557.79</v>
      </c>
      <c r="H258">
        <f>הגדרות!B4</f>
        <v/>
      </c>
      <c r="I258">
        <f>F258*(1-H258/100)*1.18</f>
        <v/>
      </c>
      <c r="J258">
        <f>הגדרות!C4</f>
        <v/>
      </c>
      <c r="K258">
        <f>הגדרות!D4</f>
        <v/>
      </c>
      <c r="L258">
        <f>I258*(1+J258/100)+K258</f>
        <v/>
      </c>
    </row>
    <row r="259">
      <c r="A259" t="inlineStr">
        <is>
          <t>IDEXX</t>
        </is>
      </c>
      <c r="B259" t="inlineStr">
        <is>
          <t>Total T4 - Add-On</t>
        </is>
      </c>
      <c r="D259" t="inlineStr">
        <is>
          <t>AT4</t>
        </is>
      </c>
      <c r="E259" t="inlineStr">
        <is>
          <t>2025-01</t>
        </is>
      </c>
      <c r="F259" t="n">
        <v>58</v>
      </c>
      <c r="G259" t="n">
        <v>68.44</v>
      </c>
      <c r="H259">
        <f>הגדרות!B4</f>
        <v/>
      </c>
      <c r="I259">
        <f>F259*(1-H259/100)*1.18</f>
        <v/>
      </c>
      <c r="J259">
        <f>הגדרות!C4</f>
        <v/>
      </c>
      <c r="K259">
        <f>הגדרות!D4</f>
        <v/>
      </c>
      <c r="L259">
        <f>I259*(1+J259/100)+K259</f>
        <v/>
      </c>
    </row>
    <row r="260">
      <c r="A260" t="inlineStr">
        <is>
          <t>IDEXX</t>
        </is>
      </c>
      <c r="B260" t="inlineStr">
        <is>
          <t>TLI, Folate &amp; Cobalamin (Canine) - Add-On</t>
        </is>
      </c>
      <c r="D260" t="inlineStr">
        <is>
          <t>ATFC</t>
        </is>
      </c>
      <c r="E260" t="inlineStr">
        <is>
          <t>2025-01</t>
        </is>
      </c>
      <c r="F260" t="n">
        <v>333.5</v>
      </c>
      <c r="G260" t="n">
        <v>393.53</v>
      </c>
      <c r="H260">
        <f>הגדרות!B4</f>
        <v/>
      </c>
      <c r="I260">
        <f>F260*(1-H260/100)*1.18</f>
        <v/>
      </c>
      <c r="J260">
        <f>הגדרות!C4</f>
        <v/>
      </c>
      <c r="K260">
        <f>הגדרות!D4</f>
        <v/>
      </c>
      <c r="L260">
        <f>I260*(1+J260/100)+K260</f>
        <v/>
      </c>
    </row>
    <row r="261">
      <c r="A261" t="inlineStr">
        <is>
          <t>IDEXX</t>
        </is>
      </c>
      <c r="B261" t="inlineStr">
        <is>
          <t>TLI, Folate &amp; Cobalamin (Feline) - Add-On</t>
        </is>
      </c>
      <c r="D261" t="inlineStr">
        <is>
          <t>ATFF</t>
        </is>
      </c>
      <c r="E261" t="inlineStr">
        <is>
          <t>2025-01</t>
        </is>
      </c>
      <c r="F261" t="n">
        <v>403.1</v>
      </c>
      <c r="G261" t="n">
        <v>475.66</v>
      </c>
      <c r="H261">
        <f>הגדרות!B4</f>
        <v/>
      </c>
      <c r="I261">
        <f>F261*(1-H261/100)*1.18</f>
        <v/>
      </c>
      <c r="J261">
        <f>הגדרות!C4</f>
        <v/>
      </c>
      <c r="K261">
        <f>הגדרות!D4</f>
        <v/>
      </c>
      <c r="L261">
        <f>I261*(1+J261/100)+K261</f>
        <v/>
      </c>
    </row>
    <row r="262">
      <c r="A262" t="inlineStr">
        <is>
          <t>IDEXX</t>
        </is>
      </c>
      <c r="B262" t="inlineStr">
        <is>
          <t>TLI (Canine) - Add-On</t>
        </is>
      </c>
      <c r="D262" t="inlineStr">
        <is>
          <t>ATLIC</t>
        </is>
      </c>
      <c r="E262" t="inlineStr">
        <is>
          <t>2025-01</t>
        </is>
      </c>
      <c r="F262" t="n">
        <v>205.9</v>
      </c>
      <c r="G262" t="n">
        <v>242.96</v>
      </c>
      <c r="H262">
        <f>הגדרות!B4</f>
        <v/>
      </c>
      <c r="I262">
        <f>F262*(1-H262/100)*1.18</f>
        <v/>
      </c>
      <c r="J262">
        <f>הגדרות!C4</f>
        <v/>
      </c>
      <c r="K262">
        <f>הגדרות!D4</f>
        <v/>
      </c>
      <c r="L262">
        <f>I262*(1+J262/100)+K262</f>
        <v/>
      </c>
    </row>
    <row r="263">
      <c r="A263" t="inlineStr">
        <is>
          <t>IDEXX</t>
        </is>
      </c>
      <c r="B263" t="inlineStr">
        <is>
          <t>TLI (Feline) - Add-On</t>
        </is>
      </c>
      <c r="D263" t="inlineStr">
        <is>
          <t>ATLIF</t>
        </is>
      </c>
      <c r="E263" t="inlineStr">
        <is>
          <t>2025-01</t>
        </is>
      </c>
      <c r="F263" t="n">
        <v>269.7</v>
      </c>
      <c r="G263" t="n">
        <v>318.25</v>
      </c>
      <c r="H263">
        <f>הגדרות!B4</f>
        <v/>
      </c>
      <c r="I263">
        <f>F263*(1-H263/100)*1.18</f>
        <v/>
      </c>
      <c r="J263">
        <f>הגדרות!C4</f>
        <v/>
      </c>
      <c r="K263">
        <f>הגדרות!D4</f>
        <v/>
      </c>
      <c r="L263">
        <f>I263*(1+J263/100)+K263</f>
        <v/>
      </c>
    </row>
    <row r="264">
      <c r="A264" t="inlineStr">
        <is>
          <t>IDEXX</t>
        </is>
      </c>
      <c r="B264" t="inlineStr">
        <is>
          <t>Atopy Investigative Panel</t>
        </is>
      </c>
      <c r="D264" t="inlineStr">
        <is>
          <t>ATOPY</t>
        </is>
      </c>
      <c r="E264" t="inlineStr">
        <is>
          <t>2025-01</t>
        </is>
      </c>
      <c r="F264" t="n">
        <v>1513.8</v>
      </c>
      <c r="G264" t="n">
        <v>1786.28</v>
      </c>
      <c r="H264">
        <f>הגדרות!B4</f>
        <v/>
      </c>
      <c r="I264">
        <f>F264*(1-H264/100)*1.18</f>
        <v/>
      </c>
      <c r="J264">
        <f>הגדרות!C4</f>
        <v/>
      </c>
      <c r="K264">
        <f>הגדרות!D4</f>
        <v/>
      </c>
      <c r="L264">
        <f>I264*(1+J264/100)+K264</f>
        <v/>
      </c>
    </row>
    <row r="265">
      <c r="A265" t="inlineStr">
        <is>
          <t>IDEXX</t>
        </is>
      </c>
      <c r="B265" t="inlineStr">
        <is>
          <t>Urine Chemistry, Microscopy &amp; Culture - Add-On</t>
        </is>
      </c>
      <c r="D265" t="inlineStr">
        <is>
          <t>AUCE</t>
        </is>
      </c>
      <c r="E265" t="inlineStr">
        <is>
          <t>2025-01</t>
        </is>
      </c>
      <c r="F265" t="n">
        <v>290</v>
      </c>
      <c r="G265" t="n">
        <v>342.2</v>
      </c>
      <c r="H265">
        <f>הגדרות!B4</f>
        <v/>
      </c>
      <c r="I265">
        <f>F265*(1-H265/100)*1.18</f>
        <v/>
      </c>
      <c r="J265">
        <f>הגדרות!C4</f>
        <v/>
      </c>
      <c r="K265">
        <f>הגדרות!D4</f>
        <v/>
      </c>
      <c r="L265">
        <f>I265*(1+J265/100)+K265</f>
        <v/>
      </c>
    </row>
    <row r="266">
      <c r="A266" t="inlineStr">
        <is>
          <t>IDEXX</t>
        </is>
      </c>
      <c r="B266" t="inlineStr">
        <is>
          <t>Urine Culture - Add-On</t>
        </is>
      </c>
      <c r="D266" t="inlineStr">
        <is>
          <t>AUCUL</t>
        </is>
      </c>
      <c r="E266" t="inlineStr">
        <is>
          <t>2025-01</t>
        </is>
      </c>
      <c r="F266" t="n">
        <v>197.2</v>
      </c>
      <c r="G266" t="n">
        <v>232.7</v>
      </c>
      <c r="H266">
        <f>הגדרות!B4</f>
        <v/>
      </c>
      <c r="I266">
        <f>F266*(1-H266/100)*1.18</f>
        <v/>
      </c>
      <c r="J266">
        <f>הגדרות!C4</f>
        <v/>
      </c>
      <c r="K266">
        <f>הגדרות!D4</f>
        <v/>
      </c>
      <c r="L266">
        <f>I266*(1+J266/100)+K266</f>
        <v/>
      </c>
    </row>
    <row r="267">
      <c r="A267" t="inlineStr">
        <is>
          <t>IDEXX</t>
        </is>
      </c>
      <c r="B267" t="inlineStr">
        <is>
          <t>Urine Minimum Database - Add-On</t>
        </is>
      </c>
      <c r="D267" t="inlineStr">
        <is>
          <t>AUENC</t>
        </is>
      </c>
      <c r="E267" t="inlineStr">
        <is>
          <t>2025-01</t>
        </is>
      </c>
      <c r="F267" t="n">
        <v>145</v>
      </c>
      <c r="G267" t="n">
        <v>171.1</v>
      </c>
      <c r="H267">
        <f>הגדרות!B4</f>
        <v/>
      </c>
      <c r="I267">
        <f>F267*(1-H267/100)*1.18</f>
        <v/>
      </c>
      <c r="J267">
        <f>הגדרות!C4</f>
        <v/>
      </c>
      <c r="K267">
        <f>הגדרות!D4</f>
        <v/>
      </c>
      <c r="L267">
        <f>I267*(1+J267/100)+K267</f>
        <v/>
      </c>
    </row>
    <row r="268">
      <c r="A268" t="inlineStr">
        <is>
          <t>IDEXX</t>
        </is>
      </c>
      <c r="B268" t="inlineStr">
        <is>
          <t>Basic Avian Faecal Screen</t>
        </is>
      </c>
      <c r="D268" t="inlineStr">
        <is>
          <t>AV</t>
        </is>
      </c>
      <c r="E268" t="inlineStr">
        <is>
          <t>2025-01</t>
        </is>
      </c>
      <c r="F268" t="n">
        <v>313.2</v>
      </c>
      <c r="G268" t="n">
        <v>369.58</v>
      </c>
      <c r="H268">
        <f>הגדרות!B4</f>
        <v/>
      </c>
      <c r="I268">
        <f>F268*(1-H268/100)*1.18</f>
        <v/>
      </c>
      <c r="J268">
        <f>הגדרות!C4</f>
        <v/>
      </c>
      <c r="K268">
        <f>הגדרות!D4</f>
        <v/>
      </c>
      <c r="L268">
        <f>I268*(1+J268/100)+K268</f>
        <v/>
      </c>
    </row>
    <row r="269">
      <c r="A269" t="inlineStr">
        <is>
          <t>IDEXX</t>
        </is>
      </c>
      <c r="B269" t="inlineStr">
        <is>
          <t>Avian Basic Profile</t>
        </is>
      </c>
      <c r="D269" t="inlineStr">
        <is>
          <t>AVB</t>
        </is>
      </c>
      <c r="E269" t="inlineStr">
        <is>
          <t>2025-01</t>
        </is>
      </c>
      <c r="F269" t="n">
        <v>464</v>
      </c>
      <c r="G269" t="n">
        <v>547.52</v>
      </c>
      <c r="H269">
        <f>הגדרות!B4</f>
        <v/>
      </c>
      <c r="I269">
        <f>F269*(1-H269/100)*1.18</f>
        <v/>
      </c>
      <c r="J269">
        <f>הגדרות!C4</f>
        <v/>
      </c>
      <c r="K269">
        <f>הגדרות!D4</f>
        <v/>
      </c>
      <c r="L269">
        <f>I269*(1+J269/100)+K269</f>
        <v/>
      </c>
    </row>
    <row r="270">
      <c r="A270" t="inlineStr">
        <is>
          <t>IDEXX</t>
        </is>
      </c>
      <c r="B270" t="inlineStr">
        <is>
          <t>Comprehensive Avian Faecal Screen</t>
        </is>
      </c>
      <c r="D270" t="inlineStr">
        <is>
          <t>AVCC</t>
        </is>
      </c>
      <c r="E270" t="inlineStr">
        <is>
          <t>2025-01</t>
        </is>
      </c>
      <c r="F270" t="n">
        <v>640.9</v>
      </c>
      <c r="G270" t="n">
        <v>756.26</v>
      </c>
      <c r="H270">
        <f>הגדרות!B4</f>
        <v/>
      </c>
      <c r="I270">
        <f>F270*(1-H270/100)*1.18</f>
        <v/>
      </c>
      <c r="J270">
        <f>הגדרות!C4</f>
        <v/>
      </c>
      <c r="K270">
        <f>הגדרות!D4</f>
        <v/>
      </c>
      <c r="L270">
        <f>I270*(1+J270/100)+K270</f>
        <v/>
      </c>
    </row>
    <row r="271">
      <c r="A271" t="inlineStr">
        <is>
          <t>IDEXX</t>
        </is>
      </c>
      <c r="B271" t="inlineStr">
        <is>
          <t>Comprehensive Avian Profile</t>
        </is>
      </c>
      <c r="D271" t="inlineStr">
        <is>
          <t>AVE</t>
        </is>
      </c>
      <c r="E271" t="inlineStr">
        <is>
          <t>2025-01</t>
        </is>
      </c>
      <c r="F271" t="n">
        <v>609</v>
      </c>
      <c r="G271" t="n">
        <v>718.62</v>
      </c>
      <c r="H271">
        <f>הגדרות!B4</f>
        <v/>
      </c>
      <c r="I271">
        <f>F271*(1-H271/100)*1.18</f>
        <v/>
      </c>
      <c r="J271">
        <f>הגדרות!C4</f>
        <v/>
      </c>
      <c r="K271">
        <f>הגדרות!D4</f>
        <v/>
      </c>
      <c r="L271">
        <f>I271*(1+J271/100)+K271</f>
        <v/>
      </c>
    </row>
    <row r="272">
      <c r="A272" t="inlineStr">
        <is>
          <t>IDEXX</t>
        </is>
      </c>
      <c r="B272" t="inlineStr">
        <is>
          <t>Avian Panel 1</t>
        </is>
      </c>
      <c r="D272" t="inlineStr">
        <is>
          <t>AVP1</t>
        </is>
      </c>
      <c r="E272" t="inlineStr">
        <is>
          <t>2025-01</t>
        </is>
      </c>
      <c r="F272" t="n">
        <v>487.2</v>
      </c>
      <c r="G272" t="n">
        <v>574.9</v>
      </c>
      <c r="H272">
        <f>הגדרות!B4</f>
        <v/>
      </c>
      <c r="I272">
        <f>F272*(1-H272/100)*1.18</f>
        <v/>
      </c>
      <c r="J272">
        <f>הגדרות!C4</f>
        <v/>
      </c>
      <c r="K272">
        <f>הגדרות!D4</f>
        <v/>
      </c>
      <c r="L272">
        <f>I272*(1+J272/100)+K272</f>
        <v/>
      </c>
    </row>
    <row r="273">
      <c r="A273" t="inlineStr">
        <is>
          <t>IDEXX</t>
        </is>
      </c>
      <c r="B273" t="inlineStr">
        <is>
          <t>Avian Panel 2</t>
        </is>
      </c>
      <c r="D273" t="inlineStr">
        <is>
          <t>AVP2</t>
        </is>
      </c>
      <c r="E273" t="inlineStr">
        <is>
          <t>2025-01</t>
        </is>
      </c>
      <c r="F273" t="n">
        <v>582.9</v>
      </c>
      <c r="G273" t="n">
        <v>687.8200000000001</v>
      </c>
      <c r="H273">
        <f>הגדרות!B4</f>
        <v/>
      </c>
      <c r="I273">
        <f>F273*(1-H273/100)*1.18</f>
        <v/>
      </c>
      <c r="J273">
        <f>הגדרות!C4</f>
        <v/>
      </c>
      <c r="K273">
        <f>הגדרות!D4</f>
        <v/>
      </c>
      <c r="L273">
        <f>I273*(1+J273/100)+K273</f>
        <v/>
      </c>
    </row>
    <row r="274">
      <c r="A274" t="inlineStr">
        <is>
          <t>IDEXX</t>
        </is>
      </c>
      <c r="B274" t="inlineStr">
        <is>
          <t>Avian Panel 3</t>
        </is>
      </c>
      <c r="D274" t="inlineStr">
        <is>
          <t>AVP3</t>
        </is>
      </c>
      <c r="E274" t="inlineStr">
        <is>
          <t>2025-01</t>
        </is>
      </c>
      <c r="F274" t="n">
        <v>582.9</v>
      </c>
      <c r="G274" t="n">
        <v>687.8200000000001</v>
      </c>
      <c r="H274">
        <f>הגדרות!B4</f>
        <v/>
      </c>
      <c r="I274">
        <f>F274*(1-H274/100)*1.18</f>
        <v/>
      </c>
      <c r="J274">
        <f>הגדרות!C4</f>
        <v/>
      </c>
      <c r="K274">
        <f>הגדרות!D4</f>
        <v/>
      </c>
      <c r="L274">
        <f>I274*(1+J274/100)+K274</f>
        <v/>
      </c>
    </row>
    <row r="275">
      <c r="A275" t="inlineStr">
        <is>
          <t>IDEXX</t>
        </is>
      </c>
      <c r="B275" t="inlineStr">
        <is>
          <t>Avian Panel 4</t>
        </is>
      </c>
      <c r="D275" t="inlineStr">
        <is>
          <t>AVP4</t>
        </is>
      </c>
      <c r="E275" t="inlineStr">
        <is>
          <t>2025-01</t>
        </is>
      </c>
      <c r="F275" t="n">
        <v>667</v>
      </c>
      <c r="G275" t="n">
        <v>787.0599999999999</v>
      </c>
      <c r="H275">
        <f>הגדרות!B4</f>
        <v/>
      </c>
      <c r="I275">
        <f>F275*(1-H275/100)*1.18</f>
        <v/>
      </c>
      <c r="J275">
        <f>הגדרות!C4</f>
        <v/>
      </c>
      <c r="K275">
        <f>הגדרות!D4</f>
        <v/>
      </c>
      <c r="L275">
        <f>I275*(1+J275/100)+K275</f>
        <v/>
      </c>
    </row>
    <row r="276">
      <c r="A276" t="inlineStr">
        <is>
          <t>IDEXX</t>
        </is>
      </c>
      <c r="B276" t="inlineStr">
        <is>
          <t>Free T4 by immunoassay - Add-On</t>
        </is>
      </c>
      <c r="D276" t="inlineStr">
        <is>
          <t>AVT4</t>
        </is>
      </c>
      <c r="E276" t="inlineStr">
        <is>
          <t>2025-01</t>
        </is>
      </c>
      <c r="F276" t="n">
        <v>176.9</v>
      </c>
      <c r="G276" t="n">
        <v>208.74</v>
      </c>
      <c r="H276">
        <f>הגדרות!B4</f>
        <v/>
      </c>
      <c r="I276">
        <f>F276*(1-H276/100)*1.18</f>
        <v/>
      </c>
      <c r="J276">
        <f>הגדרות!C4</f>
        <v/>
      </c>
      <c r="K276">
        <f>הגדרות!D4</f>
        <v/>
      </c>
      <c r="L276">
        <f>I276*(1+J276/100)+K276</f>
        <v/>
      </c>
    </row>
    <row r="277">
      <c r="A277" t="inlineStr">
        <is>
          <t>IDEXX</t>
        </is>
      </c>
      <c r="B277" t="inlineStr">
        <is>
          <t>Bile Acid (Fasting)</t>
        </is>
      </c>
      <c r="D277" t="inlineStr">
        <is>
          <t>BA</t>
        </is>
      </c>
      <c r="E277" t="inlineStr">
        <is>
          <t>2025-01</t>
        </is>
      </c>
      <c r="F277" t="n">
        <v>118.9</v>
      </c>
      <c r="G277" t="n">
        <v>140.3</v>
      </c>
      <c r="H277">
        <f>הגדרות!B4</f>
        <v/>
      </c>
      <c r="I277">
        <f>F277*(1-H277/100)*1.18</f>
        <v/>
      </c>
      <c r="J277">
        <f>הגדרות!C4</f>
        <v/>
      </c>
      <c r="K277">
        <f>הגדרות!D4</f>
        <v/>
      </c>
      <c r="L277">
        <f>I277*(1+J277/100)+K277</f>
        <v/>
      </c>
    </row>
    <row r="278">
      <c r="A278" t="inlineStr">
        <is>
          <t>IDEXX</t>
        </is>
      </c>
      <c r="B278" t="inlineStr">
        <is>
          <t>Baermann Test for Lungworm - Add-On</t>
        </is>
      </c>
      <c r="D278" t="inlineStr">
        <is>
          <t>BAEA</t>
        </is>
      </c>
      <c r="E278" t="inlineStr">
        <is>
          <t>2025-01</t>
        </is>
      </c>
      <c r="F278" t="n">
        <v>150.8</v>
      </c>
      <c r="G278" t="n">
        <v>177.94</v>
      </c>
      <c r="H278">
        <f>הגדרות!B4</f>
        <v/>
      </c>
      <c r="I278">
        <f>F278*(1-H278/100)*1.18</f>
        <v/>
      </c>
      <c r="J278">
        <f>הגדרות!C4</f>
        <v/>
      </c>
      <c r="K278">
        <f>הגדרות!D4</f>
        <v/>
      </c>
      <c r="L278">
        <f>I278*(1+J278/100)+K278</f>
        <v/>
      </c>
    </row>
    <row r="279">
      <c r="A279" t="inlineStr">
        <is>
          <t>IDEXX</t>
        </is>
      </c>
      <c r="B279" t="inlineStr">
        <is>
          <t>Baermann Test for Lungworm</t>
        </is>
      </c>
      <c r="D279" t="inlineStr">
        <is>
          <t>BAER</t>
        </is>
      </c>
      <c r="E279" t="inlineStr">
        <is>
          <t>2025-01</t>
        </is>
      </c>
      <c r="F279" t="n">
        <v>249.4</v>
      </c>
      <c r="G279" t="n">
        <v>294.29</v>
      </c>
      <c r="H279">
        <f>הגדרות!B4</f>
        <v/>
      </c>
      <c r="I279">
        <f>F279*(1-H279/100)*1.18</f>
        <v/>
      </c>
      <c r="J279">
        <f>הגדרות!C4</f>
        <v/>
      </c>
      <c r="K279">
        <f>הגדרות!D4</f>
        <v/>
      </c>
      <c r="L279">
        <f>I279*(1+J279/100)+K279</f>
        <v/>
      </c>
    </row>
    <row r="280">
      <c r="A280" t="inlineStr">
        <is>
          <t>IDEXX</t>
        </is>
      </c>
      <c r="B280" t="inlineStr">
        <is>
          <t>Bile Acid (Post Feed) - Add-On</t>
        </is>
      </c>
      <c r="D280" t="inlineStr">
        <is>
          <t>BAP</t>
        </is>
      </c>
      <c r="E280" t="inlineStr">
        <is>
          <t>2025-01</t>
        </is>
      </c>
      <c r="F280" t="n">
        <v>72.5</v>
      </c>
      <c r="G280" t="n">
        <v>85.55</v>
      </c>
      <c r="H280">
        <f>הגדרות!B4</f>
        <v/>
      </c>
      <c r="I280">
        <f>F280*(1-H280/100)*1.18</f>
        <v/>
      </c>
      <c r="J280">
        <f>הגדרות!C4</f>
        <v/>
      </c>
      <c r="K280">
        <f>הגדרות!D4</f>
        <v/>
      </c>
      <c r="L280">
        <f>I280*(1+J280/100)+K280</f>
        <v/>
      </c>
    </row>
    <row r="281">
      <c r="A281" t="inlineStr">
        <is>
          <t>IDEXX</t>
        </is>
      </c>
      <c r="B281" t="inlineStr">
        <is>
          <t>Bile Acid (Post Feed)</t>
        </is>
      </c>
      <c r="D281" t="inlineStr">
        <is>
          <t>BAPOST</t>
        </is>
      </c>
      <c r="E281" t="inlineStr">
        <is>
          <t>2025-01</t>
        </is>
      </c>
      <c r="F281" t="n">
        <v>118.9</v>
      </c>
      <c r="G281" t="n">
        <v>140.3</v>
      </c>
      <c r="H281">
        <f>הגדרות!B4</f>
        <v/>
      </c>
      <c r="I281">
        <f>F281*(1-H281/100)*1.18</f>
        <v/>
      </c>
      <c r="J281">
        <f>הגדרות!C4</f>
        <v/>
      </c>
      <c r="K281">
        <f>הגדרות!D4</f>
        <v/>
      </c>
      <c r="L281">
        <f>I281*(1+J281/100)+K281</f>
        <v/>
      </c>
    </row>
    <row r="282">
      <c r="A282" t="inlineStr">
        <is>
          <t>IDEXX</t>
        </is>
      </c>
      <c r="B282" t="inlineStr">
        <is>
          <t>Bile Acid Stimulation Test</t>
        </is>
      </c>
      <c r="D282" t="inlineStr">
        <is>
          <t>BAS</t>
        </is>
      </c>
      <c r="E282" t="inlineStr">
        <is>
          <t>2025-01</t>
        </is>
      </c>
      <c r="F282" t="n">
        <v>205.9</v>
      </c>
      <c r="G282" t="n">
        <v>242.96</v>
      </c>
      <c r="H282">
        <f>הגדרות!B4</f>
        <v/>
      </c>
      <c r="I282">
        <f>F282*(1-H282/100)*1.18</f>
        <v/>
      </c>
      <c r="J282">
        <f>הגדרות!C4</f>
        <v/>
      </c>
      <c r="K282">
        <f>הגדרות!D4</f>
        <v/>
      </c>
      <c r="L282">
        <f>I282*(1+J282/100)+K282</f>
        <v/>
      </c>
    </row>
    <row r="283">
      <c r="A283" t="inlineStr">
        <is>
          <t>IDEXX</t>
        </is>
      </c>
      <c r="B283" t="inlineStr">
        <is>
          <t>Blood Culture</t>
        </is>
      </c>
      <c r="D283" t="inlineStr">
        <is>
          <t>BC</t>
        </is>
      </c>
      <c r="E283" t="inlineStr">
        <is>
          <t>2025-01</t>
        </is>
      </c>
      <c r="F283" t="n">
        <v>429.2</v>
      </c>
      <c r="G283" t="n">
        <v>506.46</v>
      </c>
      <c r="H283">
        <f>הגדרות!B4</f>
        <v/>
      </c>
      <c r="I283">
        <f>F283*(1-H283/100)*1.18</f>
        <v/>
      </c>
      <c r="J283">
        <f>הגדרות!C4</f>
        <v/>
      </c>
      <c r="K283">
        <f>הגדרות!D4</f>
        <v/>
      </c>
      <c r="L283">
        <f>I283*(1+J283/100)+K283</f>
        <v/>
      </c>
    </row>
    <row r="284">
      <c r="A284" t="inlineStr">
        <is>
          <t>IDEXX</t>
        </is>
      </c>
      <c r="B284" t="inlineStr">
        <is>
          <t>Body Cavity Fluid Cytology (Ascitic/Pericardial/Pleura</t>
        </is>
      </c>
      <c r="D284" t="inlineStr">
        <is>
          <t>lB) C- 1F LFDluid/S</t>
        </is>
      </c>
      <c r="E284" t="inlineStr">
        <is>
          <t>2025-01</t>
        </is>
      </c>
      <c r="F284" t="n">
        <v>690.2</v>
      </c>
      <c r="G284" t="n">
        <v>814.4400000000001</v>
      </c>
      <c r="H284">
        <f>הגדרות!B4</f>
        <v/>
      </c>
      <c r="I284">
        <f>F284*(1-H284/100)*1.18</f>
        <v/>
      </c>
      <c r="J284">
        <f>הגדרות!C4</f>
        <v/>
      </c>
      <c r="K284">
        <f>הגדרות!D4</f>
        <v/>
      </c>
      <c r="L284">
        <f>I284*(1+J284/100)+K284</f>
        <v/>
      </c>
    </row>
    <row r="285">
      <c r="A285" t="inlineStr">
        <is>
          <t>IDEXX</t>
        </is>
      </c>
      <c r="B285" t="inlineStr">
        <is>
          <t>Body Cavity Fluid Cytology (Ascitic/Pericardial/Pleura</t>
        </is>
      </c>
      <c r="D285" t="inlineStr">
        <is>
          <t>lB) C- 2F LFDlu2ids/</t>
        </is>
      </c>
      <c r="E285" t="inlineStr">
        <is>
          <t>2025-01</t>
        </is>
      </c>
      <c r="F285" t="n">
        <v>777.2</v>
      </c>
      <c r="G285" t="n">
        <v>917.1</v>
      </c>
      <c r="H285">
        <f>הגדרות!B4</f>
        <v/>
      </c>
      <c r="I285">
        <f>F285*(1-H285/100)*1.18</f>
        <v/>
      </c>
      <c r="J285">
        <f>הגדרות!C4</f>
        <v/>
      </c>
      <c r="K285">
        <f>הגדרות!D4</f>
        <v/>
      </c>
      <c r="L285">
        <f>I285*(1+J285/100)+K285</f>
        <v/>
      </c>
    </row>
    <row r="286">
      <c r="A286" t="inlineStr">
        <is>
          <t>IDEXX</t>
        </is>
      </c>
      <c r="B286" t="inlineStr">
        <is>
          <t>Body Cavity Fluid Cytology (Ascitic/Pericardial/Pleura</t>
        </is>
      </c>
      <c r="D286" t="inlineStr">
        <is>
          <t>lB) C- 3F LFDlu3ids/</t>
        </is>
      </c>
      <c r="E286" t="inlineStr">
        <is>
          <t>2025-01</t>
        </is>
      </c>
      <c r="F286" t="n">
        <v>864.2</v>
      </c>
      <c r="G286" t="n">
        <v>1019.76</v>
      </c>
      <c r="H286">
        <f>הגדרות!B4</f>
        <v/>
      </c>
      <c r="I286">
        <f>F286*(1-H286/100)*1.18</f>
        <v/>
      </c>
      <c r="J286">
        <f>הגדרות!C4</f>
        <v/>
      </c>
      <c r="K286">
        <f>הגדרות!D4</f>
        <v/>
      </c>
      <c r="L286">
        <f>I286*(1+J286/100)+K286</f>
        <v/>
      </c>
    </row>
    <row r="287">
      <c r="A287" t="inlineStr">
        <is>
          <t>IDEXX</t>
        </is>
      </c>
      <c r="B287" t="inlineStr">
        <is>
          <t>Body Cavity Fluid Cytology (Ascitic/Pericardial/Pleura</t>
        </is>
      </c>
      <c r="D287" t="inlineStr">
        <is>
          <t>lB) C- 4F LFDlu4ids/</t>
        </is>
      </c>
      <c r="E287" t="inlineStr">
        <is>
          <t>2025-01</t>
        </is>
      </c>
      <c r="F287" t="n">
        <v>951.2</v>
      </c>
      <c r="G287" t="n">
        <v>1122.42</v>
      </c>
      <c r="H287">
        <f>הגדרות!B4</f>
        <v/>
      </c>
      <c r="I287">
        <f>F287*(1-H287/100)*1.18</f>
        <v/>
      </c>
      <c r="J287">
        <f>הגדרות!C4</f>
        <v/>
      </c>
      <c r="K287">
        <f>הגדרות!D4</f>
        <v/>
      </c>
      <c r="L287">
        <f>I287*(1+J287/100)+K287</f>
        <v/>
      </c>
    </row>
    <row r="288">
      <c r="A288" t="inlineStr">
        <is>
          <t>IDEXX</t>
        </is>
      </c>
      <c r="B288" t="inlineStr">
        <is>
          <t>Total Bilirubin</t>
        </is>
      </c>
      <c r="D288" t="inlineStr">
        <is>
          <t>BILT</t>
        </is>
      </c>
      <c r="E288" t="inlineStr">
        <is>
          <t>2025-01</t>
        </is>
      </c>
      <c r="F288" t="n">
        <v>63.8</v>
      </c>
      <c r="G288" t="n">
        <v>75.28</v>
      </c>
      <c r="H288">
        <f>הגדרות!B4</f>
        <v/>
      </c>
      <c r="I288">
        <f>F288*(1-H288/100)*1.18</f>
        <v/>
      </c>
      <c r="J288">
        <f>הגדרות!C4</f>
        <v/>
      </c>
      <c r="K288">
        <f>הגדרות!D4</f>
        <v/>
      </c>
      <c r="L288">
        <f>I288*(1+J288/100)+K288</f>
        <v/>
      </c>
    </row>
    <row r="289">
      <c r="A289" t="inlineStr">
        <is>
          <t>IDEXX</t>
        </is>
      </c>
      <c r="B289" t="inlineStr">
        <is>
          <t>Bovine Metabolic Profile</t>
        </is>
      </c>
      <c r="D289" t="inlineStr">
        <is>
          <t>BMET</t>
        </is>
      </c>
      <c r="E289" t="inlineStr">
        <is>
          <t>2025-01</t>
        </is>
      </c>
      <c r="F289" t="n">
        <v>223.3</v>
      </c>
      <c r="G289" t="n">
        <v>263.49</v>
      </c>
      <c r="H289">
        <f>הגדרות!B4</f>
        <v/>
      </c>
      <c r="I289">
        <f>F289*(1-H289/100)*1.18</f>
        <v/>
      </c>
      <c r="J289">
        <f>הגדרות!C4</f>
        <v/>
      </c>
      <c r="K289">
        <f>הגדרות!D4</f>
        <v/>
      </c>
      <c r="L289">
        <f>I289*(1+J289/100)+K289</f>
        <v/>
      </c>
    </row>
    <row r="290">
      <c r="A290" t="inlineStr">
        <is>
          <t>IDEXX</t>
        </is>
      </c>
      <c r="B290" t="inlineStr">
        <is>
          <t>Bone Marrow Cytology</t>
        </is>
      </c>
      <c r="D290" t="inlineStr">
        <is>
          <t>BMEX</t>
        </is>
      </c>
      <c r="E290" t="inlineStr">
        <is>
          <t>2025-01</t>
        </is>
      </c>
      <c r="F290" t="n">
        <v>861.3</v>
      </c>
      <c r="G290" t="n">
        <v>1016.33</v>
      </c>
      <c r="H290">
        <f>הגדרות!B4</f>
        <v/>
      </c>
      <c r="I290">
        <f>F290*(1-H290/100)*1.18</f>
        <v/>
      </c>
      <c r="J290">
        <f>הגדרות!C4</f>
        <v/>
      </c>
      <c r="K290">
        <f>הגדרות!D4</f>
        <v/>
      </c>
      <c r="L290">
        <f>I290*(1+J290/100)+K290</f>
        <v/>
      </c>
    </row>
    <row r="291">
      <c r="A291" t="inlineStr">
        <is>
          <t>IDEXX</t>
        </is>
      </c>
      <c r="B291" t="inlineStr">
        <is>
          <t>Bone Marrow Cytology &amp; Histology</t>
        </is>
      </c>
      <c r="D291" t="inlineStr">
        <is>
          <t>BMEXH</t>
        </is>
      </c>
      <c r="E291" t="inlineStr">
        <is>
          <t>2025-01</t>
        </is>
      </c>
      <c r="F291" t="n">
        <v>1186.1</v>
      </c>
      <c r="G291" t="n">
        <v>1399.6</v>
      </c>
      <c r="H291">
        <f>הגדרות!B4</f>
        <v/>
      </c>
      <c r="I291">
        <f>F291*(1-H291/100)*1.18</f>
        <v/>
      </c>
      <c r="J291">
        <f>הגדרות!C4</f>
        <v/>
      </c>
      <c r="K291">
        <f>הגדרות!D4</f>
        <v/>
      </c>
      <c r="L291">
        <f>I291*(1+J291/100)+K291</f>
        <v/>
      </c>
    </row>
    <row r="292">
      <c r="A292" t="inlineStr">
        <is>
          <t>IDEXX</t>
        </is>
      </c>
      <c r="B292" t="inlineStr">
        <is>
          <t>Lyme (Borrelia spp.) (DNA) RealPCR™</t>
        </is>
      </c>
      <c r="D292" t="inlineStr">
        <is>
          <t>BPCR</t>
        </is>
      </c>
      <c r="E292" t="inlineStr">
        <is>
          <t>2025-01</t>
        </is>
      </c>
      <c r="F292" t="n">
        <v>368.3</v>
      </c>
      <c r="G292" t="n">
        <v>434.59</v>
      </c>
      <c r="H292">
        <f>הגדרות!B4</f>
        <v/>
      </c>
      <c r="I292">
        <f>F292*(1-H292/100)*1.18</f>
        <v/>
      </c>
      <c r="J292">
        <f>הגדרות!C4</f>
        <v/>
      </c>
      <c r="K292">
        <f>הגדרות!D4</f>
        <v/>
      </c>
      <c r="L292">
        <f>I292*(1+J292/100)+K292</f>
        <v/>
      </c>
    </row>
    <row r="293">
      <c r="A293" t="inlineStr">
        <is>
          <t>IDEXX</t>
        </is>
      </c>
      <c r="B293" t="inlineStr">
        <is>
          <t>Borrelia PCR (Equine)</t>
        </is>
      </c>
      <c r="D293" t="inlineStr">
        <is>
          <t>BPCRE</t>
        </is>
      </c>
      <c r="E293" t="inlineStr">
        <is>
          <t>2025-01</t>
        </is>
      </c>
      <c r="F293" t="n">
        <v>368.3</v>
      </c>
      <c r="G293" t="n">
        <v>434.59</v>
      </c>
      <c r="H293">
        <f>הגדרות!B4</f>
        <v/>
      </c>
      <c r="I293">
        <f>F293*(1-H293/100)*1.18</f>
        <v/>
      </c>
      <c r="J293">
        <f>הגדרות!C4</f>
        <v/>
      </c>
      <c r="K293">
        <f>הגדרות!D4</f>
        <v/>
      </c>
      <c r="L293">
        <f>I293*(1+J293/100)+K293</f>
        <v/>
      </c>
    </row>
    <row r="294">
      <c r="A294" t="inlineStr">
        <is>
          <t>IDEXX</t>
        </is>
      </c>
      <c r="B294" t="inlineStr">
        <is>
          <t>Bovine Pregnancy Test</t>
        </is>
      </c>
      <c r="D294" t="inlineStr">
        <is>
          <t>BPRE</t>
        </is>
      </c>
      <c r="E294" t="inlineStr">
        <is>
          <t>2025-01</t>
        </is>
      </c>
      <c r="F294" t="n">
        <v>46.4</v>
      </c>
      <c r="G294" t="n">
        <v>54.75</v>
      </c>
      <c r="H294">
        <f>הגדרות!B4</f>
        <v/>
      </c>
      <c r="I294">
        <f>F294*(1-H294/100)*1.18</f>
        <v/>
      </c>
      <c r="J294">
        <f>הגדרות!C4</f>
        <v/>
      </c>
      <c r="K294">
        <f>הגדרות!D4</f>
        <v/>
      </c>
      <c r="L294">
        <f>I294*(1+J294/100)+K294</f>
        <v/>
      </c>
    </row>
    <row r="295">
      <c r="A295" t="inlineStr">
        <is>
          <t>IDEXX</t>
        </is>
      </c>
      <c r="B295" t="inlineStr">
        <is>
          <t>Basic Rabbit Profile</t>
        </is>
      </c>
      <c r="D295" t="inlineStr">
        <is>
          <t>BRP</t>
        </is>
      </c>
      <c r="E295" t="inlineStr">
        <is>
          <t>2025-01</t>
        </is>
      </c>
      <c r="F295" t="n">
        <v>379.9</v>
      </c>
      <c r="G295" t="n">
        <v>448.28</v>
      </c>
      <c r="H295">
        <f>הגדרות!B4</f>
        <v/>
      </c>
      <c r="I295">
        <f>F295*(1-H295/100)*1.18</f>
        <v/>
      </c>
      <c r="J295">
        <f>הגדרות!C4</f>
        <v/>
      </c>
      <c r="K295">
        <f>הגדרות!D4</f>
        <v/>
      </c>
      <c r="L295">
        <f>I295*(1+J295/100)+K295</f>
        <v/>
      </c>
    </row>
    <row r="296">
      <c r="A296" t="inlineStr">
        <is>
          <t>IDEXX</t>
        </is>
      </c>
      <c r="B296" t="inlineStr">
        <is>
          <t>Brucella spp. (DNA) PCR</t>
        </is>
      </c>
      <c r="D296" t="inlineStr">
        <is>
          <t>BRUCSP</t>
        </is>
      </c>
      <c r="E296" t="inlineStr">
        <is>
          <t>2025-01</t>
        </is>
      </c>
      <c r="F296" t="n">
        <v>577.1</v>
      </c>
      <c r="G296" t="n">
        <v>680.98</v>
      </c>
      <c r="H296">
        <f>הגדרות!B4</f>
        <v/>
      </c>
      <c r="I296">
        <f>F296*(1-H296/100)*1.18</f>
        <v/>
      </c>
      <c r="J296">
        <f>הגדרות!C4</f>
        <v/>
      </c>
      <c r="K296">
        <f>הגדרות!D4</f>
        <v/>
      </c>
      <c r="L296">
        <f>I296*(1+J296/100)+K296</f>
        <v/>
      </c>
    </row>
    <row r="297">
      <c r="A297" t="inlineStr">
        <is>
          <t>IDEXX</t>
        </is>
      </c>
      <c r="B297" t="inlineStr">
        <is>
          <t>Brucella canis Antibody Test</t>
        </is>
      </c>
      <c r="D297" t="inlineStr">
        <is>
          <t>BRULA</t>
        </is>
      </c>
      <c r="E297" t="inlineStr">
        <is>
          <t>2025-01</t>
        </is>
      </c>
      <c r="F297" t="n">
        <v>504.6</v>
      </c>
      <c r="G297" t="n">
        <v>595.4299999999999</v>
      </c>
      <c r="H297">
        <f>הגדרות!B4</f>
        <v/>
      </c>
      <c r="I297">
        <f>F297*(1-H297/100)*1.18</f>
        <v/>
      </c>
      <c r="J297">
        <f>הגדרות!C4</f>
        <v/>
      </c>
      <c r="K297">
        <f>הגדרות!D4</f>
        <v/>
      </c>
      <c r="L297">
        <f>I297*(1+J297/100)+K297</f>
        <v/>
      </c>
    </row>
    <row r="298">
      <c r="A298" t="inlineStr">
        <is>
          <t>IDEXX</t>
        </is>
      </c>
      <c r="B298" t="inlineStr">
        <is>
          <t>Calicivirus (RNA) RealPCR™</t>
        </is>
      </c>
      <c r="D298" t="inlineStr">
        <is>
          <t>CALF</t>
        </is>
      </c>
      <c r="E298" t="inlineStr">
        <is>
          <t>2025-01</t>
        </is>
      </c>
      <c r="F298" t="n">
        <v>368.3</v>
      </c>
      <c r="G298" t="n">
        <v>434.59</v>
      </c>
      <c r="H298">
        <f>הגדרות!B4</f>
        <v/>
      </c>
      <c r="I298">
        <f>F298*(1-H298/100)*1.18</f>
        <v/>
      </c>
      <c r="J298">
        <f>הגדרות!C4</f>
        <v/>
      </c>
      <c r="K298">
        <f>הגדרות!D4</f>
        <v/>
      </c>
      <c r="L298">
        <f>I298*(1+J298/100)+K298</f>
        <v/>
      </c>
    </row>
    <row r="299">
      <c r="A299" t="inlineStr">
        <is>
          <t>IDEXX</t>
        </is>
      </c>
      <c r="B299" t="inlineStr">
        <is>
          <t>Campylobacter Culture</t>
        </is>
      </c>
      <c r="D299" t="inlineStr">
        <is>
          <t>CAMP</t>
        </is>
      </c>
      <c r="E299" t="inlineStr">
        <is>
          <t>2025-01</t>
        </is>
      </c>
      <c r="F299" t="n">
        <v>197.2</v>
      </c>
      <c r="G299" t="n">
        <v>232.7</v>
      </c>
      <c r="H299">
        <f>הגדרות!B4</f>
        <v/>
      </c>
      <c r="I299">
        <f>F299*(1-H299/100)*1.18</f>
        <v/>
      </c>
      <c r="J299">
        <f>הגדרות!C4</f>
        <v/>
      </c>
      <c r="K299">
        <f>הגדרות!D4</f>
        <v/>
      </c>
      <c r="L299">
        <f>I299*(1+J299/100)+K299</f>
        <v/>
      </c>
    </row>
    <row r="300">
      <c r="A300" t="inlineStr">
        <is>
          <t>IDEXX</t>
        </is>
      </c>
      <c r="B300" t="inlineStr">
        <is>
          <t>Canine Cardiac Profile (Interpreted)</t>
        </is>
      </c>
      <c r="D300" t="inlineStr">
        <is>
          <t>CARDI</t>
        </is>
      </c>
      <c r="E300" t="inlineStr">
        <is>
          <t>2025-01</t>
        </is>
      </c>
      <c r="F300" t="n">
        <v>722.1</v>
      </c>
      <c r="G300" t="n">
        <v>852.08</v>
      </c>
      <c r="H300">
        <f>הגדרות!B4</f>
        <v/>
      </c>
      <c r="I300">
        <f>F300*(1-H300/100)*1.18</f>
        <v/>
      </c>
      <c r="J300">
        <f>הגדרות!C4</f>
        <v/>
      </c>
      <c r="K300">
        <f>הגדרות!D4</f>
        <v/>
      </c>
      <c r="L300">
        <f>I300*(1+J300/100)+K300</f>
        <v/>
      </c>
    </row>
    <row r="301">
      <c r="A301" t="inlineStr">
        <is>
          <t>IDEXX</t>
        </is>
      </c>
      <c r="B301" t="inlineStr">
        <is>
          <t>Canine Cardiac Screen (Non-Interpreted)</t>
        </is>
      </c>
      <c r="D301" t="inlineStr">
        <is>
          <t>CARDN</t>
        </is>
      </c>
      <c r="E301" t="inlineStr">
        <is>
          <t>2025-01</t>
        </is>
      </c>
      <c r="F301" t="n">
        <v>669.9</v>
      </c>
      <c r="G301" t="n">
        <v>790.48</v>
      </c>
      <c r="H301">
        <f>הגדרות!B4</f>
        <v/>
      </c>
      <c r="I301">
        <f>F301*(1-H301/100)*1.18</f>
        <v/>
      </c>
      <c r="J301">
        <f>הגדרות!C4</f>
        <v/>
      </c>
      <c r="K301">
        <f>הגדרות!D4</f>
        <v/>
      </c>
      <c r="L301">
        <f>I301*(1+J301/100)+K301</f>
        <v/>
      </c>
    </row>
    <row r="302">
      <c r="A302" t="inlineStr">
        <is>
          <t>IDEXX</t>
        </is>
      </c>
      <c r="B302" t="inlineStr">
        <is>
          <t>Canine Cardiac Plus Profile (Interpreted)</t>
        </is>
      </c>
      <c r="D302" t="inlineStr">
        <is>
          <t>CARDT</t>
        </is>
      </c>
      <c r="E302" t="inlineStr">
        <is>
          <t>2025-01</t>
        </is>
      </c>
      <c r="F302" t="n">
        <v>864.2</v>
      </c>
      <c r="G302" t="n">
        <v>1019.76</v>
      </c>
      <c r="H302">
        <f>הגדרות!B4</f>
        <v/>
      </c>
      <c r="I302">
        <f>F302*(1-H302/100)*1.18</f>
        <v/>
      </c>
      <c r="J302">
        <f>הגדרות!C4</f>
        <v/>
      </c>
      <c r="K302">
        <f>הגדרות!D4</f>
        <v/>
      </c>
      <c r="L302">
        <f>I302*(1+J302/100)+K302</f>
        <v/>
      </c>
    </row>
    <row r="303">
      <c r="A303" t="inlineStr">
        <is>
          <t>IDEXX</t>
        </is>
      </c>
      <c r="B303" t="inlineStr">
        <is>
          <t>Feline Cardiac Profile (Interpreted)</t>
        </is>
      </c>
      <c r="D303" t="inlineStr">
        <is>
          <t>CARFI</t>
        </is>
      </c>
      <c r="E303" t="inlineStr">
        <is>
          <t>2025-01</t>
        </is>
      </c>
      <c r="F303" t="n">
        <v>722.1</v>
      </c>
      <c r="G303" t="n">
        <v>852.08</v>
      </c>
      <c r="H303">
        <f>הגדרות!B4</f>
        <v/>
      </c>
      <c r="I303">
        <f>F303*(1-H303/100)*1.18</f>
        <v/>
      </c>
      <c r="J303">
        <f>הגדרות!C4</f>
        <v/>
      </c>
      <c r="K303">
        <f>הגדרות!D4</f>
        <v/>
      </c>
      <c r="L303">
        <f>I303*(1+J303/100)+K303</f>
        <v/>
      </c>
    </row>
    <row r="304">
      <c r="A304" t="inlineStr">
        <is>
          <t>IDEXX</t>
        </is>
      </c>
      <c r="B304" t="inlineStr">
        <is>
          <t>Feline Cardiac Screen (Non-Interpreted)</t>
        </is>
      </c>
      <c r="D304" t="inlineStr">
        <is>
          <t>CARFN</t>
        </is>
      </c>
      <c r="E304" t="inlineStr">
        <is>
          <t>2025-01</t>
        </is>
      </c>
      <c r="F304" t="n">
        <v>669.9</v>
      </c>
      <c r="G304" t="n">
        <v>790.48</v>
      </c>
      <c r="H304">
        <f>הגדרות!B4</f>
        <v/>
      </c>
      <c r="I304">
        <f>F304*(1-H304/100)*1.18</f>
        <v/>
      </c>
      <c r="J304">
        <f>הגדרות!C4</f>
        <v/>
      </c>
      <c r="K304">
        <f>הגדרות!D4</f>
        <v/>
      </c>
      <c r="L304">
        <f>I304*(1+J304/100)+K304</f>
        <v/>
      </c>
    </row>
    <row r="305">
      <c r="A305" t="inlineStr">
        <is>
          <t>IDEXX</t>
        </is>
      </c>
      <c r="B305" t="inlineStr">
        <is>
          <t>Feline Cardiac Plus Profile (Interpreted)</t>
        </is>
      </c>
      <c r="D305" t="inlineStr">
        <is>
          <t>CARFT</t>
        </is>
      </c>
      <c r="E305" t="inlineStr">
        <is>
          <t>2025-01</t>
        </is>
      </c>
      <c r="F305" t="n">
        <v>864.2</v>
      </c>
      <c r="G305" t="n">
        <v>1019.76</v>
      </c>
      <c r="H305">
        <f>הגדרות!B4</f>
        <v/>
      </c>
      <c r="I305">
        <f>F305*(1-H305/100)*1.18</f>
        <v/>
      </c>
      <c r="J305">
        <f>הגדרות!C4</f>
        <v/>
      </c>
      <c r="K305">
        <f>הגדרות!D4</f>
        <v/>
      </c>
      <c r="L305">
        <f>I305*(1+J305/100)+K305</f>
        <v/>
      </c>
    </row>
    <row r="306">
      <c r="A306" t="inlineStr">
        <is>
          <t>IDEXX</t>
        </is>
      </c>
      <c r="B306" t="inlineStr">
        <is>
          <t>Canine Anaemia Profile (Interpreted)</t>
        </is>
      </c>
      <c r="D306" t="inlineStr">
        <is>
          <t>CAS</t>
        </is>
      </c>
      <c r="E306" t="inlineStr">
        <is>
          <t>2025-01</t>
        </is>
      </c>
      <c r="F306" t="n">
        <v>472.7</v>
      </c>
      <c r="G306" t="n">
        <v>557.79</v>
      </c>
      <c r="H306">
        <f>הגדרות!B4</f>
        <v/>
      </c>
      <c r="I306">
        <f>F306*(1-H306/100)*1.18</f>
        <v/>
      </c>
      <c r="J306">
        <f>הגדרות!C4</f>
        <v/>
      </c>
      <c r="K306">
        <f>הגדרות!D4</f>
        <v/>
      </c>
      <c r="L306">
        <f>I306*(1+J306/100)+K306</f>
        <v/>
      </c>
    </row>
    <row r="307">
      <c r="A307" t="inlineStr">
        <is>
          <t>IDEXX</t>
        </is>
      </c>
      <c r="B307" t="inlineStr">
        <is>
          <t>Cardiopet proBNP (Canine)</t>
        </is>
      </c>
      <c r="D307" t="inlineStr">
        <is>
          <t>CBNP</t>
        </is>
      </c>
      <c r="E307" t="inlineStr">
        <is>
          <t>2025-01</t>
        </is>
      </c>
      <c r="F307" t="n">
        <v>394.4</v>
      </c>
      <c r="G307" t="n">
        <v>465.39</v>
      </c>
      <c r="H307">
        <f>הגדרות!B4</f>
        <v/>
      </c>
      <c r="I307">
        <f>F307*(1-H307/100)*1.18</f>
        <v/>
      </c>
      <c r="J307">
        <f>הגדרות!C4</f>
        <v/>
      </c>
      <c r="K307">
        <f>הגדרות!D4</f>
        <v/>
      </c>
      <c r="L307">
        <f>I307*(1+J307/100)+K307</f>
        <v/>
      </c>
    </row>
    <row r="308">
      <c r="A308" t="inlineStr">
        <is>
          <t>IDEXX</t>
        </is>
      </c>
      <c r="B308" t="inlineStr">
        <is>
          <t>Canine BRAF Mutation Detection Assay</t>
        </is>
      </c>
      <c r="D308" t="inlineStr">
        <is>
          <t>CBRAF</t>
        </is>
      </c>
      <c r="E308" t="inlineStr">
        <is>
          <t>2025-01</t>
        </is>
      </c>
      <c r="F308" t="n">
        <v>962.8</v>
      </c>
      <c r="G308" t="n">
        <v>1136.1</v>
      </c>
      <c r="H308">
        <f>הגדרות!B4</f>
        <v/>
      </c>
      <c r="I308">
        <f>F308*(1-H308/100)*1.18</f>
        <v/>
      </c>
      <c r="J308">
        <f>הגדרות!C4</f>
        <v/>
      </c>
      <c r="K308">
        <f>הגדרות!D4</f>
        <v/>
      </c>
      <c r="L308">
        <f>I308*(1+J308/100)+K308</f>
        <v/>
      </c>
    </row>
    <row r="309">
      <c r="A309" t="inlineStr">
        <is>
          <t>IDEXX</t>
        </is>
      </c>
      <c r="B309" t="inlineStr">
        <is>
          <t>Cardiopet® proBNP and Troponin I HS (Canine) - Add-</t>
        </is>
      </c>
      <c r="D309" t="inlineStr">
        <is>
          <t>COBnTP</t>
        </is>
      </c>
      <c r="E309" t="inlineStr">
        <is>
          <t>2025-01</t>
        </is>
      </c>
      <c r="F309" t="n">
        <v>368.3</v>
      </c>
      <c r="G309" t="n">
        <v>434.59</v>
      </c>
      <c r="H309">
        <f>הגדרות!B4</f>
        <v/>
      </c>
      <c r="I309">
        <f>F309*(1-H309/100)*1.18</f>
        <v/>
      </c>
      <c r="J309">
        <f>הגדרות!C4</f>
        <v/>
      </c>
      <c r="K309">
        <f>הגדרות!D4</f>
        <v/>
      </c>
      <c r="L309">
        <f>I309*(1+J309/100)+K309</f>
        <v/>
      </c>
    </row>
    <row r="310">
      <c r="A310" t="inlineStr">
        <is>
          <t>IDEXX</t>
        </is>
      </c>
      <c r="B310" t="inlineStr">
        <is>
          <t>Coombs' (Canine)</t>
        </is>
      </c>
      <c r="D310" t="inlineStr">
        <is>
          <t>CC</t>
        </is>
      </c>
      <c r="E310" t="inlineStr">
        <is>
          <t>2025-01</t>
        </is>
      </c>
      <c r="F310" t="n">
        <v>266.8</v>
      </c>
      <c r="G310" t="n">
        <v>314.82</v>
      </c>
      <c r="H310">
        <f>הגדרות!B4</f>
        <v/>
      </c>
      <c r="I310">
        <f>F310*(1-H310/100)*1.18</f>
        <v/>
      </c>
      <c r="J310">
        <f>הגדרות!C4</f>
        <v/>
      </c>
      <c r="K310">
        <f>הגדרות!D4</f>
        <v/>
      </c>
      <c r="L310">
        <f>I310*(1+J310/100)+K310</f>
        <v/>
      </c>
    </row>
    <row r="311">
      <c r="A311" t="inlineStr">
        <is>
          <t>IDEXX</t>
        </is>
      </c>
      <c r="B311" t="inlineStr">
        <is>
          <t>Respiratory Coronavirus CRCoV (RNA) RealPCR™</t>
        </is>
      </c>
      <c r="D311" t="inlineStr">
        <is>
          <t>CCPV</t>
        </is>
      </c>
      <c r="E311" t="inlineStr">
        <is>
          <t>2025-01</t>
        </is>
      </c>
      <c r="F311" t="n">
        <v>365.4</v>
      </c>
      <c r="G311" t="n">
        <v>431.17</v>
      </c>
      <c r="H311">
        <f>הגדרות!B4</f>
        <v/>
      </c>
      <c r="I311">
        <f>F311*(1-H311/100)*1.18</f>
        <v/>
      </c>
      <c r="J311">
        <f>הגדרות!C4</f>
        <v/>
      </c>
      <c r="K311">
        <f>הגדרות!D4</f>
        <v/>
      </c>
      <c r="L311">
        <f>I311*(1+J311/100)+K311</f>
        <v/>
      </c>
    </row>
    <row r="312">
      <c r="A312" t="inlineStr">
        <is>
          <t>IDEXX</t>
        </is>
      </c>
      <c r="B312" t="inlineStr">
        <is>
          <t>C. difficile toxin A and B PCR</t>
        </is>
      </c>
      <c r="D312" t="inlineStr">
        <is>
          <t>CDPCR</t>
        </is>
      </c>
      <c r="E312" t="inlineStr">
        <is>
          <t>2025-01</t>
        </is>
      </c>
      <c r="F312" t="n">
        <v>487.2</v>
      </c>
      <c r="G312" t="n">
        <v>574.9</v>
      </c>
      <c r="H312">
        <f>הגדרות!B4</f>
        <v/>
      </c>
      <c r="I312">
        <f>F312*(1-H312/100)*1.18</f>
        <v/>
      </c>
      <c r="J312">
        <f>הגדרות!C4</f>
        <v/>
      </c>
      <c r="K312">
        <f>הגדרות!D4</f>
        <v/>
      </c>
      <c r="L312">
        <f>I312*(1+J312/100)+K312</f>
        <v/>
      </c>
    </row>
    <row r="313">
      <c r="A313" t="inlineStr">
        <is>
          <t>IDEXX</t>
        </is>
      </c>
      <c r="B313" t="inlineStr">
        <is>
          <t>Canine Diarrhoea Panel</t>
        </is>
      </c>
      <c r="D313" t="inlineStr">
        <is>
          <t>CDPP</t>
        </is>
      </c>
      <c r="E313" t="inlineStr">
        <is>
          <t>2025-01</t>
        </is>
      </c>
      <c r="F313" t="n">
        <v>933.8</v>
      </c>
      <c r="G313" t="n">
        <v>1101.88</v>
      </c>
      <c r="H313">
        <f>הגדרות!B4</f>
        <v/>
      </c>
      <c r="I313">
        <f>F313*(1-H313/100)*1.18</f>
        <v/>
      </c>
      <c r="J313">
        <f>הגדרות!C4</f>
        <v/>
      </c>
      <c r="K313">
        <f>הגדרות!D4</f>
        <v/>
      </c>
      <c r="L313">
        <f>I313*(1+J313/100)+K313</f>
        <v/>
      </c>
    </row>
    <row r="314">
      <c r="A314" t="inlineStr">
        <is>
          <t>IDEXX</t>
        </is>
      </c>
      <c r="B314" t="inlineStr">
        <is>
          <t>CEM Swab</t>
        </is>
      </c>
      <c r="D314" t="inlineStr">
        <is>
          <t>CEM1</t>
        </is>
      </c>
      <c r="E314" t="inlineStr">
        <is>
          <t>2025-01</t>
        </is>
      </c>
      <c r="F314" t="n">
        <v>165.3</v>
      </c>
      <c r="G314" t="n">
        <v>195.05</v>
      </c>
      <c r="H314">
        <f>הגדרות!B4</f>
        <v/>
      </c>
      <c r="I314">
        <f>F314*(1-H314/100)*1.18</f>
        <v/>
      </c>
      <c r="J314">
        <f>הגדרות!C4</f>
        <v/>
      </c>
      <c r="K314">
        <f>הגדרות!D4</f>
        <v/>
      </c>
      <c r="L314">
        <f>I314*(1+J314/100)+K314</f>
        <v/>
      </c>
    </row>
    <row r="315">
      <c r="A315" t="inlineStr">
        <is>
          <t>IDEXX</t>
        </is>
      </c>
      <c r="B315" t="inlineStr">
        <is>
          <t>Comprehensive Faecal Screen Includes Giardia Antig</t>
        </is>
      </c>
      <c r="D315" t="inlineStr">
        <is>
          <t>eCnFG</t>
        </is>
      </c>
      <c r="E315" t="inlineStr">
        <is>
          <t>2025-01</t>
        </is>
      </c>
      <c r="F315" t="n">
        <v>649.6</v>
      </c>
      <c r="G315" t="n">
        <v>766.53</v>
      </c>
      <c r="H315">
        <f>הגדרות!B4</f>
        <v/>
      </c>
      <c r="I315">
        <f>F315*(1-H315/100)*1.18</f>
        <v/>
      </c>
      <c r="J315">
        <f>הגדרות!C4</f>
        <v/>
      </c>
      <c r="K315">
        <f>הגדרות!D4</f>
        <v/>
      </c>
      <c r="L315">
        <f>I315*(1+J315/100)+K315</f>
        <v/>
      </c>
    </row>
    <row r="316">
      <c r="A316" t="inlineStr">
        <is>
          <t>IDEXX</t>
        </is>
      </c>
      <c r="B316" t="inlineStr">
        <is>
          <t>Comprehensive Faecal Screen Plus Faecal Dx® Antig</t>
        </is>
      </c>
      <c r="D316" t="inlineStr">
        <is>
          <t>eCnF PGa+nel</t>
        </is>
      </c>
      <c r="E316" t="inlineStr">
        <is>
          <t>2025-01</t>
        </is>
      </c>
      <c r="F316" t="n">
        <v>913.5</v>
      </c>
      <c r="G316" t="n">
        <v>1077.93</v>
      </c>
      <c r="H316">
        <f>הגדרות!B4</f>
        <v/>
      </c>
      <c r="I316">
        <f>F316*(1-H316/100)*1.18</f>
        <v/>
      </c>
      <c r="J316">
        <f>הגדרות!C4</f>
        <v/>
      </c>
      <c r="K316">
        <f>הגדרות!D4</f>
        <v/>
      </c>
      <c r="L316">
        <f>I316*(1+J316/100)+K316</f>
        <v/>
      </c>
    </row>
    <row r="317">
      <c r="A317" t="inlineStr">
        <is>
          <t>IDEXX</t>
        </is>
      </c>
      <c r="B317" t="inlineStr">
        <is>
          <t>Spec cPL, Folate &amp; Cobalamin, TLI (Canine)</t>
        </is>
      </c>
      <c r="D317" t="inlineStr">
        <is>
          <t>CFTC</t>
        </is>
      </c>
      <c r="E317" t="inlineStr">
        <is>
          <t>2025-01</t>
        </is>
      </c>
      <c r="F317" t="n">
        <v>846.8</v>
      </c>
      <c r="G317" t="n">
        <v>999.22</v>
      </c>
      <c r="H317">
        <f>הגדרות!B4</f>
        <v/>
      </c>
      <c r="I317">
        <f>F317*(1-H317/100)*1.18</f>
        <v/>
      </c>
      <c r="J317">
        <f>הגדרות!C4</f>
        <v/>
      </c>
      <c r="K317">
        <f>הגדרות!D4</f>
        <v/>
      </c>
      <c r="L317">
        <f>I317*(1+J317/100)+K317</f>
        <v/>
      </c>
    </row>
    <row r="318">
      <c r="A318" t="inlineStr">
        <is>
          <t>IDEXX</t>
        </is>
      </c>
      <c r="B318" t="inlineStr">
        <is>
          <t>Blood Typing (Canine)</t>
        </is>
      </c>
      <c r="D318" t="inlineStr">
        <is>
          <t>CGP</t>
        </is>
      </c>
      <c r="E318" t="inlineStr">
        <is>
          <t>2025-01</t>
        </is>
      </c>
      <c r="F318" t="n">
        <v>403.1</v>
      </c>
      <c r="G318" t="n">
        <v>475.66</v>
      </c>
      <c r="H318">
        <f>הגדרות!B4</f>
        <v/>
      </c>
      <c r="I318">
        <f>F318*(1-H318/100)*1.18</f>
        <v/>
      </c>
      <c r="J318">
        <f>הגדרות!C4</f>
        <v/>
      </c>
      <c r="K318">
        <f>הגדרות!D4</f>
        <v/>
      </c>
      <c r="L318">
        <f>I318*(1+J318/100)+K318</f>
        <v/>
      </c>
    </row>
    <row r="319">
      <c r="A319" t="inlineStr">
        <is>
          <t>IDEXX</t>
        </is>
      </c>
      <c r="B319" t="inlineStr">
        <is>
          <t>Chem 10 CLIP</t>
        </is>
      </c>
      <c r="D319" t="inlineStr">
        <is>
          <t>CHEM10</t>
        </is>
      </c>
      <c r="E319" t="inlineStr">
        <is>
          <t>2025-01</t>
        </is>
      </c>
      <c r="F319" t="n">
        <v>133.4</v>
      </c>
      <c r="G319" t="n">
        <v>157.41</v>
      </c>
      <c r="H319">
        <f>הגדרות!B4</f>
        <v/>
      </c>
      <c r="I319">
        <f>F319*(1-H319/100)*1.18</f>
        <v/>
      </c>
      <c r="J319">
        <f>הגדרות!C4</f>
        <v/>
      </c>
      <c r="K319">
        <f>הגדרות!D4</f>
        <v/>
      </c>
      <c r="L319">
        <f>I319*(1+J319/100)+K319</f>
        <v/>
      </c>
    </row>
    <row r="320">
      <c r="A320" t="inlineStr">
        <is>
          <t>IDEXX</t>
        </is>
      </c>
      <c r="B320" t="inlineStr">
        <is>
          <t>Chem 15 CLIP</t>
        </is>
      </c>
      <c r="D320" t="inlineStr">
        <is>
          <t>CHEM15</t>
        </is>
      </c>
      <c r="E320" t="inlineStr">
        <is>
          <t>2025-01</t>
        </is>
      </c>
      <c r="F320" t="n">
        <v>191.4</v>
      </c>
      <c r="G320" t="n">
        <v>225.85</v>
      </c>
      <c r="H320">
        <f>הגדרות!B4</f>
        <v/>
      </c>
      <c r="I320">
        <f>F320*(1-H320/100)*1.18</f>
        <v/>
      </c>
      <c r="J320">
        <f>הגדרות!C4</f>
        <v/>
      </c>
      <c r="K320">
        <f>הגדרות!D4</f>
        <v/>
      </c>
      <c r="L320">
        <f>I320*(1+J320/100)+K320</f>
        <v/>
      </c>
    </row>
    <row r="321">
      <c r="A321" t="inlineStr">
        <is>
          <t>IDEXX</t>
        </is>
      </c>
      <c r="B321" t="inlineStr">
        <is>
          <t>Chem 17 CLIP</t>
        </is>
      </c>
      <c r="D321" t="inlineStr">
        <is>
          <t>CHEM17</t>
        </is>
      </c>
      <c r="E321" t="inlineStr">
        <is>
          <t>2025-01</t>
        </is>
      </c>
      <c r="F321" t="n">
        <v>197.2</v>
      </c>
      <c r="G321" t="n">
        <v>232.7</v>
      </c>
      <c r="H321">
        <f>הגדרות!B4</f>
        <v/>
      </c>
      <c r="I321">
        <f>F321*(1-H321/100)*1.18</f>
        <v/>
      </c>
      <c r="J321">
        <f>הגדרות!C4</f>
        <v/>
      </c>
      <c r="K321">
        <f>הגדרות!D4</f>
        <v/>
      </c>
      <c r="L321">
        <f>I321*(1+J321/100)+K321</f>
        <v/>
      </c>
    </row>
    <row r="322">
      <c r="A322" t="inlineStr">
        <is>
          <t>IDEXX</t>
        </is>
      </c>
      <c r="B322" t="inlineStr">
        <is>
          <t>Feline Calici and Herpesvirus RealPCR™ panel</t>
        </is>
      </c>
      <c r="D322" t="inlineStr">
        <is>
          <t>CHP</t>
        </is>
      </c>
      <c r="E322" t="inlineStr">
        <is>
          <t>2025-01</t>
        </is>
      </c>
      <c r="F322" t="n">
        <v>487.2</v>
      </c>
      <c r="G322" t="n">
        <v>574.9</v>
      </c>
      <c r="H322">
        <f>הגדרות!B4</f>
        <v/>
      </c>
      <c r="I322">
        <f>F322*(1-H322/100)*1.18</f>
        <v/>
      </c>
      <c r="J322">
        <f>הגדרות!C4</f>
        <v/>
      </c>
      <c r="K322">
        <f>הגדרות!D4</f>
        <v/>
      </c>
      <c r="L322">
        <f>I322*(1+J322/100)+K322</f>
        <v/>
      </c>
    </row>
    <row r="323">
      <c r="A323" t="inlineStr">
        <is>
          <t>IDEXX</t>
        </is>
      </c>
      <c r="B323" t="inlineStr">
        <is>
          <t>Infectious Hepatitis Antibody</t>
        </is>
      </c>
      <c r="D323" t="inlineStr">
        <is>
          <t>CIH</t>
        </is>
      </c>
      <c r="E323" t="inlineStr">
        <is>
          <t>2025-01</t>
        </is>
      </c>
      <c r="F323" t="n">
        <v>394.4</v>
      </c>
      <c r="G323" t="n">
        <v>465.39</v>
      </c>
      <c r="H323">
        <f>הגדרות!B4</f>
        <v/>
      </c>
      <c r="I323">
        <f>F323*(1-H323/100)*1.18</f>
        <v/>
      </c>
      <c r="J323">
        <f>הגדרות!C4</f>
        <v/>
      </c>
      <c r="K323">
        <f>הגדרות!D4</f>
        <v/>
      </c>
      <c r="L323">
        <f>I323*(1+J323/100)+K323</f>
        <v/>
      </c>
    </row>
    <row r="324">
      <c r="A324" t="inlineStr">
        <is>
          <t>IDEXX</t>
        </is>
      </c>
      <c r="B324" t="inlineStr">
        <is>
          <t>C-Kit PCR K9 Combo</t>
        </is>
      </c>
      <c r="D324" t="inlineStr">
        <is>
          <t>C-KITPCR</t>
        </is>
      </c>
      <c r="E324" t="inlineStr">
        <is>
          <t>2025-01</t>
        </is>
      </c>
      <c r="F324" t="n">
        <v>1435.5</v>
      </c>
      <c r="G324" t="n">
        <v>1693.89</v>
      </c>
      <c r="H324">
        <f>הגדרות!B4</f>
        <v/>
      </c>
      <c r="I324">
        <f>F324*(1-H324/100)*1.18</f>
        <v/>
      </c>
      <c r="J324">
        <f>הגדרות!C4</f>
        <v/>
      </c>
      <c r="K324">
        <f>הגדרות!D4</f>
        <v/>
      </c>
      <c r="L324">
        <f>I324*(1+J324/100)+K324</f>
        <v/>
      </c>
    </row>
    <row r="325">
      <c r="A325" t="inlineStr">
        <is>
          <t>IDEXX</t>
        </is>
      </c>
      <c r="B325" t="inlineStr">
        <is>
          <t>Canine Lower Respiratory Panel</t>
        </is>
      </c>
      <c r="D325" t="inlineStr">
        <is>
          <t>CLRP</t>
        </is>
      </c>
      <c r="E325" t="inlineStr">
        <is>
          <t>2025-01</t>
        </is>
      </c>
      <c r="F325" t="n">
        <v>809.1</v>
      </c>
      <c r="G325" t="n">
        <v>954.74</v>
      </c>
      <c r="H325">
        <f>הגדרות!B4</f>
        <v/>
      </c>
      <c r="I325">
        <f>F325*(1-H325/100)*1.18</f>
        <v/>
      </c>
      <c r="J325">
        <f>הגדרות!C4</f>
        <v/>
      </c>
      <c r="K325">
        <f>הגדרות!D4</f>
        <v/>
      </c>
      <c r="L325">
        <f>I325*(1+J325/100)+K325</f>
        <v/>
      </c>
    </row>
    <row r="326">
      <c r="A326" t="inlineStr">
        <is>
          <t>IDEXX</t>
        </is>
      </c>
      <c r="B326" t="inlineStr">
        <is>
          <t>Basic Coagulation Profile</t>
        </is>
      </c>
      <c r="D326" t="inlineStr">
        <is>
          <t>COAG</t>
        </is>
      </c>
      <c r="E326" t="inlineStr">
        <is>
          <t>2025-01</t>
        </is>
      </c>
      <c r="F326" t="n">
        <v>411.8</v>
      </c>
      <c r="G326" t="n">
        <v>485.92</v>
      </c>
      <c r="H326">
        <f>הגדרות!B4</f>
        <v/>
      </c>
      <c r="I326">
        <f>F326*(1-H326/100)*1.18</f>
        <v/>
      </c>
      <c r="J326">
        <f>הגדרות!C4</f>
        <v/>
      </c>
      <c r="K326">
        <f>הגדרות!D4</f>
        <v/>
      </c>
      <c r="L326">
        <f>I326*(1+J326/100)+K326</f>
        <v/>
      </c>
    </row>
    <row r="327">
      <c r="A327" t="inlineStr">
        <is>
          <t>IDEXX</t>
        </is>
      </c>
      <c r="B327" t="inlineStr">
        <is>
          <t>Cortisol (Basal)</t>
        </is>
      </c>
      <c r="D327" t="inlineStr">
        <is>
          <t>CORT</t>
        </is>
      </c>
      <c r="E327" t="inlineStr">
        <is>
          <t>2025-01</t>
        </is>
      </c>
      <c r="F327" t="n">
        <v>240.7</v>
      </c>
      <c r="G327" t="n">
        <v>284.03</v>
      </c>
      <c r="H327">
        <f>הגדרות!B4</f>
        <v/>
      </c>
      <c r="I327">
        <f>F327*(1-H327/100)*1.18</f>
        <v/>
      </c>
      <c r="J327">
        <f>הגדרות!C4</f>
        <v/>
      </c>
      <c r="K327">
        <f>הגדרות!D4</f>
        <v/>
      </c>
      <c r="L327">
        <f>I327*(1+J327/100)+K327</f>
        <v/>
      </c>
    </row>
    <row r="328">
      <c r="A328" t="inlineStr">
        <is>
          <t>IDEXX</t>
        </is>
      </c>
      <c r="B328" t="inlineStr">
        <is>
          <t>Cortisol (Pre Trilostane Pill)</t>
        </is>
      </c>
      <c r="D328" t="inlineStr">
        <is>
          <t>CORTPP</t>
        </is>
      </c>
      <c r="E328" t="inlineStr">
        <is>
          <t>2025-01</t>
        </is>
      </c>
      <c r="F328" t="n">
        <v>240.7</v>
      </c>
      <c r="G328" t="n">
        <v>284.03</v>
      </c>
      <c r="H328">
        <f>הגדרות!B4</f>
        <v/>
      </c>
      <c r="I328">
        <f>F328*(1-H328/100)*1.18</f>
        <v/>
      </c>
      <c r="J328">
        <f>הגדרות!C4</f>
        <v/>
      </c>
      <c r="K328">
        <f>הגדרות!D4</f>
        <v/>
      </c>
      <c r="L328">
        <f>I328*(1+J328/100)+K328</f>
        <v/>
      </c>
    </row>
    <row r="329">
      <c r="A329" t="inlineStr">
        <is>
          <t>IDEXX</t>
        </is>
      </c>
      <c r="B329" t="inlineStr">
        <is>
          <t>Chlamydia psittaci (DNA) RealPCR™</t>
        </is>
      </c>
      <c r="D329" t="inlineStr">
        <is>
          <t>CPCR</t>
        </is>
      </c>
      <c r="E329" t="inlineStr">
        <is>
          <t>2025-01</t>
        </is>
      </c>
      <c r="F329" t="n">
        <v>368.3</v>
      </c>
      <c r="G329" t="n">
        <v>434.59</v>
      </c>
      <c r="H329">
        <f>הגדרות!B4</f>
        <v/>
      </c>
      <c r="I329">
        <f>F329*(1-H329/100)*1.18</f>
        <v/>
      </c>
      <c r="J329">
        <f>הגדרות!C4</f>
        <v/>
      </c>
      <c r="K329">
        <f>הגדרות!D4</f>
        <v/>
      </c>
      <c r="L329">
        <f>I329*(1+J329/100)+K329</f>
        <v/>
      </c>
    </row>
    <row r="330">
      <c r="A330" t="inlineStr">
        <is>
          <t>IDEXX</t>
        </is>
      </c>
      <c r="B330" t="inlineStr">
        <is>
          <t>Spec cPL (Canine)</t>
        </is>
      </c>
      <c r="D330" t="inlineStr">
        <is>
          <t>CPLI</t>
        </is>
      </c>
      <c r="E330" t="inlineStr">
        <is>
          <t>2025-01</t>
        </is>
      </c>
      <c r="F330" t="n">
        <v>495.9</v>
      </c>
      <c r="G330" t="n">
        <v>585.16</v>
      </c>
      <c r="H330">
        <f>הגדרות!B4</f>
        <v/>
      </c>
      <c r="I330">
        <f>F330*(1-H330/100)*1.18</f>
        <v/>
      </c>
      <c r="J330">
        <f>הגדרות!C4</f>
        <v/>
      </c>
      <c r="K330">
        <f>הגדרות!D4</f>
        <v/>
      </c>
      <c r="L330">
        <f>I330*(1+J330/100)+K330</f>
        <v/>
      </c>
    </row>
    <row r="331">
      <c r="A331" t="inlineStr">
        <is>
          <t>IDEXX</t>
        </is>
      </c>
      <c r="B331" t="inlineStr">
        <is>
          <t>Parvovirus (DNA) RealPCR™</t>
        </is>
      </c>
      <c r="D331" t="inlineStr">
        <is>
          <t>CPPC</t>
        </is>
      </c>
      <c r="E331" t="inlineStr">
        <is>
          <t>2025-01</t>
        </is>
      </c>
      <c r="F331" t="n">
        <v>368.3</v>
      </c>
      <c r="G331" t="n">
        <v>434.59</v>
      </c>
      <c r="H331">
        <f>הגדרות!B4</f>
        <v/>
      </c>
      <c r="I331">
        <f>F331*(1-H331/100)*1.18</f>
        <v/>
      </c>
      <c r="J331">
        <f>הגדרות!C4</f>
        <v/>
      </c>
      <c r="K331">
        <f>הגדרות!D4</f>
        <v/>
      </c>
      <c r="L331">
        <f>I331*(1+J331/100)+K331</f>
        <v/>
      </c>
    </row>
    <row r="332">
      <c r="A332" t="inlineStr">
        <is>
          <t>IDEXX</t>
        </is>
      </c>
      <c r="B332" t="inlineStr">
        <is>
          <t>Clostridium Perfringens Toxin PCR (Quantitative)</t>
        </is>
      </c>
      <c r="D332" t="inlineStr">
        <is>
          <t>CPTP</t>
        </is>
      </c>
      <c r="E332" t="inlineStr">
        <is>
          <t>2025-01</t>
        </is>
      </c>
      <c r="F332" t="n">
        <v>475.6</v>
      </c>
      <c r="G332" t="n">
        <v>561.21</v>
      </c>
      <c r="H332">
        <f>הגדרות!B4</f>
        <v/>
      </c>
      <c r="I332">
        <f>F332*(1-H332/100)*1.18</f>
        <v/>
      </c>
      <c r="J332">
        <f>הגדרות!C4</f>
        <v/>
      </c>
      <c r="K332">
        <f>הגדרות!D4</f>
        <v/>
      </c>
      <c r="L332">
        <f>I332*(1+J332/100)+K332</f>
        <v/>
      </c>
    </row>
    <row r="333">
      <c r="A333" t="inlineStr">
        <is>
          <t>IDEXX</t>
        </is>
      </c>
      <c r="B333" t="inlineStr">
        <is>
          <t>Canine Pyrexia of Unknown Origin Profile (Interpreted</t>
        </is>
      </c>
      <c r="D333" t="inlineStr">
        <is>
          <t>C) PUOI</t>
        </is>
      </c>
      <c r="E333" t="inlineStr">
        <is>
          <t>2025-01</t>
        </is>
      </c>
      <c r="F333" t="n">
        <v>771.4</v>
      </c>
      <c r="G333" t="n">
        <v>910.25</v>
      </c>
      <c r="H333">
        <f>הגדרות!B4</f>
        <v/>
      </c>
      <c r="I333">
        <f>F333*(1-H333/100)*1.18</f>
        <v/>
      </c>
      <c r="J333">
        <f>הגדרות!C4</f>
        <v/>
      </c>
      <c r="K333">
        <f>הגדרות!D4</f>
        <v/>
      </c>
      <c r="L333">
        <f>I333*(1+J333/100)+K333</f>
        <v/>
      </c>
    </row>
    <row r="334">
      <c r="A334" t="inlineStr">
        <is>
          <t>IDEXX</t>
        </is>
      </c>
      <c r="B334" t="inlineStr">
        <is>
          <t>Comprehensive Rabbit Profile</t>
        </is>
      </c>
      <c r="D334" t="inlineStr">
        <is>
          <t>CRP</t>
        </is>
      </c>
      <c r="E334" t="inlineStr">
        <is>
          <t>2025-01</t>
        </is>
      </c>
      <c r="F334" t="n">
        <v>559.7</v>
      </c>
      <c r="G334" t="n">
        <v>660.45</v>
      </c>
      <c r="H334">
        <f>הגדרות!B4</f>
        <v/>
      </c>
      <c r="I334">
        <f>F334*(1-H334/100)*1.18</f>
        <v/>
      </c>
      <c r="J334">
        <f>הגדרות!C4</f>
        <v/>
      </c>
      <c r="K334">
        <f>הגדרות!D4</f>
        <v/>
      </c>
      <c r="L334">
        <f>I334*(1+J334/100)+K334</f>
        <v/>
      </c>
    </row>
    <row r="335">
      <c r="A335" t="inlineStr">
        <is>
          <t>IDEXX</t>
        </is>
      </c>
      <c r="B335" t="inlineStr">
        <is>
          <t>Canine Upper Respiratory Panel</t>
        </is>
      </c>
      <c r="D335" t="inlineStr">
        <is>
          <t>CRP1</t>
        </is>
      </c>
      <c r="E335" t="inlineStr">
        <is>
          <t>2025-01</t>
        </is>
      </c>
      <c r="F335" t="n">
        <v>872.9</v>
      </c>
      <c r="G335" t="n">
        <v>1030.02</v>
      </c>
      <c r="H335">
        <f>הגדרות!B4</f>
        <v/>
      </c>
      <c r="I335">
        <f>F335*(1-H335/100)*1.18</f>
        <v/>
      </c>
      <c r="J335">
        <f>הגדרות!C4</f>
        <v/>
      </c>
      <c r="K335">
        <f>הגדרות!D4</f>
        <v/>
      </c>
      <c r="L335">
        <f>I335*(1+J335/100)+K335</f>
        <v/>
      </c>
    </row>
    <row r="336">
      <c r="A336" t="inlineStr">
        <is>
          <t>IDEXX</t>
        </is>
      </c>
      <c r="B336" t="inlineStr">
        <is>
          <t>Canine Upper Respiratory Panel plus bacterial culture</t>
        </is>
      </c>
      <c r="D336" t="inlineStr">
        <is>
          <t>CRPC</t>
        </is>
      </c>
      <c r="E336" t="inlineStr">
        <is>
          <t>2025-01</t>
        </is>
      </c>
      <c r="F336" t="n">
        <v>1073</v>
      </c>
      <c r="G336" t="n">
        <v>1266.14</v>
      </c>
      <c r="H336">
        <f>הגדרות!B4</f>
        <v/>
      </c>
      <c r="I336">
        <f>F336*(1-H336/100)*1.18</f>
        <v/>
      </c>
      <c r="J336">
        <f>הגדרות!C4</f>
        <v/>
      </c>
      <c r="K336">
        <f>הגדרות!D4</f>
        <v/>
      </c>
      <c r="L336">
        <f>I336*(1+J336/100)+K336</f>
        <v/>
      </c>
    </row>
    <row r="337">
      <c r="A337" t="inlineStr">
        <is>
          <t>IDEXX</t>
        </is>
      </c>
      <c r="B337" t="inlineStr">
        <is>
          <t>C Reactive Protein (Canine Only)</t>
        </is>
      </c>
      <c r="D337" t="inlineStr">
        <is>
          <t>CRPR</t>
        </is>
      </c>
      <c r="E337" t="inlineStr">
        <is>
          <t>2025-01</t>
        </is>
      </c>
      <c r="F337" t="n">
        <v>118.9</v>
      </c>
      <c r="G337" t="n">
        <v>140.3</v>
      </c>
      <c r="H337">
        <f>הגדרות!B4</f>
        <v/>
      </c>
      <c r="I337">
        <f>F337*(1-H337/100)*1.18</f>
        <v/>
      </c>
      <c r="J337">
        <f>הגדרות!C4</f>
        <v/>
      </c>
      <c r="K337">
        <f>הגדרות!D4</f>
        <v/>
      </c>
      <c r="L337">
        <f>I337*(1+J337/100)+K337</f>
        <v/>
      </c>
    </row>
    <row r="338">
      <c r="A338" t="inlineStr">
        <is>
          <t>IDEXX</t>
        </is>
      </c>
      <c r="B338" t="inlineStr">
        <is>
          <t>Cryptosporidium PCR</t>
        </is>
      </c>
      <c r="D338" t="inlineStr">
        <is>
          <t>CRYDP</t>
        </is>
      </c>
      <c r="E338" t="inlineStr">
        <is>
          <t>2025-01</t>
        </is>
      </c>
      <c r="F338" t="n">
        <v>368.3</v>
      </c>
      <c r="G338" t="n">
        <v>434.59</v>
      </c>
      <c r="H338">
        <f>הגדרות!B4</f>
        <v/>
      </c>
      <c r="I338">
        <f>F338*(1-H338/100)*1.18</f>
        <v/>
      </c>
      <c r="J338">
        <f>הגדרות!C4</f>
        <v/>
      </c>
      <c r="K338">
        <f>הגדרות!D4</f>
        <v/>
      </c>
      <c r="L338">
        <f>I338*(1+J338/100)+K338</f>
        <v/>
      </c>
    </row>
    <row r="339">
      <c r="A339" t="inlineStr">
        <is>
          <t>IDEXX</t>
        </is>
      </c>
      <c r="B339" t="inlineStr">
        <is>
          <t>Cerebro‐‐‐‐spinal Fluid Cytology - 1 Fluid/Site</t>
        </is>
      </c>
      <c r="D339" t="inlineStr">
        <is>
          <t>CSF</t>
        </is>
      </c>
      <c r="E339" t="inlineStr">
        <is>
          <t>2025-01</t>
        </is>
      </c>
      <c r="F339" t="n">
        <v>664.1</v>
      </c>
      <c r="G339" t="n">
        <v>783.64</v>
      </c>
      <c r="H339">
        <f>הגדרות!B4</f>
        <v/>
      </c>
      <c r="I339">
        <f>F339*(1-H339/100)*1.18</f>
        <v/>
      </c>
      <c r="J339">
        <f>הגדרות!C4</f>
        <v/>
      </c>
      <c r="K339">
        <f>הגדרות!D4</f>
        <v/>
      </c>
      <c r="L339">
        <f>I339*(1+J339/100)+K339</f>
        <v/>
      </c>
    </row>
    <row r="340">
      <c r="A340" t="inlineStr">
        <is>
          <t>IDEXX</t>
        </is>
      </c>
      <c r="B340" t="inlineStr">
        <is>
          <t>Cerebro‐‐‐‐spinal Fluid Cytology - 2 Fluids/Sites</t>
        </is>
      </c>
      <c r="D340" t="inlineStr">
        <is>
          <t>CSF2</t>
        </is>
      </c>
      <c r="E340" t="inlineStr">
        <is>
          <t>2025-01</t>
        </is>
      </c>
      <c r="F340" t="n">
        <v>751.1</v>
      </c>
      <c r="G340" t="n">
        <v>886.3</v>
      </c>
      <c r="H340">
        <f>הגדרות!B4</f>
        <v/>
      </c>
      <c r="I340">
        <f>F340*(1-H340/100)*1.18</f>
        <v/>
      </c>
      <c r="J340">
        <f>הגדרות!C4</f>
        <v/>
      </c>
      <c r="K340">
        <f>הגדרות!D4</f>
        <v/>
      </c>
      <c r="L340">
        <f>I340*(1+J340/100)+K340</f>
        <v/>
      </c>
    </row>
    <row r="341">
      <c r="A341" t="inlineStr">
        <is>
          <t>IDEXX</t>
        </is>
      </c>
      <c r="B341" t="inlineStr">
        <is>
          <t>Protein Electrophoresis (CSF)</t>
        </is>
      </c>
      <c r="D341" t="inlineStr">
        <is>
          <t>CSPE</t>
        </is>
      </c>
      <c r="E341" t="inlineStr">
        <is>
          <t>2025-01</t>
        </is>
      </c>
      <c r="F341" t="n">
        <v>316.1</v>
      </c>
      <c r="G341" t="n">
        <v>373</v>
      </c>
      <c r="H341">
        <f>הגדרות!B4</f>
        <v/>
      </c>
      <c r="I341">
        <f>F341*(1-H341/100)*1.18</f>
        <v/>
      </c>
      <c r="J341">
        <f>הגדרות!C4</f>
        <v/>
      </c>
      <c r="K341">
        <f>הגדרות!D4</f>
        <v/>
      </c>
      <c r="L341">
        <f>I341*(1+J341/100)+K341</f>
        <v/>
      </c>
    </row>
    <row r="342">
      <c r="A342" t="inlineStr">
        <is>
          <t>IDEXX</t>
        </is>
      </c>
      <c r="B342" t="inlineStr">
        <is>
          <t>Cardiopet proBNP &amp; Troponin I HS (Canine)</t>
        </is>
      </c>
      <c r="D342" t="inlineStr">
        <is>
          <t>CTNI</t>
        </is>
      </c>
      <c r="E342" t="inlineStr">
        <is>
          <t>2025-01</t>
        </is>
      </c>
      <c r="F342" t="n">
        <v>600.3</v>
      </c>
      <c r="G342" t="n">
        <v>708.35</v>
      </c>
      <c r="H342">
        <f>הגדרות!B4</f>
        <v/>
      </c>
      <c r="I342">
        <f>F342*(1-H342/100)*1.18</f>
        <v/>
      </c>
      <c r="J342">
        <f>הגדרות!C4</f>
        <v/>
      </c>
      <c r="K342">
        <f>הגדרות!D4</f>
        <v/>
      </c>
      <c r="L342">
        <f>I342*(1+J342/100)+K342</f>
        <v/>
      </c>
    </row>
    <row r="343">
      <c r="A343" t="inlineStr">
        <is>
          <t>IDEXX</t>
        </is>
      </c>
      <c r="B343" t="inlineStr">
        <is>
          <t>Canine Premium Thyroid Panel</t>
        </is>
      </c>
      <c r="D343" t="inlineStr">
        <is>
          <t>CTPR</t>
        </is>
      </c>
      <c r="E343" t="inlineStr">
        <is>
          <t>2025-01</t>
        </is>
      </c>
      <c r="F343" t="n">
        <v>669.9</v>
      </c>
      <c r="G343" t="n">
        <v>790.48</v>
      </c>
      <c r="H343">
        <f>הגדרות!B4</f>
        <v/>
      </c>
      <c r="I343">
        <f>F343*(1-H343/100)*1.18</f>
        <v/>
      </c>
      <c r="J343">
        <f>הגדרות!C4</f>
        <v/>
      </c>
      <c r="K343">
        <f>הגדרות!D4</f>
        <v/>
      </c>
      <c r="L343">
        <f>I343*(1+J343/100)+K343</f>
        <v/>
      </c>
    </row>
    <row r="344">
      <c r="A344" t="inlineStr">
        <is>
          <t>IDEXX</t>
        </is>
      </c>
      <c r="B344" t="inlineStr">
        <is>
          <t>Canine Thyroid Panel</t>
        </is>
      </c>
      <c r="D344" t="inlineStr">
        <is>
          <t>CTPV</t>
        </is>
      </c>
      <c r="E344" t="inlineStr">
        <is>
          <t>2025-01</t>
        </is>
      </c>
      <c r="F344" t="n">
        <v>577.1</v>
      </c>
      <c r="G344" t="n">
        <v>680.98</v>
      </c>
      <c r="H344">
        <f>הגדרות!B4</f>
        <v/>
      </c>
      <c r="I344">
        <f>F344*(1-H344/100)*1.18</f>
        <v/>
      </c>
      <c r="J344">
        <f>הגדרות!C4</f>
        <v/>
      </c>
      <c r="K344">
        <f>הגדרות!D4</f>
        <v/>
      </c>
      <c r="L344">
        <f>I344*(1+J344/100)+K344</f>
        <v/>
      </c>
    </row>
    <row r="345">
      <c r="A345" t="inlineStr">
        <is>
          <t>IDEXX</t>
        </is>
      </c>
      <c r="B345" t="inlineStr">
        <is>
          <t>Canine travel disease profile - For chronic disease or</t>
        </is>
      </c>
      <c r="D345" t="inlineStr">
        <is>
          <t>fCreTqRuAent tra</t>
        </is>
      </c>
      <c r="E345" t="inlineStr">
        <is>
          <t>2025-01</t>
        </is>
      </c>
      <c r="F345" t="n">
        <v>965.7</v>
      </c>
      <c r="G345" t="n">
        <v>1139.53</v>
      </c>
      <c r="H345">
        <f>הגדרות!B4</f>
        <v/>
      </c>
      <c r="I345">
        <f>F345*(1-H345/100)*1.18</f>
        <v/>
      </c>
      <c r="J345">
        <f>הגדרות!C4</f>
        <v/>
      </c>
      <c r="K345">
        <f>הגדרות!D4</f>
        <v/>
      </c>
      <c r="L345">
        <f>I345*(1+J345/100)+K345</f>
        <v/>
      </c>
    </row>
    <row r="346">
      <c r="A346" t="inlineStr">
        <is>
          <t>IDEXX</t>
        </is>
      </c>
      <c r="B346" t="inlineStr">
        <is>
          <t>Clostridial Toxin Screen (Canine &amp; Feline)</t>
        </is>
      </c>
      <c r="D346" t="inlineStr">
        <is>
          <t>CTS</t>
        </is>
      </c>
      <c r="E346" t="inlineStr">
        <is>
          <t>2025-01</t>
        </is>
      </c>
      <c r="F346" t="n">
        <v>667</v>
      </c>
      <c r="G346" t="n">
        <v>787.0599999999999</v>
      </c>
      <c r="H346">
        <f>הגדרות!B4</f>
        <v/>
      </c>
      <c r="I346">
        <f>F346*(1-H346/100)*1.18</f>
        <v/>
      </c>
      <c r="J346">
        <f>הגדרות!C4</f>
        <v/>
      </c>
      <c r="K346">
        <f>הגדרות!D4</f>
        <v/>
      </c>
      <c r="L346">
        <f>I346*(1+J346/100)+K346</f>
        <v/>
      </c>
    </row>
    <row r="347">
      <c r="A347" t="inlineStr">
        <is>
          <t>IDEXX</t>
        </is>
      </c>
      <c r="B347" t="inlineStr">
        <is>
          <t>Canine TSH and Total T4</t>
        </is>
      </c>
      <c r="D347" t="inlineStr">
        <is>
          <t>CTSH</t>
        </is>
      </c>
      <c r="E347" t="inlineStr">
        <is>
          <t>2025-01</t>
        </is>
      </c>
      <c r="F347" t="n">
        <v>348</v>
      </c>
      <c r="G347" t="n">
        <v>410.64</v>
      </c>
      <c r="H347">
        <f>הגדרות!B4</f>
        <v/>
      </c>
      <c r="I347">
        <f>F347*(1-H347/100)*1.18</f>
        <v/>
      </c>
      <c r="J347">
        <f>הגדרות!C4</f>
        <v/>
      </c>
      <c r="K347">
        <f>הגדרות!D4</f>
        <v/>
      </c>
      <c r="L347">
        <f>I347*(1+J347/100)+K347</f>
        <v/>
      </c>
    </row>
    <row r="348">
      <c r="A348" t="inlineStr">
        <is>
          <t>IDEXX</t>
        </is>
      </c>
      <c r="B348" t="inlineStr">
        <is>
          <t>Cyclosporine A</t>
        </is>
      </c>
      <c r="D348" t="inlineStr">
        <is>
          <t>CYCR</t>
        </is>
      </c>
      <c r="E348" t="inlineStr">
        <is>
          <t>2025-01</t>
        </is>
      </c>
      <c r="F348" t="n">
        <v>675.7</v>
      </c>
      <c r="G348" t="n">
        <v>797.33</v>
      </c>
      <c r="H348">
        <f>הגדרות!B4</f>
        <v/>
      </c>
      <c r="I348">
        <f>F348*(1-H348/100)*1.18</f>
        <v/>
      </c>
      <c r="J348">
        <f>הגדרות!C4</f>
        <v/>
      </c>
      <c r="K348">
        <f>הגדרות!D4</f>
        <v/>
      </c>
      <c r="L348">
        <f>I348*(1+J348/100)+K348</f>
        <v/>
      </c>
    </row>
    <row r="349">
      <c r="A349" t="inlineStr">
        <is>
          <t>IDEXX</t>
        </is>
      </c>
      <c r="B349" t="inlineStr">
        <is>
          <t>Cystatin B</t>
        </is>
      </c>
      <c r="D349" t="inlineStr">
        <is>
          <t>CYSB</t>
        </is>
      </c>
      <c r="E349" t="inlineStr">
        <is>
          <t>2025-01</t>
        </is>
      </c>
      <c r="F349" t="n">
        <v>150.8</v>
      </c>
      <c r="G349" t="n">
        <v>177.94</v>
      </c>
      <c r="H349">
        <f>הגדרות!B4</f>
        <v/>
      </c>
      <c r="I349">
        <f>F349*(1-H349/100)*1.18</f>
        <v/>
      </c>
      <c r="J349">
        <f>הגדרות!C4</f>
        <v/>
      </c>
      <c r="K349">
        <f>הגדרות!D4</f>
        <v/>
      </c>
      <c r="L349">
        <f>I349*(1+J349/100)+K349</f>
        <v/>
      </c>
    </row>
    <row r="350">
      <c r="A350" t="inlineStr">
        <is>
          <t>IDEXX</t>
        </is>
      </c>
      <c r="B350" t="inlineStr">
        <is>
          <t>Cytology - 1 sampled site - up to 4 slides/site</t>
        </is>
      </c>
      <c r="D350" t="inlineStr">
        <is>
          <t>CYTO1</t>
        </is>
      </c>
      <c r="E350" t="inlineStr">
        <is>
          <t>2025-01</t>
        </is>
      </c>
      <c r="F350" t="n">
        <v>510.4</v>
      </c>
      <c r="G350" t="n">
        <v>602.27</v>
      </c>
      <c r="H350">
        <f>הגדרות!B4</f>
        <v/>
      </c>
      <c r="I350">
        <f>F350*(1-H350/100)*1.18</f>
        <v/>
      </c>
      <c r="J350">
        <f>הגדרות!C4</f>
        <v/>
      </c>
      <c r="K350">
        <f>הגדרות!D4</f>
        <v/>
      </c>
      <c r="L350">
        <f>I350*(1+J350/100)+K350</f>
        <v/>
      </c>
    </row>
    <row r="351">
      <c r="A351" t="inlineStr">
        <is>
          <t>IDEXX</t>
        </is>
      </c>
      <c r="B351" t="inlineStr">
        <is>
          <t>Cytology - 2 sampled sites - up to 4 slides/site</t>
        </is>
      </c>
      <c r="D351" t="inlineStr">
        <is>
          <t>CYTO2</t>
        </is>
      </c>
      <c r="E351" t="inlineStr">
        <is>
          <t>2025-01</t>
        </is>
      </c>
      <c r="F351" t="n">
        <v>539.4</v>
      </c>
      <c r="G351" t="n">
        <v>636.49</v>
      </c>
      <c r="H351">
        <f>הגדרות!B4</f>
        <v/>
      </c>
      <c r="I351">
        <f>F351*(1-H351/100)*1.18</f>
        <v/>
      </c>
      <c r="J351">
        <f>הגדרות!C4</f>
        <v/>
      </c>
      <c r="K351">
        <f>הגדרות!D4</f>
        <v/>
      </c>
      <c r="L351">
        <f>I351*(1+J351/100)+K351</f>
        <v/>
      </c>
    </row>
    <row r="352">
      <c r="A352" t="inlineStr">
        <is>
          <t>IDEXX</t>
        </is>
      </c>
      <c r="B352" t="inlineStr">
        <is>
          <t>Cytology - 3 sampled sites - up to 4 slides/site</t>
        </is>
      </c>
      <c r="D352" t="inlineStr">
        <is>
          <t>CYTO3</t>
        </is>
      </c>
      <c r="E352" t="inlineStr">
        <is>
          <t>2025-01</t>
        </is>
      </c>
      <c r="F352" t="n">
        <v>626.4</v>
      </c>
      <c r="G352" t="n">
        <v>739.15</v>
      </c>
      <c r="H352">
        <f>הגדרות!B4</f>
        <v/>
      </c>
      <c r="I352">
        <f>F352*(1-H352/100)*1.18</f>
        <v/>
      </c>
      <c r="J352">
        <f>הגדרות!C4</f>
        <v/>
      </c>
      <c r="K352">
        <f>הגדרות!D4</f>
        <v/>
      </c>
      <c r="L352">
        <f>I352*(1+J352/100)+K352</f>
        <v/>
      </c>
    </row>
    <row r="353">
      <c r="A353" t="inlineStr">
        <is>
          <t>IDEXX</t>
        </is>
      </c>
      <c r="B353" t="inlineStr">
        <is>
          <t>Cytology - 4 sampled sites - up to 4 slides/site</t>
        </is>
      </c>
      <c r="D353" t="inlineStr">
        <is>
          <t>CYTO4</t>
        </is>
      </c>
      <c r="E353" t="inlineStr">
        <is>
          <t>2025-01</t>
        </is>
      </c>
      <c r="F353" t="n">
        <v>713.4</v>
      </c>
      <c r="G353" t="n">
        <v>841.8099999999999</v>
      </c>
      <c r="H353">
        <f>הגדרות!B4</f>
        <v/>
      </c>
      <c r="I353">
        <f>F353*(1-H353/100)*1.18</f>
        <v/>
      </c>
      <c r="J353">
        <f>הגדרות!C4</f>
        <v/>
      </c>
      <c r="K353">
        <f>הגדרות!D4</f>
        <v/>
      </c>
      <c r="L353">
        <f>I353*(1+J353/100)+K353</f>
        <v/>
      </c>
    </row>
    <row r="354">
      <c r="A354" t="inlineStr">
        <is>
          <t>IDEXX</t>
        </is>
      </c>
      <c r="B354" t="inlineStr">
        <is>
          <t>Cytology - 5 sampled sites - up to 4 slides/site</t>
        </is>
      </c>
      <c r="D354" t="inlineStr">
        <is>
          <t>CYTO5</t>
        </is>
      </c>
      <c r="E354" t="inlineStr">
        <is>
          <t>2025-01</t>
        </is>
      </c>
      <c r="F354" t="n">
        <v>800.4</v>
      </c>
      <c r="G354" t="n">
        <v>944.47</v>
      </c>
      <c r="H354">
        <f>הגדרות!B4</f>
        <v/>
      </c>
      <c r="I354">
        <f>F354*(1-H354/100)*1.18</f>
        <v/>
      </c>
      <c r="J354">
        <f>הגדרות!C4</f>
        <v/>
      </c>
      <c r="K354">
        <f>הגדרות!D4</f>
        <v/>
      </c>
      <c r="L354">
        <f>I354*(1+J354/100)+K354</f>
        <v/>
      </c>
    </row>
    <row r="355">
      <c r="A355" t="inlineStr">
        <is>
          <t>IDEXX</t>
        </is>
      </c>
      <c r="B355" t="inlineStr">
        <is>
          <t>Cytology - 6 sampled sites - up to 4 slides/site</t>
        </is>
      </c>
      <c r="D355" t="inlineStr">
        <is>
          <t>CYTO6</t>
        </is>
      </c>
      <c r="E355" t="inlineStr">
        <is>
          <t>2025-01</t>
        </is>
      </c>
      <c r="F355" t="n">
        <v>887.4</v>
      </c>
      <c r="G355" t="n">
        <v>1047.13</v>
      </c>
      <c r="H355">
        <f>הגדרות!B4</f>
        <v/>
      </c>
      <c r="I355">
        <f>F355*(1-H355/100)*1.18</f>
        <v/>
      </c>
      <c r="J355">
        <f>הגדרות!C4</f>
        <v/>
      </c>
      <c r="K355">
        <f>הגדרות!D4</f>
        <v/>
      </c>
      <c r="L355">
        <f>I355*(1+J355/100)+K355</f>
        <v/>
      </c>
    </row>
    <row r="356">
      <c r="A356" t="inlineStr">
        <is>
          <t>IDEXX</t>
        </is>
      </c>
      <c r="B356" t="inlineStr">
        <is>
          <t>Cytology - 7 sampled sites - up to 4 slides/site</t>
        </is>
      </c>
      <c r="D356" t="inlineStr">
        <is>
          <t>CYTO7</t>
        </is>
      </c>
      <c r="E356" t="inlineStr">
        <is>
          <t>2025-01</t>
        </is>
      </c>
      <c r="F356" t="n">
        <v>974.4</v>
      </c>
      <c r="G356" t="n">
        <v>1149.79</v>
      </c>
      <c r="H356">
        <f>הגדרות!B4</f>
        <v/>
      </c>
      <c r="I356">
        <f>F356*(1-H356/100)*1.18</f>
        <v/>
      </c>
      <c r="J356">
        <f>הגדרות!C4</f>
        <v/>
      </c>
      <c r="K356">
        <f>הגדרות!D4</f>
        <v/>
      </c>
      <c r="L356">
        <f>I356*(1+J356/100)+K356</f>
        <v/>
      </c>
    </row>
    <row r="357">
      <c r="A357" t="inlineStr">
        <is>
          <t>IDEXX</t>
        </is>
      </c>
      <c r="B357" t="inlineStr">
        <is>
          <t>Cytology - 8 sampled sites - up to 4 slides/site</t>
        </is>
      </c>
      <c r="D357" t="inlineStr">
        <is>
          <t>CYTO8</t>
        </is>
      </c>
      <c r="E357" t="inlineStr">
        <is>
          <t>2025-01</t>
        </is>
      </c>
      <c r="F357" t="n">
        <v>1061.4</v>
      </c>
      <c r="G357" t="n">
        <v>1252.45</v>
      </c>
      <c r="H357">
        <f>הגדרות!B4</f>
        <v/>
      </c>
      <c r="I357">
        <f>F357*(1-H357/100)*1.18</f>
        <v/>
      </c>
      <c r="J357">
        <f>הגדרות!C4</f>
        <v/>
      </c>
      <c r="K357">
        <f>הגדרות!D4</f>
        <v/>
      </c>
      <c r="L357">
        <f>I357*(1+J357/100)+K357</f>
        <v/>
      </c>
    </row>
    <row r="358">
      <c r="A358" t="inlineStr">
        <is>
          <t>IDEXX</t>
        </is>
      </c>
      <c r="B358" t="inlineStr">
        <is>
          <t>Cytology - 9 or more sampled sites - up to 4 slides/sit</t>
        </is>
      </c>
      <c r="D358" t="inlineStr">
        <is>
          <t>eCYTX</t>
        </is>
      </c>
      <c r="E358" t="inlineStr">
        <is>
          <t>2025-01</t>
        </is>
      </c>
      <c r="F358" t="n">
        <v>1148.4</v>
      </c>
      <c r="G358" t="n">
        <v>1355.11</v>
      </c>
      <c r="H358">
        <f>הגדרות!B4</f>
        <v/>
      </c>
      <c r="I358">
        <f>F358*(1-H358/100)*1.18</f>
        <v/>
      </c>
      <c r="J358">
        <f>הגדרות!C4</f>
        <v/>
      </c>
      <c r="K358">
        <f>הגדרות!D4</f>
        <v/>
      </c>
      <c r="L358">
        <f>I358*(1+J358/100)+K358</f>
        <v/>
      </c>
    </row>
    <row r="359">
      <c r="A359" t="inlineStr">
        <is>
          <t>IDEXX</t>
        </is>
      </c>
      <c r="B359" t="inlineStr">
        <is>
          <t>Vaccination Status (Canine)</t>
        </is>
      </c>
      <c r="D359" t="inlineStr">
        <is>
          <t>DAPS</t>
        </is>
      </c>
      <c r="E359" t="inlineStr">
        <is>
          <t>2025-01</t>
        </is>
      </c>
      <c r="F359" t="n">
        <v>751.1</v>
      </c>
      <c r="G359" t="n">
        <v>886.3</v>
      </c>
      <c r="H359">
        <f>הגדרות!B4</f>
        <v/>
      </c>
      <c r="I359">
        <f>F359*(1-H359/100)*1.18</f>
        <v/>
      </c>
      <c r="J359">
        <f>הגדרות!C4</f>
        <v/>
      </c>
      <c r="K359">
        <f>הגדרות!D4</f>
        <v/>
      </c>
      <c r="L359">
        <f>I359*(1+J359/100)+K359</f>
        <v/>
      </c>
    </row>
    <row r="360">
      <c r="A360" t="inlineStr">
        <is>
          <t>IDEXX</t>
        </is>
      </c>
      <c r="B360" t="inlineStr">
        <is>
          <t>D Dimer (Canine only)</t>
        </is>
      </c>
      <c r="D360" t="inlineStr">
        <is>
          <t>DDIM</t>
        </is>
      </c>
      <c r="E360" t="inlineStr">
        <is>
          <t>2025-01</t>
        </is>
      </c>
      <c r="F360" t="n">
        <v>617.7</v>
      </c>
      <c r="G360" t="n">
        <v>728.89</v>
      </c>
      <c r="H360">
        <f>הגדרות!B4</f>
        <v/>
      </c>
      <c r="I360">
        <f>F360*(1-H360/100)*1.18</f>
        <v/>
      </c>
      <c r="J360">
        <f>הגדרות!C4</f>
        <v/>
      </c>
      <c r="K360">
        <f>הגדרות!D4</f>
        <v/>
      </c>
      <c r="L360">
        <f>I360*(1+J360/100)+K360</f>
        <v/>
      </c>
    </row>
    <row r="361">
      <c r="A361" t="inlineStr">
        <is>
          <t>IDEXX</t>
        </is>
      </c>
      <c r="B361" t="inlineStr">
        <is>
          <t>Dermatology Investigative Profile (Feline)</t>
        </is>
      </c>
      <c r="D361" t="inlineStr">
        <is>
          <t>DEF2</t>
        </is>
      </c>
      <c r="E361" t="inlineStr">
        <is>
          <t>2025-01</t>
        </is>
      </c>
      <c r="F361" t="n">
        <v>661.2</v>
      </c>
      <c r="G361" t="n">
        <v>780.22</v>
      </c>
      <c r="H361">
        <f>הגדרות!B4</f>
        <v/>
      </c>
      <c r="I361">
        <f>F361*(1-H361/100)*1.18</f>
        <v/>
      </c>
      <c r="J361">
        <f>הגדרות!C4</f>
        <v/>
      </c>
      <c r="K361">
        <f>הגדרות!D4</f>
        <v/>
      </c>
      <c r="L361">
        <f>I361*(1+J361/100)+K361</f>
        <v/>
      </c>
    </row>
    <row r="362">
      <c r="A362" t="inlineStr">
        <is>
          <t>IDEXX</t>
        </is>
      </c>
      <c r="B362" t="inlineStr">
        <is>
          <t>Dermatology Investigative Profile 1 (Canine)</t>
        </is>
      </c>
      <c r="D362" t="inlineStr">
        <is>
          <t>DER1</t>
        </is>
      </c>
      <c r="E362" t="inlineStr">
        <is>
          <t>2025-01</t>
        </is>
      </c>
      <c r="F362" t="n">
        <v>928</v>
      </c>
      <c r="G362" t="n">
        <v>1095.04</v>
      </c>
      <c r="H362">
        <f>הגדרות!B4</f>
        <v/>
      </c>
      <c r="I362">
        <f>F362*(1-H362/100)*1.18</f>
        <v/>
      </c>
      <c r="J362">
        <f>הגדרות!C4</f>
        <v/>
      </c>
      <c r="K362">
        <f>הגדרות!D4</f>
        <v/>
      </c>
      <c r="L362">
        <f>I362*(1+J362/100)+K362</f>
        <v/>
      </c>
    </row>
    <row r="363">
      <c r="A363" t="inlineStr">
        <is>
          <t>IDEXX</t>
        </is>
      </c>
      <c r="B363" t="inlineStr">
        <is>
          <t>Dermatology Investigative Profile 2 (Canine)</t>
        </is>
      </c>
      <c r="D363" t="inlineStr">
        <is>
          <t>DER2</t>
        </is>
      </c>
      <c r="E363" t="inlineStr">
        <is>
          <t>2025-01</t>
        </is>
      </c>
      <c r="F363" t="n">
        <v>1044</v>
      </c>
      <c r="G363" t="n">
        <v>1231.92</v>
      </c>
      <c r="H363">
        <f>הגדרות!B4</f>
        <v/>
      </c>
      <c r="I363">
        <f>F363*(1-H363/100)*1.18</f>
        <v/>
      </c>
      <c r="J363">
        <f>הגדרות!C4</f>
        <v/>
      </c>
      <c r="K363">
        <f>הגדרות!D4</f>
        <v/>
      </c>
      <c r="L363">
        <f>I363*(1+J363/100)+K363</f>
        <v/>
      </c>
    </row>
    <row r="364">
      <c r="A364" t="inlineStr">
        <is>
          <t>IDEXX</t>
        </is>
      </c>
      <c r="B364" t="inlineStr">
        <is>
          <t>Dermatology Investigative Profile 3 (Canine)</t>
        </is>
      </c>
      <c r="D364" t="inlineStr">
        <is>
          <t>DER3</t>
        </is>
      </c>
      <c r="E364" t="inlineStr">
        <is>
          <t>2025-01</t>
        </is>
      </c>
      <c r="F364" t="n">
        <v>1148.4</v>
      </c>
      <c r="G364" t="n">
        <v>1355.11</v>
      </c>
      <c r="H364">
        <f>הגדרות!B4</f>
        <v/>
      </c>
      <c r="I364">
        <f>F364*(1-H364/100)*1.18</f>
        <v/>
      </c>
      <c r="J364">
        <f>הגדרות!C4</f>
        <v/>
      </c>
      <c r="K364">
        <f>הגדרות!D4</f>
        <v/>
      </c>
      <c r="L364">
        <f>I364*(1+J364/100)+K364</f>
        <v/>
      </c>
    </row>
    <row r="365">
      <c r="A365" t="inlineStr">
        <is>
          <t>IDEXX</t>
        </is>
      </c>
      <c r="B365" t="inlineStr">
        <is>
          <t>Dermatology Investigative Profile 4 (Canine)</t>
        </is>
      </c>
      <c r="D365" t="inlineStr">
        <is>
          <t>DER4</t>
        </is>
      </c>
      <c r="E365" t="inlineStr">
        <is>
          <t>2025-01</t>
        </is>
      </c>
      <c r="F365" t="n">
        <v>1223.8</v>
      </c>
      <c r="G365" t="n">
        <v>1444.08</v>
      </c>
      <c r="H365">
        <f>הגדרות!B4</f>
        <v/>
      </c>
      <c r="I365">
        <f>F365*(1-H365/100)*1.18</f>
        <v/>
      </c>
      <c r="J365">
        <f>הגדרות!C4</f>
        <v/>
      </c>
      <c r="K365">
        <f>הגדרות!D4</f>
        <v/>
      </c>
      <c r="L365">
        <f>I365*(1+J365/100)+K365</f>
        <v/>
      </c>
    </row>
    <row r="366">
      <c r="A366" t="inlineStr">
        <is>
          <t>IDEXX</t>
        </is>
      </c>
      <c r="B366" t="inlineStr">
        <is>
          <t>Dermatophyte RealPCR™ Panel (Canine &amp; Feline)</t>
        </is>
      </c>
      <c r="D366" t="inlineStr">
        <is>
          <t>DERMP</t>
        </is>
      </c>
      <c r="E366" t="inlineStr">
        <is>
          <t>2025-01</t>
        </is>
      </c>
      <c r="F366" t="n">
        <v>368.3</v>
      </c>
      <c r="G366" t="n">
        <v>434.59</v>
      </c>
      <c r="H366">
        <f>הגדרות!B4</f>
        <v/>
      </c>
      <c r="I366">
        <f>F366*(1-H366/100)*1.18</f>
        <v/>
      </c>
      <c r="J366">
        <f>הגדרות!C4</f>
        <v/>
      </c>
      <c r="K366">
        <f>הגדרות!D4</f>
        <v/>
      </c>
      <c r="L366">
        <f>I366*(1+J366/100)+K366</f>
        <v/>
      </c>
    </row>
    <row r="367">
      <c r="A367" t="inlineStr">
        <is>
          <t>IDEXX</t>
        </is>
      </c>
      <c r="B367" t="inlineStr">
        <is>
          <t>Dexamethasone Suppression Test (Canine) - High Do</t>
        </is>
      </c>
      <c r="D367" t="inlineStr">
        <is>
          <t>sDeEXH</t>
        </is>
      </c>
      <c r="E367" t="inlineStr">
        <is>
          <t>2025-01</t>
        </is>
      </c>
      <c r="F367" t="n">
        <v>556.8</v>
      </c>
      <c r="G367" t="n">
        <v>657.02</v>
      </c>
      <c r="H367">
        <f>הגדרות!B4</f>
        <v/>
      </c>
      <c r="I367">
        <f>F367*(1-H367/100)*1.18</f>
        <v/>
      </c>
      <c r="J367">
        <f>הגדרות!C4</f>
        <v/>
      </c>
      <c r="K367">
        <f>הגדרות!D4</f>
        <v/>
      </c>
      <c r="L367">
        <f>I367*(1+J367/100)+K367</f>
        <v/>
      </c>
    </row>
    <row r="368">
      <c r="A368" t="inlineStr">
        <is>
          <t>IDEXX</t>
        </is>
      </c>
      <c r="B368" t="inlineStr">
        <is>
          <t>Dexamethasone Suppression Test (Canine) - Low Dos</t>
        </is>
      </c>
      <c r="D368" t="inlineStr">
        <is>
          <t>DeEXL</t>
        </is>
      </c>
      <c r="E368" t="inlineStr">
        <is>
          <t>2025-01</t>
        </is>
      </c>
      <c r="F368" t="n">
        <v>556.8</v>
      </c>
      <c r="G368" t="n">
        <v>657.02</v>
      </c>
      <c r="H368">
        <f>הגדרות!B4</f>
        <v/>
      </c>
      <c r="I368">
        <f>F368*(1-H368/100)*1.18</f>
        <v/>
      </c>
      <c r="J368">
        <f>הגדרות!C4</f>
        <v/>
      </c>
      <c r="K368">
        <f>הגדרות!D4</f>
        <v/>
      </c>
      <c r="L368">
        <f>I368*(1+J368/100)+K368</f>
        <v/>
      </c>
    </row>
    <row r="369">
      <c r="A369" t="inlineStr">
        <is>
          <t>IDEXX</t>
        </is>
      </c>
      <c r="B369" t="inlineStr">
        <is>
          <t>Diabetes Monitoring Profile (Interpreted)</t>
        </is>
      </c>
      <c r="D369" t="inlineStr">
        <is>
          <t>DIABI</t>
        </is>
      </c>
      <c r="E369" t="inlineStr">
        <is>
          <t>2025-01</t>
        </is>
      </c>
      <c r="F369" t="n">
        <v>295.8</v>
      </c>
      <c r="G369" t="n">
        <v>349.04</v>
      </c>
      <c r="H369">
        <f>הגדרות!B4</f>
        <v/>
      </c>
      <c r="I369">
        <f>F369*(1-H369/100)*1.18</f>
        <v/>
      </c>
      <c r="J369">
        <f>הגדרות!C4</f>
        <v/>
      </c>
      <c r="K369">
        <f>הגדרות!D4</f>
        <v/>
      </c>
      <c r="L369">
        <f>I369*(1+J369/100)+K369</f>
        <v/>
      </c>
    </row>
    <row r="370">
      <c r="A370" t="inlineStr">
        <is>
          <t>IDEXX</t>
        </is>
      </c>
      <c r="B370" t="inlineStr">
        <is>
          <t>Diabetes Monitoring Screen (Non-Interpreted)</t>
        </is>
      </c>
      <c r="D370" t="inlineStr">
        <is>
          <t>DIABN</t>
        </is>
      </c>
      <c r="E370" t="inlineStr">
        <is>
          <t>2025-01</t>
        </is>
      </c>
      <c r="F370" t="n">
        <v>226.2</v>
      </c>
      <c r="G370" t="n">
        <v>266.92</v>
      </c>
      <c r="H370">
        <f>הגדרות!B4</f>
        <v/>
      </c>
      <c r="I370">
        <f>F370*(1-H370/100)*1.18</f>
        <v/>
      </c>
      <c r="J370">
        <f>הגדרות!C4</f>
        <v/>
      </c>
      <c r="K370">
        <f>הגדרות!D4</f>
        <v/>
      </c>
      <c r="L370">
        <f>I370*(1+J370/100)+K370</f>
        <v/>
      </c>
    </row>
    <row r="371">
      <c r="A371" t="inlineStr">
        <is>
          <t>IDEXX</t>
        </is>
      </c>
      <c r="B371" t="inlineStr">
        <is>
          <t>Canine Diarrhoea Profile (Interpreted)</t>
        </is>
      </c>
      <c r="D371" t="inlineStr">
        <is>
          <t>DIARCI</t>
        </is>
      </c>
      <c r="E371" t="inlineStr">
        <is>
          <t>2025-01</t>
        </is>
      </c>
      <c r="F371" t="n">
        <v>1360.1</v>
      </c>
      <c r="G371" t="n">
        <v>1604.92</v>
      </c>
      <c r="H371">
        <f>הגדרות!B4</f>
        <v/>
      </c>
      <c r="I371">
        <f>F371*(1-H371/100)*1.18</f>
        <v/>
      </c>
      <c r="J371">
        <f>הגדרות!C4</f>
        <v/>
      </c>
      <c r="K371">
        <f>הגדרות!D4</f>
        <v/>
      </c>
      <c r="L371">
        <f>I371*(1+J371/100)+K371</f>
        <v/>
      </c>
    </row>
    <row r="372">
      <c r="A372" t="inlineStr">
        <is>
          <t>IDEXX</t>
        </is>
      </c>
      <c r="B372" t="inlineStr">
        <is>
          <t>Canine Diarrhoea Screen (Non-Interpreted)</t>
        </is>
      </c>
      <c r="D372" t="inlineStr">
        <is>
          <t>DIARCN</t>
        </is>
      </c>
      <c r="E372" t="inlineStr">
        <is>
          <t>2025-01</t>
        </is>
      </c>
      <c r="F372" t="n">
        <v>1299.2</v>
      </c>
      <c r="G372" t="n">
        <v>1533.06</v>
      </c>
      <c r="H372">
        <f>הגדרות!B4</f>
        <v/>
      </c>
      <c r="I372">
        <f>F372*(1-H372/100)*1.18</f>
        <v/>
      </c>
      <c r="J372">
        <f>הגדרות!C4</f>
        <v/>
      </c>
      <c r="K372">
        <f>הגדרות!D4</f>
        <v/>
      </c>
      <c r="L372">
        <f>I372*(1+J372/100)+K372</f>
        <v/>
      </c>
    </row>
    <row r="373">
      <c r="A373" t="inlineStr">
        <is>
          <t>IDEXX</t>
        </is>
      </c>
      <c r="B373" t="inlineStr">
        <is>
          <t>Feline Diarrhoea Profile (Interpreted)</t>
        </is>
      </c>
      <c r="D373" t="inlineStr">
        <is>
          <t>DIARFI</t>
        </is>
      </c>
      <c r="E373" t="inlineStr">
        <is>
          <t>2025-01</t>
        </is>
      </c>
      <c r="F373" t="n">
        <v>1154.2</v>
      </c>
      <c r="G373" t="n">
        <v>1361.96</v>
      </c>
      <c r="H373">
        <f>הגדרות!B4</f>
        <v/>
      </c>
      <c r="I373">
        <f>F373*(1-H373/100)*1.18</f>
        <v/>
      </c>
      <c r="J373">
        <f>הגדרות!C4</f>
        <v/>
      </c>
      <c r="K373">
        <f>הגדרות!D4</f>
        <v/>
      </c>
      <c r="L373">
        <f>I373*(1+J373/100)+K373</f>
        <v/>
      </c>
    </row>
    <row r="374">
      <c r="A374" t="inlineStr">
        <is>
          <t>IDEXX</t>
        </is>
      </c>
      <c r="B374" t="inlineStr">
        <is>
          <t>Feline Diarrhoea Screen (Non-Interpreted)</t>
        </is>
      </c>
      <c r="D374" t="inlineStr">
        <is>
          <t>DIARFN</t>
        </is>
      </c>
      <c r="E374" t="inlineStr">
        <is>
          <t>2025-01</t>
        </is>
      </c>
      <c r="F374" t="n">
        <v>1093.3</v>
      </c>
      <c r="G374" t="n">
        <v>1290.09</v>
      </c>
      <c r="H374">
        <f>הגדרות!B4</f>
        <v/>
      </c>
      <c r="I374">
        <f>F374*(1-H374/100)*1.18</f>
        <v/>
      </c>
      <c r="J374">
        <f>הגדרות!C4</f>
        <v/>
      </c>
      <c r="K374">
        <f>הגדרות!D4</f>
        <v/>
      </c>
      <c r="L374">
        <f>I374*(1+J374/100)+K374</f>
        <v/>
      </c>
    </row>
    <row r="375">
      <c r="A375" t="inlineStr">
        <is>
          <t>IDEXX</t>
        </is>
      </c>
      <c r="B375" t="inlineStr">
        <is>
          <t>Digoxin</t>
        </is>
      </c>
      <c r="D375" t="inlineStr">
        <is>
          <t>DIG</t>
        </is>
      </c>
      <c r="E375" t="inlineStr">
        <is>
          <t>2025-01</t>
        </is>
      </c>
      <c r="F375" t="n">
        <v>275.5</v>
      </c>
      <c r="G375" t="n">
        <v>325.09</v>
      </c>
      <c r="H375">
        <f>הגדרות!B4</f>
        <v/>
      </c>
      <c r="I375">
        <f>F375*(1-H375/100)*1.18</f>
        <v/>
      </c>
      <c r="J375">
        <f>הגדרות!C4</f>
        <v/>
      </c>
      <c r="K375">
        <f>הגדרות!D4</f>
        <v/>
      </c>
      <c r="L375">
        <f>I375*(1+J375/100)+K375</f>
        <v/>
      </c>
    </row>
    <row r="376">
      <c r="A376" t="inlineStr">
        <is>
          <t>IDEXX</t>
        </is>
      </c>
      <c r="B376" t="inlineStr">
        <is>
          <t>Canine Digoxin Profile (Interpreted)</t>
        </is>
      </c>
      <c r="D376" t="inlineStr">
        <is>
          <t>DIGM</t>
        </is>
      </c>
      <c r="E376" t="inlineStr">
        <is>
          <t>2025-01</t>
        </is>
      </c>
      <c r="F376" t="n">
        <v>777.2</v>
      </c>
      <c r="G376" t="n">
        <v>917.1</v>
      </c>
      <c r="H376">
        <f>הגדרות!B4</f>
        <v/>
      </c>
      <c r="I376">
        <f>F376*(1-H376/100)*1.18</f>
        <v/>
      </c>
      <c r="J376">
        <f>הגדרות!C4</f>
        <v/>
      </c>
      <c r="K376">
        <f>הגדרות!D4</f>
        <v/>
      </c>
      <c r="L376">
        <f>I376*(1+J376/100)+K376</f>
        <v/>
      </c>
    </row>
    <row r="377">
      <c r="A377" t="inlineStr">
        <is>
          <t>IDEXX</t>
        </is>
      </c>
      <c r="B377" t="inlineStr">
        <is>
          <t>Feline Digoxin Profile (Interpreted)</t>
        </is>
      </c>
      <c r="D377" t="inlineStr">
        <is>
          <t>DIGMF</t>
        </is>
      </c>
      <c r="E377" t="inlineStr">
        <is>
          <t>2025-01</t>
        </is>
      </c>
      <c r="F377" t="n">
        <v>777.2</v>
      </c>
      <c r="G377" t="n">
        <v>917.1</v>
      </c>
      <c r="H377">
        <f>הגדרות!B4</f>
        <v/>
      </c>
      <c r="I377">
        <f>F377*(1-H377/100)*1.18</f>
        <v/>
      </c>
      <c r="J377">
        <f>הגדרות!C4</f>
        <v/>
      </c>
      <c r="K377">
        <f>הגדרות!D4</f>
        <v/>
      </c>
      <c r="L377">
        <f>I377*(1+J377/100)+K377</f>
        <v/>
      </c>
    </row>
    <row r="378">
      <c r="A378" t="inlineStr">
        <is>
          <t>IDEXX</t>
        </is>
      </c>
      <c r="B378" t="inlineStr">
        <is>
          <t>Dexamethasone Suppression Test (Feline)</t>
        </is>
      </c>
      <c r="D378" t="inlineStr">
        <is>
          <t>DSTC</t>
        </is>
      </c>
      <c r="E378" t="inlineStr">
        <is>
          <t>2025-01</t>
        </is>
      </c>
      <c r="F378" t="n">
        <v>556.8</v>
      </c>
      <c r="G378" t="n">
        <v>657.02</v>
      </c>
      <c r="H378">
        <f>הגדרות!B4</f>
        <v/>
      </c>
      <c r="I378">
        <f>F378*(1-H378/100)*1.18</f>
        <v/>
      </c>
      <c r="J378">
        <f>הגדרות!C4</f>
        <v/>
      </c>
      <c r="K378">
        <f>הגדרות!D4</f>
        <v/>
      </c>
      <c r="L378">
        <f>I378*(1+J378/100)+K378</f>
        <v/>
      </c>
    </row>
    <row r="379">
      <c r="A379" t="inlineStr">
        <is>
          <t>IDEXX</t>
        </is>
      </c>
      <c r="B379" t="inlineStr">
        <is>
          <t>Endogenous ACTH</t>
        </is>
      </c>
      <c r="D379" t="inlineStr">
        <is>
          <t>EACTH</t>
        </is>
      </c>
      <c r="E379" t="inlineStr">
        <is>
          <t>2025-01</t>
        </is>
      </c>
      <c r="F379" t="n">
        <v>185.6</v>
      </c>
      <c r="G379" t="n">
        <v>219.01</v>
      </c>
      <c r="H379">
        <f>הגדרות!B4</f>
        <v/>
      </c>
      <c r="I379">
        <f>F379*(1-H379/100)*1.18</f>
        <v/>
      </c>
      <c r="J379">
        <f>הגדרות!C4</f>
        <v/>
      </c>
      <c r="K379">
        <f>הגדרות!D4</f>
        <v/>
      </c>
      <c r="L379">
        <f>I379*(1+J379/100)+K379</f>
        <v/>
      </c>
    </row>
    <row r="380">
      <c r="A380" t="inlineStr">
        <is>
          <t>IDEXX</t>
        </is>
      </c>
      <c r="B380" t="inlineStr">
        <is>
          <t>Ear Culture + Cytology (One Ear)</t>
        </is>
      </c>
      <c r="D380" t="inlineStr">
        <is>
          <t>EARC</t>
        </is>
      </c>
      <c r="E380" t="inlineStr">
        <is>
          <t>2025-01</t>
        </is>
      </c>
      <c r="F380" t="n">
        <v>640.9</v>
      </c>
      <c r="G380" t="n">
        <v>756.26</v>
      </c>
      <c r="H380">
        <f>הגדרות!B4</f>
        <v/>
      </c>
      <c r="I380">
        <f>F380*(1-H380/100)*1.18</f>
        <v/>
      </c>
      <c r="J380">
        <f>הגדרות!C4</f>
        <v/>
      </c>
      <c r="K380">
        <f>הגדרות!D4</f>
        <v/>
      </c>
      <c r="L380">
        <f>I380*(1+J380/100)+K380</f>
        <v/>
      </c>
    </row>
    <row r="381">
      <c r="A381" t="inlineStr">
        <is>
          <t>IDEXX</t>
        </is>
      </c>
      <c r="B381" t="inlineStr">
        <is>
          <t>Ear Culture + Cytology (Two Ears)</t>
        </is>
      </c>
      <c r="D381" t="inlineStr">
        <is>
          <t>EARC2</t>
        </is>
      </c>
      <c r="E381" t="inlineStr">
        <is>
          <t>2025-01</t>
        </is>
      </c>
      <c r="F381" t="n">
        <v>849.7</v>
      </c>
      <c r="G381" t="n">
        <v>1002.65</v>
      </c>
      <c r="H381">
        <f>הגדרות!B4</f>
        <v/>
      </c>
      <c r="I381">
        <f>F381*(1-H381/100)*1.18</f>
        <v/>
      </c>
      <c r="J381">
        <f>הגדרות!C4</f>
        <v/>
      </c>
      <c r="K381">
        <f>הגדרות!D4</f>
        <v/>
      </c>
      <c r="L381">
        <f>I381*(1+J381/100)+K381</f>
        <v/>
      </c>
    </row>
    <row r="382">
      <c r="A382" t="inlineStr">
        <is>
          <t>IDEXX</t>
        </is>
      </c>
      <c r="B382" t="inlineStr">
        <is>
          <t>Ear Culture (Two Ears)</t>
        </is>
      </c>
      <c r="D382" t="inlineStr">
        <is>
          <t>EARLR</t>
        </is>
      </c>
      <c r="E382" t="inlineStr">
        <is>
          <t>2025-01</t>
        </is>
      </c>
      <c r="F382" t="n">
        <v>495.9</v>
      </c>
      <c r="G382" t="n">
        <v>585.16</v>
      </c>
      <c r="H382">
        <f>הגדרות!B4</f>
        <v/>
      </c>
      <c r="I382">
        <f>F382*(1-H382/100)*1.18</f>
        <v/>
      </c>
      <c r="J382">
        <f>הגדרות!C4</f>
        <v/>
      </c>
      <c r="K382">
        <f>הגדרות!D4</f>
        <v/>
      </c>
      <c r="L382">
        <f>I382*(1+J382/100)+K382</f>
        <v/>
      </c>
    </row>
    <row r="383">
      <c r="A383" t="inlineStr">
        <is>
          <t>IDEXX</t>
        </is>
      </c>
      <c r="B383" t="inlineStr">
        <is>
          <t>Ear Culture + Gram Stain (One Ear)</t>
        </is>
      </c>
      <c r="D383" t="inlineStr">
        <is>
          <t>EARM</t>
        </is>
      </c>
      <c r="E383" t="inlineStr">
        <is>
          <t>2025-01</t>
        </is>
      </c>
      <c r="F383" t="n">
        <v>423.4</v>
      </c>
      <c r="G383" t="n">
        <v>499.61</v>
      </c>
      <c r="H383">
        <f>הגדרות!B4</f>
        <v/>
      </c>
      <c r="I383">
        <f>F383*(1-H383/100)*1.18</f>
        <v/>
      </c>
      <c r="J383">
        <f>הגדרות!C4</f>
        <v/>
      </c>
      <c r="K383">
        <f>הגדרות!D4</f>
        <v/>
      </c>
      <c r="L383">
        <f>I383*(1+J383/100)+K383</f>
        <v/>
      </c>
    </row>
    <row r="384">
      <c r="A384" t="inlineStr">
        <is>
          <t>IDEXX</t>
        </is>
      </c>
      <c r="B384" t="inlineStr">
        <is>
          <t>Ear Culture + Gram Stain (Two Ears)</t>
        </is>
      </c>
      <c r="D384" t="inlineStr">
        <is>
          <t>EARM2</t>
        </is>
      </c>
      <c r="E384" t="inlineStr">
        <is>
          <t>2025-01</t>
        </is>
      </c>
      <c r="F384" t="n">
        <v>629.3</v>
      </c>
      <c r="G384" t="n">
        <v>742.5700000000001</v>
      </c>
      <c r="H384">
        <f>הגדרות!B4</f>
        <v/>
      </c>
      <c r="I384">
        <f>F384*(1-H384/100)*1.18</f>
        <v/>
      </c>
      <c r="J384">
        <f>הגדרות!C4</f>
        <v/>
      </c>
      <c r="K384">
        <f>הגדרות!D4</f>
        <v/>
      </c>
      <c r="L384">
        <f>I384*(1+J384/100)+K384</f>
        <v/>
      </c>
    </row>
    <row r="385">
      <c r="A385" t="inlineStr">
        <is>
          <t>IDEXX</t>
        </is>
      </c>
      <c r="B385" t="inlineStr">
        <is>
          <t>Ear Culture (One Ear)</t>
        </is>
      </c>
      <c r="D385" t="inlineStr">
        <is>
          <t>EARSW</t>
        </is>
      </c>
      <c r="E385" t="inlineStr">
        <is>
          <t>2025-01</t>
        </is>
      </c>
      <c r="F385" t="n">
        <v>330.6</v>
      </c>
      <c r="G385" t="n">
        <v>390.11</v>
      </c>
      <c r="H385">
        <f>הגדרות!B4</f>
        <v/>
      </c>
      <c r="I385">
        <f>F385*(1-H385/100)*1.18</f>
        <v/>
      </c>
      <c r="J385">
        <f>הגדרות!C4</f>
        <v/>
      </c>
      <c r="K385">
        <f>הגדרות!D4</f>
        <v/>
      </c>
      <c r="L385">
        <f>I385*(1+J385/100)+K385</f>
        <v/>
      </c>
    </row>
    <row r="386">
      <c r="A386" t="inlineStr">
        <is>
          <t>IDEXX</t>
        </is>
      </c>
      <c r="B386" t="inlineStr">
        <is>
          <t>E. coli O157 culture</t>
        </is>
      </c>
      <c r="D386" t="inlineStr">
        <is>
          <t>EC157</t>
        </is>
      </c>
      <c r="E386" t="inlineStr">
        <is>
          <t>2025-01</t>
        </is>
      </c>
      <c r="F386" t="n">
        <v>365.4</v>
      </c>
      <c r="G386" t="n">
        <v>431.17</v>
      </c>
      <c r="H386">
        <f>הגדרות!B4</f>
        <v/>
      </c>
      <c r="I386">
        <f>F386*(1-H386/100)*1.18</f>
        <v/>
      </c>
      <c r="J386">
        <f>הגדרות!C4</f>
        <v/>
      </c>
      <c r="K386">
        <f>הגדרות!D4</f>
        <v/>
      </c>
      <c r="L386">
        <f>I386*(1+J386/100)+K386</f>
        <v/>
      </c>
    </row>
    <row r="387">
      <c r="A387" t="inlineStr">
        <is>
          <t>IDEXX</t>
        </is>
      </c>
      <c r="B387" t="inlineStr">
        <is>
          <t>Clostridial Toxin Screen (Equine)</t>
        </is>
      </c>
      <c r="D387" t="inlineStr">
        <is>
          <t>ECTS</t>
        </is>
      </c>
      <c r="E387" t="inlineStr">
        <is>
          <t>2025-01</t>
        </is>
      </c>
      <c r="F387" t="n">
        <v>577.1</v>
      </c>
      <c r="G387" t="n">
        <v>680.98</v>
      </c>
      <c r="H387">
        <f>הגדרות!B4</f>
        <v/>
      </c>
      <c r="I387">
        <f>F387*(1-H387/100)*1.18</f>
        <v/>
      </c>
      <c r="J387">
        <f>הגדרות!C4</f>
        <v/>
      </c>
      <c r="K387">
        <f>הגדרות!D4</f>
        <v/>
      </c>
      <c r="L387">
        <f>I387*(1+J387/100)+K387</f>
        <v/>
      </c>
    </row>
    <row r="388">
      <c r="A388" t="inlineStr">
        <is>
          <t>IDEXX</t>
        </is>
      </c>
      <c r="B388" t="inlineStr">
        <is>
          <t>Dexamethasone Suppression (Equine)</t>
        </is>
      </c>
      <c r="D388" t="inlineStr">
        <is>
          <t>EDEX</t>
        </is>
      </c>
      <c r="E388" t="inlineStr">
        <is>
          <t>2025-01</t>
        </is>
      </c>
      <c r="F388" t="n">
        <v>408.9</v>
      </c>
      <c r="G388" t="n">
        <v>482.5</v>
      </c>
      <c r="H388">
        <f>הגדרות!B4</f>
        <v/>
      </c>
      <c r="I388">
        <f>F388*(1-H388/100)*1.18</f>
        <v/>
      </c>
      <c r="J388">
        <f>הגדרות!C4</f>
        <v/>
      </c>
      <c r="K388">
        <f>הגדרות!D4</f>
        <v/>
      </c>
      <c r="L388">
        <f>I388*(1+J388/100)+K388</f>
        <v/>
      </c>
    </row>
    <row r="389">
      <c r="A389" t="inlineStr">
        <is>
          <t>IDEXX</t>
        </is>
      </c>
      <c r="B389" t="inlineStr">
        <is>
          <t>Equine Diarrhoea Panel</t>
        </is>
      </c>
      <c r="D389" t="inlineStr">
        <is>
          <t>EDPP</t>
        </is>
      </c>
      <c r="E389" t="inlineStr">
        <is>
          <t>2025-01</t>
        </is>
      </c>
      <c r="F389" t="n">
        <v>1099.1</v>
      </c>
      <c r="G389" t="n">
        <v>1296.94</v>
      </c>
      <c r="H389">
        <f>הגדרות!B4</f>
        <v/>
      </c>
      <c r="I389">
        <f>F389*(1-H389/100)*1.18</f>
        <v/>
      </c>
      <c r="J389">
        <f>הגדרות!C4</f>
        <v/>
      </c>
      <c r="K389">
        <f>הגדרות!D4</f>
        <v/>
      </c>
      <c r="L389">
        <f>I389*(1+J389/100)+K389</f>
        <v/>
      </c>
    </row>
    <row r="390">
      <c r="A390" t="inlineStr">
        <is>
          <t>IDEXX</t>
        </is>
      </c>
      <c r="B390" t="inlineStr">
        <is>
          <t>Fitness Profile</t>
        </is>
      </c>
      <c r="D390" t="inlineStr">
        <is>
          <t>EF</t>
        </is>
      </c>
      <c r="E390" t="inlineStr">
        <is>
          <t>2025-01</t>
        </is>
      </c>
      <c r="F390" t="n">
        <v>362.5</v>
      </c>
      <c r="G390" t="n">
        <v>427.75</v>
      </c>
      <c r="H390">
        <f>הגדרות!B4</f>
        <v/>
      </c>
      <c r="I390">
        <f>F390*(1-H390/100)*1.18</f>
        <v/>
      </c>
      <c r="J390">
        <f>הגדרות!C4</f>
        <v/>
      </c>
      <c r="K390">
        <f>הגדרות!D4</f>
        <v/>
      </c>
      <c r="L390">
        <f>I390*(1+J390/100)+K390</f>
        <v/>
      </c>
    </row>
    <row r="391">
      <c r="A391" t="inlineStr">
        <is>
          <t>IDEXX</t>
        </is>
      </c>
      <c r="B391" t="inlineStr">
        <is>
          <t>Herpes Antibody</t>
        </is>
      </c>
      <c r="D391" t="inlineStr">
        <is>
          <t>EHV</t>
        </is>
      </c>
      <c r="E391" t="inlineStr">
        <is>
          <t>2025-01</t>
        </is>
      </c>
      <c r="F391" t="n">
        <v>716.3</v>
      </c>
      <c r="G391" t="n">
        <v>845.23</v>
      </c>
      <c r="H391">
        <f>הגדרות!B4</f>
        <v/>
      </c>
      <c r="I391">
        <f>F391*(1-H391/100)*1.18</f>
        <v/>
      </c>
      <c r="J391">
        <f>הגדרות!C4</f>
        <v/>
      </c>
      <c r="K391">
        <f>הגדרות!D4</f>
        <v/>
      </c>
      <c r="L391">
        <f>I391*(1+J391/100)+K391</f>
        <v/>
      </c>
    </row>
    <row r="392">
      <c r="A392" t="inlineStr">
        <is>
          <t>IDEXX</t>
        </is>
      </c>
      <c r="B392" t="inlineStr">
        <is>
          <t>Equine Lead</t>
        </is>
      </c>
      <c r="D392" t="inlineStr">
        <is>
          <t>ELEAD</t>
        </is>
      </c>
      <c r="E392" t="inlineStr">
        <is>
          <t>2025-01</t>
        </is>
      </c>
      <c r="F392" t="n">
        <v>211.7</v>
      </c>
      <c r="G392" t="n">
        <v>249.81</v>
      </c>
      <c r="H392">
        <f>הגדרות!B4</f>
        <v/>
      </c>
      <c r="I392">
        <f>F392*(1-H392/100)*1.18</f>
        <v/>
      </c>
      <c r="J392">
        <f>הגדרות!C4</f>
        <v/>
      </c>
      <c r="K392">
        <f>הגדרות!D4</f>
        <v/>
      </c>
      <c r="L392">
        <f>I392*(1+J392/100)+K392</f>
        <v/>
      </c>
    </row>
    <row r="393">
      <c r="A393" t="inlineStr">
        <is>
          <t>IDEXX</t>
        </is>
      </c>
      <c r="B393" t="inlineStr">
        <is>
          <t>Equine Lyme and Anaplasma Antibody Screen</t>
        </is>
      </c>
      <c r="D393" t="inlineStr">
        <is>
          <t>ELYAN</t>
        </is>
      </c>
      <c r="E393" t="inlineStr">
        <is>
          <t>2025-01</t>
        </is>
      </c>
      <c r="F393" t="n">
        <v>490.1</v>
      </c>
      <c r="G393" t="n">
        <v>578.3200000000001</v>
      </c>
      <c r="H393">
        <f>הגדרות!B4</f>
        <v/>
      </c>
      <c r="I393">
        <f>F393*(1-H393/100)*1.18</f>
        <v/>
      </c>
      <c r="J393">
        <f>הגדרות!C4</f>
        <v/>
      </c>
      <c r="K393">
        <f>הגדרות!D4</f>
        <v/>
      </c>
      <c r="L393">
        <f>I393*(1+J393/100)+K393</f>
        <v/>
      </c>
    </row>
    <row r="394">
      <c r="A394" t="inlineStr">
        <is>
          <t>IDEXX</t>
        </is>
      </c>
      <c r="B394" t="inlineStr">
        <is>
          <t>Encephalitozoon Cuniculi PCR</t>
        </is>
      </c>
      <c r="D394" t="inlineStr">
        <is>
          <t>ENCPCR</t>
        </is>
      </c>
      <c r="E394" t="inlineStr">
        <is>
          <t>2025-01</t>
        </is>
      </c>
      <c r="F394" t="n">
        <v>368.3</v>
      </c>
      <c r="G394" t="n">
        <v>434.59</v>
      </c>
      <c r="H394">
        <f>הגדרות!B4</f>
        <v/>
      </c>
      <c r="I394">
        <f>F394*(1-H394/100)*1.18</f>
        <v/>
      </c>
      <c r="J394">
        <f>הגדרות!C4</f>
        <v/>
      </c>
      <c r="K394">
        <f>הגדרות!D4</f>
        <v/>
      </c>
      <c r="L394">
        <f>I394*(1+J394/100)+K394</f>
        <v/>
      </c>
    </row>
    <row r="395">
      <c r="A395" t="inlineStr">
        <is>
          <t>IDEXX</t>
        </is>
      </c>
      <c r="B395" t="inlineStr">
        <is>
          <t>Encephalitozoon Cuniculi Antibody</t>
        </is>
      </c>
      <c r="D395" t="inlineStr">
        <is>
          <t>ENCR</t>
        </is>
      </c>
      <c r="E395" t="inlineStr">
        <is>
          <t>2025-01</t>
        </is>
      </c>
      <c r="F395" t="n">
        <v>719.2</v>
      </c>
      <c r="G395" t="n">
        <v>848.66</v>
      </c>
      <c r="H395">
        <f>הגדרות!B4</f>
        <v/>
      </c>
      <c r="I395">
        <f>F395*(1-H395/100)*1.18</f>
        <v/>
      </c>
      <c r="J395">
        <f>הגדרות!C4</f>
        <v/>
      </c>
      <c r="K395">
        <f>הגדרות!D4</f>
        <v/>
      </c>
      <c r="L395">
        <f>I395*(1+J395/100)+K395</f>
        <v/>
      </c>
    </row>
    <row r="396">
      <c r="A396" t="inlineStr">
        <is>
          <t>IDEXX</t>
        </is>
      </c>
      <c r="B396" t="inlineStr">
        <is>
          <t>Canine Endemic Tick-Borne Disease Profile</t>
        </is>
      </c>
      <c r="D396" t="inlineStr">
        <is>
          <t>END1</t>
        </is>
      </c>
      <c r="E396" t="inlineStr">
        <is>
          <t>2025-01</t>
        </is>
      </c>
      <c r="F396" t="n">
        <v>756.9</v>
      </c>
      <c r="G396" t="n">
        <v>893.14</v>
      </c>
      <c r="H396">
        <f>הגדרות!B4</f>
        <v/>
      </c>
      <c r="I396">
        <f>F396*(1-H396/100)*1.18</f>
        <v/>
      </c>
      <c r="J396">
        <f>הגדרות!C4</f>
        <v/>
      </c>
      <c r="K396">
        <f>הגדרות!D4</f>
        <v/>
      </c>
      <c r="L396">
        <f>I396*(1+J396/100)+K396</f>
        <v/>
      </c>
    </row>
    <row r="397">
      <c r="A397" t="inlineStr">
        <is>
          <t>IDEXX</t>
        </is>
      </c>
      <c r="B397" t="inlineStr">
        <is>
          <t>Feline Endemic Tick-Borne Disease Profile</t>
        </is>
      </c>
      <c r="D397" t="inlineStr">
        <is>
          <t>END1F</t>
        </is>
      </c>
      <c r="E397" t="inlineStr">
        <is>
          <t>2025-01</t>
        </is>
      </c>
      <c r="F397" t="n">
        <v>756.9</v>
      </c>
      <c r="G397" t="n">
        <v>893.14</v>
      </c>
      <c r="H397">
        <f>הגדרות!B4</f>
        <v/>
      </c>
      <c r="I397">
        <f>F397*(1-H397/100)*1.18</f>
        <v/>
      </c>
      <c r="J397">
        <f>הגדרות!C4</f>
        <v/>
      </c>
      <c r="K397">
        <f>הגדרות!D4</f>
        <v/>
      </c>
      <c r="L397">
        <f>I397*(1+J397/100)+K397</f>
        <v/>
      </c>
    </row>
    <row r="398">
      <c r="A398" t="inlineStr">
        <is>
          <t>IDEXX</t>
        </is>
      </c>
      <c r="B398" t="inlineStr">
        <is>
          <t>Energy / Protein Profile</t>
        </is>
      </c>
      <c r="D398" t="inlineStr">
        <is>
          <t>ENP</t>
        </is>
      </c>
      <c r="E398" t="inlineStr">
        <is>
          <t>2025-01</t>
        </is>
      </c>
      <c r="F398" t="n">
        <v>150.8</v>
      </c>
      <c r="G398" t="n">
        <v>177.94</v>
      </c>
      <c r="H398">
        <f>הגדרות!B4</f>
        <v/>
      </c>
      <c r="I398">
        <f>F398*(1-H398/100)*1.18</f>
        <v/>
      </c>
      <c r="J398">
        <f>הגדרות!C4</f>
        <v/>
      </c>
      <c r="K398">
        <f>הגדרות!D4</f>
        <v/>
      </c>
      <c r="L398">
        <f>I398*(1+J398/100)+K398</f>
        <v/>
      </c>
    </row>
    <row r="399">
      <c r="A399" t="inlineStr">
        <is>
          <t>IDEXX</t>
        </is>
      </c>
      <c r="B399" t="inlineStr">
        <is>
          <t>Basic Profile</t>
        </is>
      </c>
      <c r="D399" t="inlineStr">
        <is>
          <t>EP</t>
        </is>
      </c>
      <c r="E399" t="inlineStr">
        <is>
          <t>2025-01</t>
        </is>
      </c>
      <c r="F399" t="n">
        <v>420.5</v>
      </c>
      <c r="G399" t="n">
        <v>496.19</v>
      </c>
      <c r="H399">
        <f>הגדרות!B4</f>
        <v/>
      </c>
      <c r="I399">
        <f>F399*(1-H399/100)*1.18</f>
        <v/>
      </c>
      <c r="J399">
        <f>הגדרות!C4</f>
        <v/>
      </c>
      <c r="K399">
        <f>הגדרות!D4</f>
        <v/>
      </c>
      <c r="L399">
        <f>I399*(1+J399/100)+K399</f>
        <v/>
      </c>
    </row>
    <row r="400">
      <c r="A400" t="inlineStr">
        <is>
          <t>IDEXX</t>
        </is>
      </c>
      <c r="B400" t="inlineStr">
        <is>
          <t>Equine Upper Respiratory Panel</t>
        </is>
      </c>
      <c r="D400" t="inlineStr">
        <is>
          <t>EUR1</t>
        </is>
      </c>
      <c r="E400" t="inlineStr">
        <is>
          <t>2025-01</t>
        </is>
      </c>
      <c r="F400" t="n">
        <v>872.9</v>
      </c>
      <c r="G400" t="n">
        <v>1030.02</v>
      </c>
      <c r="H400">
        <f>הגדרות!B4</f>
        <v/>
      </c>
      <c r="I400">
        <f>F400*(1-H400/100)*1.18</f>
        <v/>
      </c>
      <c r="J400">
        <f>הגדרות!C4</f>
        <v/>
      </c>
      <c r="K400">
        <f>הגדרות!D4</f>
        <v/>
      </c>
      <c r="L400">
        <f>I400*(1+J400/100)+K400</f>
        <v/>
      </c>
    </row>
    <row r="401">
      <c r="A401" t="inlineStr">
        <is>
          <t>IDEXX</t>
        </is>
      </c>
      <c r="B401" t="inlineStr">
        <is>
          <t>Comprehensive Profile</t>
        </is>
      </c>
      <c r="D401" t="inlineStr">
        <is>
          <t>EX</t>
        </is>
      </c>
      <c r="E401" t="inlineStr">
        <is>
          <t>2025-01</t>
        </is>
      </c>
      <c r="F401" t="n">
        <v>548.1</v>
      </c>
      <c r="G401" t="n">
        <v>646.76</v>
      </c>
      <c r="H401">
        <f>הגדרות!B4</f>
        <v/>
      </c>
      <c r="I401">
        <f>F401*(1-H401/100)*1.18</f>
        <v/>
      </c>
      <c r="J401">
        <f>הגדרות!C4</f>
        <v/>
      </c>
      <c r="K401">
        <f>הגדרות!D4</f>
        <v/>
      </c>
      <c r="L401">
        <f>I401*(1+J401/100)+K401</f>
        <v/>
      </c>
    </row>
    <row r="402">
      <c r="A402" t="inlineStr">
        <is>
          <t>IDEXX</t>
        </is>
      </c>
      <c r="B402" t="inlineStr">
        <is>
          <t>Cobalamin &amp; Folate (Canine)</t>
        </is>
      </c>
      <c r="D402" t="inlineStr">
        <is>
          <t>F/CB</t>
        </is>
      </c>
      <c r="E402" t="inlineStr">
        <is>
          <t>2025-01</t>
        </is>
      </c>
      <c r="F402" t="n">
        <v>339.3</v>
      </c>
      <c r="G402" t="n">
        <v>400.37</v>
      </c>
      <c r="H402">
        <f>הגדרות!B4</f>
        <v/>
      </c>
      <c r="I402">
        <f>F402*(1-H402/100)*1.18</f>
        <v/>
      </c>
      <c r="J402">
        <f>הגדרות!C4</f>
        <v/>
      </c>
      <c r="K402">
        <f>הגדרות!D4</f>
        <v/>
      </c>
      <c r="L402">
        <f>I402*(1+J402/100)+K402</f>
        <v/>
      </c>
    </row>
    <row r="403">
      <c r="A403" t="inlineStr">
        <is>
          <t>IDEXX</t>
        </is>
      </c>
      <c r="B403" t="inlineStr">
        <is>
          <t>ACTH Stimulation Test (Feline)</t>
        </is>
      </c>
      <c r="D403" t="inlineStr">
        <is>
          <t>FACT</t>
        </is>
      </c>
      <c r="E403" t="inlineStr">
        <is>
          <t>2025-01</t>
        </is>
      </c>
      <c r="F403" t="n">
        <v>527.8</v>
      </c>
      <c r="G403" t="n">
        <v>622.8</v>
      </c>
      <c r="H403">
        <f>הגדרות!B4</f>
        <v/>
      </c>
      <c r="I403">
        <f>F403*(1-H403/100)*1.18</f>
        <v/>
      </c>
      <c r="J403">
        <f>הגדרות!C4</f>
        <v/>
      </c>
      <c r="K403">
        <f>הגדרות!D4</f>
        <v/>
      </c>
      <c r="L403">
        <f>I403*(1+J403/100)+K403</f>
        <v/>
      </c>
    </row>
    <row r="404">
      <c r="A404" t="inlineStr">
        <is>
          <t>IDEXX</t>
        </is>
      </c>
      <c r="B404" t="inlineStr">
        <is>
          <t>Ferret Adrenal Panel</t>
        </is>
      </c>
      <c r="D404" t="inlineStr">
        <is>
          <t>FAP2</t>
        </is>
      </c>
      <c r="E404" t="inlineStr">
        <is>
          <t>2025-01</t>
        </is>
      </c>
      <c r="F404" t="n">
        <v>1612.4</v>
      </c>
      <c r="G404" t="n">
        <v>1902.63</v>
      </c>
      <c r="H404">
        <f>הגדרות!B4</f>
        <v/>
      </c>
      <c r="I404">
        <f>F404*(1-H404/100)*1.18</f>
        <v/>
      </c>
      <c r="J404">
        <f>הגדרות!C4</f>
        <v/>
      </c>
      <c r="K404">
        <f>הגדרות!D4</f>
        <v/>
      </c>
      <c r="L404">
        <f>I404*(1+J404/100)+K404</f>
        <v/>
      </c>
    </row>
    <row r="405">
      <c r="A405" t="inlineStr">
        <is>
          <t>IDEXX</t>
        </is>
      </c>
      <c r="B405" t="inlineStr">
        <is>
          <t>Feline Anaemia Profile (Interpreted)</t>
        </is>
      </c>
      <c r="D405" t="inlineStr">
        <is>
          <t>FAS</t>
        </is>
      </c>
      <c r="E405" t="inlineStr">
        <is>
          <t>2025-01</t>
        </is>
      </c>
      <c r="F405" t="n">
        <v>1281.8</v>
      </c>
      <c r="G405" t="n">
        <v>1512.52</v>
      </c>
      <c r="H405">
        <f>הגדרות!B4</f>
        <v/>
      </c>
      <c r="I405">
        <f>F405*(1-H405/100)*1.18</f>
        <v/>
      </c>
      <c r="J405">
        <f>הגדרות!C4</f>
        <v/>
      </c>
      <c r="K405">
        <f>הגדרות!D4</f>
        <v/>
      </c>
      <c r="L405">
        <f>I405*(1+J405/100)+K405</f>
        <v/>
      </c>
    </row>
    <row r="406">
      <c r="A406" t="inlineStr">
        <is>
          <t>IDEXX</t>
        </is>
      </c>
      <c r="B406" t="inlineStr">
        <is>
          <t>IDEXX CBC-Select (Avian/Reptile)</t>
        </is>
      </c>
      <c r="D406" t="inlineStr">
        <is>
          <t>FBCE</t>
        </is>
      </c>
      <c r="E406" t="inlineStr">
        <is>
          <t>2025-01</t>
        </is>
      </c>
      <c r="F406" t="n">
        <v>310.3</v>
      </c>
      <c r="G406" t="n">
        <v>366.15</v>
      </c>
      <c r="H406">
        <f>הגדרות!B4</f>
        <v/>
      </c>
      <c r="I406">
        <f>F406*(1-H406/100)*1.18</f>
        <v/>
      </c>
      <c r="J406">
        <f>הגדרות!C4</f>
        <v/>
      </c>
      <c r="K406">
        <f>הגדרות!D4</f>
        <v/>
      </c>
      <c r="L406">
        <f>I406*(1+J406/100)+K406</f>
        <v/>
      </c>
    </row>
    <row r="407">
      <c r="A407" t="inlineStr">
        <is>
          <t>IDEXX</t>
        </is>
      </c>
      <c r="B407" t="inlineStr">
        <is>
          <t>IDEXX CBC-Select (Equine)</t>
        </is>
      </c>
      <c r="D407" t="inlineStr">
        <is>
          <t>FBCL</t>
        </is>
      </c>
      <c r="E407" t="inlineStr">
        <is>
          <t>2025-01</t>
        </is>
      </c>
      <c r="F407" t="n">
        <v>223.3</v>
      </c>
      <c r="G407" t="n">
        <v>263.49</v>
      </c>
      <c r="H407">
        <f>הגדרות!B4</f>
        <v/>
      </c>
      <c r="I407">
        <f>F407*(1-H407/100)*1.18</f>
        <v/>
      </c>
      <c r="J407">
        <f>הגדרות!C4</f>
        <v/>
      </c>
      <c r="K407">
        <f>הגדרות!D4</f>
        <v/>
      </c>
      <c r="L407">
        <f>I407*(1+J407/100)+K407</f>
        <v/>
      </c>
    </row>
    <row r="408">
      <c r="A408" t="inlineStr">
        <is>
          <t>IDEXX</t>
        </is>
      </c>
      <c r="B408" t="inlineStr">
        <is>
          <t>IDEXX CBC-Select (Livestock)</t>
        </is>
      </c>
      <c r="D408" t="inlineStr">
        <is>
          <t>FBCLPD</t>
        </is>
      </c>
      <c r="E408" t="inlineStr">
        <is>
          <t>2025-01</t>
        </is>
      </c>
      <c r="F408" t="n">
        <v>223.3</v>
      </c>
      <c r="G408" t="n">
        <v>263.49</v>
      </c>
      <c r="H408">
        <f>הגדרות!B4</f>
        <v/>
      </c>
      <c r="I408">
        <f>F408*(1-H408/100)*1.18</f>
        <v/>
      </c>
      <c r="J408">
        <f>הגדרות!C4</f>
        <v/>
      </c>
      <c r="K408">
        <f>הגדרות!D4</f>
        <v/>
      </c>
      <c r="L408">
        <f>I408*(1+J408/100)+K408</f>
        <v/>
      </c>
    </row>
    <row r="409">
      <c r="A409" t="inlineStr">
        <is>
          <t>IDEXX</t>
        </is>
      </c>
      <c r="B409" t="inlineStr">
        <is>
          <t>IDEXX CBC-Select</t>
        </is>
      </c>
      <c r="D409" t="inlineStr">
        <is>
          <t>FBCS</t>
        </is>
      </c>
      <c r="E409" t="inlineStr">
        <is>
          <t>2025-01</t>
        </is>
      </c>
      <c r="F409" t="n">
        <v>223.3</v>
      </c>
      <c r="G409" t="n">
        <v>263.49</v>
      </c>
      <c r="H409">
        <f>הגדרות!B4</f>
        <v/>
      </c>
      <c r="I409">
        <f>F409*(1-H409/100)*1.18</f>
        <v/>
      </c>
      <c r="J409">
        <f>הגדרות!C4</f>
        <v/>
      </c>
      <c r="K409">
        <f>הגדרות!D4</f>
        <v/>
      </c>
      <c r="L409">
        <f>I409*(1+J409/100)+K409</f>
        <v/>
      </c>
    </row>
    <row r="410">
      <c r="A410" t="inlineStr">
        <is>
          <t>IDEXX</t>
        </is>
      </c>
      <c r="B410" t="inlineStr">
        <is>
          <t>Cardiopet proBNP (Feline)</t>
        </is>
      </c>
      <c r="D410" t="inlineStr">
        <is>
          <t>FBNP</t>
        </is>
      </c>
      <c r="E410" t="inlineStr">
        <is>
          <t>2025-01</t>
        </is>
      </c>
      <c r="F410" t="n">
        <v>394.4</v>
      </c>
      <c r="G410" t="n">
        <v>465.39</v>
      </c>
      <c r="H410">
        <f>הגדרות!B4</f>
        <v/>
      </c>
      <c r="I410">
        <f>F410*(1-H410/100)*1.18</f>
        <v/>
      </c>
      <c r="J410">
        <f>הגדרות!C4</f>
        <v/>
      </c>
      <c r="K410">
        <f>הגדרות!D4</f>
        <v/>
      </c>
      <c r="L410">
        <f>I410*(1+J410/100)+K410</f>
        <v/>
      </c>
    </row>
    <row r="411">
      <c r="A411" t="inlineStr">
        <is>
          <t>IDEXX</t>
        </is>
      </c>
      <c r="B411" t="inlineStr">
        <is>
          <t>Coombs' (Feline)</t>
        </is>
      </c>
      <c r="D411" t="inlineStr">
        <is>
          <t>FC</t>
        </is>
      </c>
      <c r="E411" t="inlineStr">
        <is>
          <t>2025-01</t>
        </is>
      </c>
      <c r="F411" t="n">
        <v>266.8</v>
      </c>
      <c r="G411" t="n">
        <v>314.82</v>
      </c>
      <c r="H411">
        <f>הגדרות!B4</f>
        <v/>
      </c>
      <c r="I411">
        <f>F411*(1-H411/100)*1.18</f>
        <v/>
      </c>
      <c r="J411">
        <f>הגדרות!C4</f>
        <v/>
      </c>
      <c r="K411">
        <f>הגדרות!D4</f>
        <v/>
      </c>
      <c r="L411">
        <f>I411*(1+J411/100)+K411</f>
        <v/>
      </c>
    </row>
    <row r="412">
      <c r="A412" t="inlineStr">
        <is>
          <t>IDEXX</t>
        </is>
      </c>
      <c r="B412" t="inlineStr">
        <is>
          <t>Flow cytometry (Blood)</t>
        </is>
      </c>
      <c r="D412" t="inlineStr">
        <is>
          <t>FCB</t>
        </is>
      </c>
      <c r="E412" t="inlineStr">
        <is>
          <t>2025-01</t>
        </is>
      </c>
      <c r="F412" t="n">
        <v>1397.8</v>
      </c>
      <c r="G412" t="n">
        <v>1649.4</v>
      </c>
      <c r="H412">
        <f>הגדרות!B4</f>
        <v/>
      </c>
      <c r="I412">
        <f>F412*(1-H412/100)*1.18</f>
        <v/>
      </c>
      <c r="J412">
        <f>הגדרות!C4</f>
        <v/>
      </c>
      <c r="K412">
        <f>הגדרות!D4</f>
        <v/>
      </c>
      <c r="L412">
        <f>I412*(1+J412/100)+K412</f>
        <v/>
      </c>
    </row>
    <row r="413">
      <c r="A413" t="inlineStr">
        <is>
          <t>IDEXX</t>
        </is>
      </c>
      <c r="B413" t="inlineStr">
        <is>
          <t>Flow cytometry (Lymph node Canine)</t>
        </is>
      </c>
      <c r="D413" t="inlineStr">
        <is>
          <t>FCLNC</t>
        </is>
      </c>
      <c r="E413" t="inlineStr">
        <is>
          <t>2025-01</t>
        </is>
      </c>
      <c r="F413" t="n">
        <v>1328.2</v>
      </c>
      <c r="G413" t="n">
        <v>1567.28</v>
      </c>
      <c r="H413">
        <f>הגדרות!B4</f>
        <v/>
      </c>
      <c r="I413">
        <f>F413*(1-H413/100)*1.18</f>
        <v/>
      </c>
      <c r="J413">
        <f>הגדרות!C4</f>
        <v/>
      </c>
      <c r="K413">
        <f>הגדרות!D4</f>
        <v/>
      </c>
      <c r="L413">
        <f>I413*(1+J413/100)+K413</f>
        <v/>
      </c>
    </row>
    <row r="414">
      <c r="A414" t="inlineStr">
        <is>
          <t>IDEXX</t>
        </is>
      </c>
      <c r="B414" t="inlineStr">
        <is>
          <t>Flow cytometry (Lymph node Feline)</t>
        </is>
      </c>
      <c r="D414" t="inlineStr">
        <is>
          <t>FCLNF</t>
        </is>
      </c>
      <c r="E414" t="inlineStr">
        <is>
          <t>2025-01</t>
        </is>
      </c>
      <c r="F414" t="n">
        <v>1328.2</v>
      </c>
      <c r="G414" t="n">
        <v>1567.28</v>
      </c>
      <c r="H414">
        <f>הגדרות!B4</f>
        <v/>
      </c>
      <c r="I414">
        <f>F414*(1-H414/100)*1.18</f>
        <v/>
      </c>
      <c r="J414">
        <f>הגדרות!C4</f>
        <v/>
      </c>
      <c r="K414">
        <f>הגדרות!D4</f>
        <v/>
      </c>
      <c r="L414">
        <f>I414*(1+J414/100)+K414</f>
        <v/>
      </c>
    </row>
    <row r="415">
      <c r="A415" t="inlineStr">
        <is>
          <t>IDEXX</t>
        </is>
      </c>
      <c r="B415" t="inlineStr">
        <is>
          <t>Feline Coronavirus (RNA) RealPCR™</t>
        </is>
      </c>
      <c r="D415" t="inlineStr">
        <is>
          <t>FCOP</t>
        </is>
      </c>
      <c r="E415" t="inlineStr">
        <is>
          <t>2025-01</t>
        </is>
      </c>
      <c r="F415" t="n">
        <v>368.3</v>
      </c>
      <c r="G415" t="n">
        <v>434.59</v>
      </c>
      <c r="H415">
        <f>הגדרות!B4</f>
        <v/>
      </c>
      <c r="I415">
        <f>F415*(1-H415/100)*1.18</f>
        <v/>
      </c>
      <c r="J415">
        <f>הגדרות!C4</f>
        <v/>
      </c>
      <c r="K415">
        <f>הגדרות!D4</f>
        <v/>
      </c>
      <c r="L415">
        <f>I415*(1+J415/100)+K415</f>
        <v/>
      </c>
    </row>
    <row r="416">
      <c r="A416" t="inlineStr">
        <is>
          <t>IDEXX</t>
        </is>
      </c>
      <c r="B416" t="inlineStr">
        <is>
          <t>Dermatophyte Culture &amp; Identification</t>
        </is>
      </c>
      <c r="D416" t="inlineStr">
        <is>
          <t>FCUL</t>
        </is>
      </c>
      <c r="E416" t="inlineStr">
        <is>
          <t>2025-01</t>
        </is>
      </c>
      <c r="F416" t="n">
        <v>208.8</v>
      </c>
      <c r="G416" t="n">
        <v>246.38</v>
      </c>
      <c r="H416">
        <f>הגדרות!B4</f>
        <v/>
      </c>
      <c r="I416">
        <f>F416*(1-H416/100)*1.18</f>
        <v/>
      </c>
      <c r="J416">
        <f>הגדרות!C4</f>
        <v/>
      </c>
      <c r="K416">
        <f>הגדרות!D4</f>
        <v/>
      </c>
      <c r="L416">
        <f>I416*(1+J416/100)+K416</f>
        <v/>
      </c>
    </row>
    <row r="417">
      <c r="A417" t="inlineStr">
        <is>
          <t>IDEXX</t>
        </is>
      </c>
      <c r="B417" t="inlineStr">
        <is>
          <t>Feline Diarrhoea Panel</t>
        </is>
      </c>
      <c r="D417" t="inlineStr">
        <is>
          <t>FDPP</t>
        </is>
      </c>
      <c r="E417" t="inlineStr">
        <is>
          <t>2025-01</t>
        </is>
      </c>
      <c r="F417" t="n">
        <v>991.8</v>
      </c>
      <c r="G417" t="n">
        <v>1170.32</v>
      </c>
      <c r="H417">
        <f>הגדרות!B4</f>
        <v/>
      </c>
      <c r="I417">
        <f>F417*(1-H417/100)*1.18</f>
        <v/>
      </c>
      <c r="J417">
        <f>הגדרות!C4</f>
        <v/>
      </c>
      <c r="K417">
        <f>הגדרות!D4</f>
        <v/>
      </c>
      <c r="L417">
        <f>I417*(1+J417/100)+K417</f>
        <v/>
      </c>
    </row>
    <row r="418">
      <c r="A418" t="inlineStr">
        <is>
          <t>IDEXX</t>
        </is>
      </c>
      <c r="B418" t="inlineStr">
        <is>
          <t>Basic Equine Faecal Screen</t>
        </is>
      </c>
      <c r="D418" t="inlineStr">
        <is>
          <t>FEA</t>
        </is>
      </c>
      <c r="E418" t="inlineStr">
        <is>
          <t>2025-01</t>
        </is>
      </c>
      <c r="F418" t="n">
        <v>290</v>
      </c>
      <c r="G418" t="n">
        <v>342.2</v>
      </c>
      <c r="H418">
        <f>הגדרות!B4</f>
        <v/>
      </c>
      <c r="I418">
        <f>F418*(1-H418/100)*1.18</f>
        <v/>
      </c>
      <c r="J418">
        <f>הגדרות!C4</f>
        <v/>
      </c>
      <c r="K418">
        <f>הגדרות!D4</f>
        <v/>
      </c>
      <c r="L418">
        <f>I418*(1+J418/100)+K418</f>
        <v/>
      </c>
    </row>
    <row r="419">
      <c r="A419" t="inlineStr">
        <is>
          <t>IDEXX</t>
        </is>
      </c>
      <c r="B419" t="inlineStr">
        <is>
          <t>Comprehensive Equine Faecal Screen</t>
        </is>
      </c>
      <c r="D419" t="inlineStr">
        <is>
          <t>FEAF</t>
        </is>
      </c>
      <c r="E419" t="inlineStr">
        <is>
          <t>2025-01</t>
        </is>
      </c>
      <c r="F419" t="n">
        <v>414.7</v>
      </c>
      <c r="G419" t="n">
        <v>489.35</v>
      </c>
      <c r="H419">
        <f>הגדרות!B4</f>
        <v/>
      </c>
      <c r="I419">
        <f>F419*(1-H419/100)*1.18</f>
        <v/>
      </c>
      <c r="J419">
        <f>הגדרות!C4</f>
        <v/>
      </c>
      <c r="K419">
        <f>הגדרות!D4</f>
        <v/>
      </c>
      <c r="L419">
        <f>I419*(1+J419/100)+K419</f>
        <v/>
      </c>
    </row>
    <row r="420">
      <c r="A420" t="inlineStr">
        <is>
          <t>IDEXX</t>
        </is>
      </c>
      <c r="B420" t="inlineStr">
        <is>
          <t>Faecal Dx® Antigen Panel with Giardia</t>
        </is>
      </c>
      <c r="D420" t="inlineStr">
        <is>
          <t>FECGP</t>
        </is>
      </c>
      <c r="E420" t="inlineStr">
        <is>
          <t>2025-01</t>
        </is>
      </c>
      <c r="F420" t="n">
        <v>301.6</v>
      </c>
      <c r="G420" t="n">
        <v>355.89</v>
      </c>
      <c r="H420">
        <f>הגדרות!B4</f>
        <v/>
      </c>
      <c r="I420">
        <f>F420*(1-H420/100)*1.18</f>
        <v/>
      </c>
      <c r="J420">
        <f>הגדרות!C4</f>
        <v/>
      </c>
      <c r="K420">
        <f>הגדרות!D4</f>
        <v/>
      </c>
      <c r="L420">
        <f>I420*(1+J420/100)+K420</f>
        <v/>
      </c>
    </row>
    <row r="421">
      <c r="A421" t="inlineStr">
        <is>
          <t>IDEXX</t>
        </is>
      </c>
      <c r="B421" t="inlineStr">
        <is>
          <t>Basic Equine Faecal - Foal</t>
        </is>
      </c>
      <c r="D421" t="inlineStr">
        <is>
          <t>FEF</t>
        </is>
      </c>
      <c r="E421" t="inlineStr">
        <is>
          <t>2025-01</t>
        </is>
      </c>
      <c r="F421" t="n">
        <v>458.2</v>
      </c>
      <c r="G421" t="n">
        <v>540.6799999999999</v>
      </c>
      <c r="H421">
        <f>הגדרות!B4</f>
        <v/>
      </c>
      <c r="I421">
        <f>F421*(1-H421/100)*1.18</f>
        <v/>
      </c>
      <c r="J421">
        <f>הגדרות!C4</f>
        <v/>
      </c>
      <c r="K421">
        <f>הגדרות!D4</f>
        <v/>
      </c>
      <c r="L421">
        <f>I421*(1+J421/100)+K421</f>
        <v/>
      </c>
    </row>
    <row r="422">
      <c r="A422" t="inlineStr">
        <is>
          <t>IDEXX</t>
        </is>
      </c>
      <c r="B422" t="inlineStr">
        <is>
          <t>FeLV Antigen and PCR panel</t>
        </is>
      </c>
      <c r="D422" t="inlineStr">
        <is>
          <t>FELP</t>
        </is>
      </c>
      <c r="E422" t="inlineStr">
        <is>
          <t>2025-01</t>
        </is>
      </c>
      <c r="F422" t="n">
        <v>530.7</v>
      </c>
      <c r="G422" t="n">
        <v>626.23</v>
      </c>
      <c r="H422">
        <f>הגדרות!B4</f>
        <v/>
      </c>
      <c r="I422">
        <f>F422*(1-H422/100)*1.18</f>
        <v/>
      </c>
      <c r="J422">
        <f>הגדרות!C4</f>
        <v/>
      </c>
      <c r="K422">
        <f>הגדרות!D4</f>
        <v/>
      </c>
      <c r="L422">
        <f>I422*(1+J422/100)+K422</f>
        <v/>
      </c>
    </row>
    <row r="423">
      <c r="A423" t="inlineStr">
        <is>
          <t>IDEXX</t>
        </is>
      </c>
      <c r="B423" t="inlineStr">
        <is>
          <t>FeLV Antigen</t>
        </is>
      </c>
      <c r="D423" t="inlineStr">
        <is>
          <t>FELV</t>
        </is>
      </c>
      <c r="E423" t="inlineStr">
        <is>
          <t>2025-01</t>
        </is>
      </c>
      <c r="F423" t="n">
        <v>220.4</v>
      </c>
      <c r="G423" t="n">
        <v>260.07</v>
      </c>
      <c r="H423">
        <f>הגדרות!B4</f>
        <v/>
      </c>
      <c r="I423">
        <f>F423*(1-H423/100)*1.18</f>
        <v/>
      </c>
      <c r="J423">
        <f>הגדרות!C4</f>
        <v/>
      </c>
      <c r="K423">
        <f>הגדרות!D4</f>
        <v/>
      </c>
      <c r="L423">
        <f>I423*(1+J423/100)+K423</f>
        <v/>
      </c>
    </row>
    <row r="424">
      <c r="A424" t="inlineStr">
        <is>
          <t>IDEXX</t>
        </is>
      </c>
      <c r="B424" t="inlineStr">
        <is>
          <t>Feline Eye Panel 1</t>
        </is>
      </c>
      <c r="D424" t="inlineStr">
        <is>
          <t>FEP1</t>
        </is>
      </c>
      <c r="E424" t="inlineStr">
        <is>
          <t>2025-01</t>
        </is>
      </c>
      <c r="F424" t="n">
        <v>487.2</v>
      </c>
      <c r="G424" t="n">
        <v>574.9</v>
      </c>
      <c r="H424">
        <f>הגדרות!B4</f>
        <v/>
      </c>
      <c r="I424">
        <f>F424*(1-H424/100)*1.18</f>
        <v/>
      </c>
      <c r="J424">
        <f>הגדרות!C4</f>
        <v/>
      </c>
      <c r="K424">
        <f>הגדרות!D4</f>
        <v/>
      </c>
      <c r="L424">
        <f>I424*(1+J424/100)+K424</f>
        <v/>
      </c>
    </row>
    <row r="425">
      <c r="A425" t="inlineStr">
        <is>
          <t>IDEXX</t>
        </is>
      </c>
      <c r="B425" t="inlineStr">
        <is>
          <t>Feline Eye Panel 1 plus bacterial culture</t>
        </is>
      </c>
      <c r="D425" t="inlineStr">
        <is>
          <t>FEPC</t>
        </is>
      </c>
      <c r="E425" t="inlineStr">
        <is>
          <t>2025-01</t>
        </is>
      </c>
      <c r="F425" t="n">
        <v>678.6</v>
      </c>
      <c r="G425" t="n">
        <v>800.75</v>
      </c>
      <c r="H425">
        <f>הגדרות!B4</f>
        <v/>
      </c>
      <c r="I425">
        <f>F425*(1-H425/100)*1.18</f>
        <v/>
      </c>
      <c r="J425">
        <f>הגדרות!C4</f>
        <v/>
      </c>
      <c r="K425">
        <f>הגדרות!D4</f>
        <v/>
      </c>
      <c r="L425">
        <f>I425*(1+J425/100)+K425</f>
        <v/>
      </c>
    </row>
    <row r="426">
      <c r="A426" t="inlineStr">
        <is>
          <t>IDEXX</t>
        </is>
      </c>
      <c r="B426" t="inlineStr">
        <is>
          <t>Fertility</t>
        </is>
      </c>
      <c r="D426" t="inlineStr">
        <is>
          <t>FERT</t>
        </is>
      </c>
      <c r="E426" t="inlineStr">
        <is>
          <t>2025-01</t>
        </is>
      </c>
      <c r="F426" t="n">
        <v>310.3</v>
      </c>
      <c r="G426" t="n">
        <v>366.15</v>
      </c>
      <c r="H426">
        <f>הגדרות!B4</f>
        <v/>
      </c>
      <c r="I426">
        <f>F426*(1-H426/100)*1.18</f>
        <v/>
      </c>
      <c r="J426">
        <f>הגדרות!C4</f>
        <v/>
      </c>
      <c r="K426">
        <f>הגדרות!D4</f>
        <v/>
      </c>
      <c r="L426">
        <f>I426*(1+J426/100)+K426</f>
        <v/>
      </c>
    </row>
    <row r="427">
      <c r="A427" t="inlineStr">
        <is>
          <t>IDEXX</t>
        </is>
      </c>
      <c r="B427" t="inlineStr">
        <is>
          <t>Faecal Dx® Antigen Panel</t>
        </is>
      </c>
      <c r="D427" t="inlineStr">
        <is>
          <t>FET</t>
        </is>
      </c>
      <c r="E427" t="inlineStr">
        <is>
          <t>2025-01</t>
        </is>
      </c>
      <c r="F427" t="n">
        <v>107.3</v>
      </c>
      <c r="G427" t="n">
        <v>126.61</v>
      </c>
      <c r="H427">
        <f>הגדרות!B4</f>
        <v/>
      </c>
      <c r="I427">
        <f>F427*(1-H427/100)*1.18</f>
        <v/>
      </c>
      <c r="J427">
        <f>הגדרות!C4</f>
        <v/>
      </c>
      <c r="K427">
        <f>הגדרות!D4</f>
        <v/>
      </c>
      <c r="L427">
        <f>I427*(1+J427/100)+K427</f>
        <v/>
      </c>
    </row>
    <row r="428">
      <c r="A428" t="inlineStr">
        <is>
          <t>IDEXX</t>
        </is>
      </c>
      <c r="B428" t="inlineStr">
        <is>
          <t>FeLV Antigen &amp; FIV Antibody</t>
        </is>
      </c>
      <c r="D428" t="inlineStr">
        <is>
          <t>FF</t>
        </is>
      </c>
      <c r="E428" t="inlineStr">
        <is>
          <t>2025-01</t>
        </is>
      </c>
      <c r="F428" t="n">
        <v>377</v>
      </c>
      <c r="G428" t="n">
        <v>444.86</v>
      </c>
      <c r="H428">
        <f>הגדרות!B4</f>
        <v/>
      </c>
      <c r="I428">
        <f>F428*(1-H428/100)*1.18</f>
        <v/>
      </c>
      <c r="J428">
        <f>הגדרות!C4</f>
        <v/>
      </c>
      <c r="K428">
        <f>הגדרות!D4</f>
        <v/>
      </c>
      <c r="L428">
        <f>I428*(1+J428/100)+K428</f>
        <v/>
      </c>
    </row>
    <row r="429">
      <c r="A429" t="inlineStr">
        <is>
          <t>IDEXX</t>
        </is>
      </c>
      <c r="B429" t="inlineStr">
        <is>
          <t>Cobalamin &amp; Folate (Feline)</t>
        </is>
      </c>
      <c r="D429" t="inlineStr">
        <is>
          <t>FFC</t>
        </is>
      </c>
      <c r="E429" t="inlineStr">
        <is>
          <t>2025-01</t>
        </is>
      </c>
      <c r="F429" t="n">
        <v>339.3</v>
      </c>
      <c r="G429" t="n">
        <v>400.37</v>
      </c>
      <c r="H429">
        <f>הגדרות!B4</f>
        <v/>
      </c>
      <c r="I429">
        <f>F429*(1-H429/100)*1.18</f>
        <v/>
      </c>
      <c r="J429">
        <f>הגדרות!C4</f>
        <v/>
      </c>
      <c r="K429">
        <f>הגדרות!D4</f>
        <v/>
      </c>
      <c r="L429">
        <f>I429*(1+J429/100)+K429</f>
        <v/>
      </c>
    </row>
    <row r="430">
      <c r="A430" t="inlineStr">
        <is>
          <t>IDEXX</t>
        </is>
      </c>
      <c r="B430" t="inlineStr">
        <is>
          <t>FeLV Antigen, FIV &amp; Coronavirus Antibody</t>
        </is>
      </c>
      <c r="D430" t="inlineStr">
        <is>
          <t>FFF</t>
        </is>
      </c>
      <c r="E430" t="inlineStr">
        <is>
          <t>2025-01</t>
        </is>
      </c>
      <c r="F430" t="n">
        <v>548.1</v>
      </c>
      <c r="G430" t="n">
        <v>646.76</v>
      </c>
      <c r="H430">
        <f>הגדרות!B4</f>
        <v/>
      </c>
      <c r="I430">
        <f>F430*(1-H430/100)*1.18</f>
        <v/>
      </c>
      <c r="J430">
        <f>הגדרות!C4</f>
        <v/>
      </c>
      <c r="K430">
        <f>הגדרות!D4</f>
        <v/>
      </c>
      <c r="L430">
        <f>I430*(1+J430/100)+K430</f>
        <v/>
      </c>
    </row>
    <row r="431">
      <c r="A431" t="inlineStr">
        <is>
          <t>IDEXX</t>
        </is>
      </c>
      <c r="B431" t="inlineStr">
        <is>
          <t>Spec fPL, Folate &amp; Cobalamin (Feline)</t>
        </is>
      </c>
      <c r="D431" t="inlineStr">
        <is>
          <t>FFFC</t>
        </is>
      </c>
      <c r="E431" t="inlineStr">
        <is>
          <t>2025-01</t>
        </is>
      </c>
      <c r="F431" t="n">
        <v>696</v>
      </c>
      <c r="G431" t="n">
        <v>821.28</v>
      </c>
      <c r="H431">
        <f>הגדרות!B4</f>
        <v/>
      </c>
      <c r="I431">
        <f>F431*(1-H431/100)*1.18</f>
        <v/>
      </c>
      <c r="J431">
        <f>הגדרות!C4</f>
        <v/>
      </c>
      <c r="K431">
        <f>הגדרות!D4</f>
        <v/>
      </c>
      <c r="L431">
        <f>I431*(1+J431/100)+K431</f>
        <v/>
      </c>
    </row>
    <row r="432">
      <c r="A432" t="inlineStr">
        <is>
          <t>IDEXX</t>
        </is>
      </c>
      <c r="B432" t="inlineStr">
        <is>
          <t>Feline Infectious Disease Screen</t>
        </is>
      </c>
      <c r="D432" t="inlineStr">
        <is>
          <t>FFFT</t>
        </is>
      </c>
      <c r="E432" t="inlineStr">
        <is>
          <t>2025-01</t>
        </is>
      </c>
      <c r="F432" t="n">
        <v>771.4</v>
      </c>
      <c r="G432" t="n">
        <v>910.25</v>
      </c>
      <c r="H432">
        <f>הגדרות!B4</f>
        <v/>
      </c>
      <c r="I432">
        <f>F432*(1-H432/100)*1.18</f>
        <v/>
      </c>
      <c r="J432">
        <f>הגדרות!C4</f>
        <v/>
      </c>
      <c r="K432">
        <f>הגדרות!D4</f>
        <v/>
      </c>
      <c r="L432">
        <f>I432*(1+J432/100)+K432</f>
        <v/>
      </c>
    </row>
    <row r="433">
      <c r="A433" t="inlineStr">
        <is>
          <t>IDEXX</t>
        </is>
      </c>
      <c r="B433" t="inlineStr">
        <is>
          <t>Feline Faecal Screen</t>
        </is>
      </c>
      <c r="D433" t="inlineStr">
        <is>
          <t>FFS</t>
        </is>
      </c>
      <c r="E433" t="inlineStr">
        <is>
          <t>2025-01</t>
        </is>
      </c>
      <c r="F433" t="n">
        <v>771.4</v>
      </c>
      <c r="G433" t="n">
        <v>910.25</v>
      </c>
      <c r="H433">
        <f>הגדרות!B4</f>
        <v/>
      </c>
      <c r="I433">
        <f>F433*(1-H433/100)*1.18</f>
        <v/>
      </c>
      <c r="J433">
        <f>הגדרות!C4</f>
        <v/>
      </c>
      <c r="K433">
        <f>הגדרות!D4</f>
        <v/>
      </c>
      <c r="L433">
        <f>I433*(1+J433/100)+K433</f>
        <v/>
      </c>
    </row>
    <row r="434">
      <c r="A434" t="inlineStr">
        <is>
          <t>IDEXX</t>
        </is>
      </c>
      <c r="B434" t="inlineStr">
        <is>
          <t>Gingivitis Profile</t>
        </is>
      </c>
      <c r="D434" t="inlineStr">
        <is>
          <t>FFURS</t>
        </is>
      </c>
      <c r="E434" t="inlineStr">
        <is>
          <t>2025-01</t>
        </is>
      </c>
      <c r="F434" t="n">
        <v>698.9</v>
      </c>
      <c r="G434" t="n">
        <v>824.7</v>
      </c>
      <c r="H434">
        <f>הגדרות!B4</f>
        <v/>
      </c>
      <c r="I434">
        <f>F434*(1-H434/100)*1.18</f>
        <v/>
      </c>
      <c r="J434">
        <f>הגדרות!C4</f>
        <v/>
      </c>
      <c r="K434">
        <f>הגדרות!D4</f>
        <v/>
      </c>
      <c r="L434">
        <f>I434*(1+J434/100)+K434</f>
        <v/>
      </c>
    </row>
    <row r="435">
      <c r="A435" t="inlineStr">
        <is>
          <t>IDEXX</t>
        </is>
      </c>
      <c r="B435" t="inlineStr">
        <is>
          <t>FGF-23</t>
        </is>
      </c>
      <c r="D435" t="inlineStr">
        <is>
          <t>FGF23</t>
        </is>
      </c>
      <c r="E435" t="inlineStr">
        <is>
          <t>2025-01</t>
        </is>
      </c>
      <c r="F435" t="n">
        <v>391.5</v>
      </c>
      <c r="G435" t="n">
        <v>461.97</v>
      </c>
      <c r="H435">
        <f>הגדרות!B4</f>
        <v/>
      </c>
      <c r="I435">
        <f>F435*(1-H435/100)*1.18</f>
        <v/>
      </c>
      <c r="J435">
        <f>הגדרות!C4</f>
        <v/>
      </c>
      <c r="K435">
        <f>הגדרות!D4</f>
        <v/>
      </c>
      <c r="L435">
        <f>I435*(1+J435/100)+K435</f>
        <v/>
      </c>
    </row>
    <row r="436">
      <c r="A436" t="inlineStr">
        <is>
          <t>IDEXX</t>
        </is>
      </c>
      <c r="B436" t="inlineStr">
        <is>
          <t>Blood Typing (Feline)</t>
        </is>
      </c>
      <c r="D436" t="inlineStr">
        <is>
          <t>FGP</t>
        </is>
      </c>
      <c r="E436" t="inlineStr">
        <is>
          <t>2025-01</t>
        </is>
      </c>
      <c r="F436" t="n">
        <v>403.1</v>
      </c>
      <c r="G436" t="n">
        <v>475.66</v>
      </c>
      <c r="H436">
        <f>הגדרות!B4</f>
        <v/>
      </c>
      <c r="I436">
        <f>F436*(1-H436/100)*1.18</f>
        <v/>
      </c>
      <c r="J436">
        <f>הגדרות!C4</f>
        <v/>
      </c>
      <c r="K436">
        <f>הגדרות!D4</f>
        <v/>
      </c>
      <c r="L436">
        <f>I436*(1+J436/100)+K436</f>
        <v/>
      </c>
    </row>
    <row r="437">
      <c r="A437" t="inlineStr">
        <is>
          <t>IDEXX</t>
        </is>
      </c>
      <c r="B437" t="inlineStr">
        <is>
          <t>Feline Herpesvirus FHV-1 (DNA) RealPCR™</t>
        </is>
      </c>
      <c r="D437" t="inlineStr">
        <is>
          <t>FHV1Q</t>
        </is>
      </c>
      <c r="E437" t="inlineStr">
        <is>
          <t>2025-01</t>
        </is>
      </c>
      <c r="F437" t="n">
        <v>368.3</v>
      </c>
      <c r="G437" t="n">
        <v>434.59</v>
      </c>
      <c r="H437">
        <f>הגדרות!B4</f>
        <v/>
      </c>
      <c r="I437">
        <f>F437*(1-H437/100)*1.18</f>
        <v/>
      </c>
      <c r="J437">
        <f>הגדרות!C4</f>
        <v/>
      </c>
      <c r="K437">
        <f>הגדרות!D4</f>
        <v/>
      </c>
      <c r="L437">
        <f>I437*(1+J437/100)+K437</f>
        <v/>
      </c>
    </row>
    <row r="438">
      <c r="A438" t="inlineStr">
        <is>
          <t>IDEXX</t>
        </is>
      </c>
      <c r="B438" t="inlineStr">
        <is>
          <t>Feline Herpesvirus Antibodies</t>
        </is>
      </c>
      <c r="D438" t="inlineStr">
        <is>
          <t>FHVS</t>
        </is>
      </c>
      <c r="E438" t="inlineStr">
        <is>
          <t>2025-01</t>
        </is>
      </c>
      <c r="F438" t="n">
        <v>765.6</v>
      </c>
      <c r="G438" t="n">
        <v>903.41</v>
      </c>
      <c r="H438">
        <f>הגדרות!B4</f>
        <v/>
      </c>
      <c r="I438">
        <f>F438*(1-H438/100)*1.18</f>
        <v/>
      </c>
      <c r="J438">
        <f>הגדרות!C4</f>
        <v/>
      </c>
      <c r="K438">
        <f>הגדרות!D4</f>
        <v/>
      </c>
      <c r="L438">
        <f>I438*(1+J438/100)+K438</f>
        <v/>
      </c>
    </row>
    <row r="439">
      <c r="A439" t="inlineStr">
        <is>
          <t>IDEXX</t>
        </is>
      </c>
      <c r="B439" t="inlineStr">
        <is>
          <t>Heartworm Antibody and Antigen Screen (Feline)</t>
        </is>
      </c>
      <c r="D439" t="inlineStr">
        <is>
          <t>FHW</t>
        </is>
      </c>
      <c r="E439" t="inlineStr">
        <is>
          <t>2025-01</t>
        </is>
      </c>
      <c r="F439" t="n">
        <v>397.3</v>
      </c>
      <c r="G439" t="n">
        <v>468.81</v>
      </c>
      <c r="H439">
        <f>הגדרות!B4</f>
        <v/>
      </c>
      <c r="I439">
        <f>F439*(1-H439/100)*1.18</f>
        <v/>
      </c>
      <c r="J439">
        <f>הגדרות!C4</f>
        <v/>
      </c>
      <c r="K439">
        <f>הגדרות!D4</f>
        <v/>
      </c>
      <c r="L439">
        <f>I439*(1+J439/100)+K439</f>
        <v/>
      </c>
    </row>
    <row r="440">
      <c r="A440" t="inlineStr">
        <is>
          <t>IDEXX</t>
        </is>
      </c>
      <c r="B440" t="inlineStr">
        <is>
          <t>Fibrinogen (Canine &amp; Feline)</t>
        </is>
      </c>
      <c r="D440" t="inlineStr">
        <is>
          <t>FIBC</t>
        </is>
      </c>
      <c r="E440" t="inlineStr">
        <is>
          <t>2025-01</t>
        </is>
      </c>
      <c r="F440" t="n">
        <v>156.6</v>
      </c>
      <c r="G440" t="n">
        <v>184.79</v>
      </c>
      <c r="H440">
        <f>הגדרות!B4</f>
        <v/>
      </c>
      <c r="I440">
        <f>F440*(1-H440/100)*1.18</f>
        <v/>
      </c>
      <c r="J440">
        <f>הגדרות!C4</f>
        <v/>
      </c>
      <c r="K440">
        <f>הגדרות!D4</f>
        <v/>
      </c>
      <c r="L440">
        <f>I440*(1+J440/100)+K440</f>
        <v/>
      </c>
    </row>
    <row r="441">
      <c r="A441" t="inlineStr">
        <is>
          <t>IDEXX</t>
        </is>
      </c>
      <c r="B441" t="inlineStr">
        <is>
          <t>Blood Film Examination</t>
        </is>
      </c>
      <c r="D441" t="inlineStr">
        <is>
          <t>FILM</t>
        </is>
      </c>
      <c r="E441" t="inlineStr">
        <is>
          <t>2025-01</t>
        </is>
      </c>
      <c r="F441" t="n">
        <v>165.3</v>
      </c>
      <c r="G441" t="n">
        <v>195.05</v>
      </c>
      <c r="H441">
        <f>הגדרות!B4</f>
        <v/>
      </c>
      <c r="I441">
        <f>F441*(1-H441/100)*1.18</f>
        <v/>
      </c>
      <c r="J441">
        <f>הגדרות!C4</f>
        <v/>
      </c>
      <c r="K441">
        <f>הגדרות!D4</f>
        <v/>
      </c>
      <c r="L441">
        <f>I441*(1+J441/100)+K441</f>
        <v/>
      </c>
    </row>
    <row r="442">
      <c r="A442" t="inlineStr">
        <is>
          <t>IDEXX</t>
        </is>
      </c>
      <c r="B442" t="inlineStr">
        <is>
          <t>Blood Film Examination (Avian / Reptile)</t>
        </is>
      </c>
      <c r="D442" t="inlineStr">
        <is>
          <t>FILME</t>
        </is>
      </c>
      <c r="E442" t="inlineStr">
        <is>
          <t>2025-01</t>
        </is>
      </c>
      <c r="F442" t="n">
        <v>165.3</v>
      </c>
      <c r="G442" t="n">
        <v>195.05</v>
      </c>
      <c r="H442">
        <f>הגדרות!B4</f>
        <v/>
      </c>
      <c r="I442">
        <f>F442*(1-H442/100)*1.18</f>
        <v/>
      </c>
      <c r="J442">
        <f>הגדרות!C4</f>
        <v/>
      </c>
      <c r="K442">
        <f>הגדרות!D4</f>
        <v/>
      </c>
      <c r="L442">
        <f>I442*(1+J442/100)+K442</f>
        <v/>
      </c>
    </row>
    <row r="443">
      <c r="A443" t="inlineStr">
        <is>
          <t>IDEXX</t>
        </is>
      </c>
      <c r="B443" t="inlineStr">
        <is>
          <t>Vaccination Status (Feline)</t>
        </is>
      </c>
      <c r="D443" t="inlineStr">
        <is>
          <t>FIMM</t>
        </is>
      </c>
      <c r="E443" t="inlineStr">
        <is>
          <t>2025-01</t>
        </is>
      </c>
      <c r="F443" t="n">
        <v>1690.7</v>
      </c>
      <c r="G443" t="n">
        <v>1995.03</v>
      </c>
      <c r="H443">
        <f>הגדרות!B4</f>
        <v/>
      </c>
      <c r="I443">
        <f>F443*(1-H443/100)*1.18</f>
        <v/>
      </c>
      <c r="J443">
        <f>הגדרות!C4</f>
        <v/>
      </c>
      <c r="K443">
        <f>הגדרות!D4</f>
        <v/>
      </c>
      <c r="L443">
        <f>I443*(1+J443/100)+K443</f>
        <v/>
      </c>
    </row>
    <row r="444">
      <c r="A444" t="inlineStr">
        <is>
          <t>IDEXX</t>
        </is>
      </c>
      <c r="B444" t="inlineStr">
        <is>
          <t>Insulin (Feline)</t>
        </is>
      </c>
      <c r="D444" t="inlineStr">
        <is>
          <t>FIN</t>
        </is>
      </c>
      <c r="E444" t="inlineStr">
        <is>
          <t>2025-01</t>
        </is>
      </c>
      <c r="F444" t="n">
        <v>611.9</v>
      </c>
      <c r="G444" t="n">
        <v>722.04</v>
      </c>
      <c r="H444">
        <f>הגדרות!B4</f>
        <v/>
      </c>
      <c r="I444">
        <f>F444*(1-H444/100)*1.18</f>
        <v/>
      </c>
      <c r="J444">
        <f>הגדרות!C4</f>
        <v/>
      </c>
      <c r="K444">
        <f>הגדרות!D4</f>
        <v/>
      </c>
      <c r="L444">
        <f>I444*(1+J444/100)+K444</f>
        <v/>
      </c>
    </row>
    <row r="445">
      <c r="A445" t="inlineStr">
        <is>
          <t>IDEXX</t>
        </is>
      </c>
      <c r="B445" t="inlineStr">
        <is>
          <t>Feline Coronavirus Antibody</t>
        </is>
      </c>
      <c r="D445" t="inlineStr">
        <is>
          <t>FIP</t>
        </is>
      </c>
      <c r="E445" t="inlineStr">
        <is>
          <t>2025-01</t>
        </is>
      </c>
      <c r="F445" t="n">
        <v>252.3</v>
      </c>
      <c r="G445" t="n">
        <v>297.71</v>
      </c>
      <c r="H445">
        <f>הגדרות!B4</f>
        <v/>
      </c>
      <c r="I445">
        <f>F445*(1-H445/100)*1.18</f>
        <v/>
      </c>
      <c r="J445">
        <f>הגדרות!C4</f>
        <v/>
      </c>
      <c r="K445">
        <f>הגדרות!D4</f>
        <v/>
      </c>
      <c r="L445">
        <f>I445*(1+J445/100)+K445</f>
        <v/>
      </c>
    </row>
    <row r="446">
      <c r="A446" t="inlineStr">
        <is>
          <t>IDEXX</t>
        </is>
      </c>
      <c r="B446" t="inlineStr">
        <is>
          <t>Feline Coronavirus and Toxoplasma IgG / IgM</t>
        </is>
      </c>
      <c r="D446" t="inlineStr">
        <is>
          <t>FIPT</t>
        </is>
      </c>
      <c r="E446" t="inlineStr">
        <is>
          <t>2025-01</t>
        </is>
      </c>
      <c r="F446" t="n">
        <v>513.3</v>
      </c>
      <c r="G446" t="n">
        <v>605.6900000000001</v>
      </c>
      <c r="H446">
        <f>הגדרות!B4</f>
        <v/>
      </c>
      <c r="I446">
        <f>F446*(1-H446/100)*1.18</f>
        <v/>
      </c>
      <c r="J446">
        <f>הגדרות!C4</f>
        <v/>
      </c>
      <c r="K446">
        <f>הגדרות!D4</f>
        <v/>
      </c>
      <c r="L446">
        <f>I446*(1+J446/100)+K446</f>
        <v/>
      </c>
    </row>
    <row r="447">
      <c r="A447" t="inlineStr">
        <is>
          <t>IDEXX</t>
        </is>
      </c>
      <c r="B447" t="inlineStr">
        <is>
          <t>Feline Coronavirus (RNA) RealPCR™</t>
        </is>
      </c>
      <c r="D447" t="inlineStr">
        <is>
          <t>FIPVP</t>
        </is>
      </c>
      <c r="E447" t="inlineStr">
        <is>
          <t>2025-01</t>
        </is>
      </c>
      <c r="F447" t="n">
        <v>368.3</v>
      </c>
      <c r="G447" t="n">
        <v>434.59</v>
      </c>
      <c r="H447">
        <f>הגדרות!B4</f>
        <v/>
      </c>
      <c r="I447">
        <f>F447*(1-H447/100)*1.18</f>
        <v/>
      </c>
      <c r="J447">
        <f>הגדרות!C4</f>
        <v/>
      </c>
      <c r="K447">
        <f>הגדרות!D4</f>
        <v/>
      </c>
      <c r="L447">
        <f>I447*(1+J447/100)+K447</f>
        <v/>
      </c>
    </row>
    <row r="448">
      <c r="A448" t="inlineStr">
        <is>
          <t>IDEXX</t>
        </is>
      </c>
      <c r="B448" t="inlineStr">
        <is>
          <t>FIV Antibody</t>
        </is>
      </c>
      <c r="D448" t="inlineStr">
        <is>
          <t>FIV</t>
        </is>
      </c>
      <c r="E448" t="inlineStr">
        <is>
          <t>2025-01</t>
        </is>
      </c>
      <c r="F448" t="n">
        <v>220.4</v>
      </c>
      <c r="G448" t="n">
        <v>260.07</v>
      </c>
      <c r="H448">
        <f>הגדרות!B4</f>
        <v/>
      </c>
      <c r="I448">
        <f>F448*(1-H448/100)*1.18</f>
        <v/>
      </c>
      <c r="J448">
        <f>הגדרות!C4</f>
        <v/>
      </c>
      <c r="K448">
        <f>הגדרות!D4</f>
        <v/>
      </c>
      <c r="L448">
        <f>I448*(1+J448/100)+K448</f>
        <v/>
      </c>
    </row>
    <row r="449">
      <c r="A449" t="inlineStr">
        <is>
          <t>IDEXX</t>
        </is>
      </c>
      <c r="B449" t="inlineStr">
        <is>
          <t>Feline Lower Respiratory Panel</t>
        </is>
      </c>
      <c r="D449" t="inlineStr">
        <is>
          <t>FLRP</t>
        </is>
      </c>
      <c r="E449" t="inlineStr">
        <is>
          <t>2025-01</t>
        </is>
      </c>
      <c r="F449" t="n">
        <v>667</v>
      </c>
      <c r="G449" t="n">
        <v>787.0599999999999</v>
      </c>
      <c r="H449">
        <f>הגדרות!B4</f>
        <v/>
      </c>
      <c r="I449">
        <f>F449*(1-H449/100)*1.18</f>
        <v/>
      </c>
      <c r="J449">
        <f>הגדרות!C4</f>
        <v/>
      </c>
      <c r="K449">
        <f>הגדרות!D4</f>
        <v/>
      </c>
      <c r="L449">
        <f>I449*(1+J449/100)+K449</f>
        <v/>
      </c>
    </row>
    <row r="450">
      <c r="A450" t="inlineStr">
        <is>
          <t>IDEXX</t>
        </is>
      </c>
      <c r="B450" t="inlineStr">
        <is>
          <t>FeLV Quantitative (DNA) PCR</t>
        </is>
      </c>
      <c r="D450" t="inlineStr">
        <is>
          <t>FLVP</t>
        </is>
      </c>
      <c r="E450" t="inlineStr">
        <is>
          <t>2025-01</t>
        </is>
      </c>
      <c r="F450" t="n">
        <v>368.3</v>
      </c>
      <c r="G450" t="n">
        <v>434.59</v>
      </c>
      <c r="H450">
        <f>הגדרות!B4</f>
        <v/>
      </c>
      <c r="I450">
        <f>F450*(1-H450/100)*1.18</f>
        <v/>
      </c>
      <c r="J450">
        <f>הגדרות!C4</f>
        <v/>
      </c>
      <c r="K450">
        <f>הגדרות!D4</f>
        <v/>
      </c>
      <c r="L450">
        <f>I450*(1+J450/100)+K450</f>
        <v/>
      </c>
    </row>
    <row r="451">
      <c r="A451" t="inlineStr">
        <is>
          <t>IDEXX</t>
        </is>
      </c>
      <c r="B451" t="inlineStr">
        <is>
          <t>Feline Lyme and Anaplasma Antibody Screen</t>
        </is>
      </c>
      <c r="D451" t="inlineStr">
        <is>
          <t>FLYAN</t>
        </is>
      </c>
      <c r="E451" t="inlineStr">
        <is>
          <t>2025-01</t>
        </is>
      </c>
      <c r="F451" t="n">
        <v>490.1</v>
      </c>
      <c r="G451" t="n">
        <v>578.3200000000001</v>
      </c>
      <c r="H451">
        <f>הגדרות!B4</f>
        <v/>
      </c>
      <c r="I451">
        <f>F451*(1-H451/100)*1.18</f>
        <v/>
      </c>
      <c r="J451">
        <f>הגדרות!C4</f>
        <v/>
      </c>
      <c r="K451">
        <f>הגדרות!D4</f>
        <v/>
      </c>
      <c r="L451">
        <f>I451*(1+J451/100)+K451</f>
        <v/>
      </c>
    </row>
    <row r="452">
      <c r="A452" t="inlineStr">
        <is>
          <t>IDEXX</t>
        </is>
      </c>
      <c r="B452" t="inlineStr">
        <is>
          <t>Farm Animal Basic Screen</t>
        </is>
      </c>
      <c r="D452" t="inlineStr">
        <is>
          <t>FP</t>
        </is>
      </c>
      <c r="E452" t="inlineStr">
        <is>
          <t>2025-01</t>
        </is>
      </c>
      <c r="F452" t="n">
        <v>385.7</v>
      </c>
      <c r="G452" t="n">
        <v>455.13</v>
      </c>
      <c r="H452">
        <f>הגדרות!B4</f>
        <v/>
      </c>
      <c r="I452">
        <f>F452*(1-H452/100)*1.18</f>
        <v/>
      </c>
      <c r="J452">
        <f>הגדרות!C4</f>
        <v/>
      </c>
      <c r="K452">
        <f>הגדרות!D4</f>
        <v/>
      </c>
      <c r="L452">
        <f>I452*(1+J452/100)+K452</f>
        <v/>
      </c>
    </row>
    <row r="453">
      <c r="A453" t="inlineStr">
        <is>
          <t>IDEXX</t>
        </is>
      </c>
      <c r="B453" t="inlineStr">
        <is>
          <t>Feline Eye Panel 2</t>
        </is>
      </c>
      <c r="D453" t="inlineStr">
        <is>
          <t>FP2</t>
        </is>
      </c>
      <c r="E453" t="inlineStr">
        <is>
          <t>2025-01</t>
        </is>
      </c>
      <c r="F453" t="n">
        <v>667</v>
      </c>
      <c r="G453" t="n">
        <v>787.0599999999999</v>
      </c>
      <c r="H453">
        <f>הגדרות!B4</f>
        <v/>
      </c>
      <c r="I453">
        <f>F453*(1-H453/100)*1.18</f>
        <v/>
      </c>
      <c r="J453">
        <f>הגדרות!C4</f>
        <v/>
      </c>
      <c r="K453">
        <f>הגדרות!D4</f>
        <v/>
      </c>
      <c r="L453">
        <f>I453*(1+J453/100)+K453</f>
        <v/>
      </c>
    </row>
    <row r="454">
      <c r="A454" t="inlineStr">
        <is>
          <t>IDEXX</t>
        </is>
      </c>
      <c r="B454" t="inlineStr">
        <is>
          <t>Feline Eye Panel 2 plus bacterial culture</t>
        </is>
      </c>
      <c r="D454" t="inlineStr">
        <is>
          <t>FP2C</t>
        </is>
      </c>
      <c r="E454" t="inlineStr">
        <is>
          <t>2025-01</t>
        </is>
      </c>
      <c r="F454" t="n">
        <v>881.6</v>
      </c>
      <c r="G454" t="n">
        <v>1040.29</v>
      </c>
      <c r="H454">
        <f>הגדרות!B4</f>
        <v/>
      </c>
      <c r="I454">
        <f>F454*(1-H454/100)*1.18</f>
        <v/>
      </c>
      <c r="J454">
        <f>הגדרות!C4</f>
        <v/>
      </c>
      <c r="K454">
        <f>הגדרות!D4</f>
        <v/>
      </c>
      <c r="L454">
        <f>I454*(1+J454/100)+K454</f>
        <v/>
      </c>
    </row>
    <row r="455">
      <c r="A455" t="inlineStr">
        <is>
          <t>IDEXX</t>
        </is>
      </c>
      <c r="B455" t="inlineStr">
        <is>
          <t>Avian/Exotic Parasitology</t>
        </is>
      </c>
      <c r="D455" t="inlineStr">
        <is>
          <t>FPAE</t>
        </is>
      </c>
      <c r="E455" t="inlineStr">
        <is>
          <t>2025-01</t>
        </is>
      </c>
      <c r="F455" t="n">
        <v>171.1</v>
      </c>
      <c r="G455" t="n">
        <v>201.9</v>
      </c>
      <c r="H455">
        <f>הגדרות!B4</f>
        <v/>
      </c>
      <c r="I455">
        <f>F455*(1-H455/100)*1.18</f>
        <v/>
      </c>
      <c r="J455">
        <f>הגדרות!C4</f>
        <v/>
      </c>
      <c r="K455">
        <f>הגדרות!D4</f>
        <v/>
      </c>
      <c r="L455">
        <f>I455*(1+J455/100)+K455</f>
        <v/>
      </c>
    </row>
    <row r="456">
      <c r="A456" t="inlineStr">
        <is>
          <t>IDEXX</t>
        </is>
      </c>
      <c r="B456" t="inlineStr">
        <is>
          <t>Faecal Parasitology</t>
        </is>
      </c>
      <c r="D456" t="inlineStr">
        <is>
          <t>FPAR</t>
        </is>
      </c>
      <c r="E456" t="inlineStr">
        <is>
          <t>2025-01</t>
        </is>
      </c>
      <c r="F456" t="n">
        <v>159.5</v>
      </c>
      <c r="G456" t="n">
        <v>188.21</v>
      </c>
      <c r="H456">
        <f>הגדרות!B4</f>
        <v/>
      </c>
      <c r="I456">
        <f>F456*(1-H456/100)*1.18</f>
        <v/>
      </c>
      <c r="J456">
        <f>הגדרות!C4</f>
        <v/>
      </c>
      <c r="K456">
        <f>הגדרות!D4</f>
        <v/>
      </c>
      <c r="L456">
        <f>I456*(1+J456/100)+K456</f>
        <v/>
      </c>
    </row>
    <row r="457">
      <c r="A457" t="inlineStr">
        <is>
          <t>IDEXX</t>
        </is>
      </c>
      <c r="B457" t="inlineStr">
        <is>
          <t>Farm Animal (Chemistry)</t>
        </is>
      </c>
      <c r="D457" t="inlineStr">
        <is>
          <t>FPC</t>
        </is>
      </c>
      <c r="E457" t="inlineStr">
        <is>
          <t>2025-01</t>
        </is>
      </c>
      <c r="F457" t="n">
        <v>301.6</v>
      </c>
      <c r="G457" t="n">
        <v>355.89</v>
      </c>
      <c r="H457">
        <f>הגדרות!B4</f>
        <v/>
      </c>
      <c r="I457">
        <f>F457*(1-H457/100)*1.18</f>
        <v/>
      </c>
      <c r="J457">
        <f>הגדרות!C4</f>
        <v/>
      </c>
      <c r="K457">
        <f>הגדרות!D4</f>
        <v/>
      </c>
      <c r="L457">
        <f>I457*(1+J457/100)+K457</f>
        <v/>
      </c>
    </row>
    <row r="458">
      <c r="A458" t="inlineStr">
        <is>
          <t>IDEXX</t>
        </is>
      </c>
      <c r="B458" t="inlineStr">
        <is>
          <t>Follow Up Blood Film</t>
        </is>
      </c>
      <c r="D458" t="inlineStr">
        <is>
          <t>FPDX</t>
        </is>
      </c>
      <c r="E458" t="inlineStr">
        <is>
          <t>2025-01</t>
        </is>
      </c>
      <c r="F458" t="n">
        <v>133.4</v>
      </c>
      <c r="G458" t="n">
        <v>157.41</v>
      </c>
      <c r="H458">
        <f>הגדרות!B4</f>
        <v/>
      </c>
      <c r="I458">
        <f>F458*(1-H458/100)*1.18</f>
        <v/>
      </c>
      <c r="J458">
        <f>הגדרות!C4</f>
        <v/>
      </c>
      <c r="K458">
        <f>הגדרות!D4</f>
        <v/>
      </c>
      <c r="L458">
        <f>I458*(1+J458/100)+K458</f>
        <v/>
      </c>
    </row>
    <row r="459">
      <c r="A459" t="inlineStr">
        <is>
          <t>IDEXX</t>
        </is>
      </c>
      <c r="B459" t="inlineStr">
        <is>
          <t>Spec fPL (Feline)</t>
        </is>
      </c>
      <c r="D459" t="inlineStr">
        <is>
          <t>FPLI</t>
        </is>
      </c>
      <c r="E459" t="inlineStr">
        <is>
          <t>2025-01</t>
        </is>
      </c>
      <c r="F459" t="n">
        <v>495.9</v>
      </c>
      <c r="G459" t="n">
        <v>585.16</v>
      </c>
      <c r="H459">
        <f>הגדרות!B4</f>
        <v/>
      </c>
      <c r="I459">
        <f>F459*(1-H459/100)*1.18</f>
        <v/>
      </c>
      <c r="J459">
        <f>הגדרות!C4</f>
        <v/>
      </c>
      <c r="K459">
        <f>הגדרות!D4</f>
        <v/>
      </c>
      <c r="L459">
        <f>I459*(1+J459/100)+K459</f>
        <v/>
      </c>
    </row>
    <row r="460">
      <c r="A460" t="inlineStr">
        <is>
          <t>IDEXX</t>
        </is>
      </c>
      <c r="B460" t="inlineStr">
        <is>
          <t>Basic Adult Ruminant Faecal Screen (more than 12 m</t>
        </is>
      </c>
      <c r="D460" t="inlineStr">
        <is>
          <t>oFnRthAs old)</t>
        </is>
      </c>
      <c r="E460" t="inlineStr">
        <is>
          <t>2025-01</t>
        </is>
      </c>
      <c r="F460" t="n">
        <v>330.6</v>
      </c>
      <c r="G460" t="n">
        <v>390.11</v>
      </c>
      <c r="H460">
        <f>הגדרות!B4</f>
        <v/>
      </c>
      <c r="I460">
        <f>F460*(1-H460/100)*1.18</f>
        <v/>
      </c>
      <c r="J460">
        <f>הגדרות!C4</f>
        <v/>
      </c>
      <c r="K460">
        <f>הגדרות!D4</f>
        <v/>
      </c>
      <c r="L460">
        <f>I460*(1+J460/100)+K460</f>
        <v/>
      </c>
    </row>
    <row r="461">
      <c r="A461" t="inlineStr">
        <is>
          <t>IDEXX</t>
        </is>
      </c>
      <c r="B461" t="inlineStr">
        <is>
          <t>Ferret Enteric Coronavirus(RNA)</t>
        </is>
      </c>
      <c r="D461" t="inlineStr">
        <is>
          <t>FRECVP</t>
        </is>
      </c>
      <c r="E461" t="inlineStr">
        <is>
          <t>2025-01</t>
        </is>
      </c>
      <c r="F461" t="n">
        <v>368.3</v>
      </c>
      <c r="G461" t="n">
        <v>434.59</v>
      </c>
      <c r="H461">
        <f>הגדרות!B4</f>
        <v/>
      </c>
      <c r="I461">
        <f>F461*(1-H461/100)*1.18</f>
        <v/>
      </c>
      <c r="J461">
        <f>הגדרות!C4</f>
        <v/>
      </c>
      <c r="K461">
        <f>הגדרות!D4</f>
        <v/>
      </c>
      <c r="L461">
        <f>I461*(1+J461/100)+K461</f>
        <v/>
      </c>
    </row>
    <row r="462">
      <c r="A462" t="inlineStr">
        <is>
          <t>IDEXX</t>
        </is>
      </c>
      <c r="B462" t="inlineStr">
        <is>
          <t>Neonatal Ruminant Faecal Screen (Birth to 6/8 weeks</t>
        </is>
      </c>
      <c r="D462" t="inlineStr">
        <is>
          <t>oFlRdN)</t>
        </is>
      </c>
      <c r="E462" t="inlineStr">
        <is>
          <t>2025-01</t>
        </is>
      </c>
      <c r="F462" t="n">
        <v>348</v>
      </c>
      <c r="G462" t="n">
        <v>410.64</v>
      </c>
      <c r="H462">
        <f>הגדרות!B4</f>
        <v/>
      </c>
      <c r="I462">
        <f>F462*(1-H462/100)*1.18</f>
        <v/>
      </c>
      <c r="J462">
        <f>הגדרות!C4</f>
        <v/>
      </c>
      <c r="K462">
        <f>הגדרות!D4</f>
        <v/>
      </c>
      <c r="L462">
        <f>I462*(1+J462/100)+K462</f>
        <v/>
      </c>
    </row>
    <row r="463">
      <c r="A463" t="inlineStr">
        <is>
          <t>IDEXX</t>
        </is>
      </c>
      <c r="B463" t="inlineStr">
        <is>
          <t>Fructosamine</t>
        </is>
      </c>
      <c r="D463" t="inlineStr">
        <is>
          <t>FRU</t>
        </is>
      </c>
      <c r="E463" t="inlineStr">
        <is>
          <t>2025-01</t>
        </is>
      </c>
      <c r="F463" t="n">
        <v>150.8</v>
      </c>
      <c r="G463" t="n">
        <v>177.94</v>
      </c>
      <c r="H463">
        <f>הגדרות!B4</f>
        <v/>
      </c>
      <c r="I463">
        <f>F463*(1-H463/100)*1.18</f>
        <v/>
      </c>
      <c r="J463">
        <f>הגדרות!C4</f>
        <v/>
      </c>
      <c r="K463">
        <f>הגדרות!D4</f>
        <v/>
      </c>
      <c r="L463">
        <f>I463*(1+J463/100)+K463</f>
        <v/>
      </c>
    </row>
    <row r="464">
      <c r="A464" t="inlineStr">
        <is>
          <t>IDEXX</t>
        </is>
      </c>
      <c r="B464" t="inlineStr">
        <is>
          <t>Young Ruminant Faecal Screen (3 - 12 months old)</t>
        </is>
      </c>
      <c r="D464" t="inlineStr">
        <is>
          <t>FRY</t>
        </is>
      </c>
      <c r="E464" t="inlineStr">
        <is>
          <t>2025-01</t>
        </is>
      </c>
      <c r="F464" t="n">
        <v>266.8</v>
      </c>
      <c r="G464" t="n">
        <v>314.82</v>
      </c>
      <c r="H464">
        <f>הגדרות!B4</f>
        <v/>
      </c>
      <c r="I464">
        <f>F464*(1-H464/100)*1.18</f>
        <v/>
      </c>
      <c r="J464">
        <f>הגדרות!C4</f>
        <v/>
      </c>
      <c r="K464">
        <f>הגדרות!D4</f>
        <v/>
      </c>
      <c r="L464">
        <f>I464*(1+J464/100)+K464</f>
        <v/>
      </c>
    </row>
    <row r="465">
      <c r="A465" t="inlineStr">
        <is>
          <t>IDEXX</t>
        </is>
      </c>
      <c r="B465" t="inlineStr">
        <is>
          <t>Fresh Tissue Culture</t>
        </is>
      </c>
      <c r="D465" t="inlineStr">
        <is>
          <t>FT</t>
        </is>
      </c>
      <c r="E465" t="inlineStr">
        <is>
          <t>2025-01</t>
        </is>
      </c>
      <c r="F465" t="n">
        <v>330.6</v>
      </c>
      <c r="G465" t="n">
        <v>390.11</v>
      </c>
      <c r="H465">
        <f>הגדרות!B4</f>
        <v/>
      </c>
      <c r="I465">
        <f>F465*(1-H465/100)*1.18</f>
        <v/>
      </c>
      <c r="J465">
        <f>הגדרות!C4</f>
        <v/>
      </c>
      <c r="K465">
        <f>הגדרות!D4</f>
        <v/>
      </c>
      <c r="L465">
        <f>I465*(1+J465/100)+K465</f>
        <v/>
      </c>
    </row>
    <row r="466">
      <c r="A466" t="inlineStr">
        <is>
          <t>IDEXX</t>
        </is>
      </c>
      <c r="B466" t="inlineStr">
        <is>
          <t>Free T4 (Equilibrium Dialysis)</t>
        </is>
      </c>
      <c r="D466" t="inlineStr">
        <is>
          <t>FT4R</t>
        </is>
      </c>
      <c r="E466" t="inlineStr">
        <is>
          <t>2025-01</t>
        </is>
      </c>
      <c r="F466" t="n">
        <v>426.3</v>
      </c>
      <c r="G466" t="n">
        <v>503.03</v>
      </c>
      <c r="H466">
        <f>הגדרות!B4</f>
        <v/>
      </c>
      <c r="I466">
        <f>F466*(1-H466/100)*1.18</f>
        <v/>
      </c>
      <c r="J466">
        <f>הגדרות!C4</f>
        <v/>
      </c>
      <c r="K466">
        <f>הגדרות!D4</f>
        <v/>
      </c>
      <c r="L466">
        <f>I466*(1+J466/100)+K466</f>
        <v/>
      </c>
    </row>
    <row r="467">
      <c r="A467" t="inlineStr">
        <is>
          <t>IDEXX</t>
        </is>
      </c>
      <c r="B467" t="inlineStr">
        <is>
          <t>TLI, Folate &amp; Cobalamin (Feline)</t>
        </is>
      </c>
      <c r="D467" t="inlineStr">
        <is>
          <t>FTFC</t>
        </is>
      </c>
      <c r="E467" t="inlineStr">
        <is>
          <t>2025-01</t>
        </is>
      </c>
      <c r="F467" t="n">
        <v>669.9</v>
      </c>
      <c r="G467" t="n">
        <v>790.48</v>
      </c>
      <c r="H467">
        <f>הגדרות!B4</f>
        <v/>
      </c>
      <c r="I467">
        <f>F467*(1-H467/100)*1.18</f>
        <v/>
      </c>
      <c r="J467">
        <f>הגדרות!C4</f>
        <v/>
      </c>
      <c r="K467">
        <f>הגדרות!D4</f>
        <v/>
      </c>
      <c r="L467">
        <f>I467*(1+J467/100)+K467</f>
        <v/>
      </c>
    </row>
    <row r="468">
      <c r="A468" t="inlineStr">
        <is>
          <t>IDEXX</t>
        </is>
      </c>
      <c r="B468" t="inlineStr">
        <is>
          <t>Feline Thyroid Monitoring Profile (Interpreted)</t>
        </is>
      </c>
      <c r="D468" t="inlineStr">
        <is>
          <t>FTHYI</t>
        </is>
      </c>
      <c r="E468" t="inlineStr">
        <is>
          <t>2025-01</t>
        </is>
      </c>
      <c r="F468" t="n">
        <v>403.1</v>
      </c>
      <c r="G468" t="n">
        <v>475.66</v>
      </c>
      <c r="H468">
        <f>הגדרות!B4</f>
        <v/>
      </c>
      <c r="I468">
        <f>F468*(1-H468/100)*1.18</f>
        <v/>
      </c>
      <c r="J468">
        <f>הגדרות!C4</f>
        <v/>
      </c>
      <c r="K468">
        <f>הגדרות!D4</f>
        <v/>
      </c>
      <c r="L468">
        <f>I468*(1+J468/100)+K468</f>
        <v/>
      </c>
    </row>
    <row r="469">
      <c r="A469" t="inlineStr">
        <is>
          <t>IDEXX</t>
        </is>
      </c>
      <c r="B469" t="inlineStr">
        <is>
          <t>Cardiopet proBNP &amp; Troponin I HS (Feline)</t>
        </is>
      </c>
      <c r="D469" t="inlineStr">
        <is>
          <t>FTNI</t>
        </is>
      </c>
      <c r="E469" t="inlineStr">
        <is>
          <t>2025-01</t>
        </is>
      </c>
      <c r="F469" t="n">
        <v>600.3</v>
      </c>
      <c r="G469" t="n">
        <v>708.35</v>
      </c>
      <c r="H469">
        <f>הגדרות!B4</f>
        <v/>
      </c>
      <c r="I469">
        <f>F469*(1-H469/100)*1.18</f>
        <v/>
      </c>
      <c r="J469">
        <f>הגדרות!C4</f>
        <v/>
      </c>
      <c r="K469">
        <f>הגדרות!D4</f>
        <v/>
      </c>
      <c r="L469">
        <f>I469*(1+J469/100)+K469</f>
        <v/>
      </c>
    </row>
    <row r="470">
      <c r="A470" t="inlineStr">
        <is>
          <t>IDEXX</t>
        </is>
      </c>
      <c r="B470" t="inlineStr">
        <is>
          <t>Feline Premium Thyroid Panel</t>
        </is>
      </c>
      <c r="D470" t="inlineStr">
        <is>
          <t>FTPR</t>
        </is>
      </c>
      <c r="E470" t="inlineStr">
        <is>
          <t>2025-01</t>
        </is>
      </c>
      <c r="F470" t="n">
        <v>553.9</v>
      </c>
      <c r="G470" t="n">
        <v>653.6</v>
      </c>
      <c r="H470">
        <f>הגדרות!B4</f>
        <v/>
      </c>
      <c r="I470">
        <f>F470*(1-H470/100)*1.18</f>
        <v/>
      </c>
      <c r="J470">
        <f>הגדרות!C4</f>
        <v/>
      </c>
      <c r="K470">
        <f>הגדרות!D4</f>
        <v/>
      </c>
      <c r="L470">
        <f>I470*(1+J470/100)+K470</f>
        <v/>
      </c>
    </row>
    <row r="471">
      <c r="A471" t="inlineStr">
        <is>
          <t>IDEXX</t>
        </is>
      </c>
      <c r="B471" t="inlineStr">
        <is>
          <t>Feline Thyroid Panel</t>
        </is>
      </c>
      <c r="D471" t="inlineStr">
        <is>
          <t>FTPV</t>
        </is>
      </c>
      <c r="E471" t="inlineStr">
        <is>
          <t>2025-01</t>
        </is>
      </c>
      <c r="F471" t="n">
        <v>429.2</v>
      </c>
      <c r="G471" t="n">
        <v>506.46</v>
      </c>
      <c r="H471">
        <f>הגדרות!B4</f>
        <v/>
      </c>
      <c r="I471">
        <f>F471*(1-H471/100)*1.18</f>
        <v/>
      </c>
      <c r="J471">
        <f>הגדרות!C4</f>
        <v/>
      </c>
      <c r="K471">
        <f>הגדרות!D4</f>
        <v/>
      </c>
      <c r="L471">
        <f>I471*(1+J471/100)+K471</f>
        <v/>
      </c>
    </row>
    <row r="472">
      <c r="A472" t="inlineStr">
        <is>
          <t>IDEXX</t>
        </is>
      </c>
      <c r="B472" t="inlineStr">
        <is>
          <t>Feline TSH</t>
        </is>
      </c>
      <c r="D472" t="inlineStr">
        <is>
          <t>FTSH</t>
        </is>
      </c>
      <c r="E472" t="inlineStr">
        <is>
          <t>2025-01</t>
        </is>
      </c>
      <c r="F472" t="n">
        <v>217.5</v>
      </c>
      <c r="G472" t="n">
        <v>256.65</v>
      </c>
      <c r="H472">
        <f>הגדרות!B4</f>
        <v/>
      </c>
      <c r="I472">
        <f>F472*(1-H472/100)*1.18</f>
        <v/>
      </c>
      <c r="J472">
        <f>הגדרות!C4</f>
        <v/>
      </c>
      <c r="K472">
        <f>הגדרות!D4</f>
        <v/>
      </c>
      <c r="L472">
        <f>I472*(1+J472/100)+K472</f>
        <v/>
      </c>
    </row>
    <row r="473">
      <c r="A473" t="inlineStr">
        <is>
          <t>IDEXX</t>
        </is>
      </c>
      <c r="B473" t="inlineStr">
        <is>
          <t>Upper Respiratory Panel 1 plus bacterial culture</t>
        </is>
      </c>
      <c r="D473" t="inlineStr">
        <is>
          <t>FU1C</t>
        </is>
      </c>
      <c r="E473" t="inlineStr">
        <is>
          <t>2025-01</t>
        </is>
      </c>
      <c r="F473" t="n">
        <v>797.5</v>
      </c>
      <c r="G473" t="n">
        <v>941.05</v>
      </c>
      <c r="H473">
        <f>הגדרות!B4</f>
        <v/>
      </c>
      <c r="I473">
        <f>F473*(1-H473/100)*1.18</f>
        <v/>
      </c>
      <c r="J473">
        <f>הגדרות!C4</f>
        <v/>
      </c>
      <c r="K473">
        <f>הגדרות!D4</f>
        <v/>
      </c>
      <c r="L473">
        <f>I473*(1+J473/100)+K473</f>
        <v/>
      </c>
    </row>
    <row r="474">
      <c r="A474" t="inlineStr">
        <is>
          <t>IDEXX</t>
        </is>
      </c>
      <c r="B474" t="inlineStr">
        <is>
          <t>Upper Respiratory Panel 2 plus bacterial culture</t>
        </is>
      </c>
      <c r="D474" t="inlineStr">
        <is>
          <t>FU2C</t>
        </is>
      </c>
      <c r="E474" t="inlineStr">
        <is>
          <t>2025-01</t>
        </is>
      </c>
      <c r="F474" t="n">
        <v>957</v>
      </c>
      <c r="G474" t="n">
        <v>1129.26</v>
      </c>
      <c r="H474">
        <f>הגדרות!B4</f>
        <v/>
      </c>
      <c r="I474">
        <f>F474*(1-H474/100)*1.18</f>
        <v/>
      </c>
      <c r="J474">
        <f>הגדרות!C4</f>
        <v/>
      </c>
      <c r="K474">
        <f>הגדרות!D4</f>
        <v/>
      </c>
      <c r="L474">
        <f>I474*(1+J474/100)+K474</f>
        <v/>
      </c>
    </row>
    <row r="475">
      <c r="A475" t="inlineStr">
        <is>
          <t>IDEXX</t>
        </is>
      </c>
      <c r="B475" t="inlineStr">
        <is>
          <t>Upper Respiratory Panel 1</t>
        </is>
      </c>
      <c r="D475" t="inlineStr">
        <is>
          <t>FUR1</t>
        </is>
      </c>
      <c r="E475" t="inlineStr">
        <is>
          <t>2025-01</t>
        </is>
      </c>
      <c r="F475" t="n">
        <v>582.9</v>
      </c>
      <c r="G475" t="n">
        <v>687.8200000000001</v>
      </c>
      <c r="H475">
        <f>הגדרות!B4</f>
        <v/>
      </c>
      <c r="I475">
        <f>F475*(1-H475/100)*1.18</f>
        <v/>
      </c>
      <c r="J475">
        <f>הגדרות!C4</f>
        <v/>
      </c>
      <c r="K475">
        <f>הגדרות!D4</f>
        <v/>
      </c>
      <c r="L475">
        <f>I475*(1+J475/100)+K475</f>
        <v/>
      </c>
    </row>
    <row r="476">
      <c r="A476" t="inlineStr">
        <is>
          <t>IDEXX</t>
        </is>
      </c>
      <c r="B476" t="inlineStr">
        <is>
          <t>Upper Respiratory Panel 2</t>
        </is>
      </c>
      <c r="D476" t="inlineStr">
        <is>
          <t>FUR2</t>
        </is>
      </c>
      <c r="E476" t="inlineStr">
        <is>
          <t>2025-01</t>
        </is>
      </c>
      <c r="F476" t="n">
        <v>742.4</v>
      </c>
      <c r="G476" t="n">
        <v>876.03</v>
      </c>
      <c r="H476">
        <f>הגדרות!B4</f>
        <v/>
      </c>
      <c r="I476">
        <f>F476*(1-H476/100)*1.18</f>
        <v/>
      </c>
      <c r="J476">
        <f>הגדרות!C4</f>
        <v/>
      </c>
      <c r="K476">
        <f>הגדרות!D4</f>
        <v/>
      </c>
      <c r="L476">
        <f>I476*(1+J476/100)+K476</f>
        <v/>
      </c>
    </row>
    <row r="477">
      <c r="A477" t="inlineStr">
        <is>
          <t>IDEXX</t>
        </is>
      </c>
      <c r="B477" t="inlineStr">
        <is>
          <t>Trees Allergy Panel (Canine/Feline)</t>
        </is>
      </c>
      <c r="D477" t="inlineStr">
        <is>
          <t>G_ALE</t>
        </is>
      </c>
      <c r="E477" t="inlineStr">
        <is>
          <t>2025-01</t>
        </is>
      </c>
      <c r="F477" t="n">
        <v>632.2</v>
      </c>
      <c r="G477" t="n">
        <v>746</v>
      </c>
      <c r="H477">
        <f>הגדרות!B4</f>
        <v/>
      </c>
      <c r="I477">
        <f>F477*(1-H477/100)*1.18</f>
        <v/>
      </c>
      <c r="J477">
        <f>הגדרות!C4</f>
        <v/>
      </c>
      <c r="K477">
        <f>הגדרות!D4</f>
        <v/>
      </c>
      <c r="L477">
        <f>I477*(1+J477/100)+K477</f>
        <v/>
      </c>
    </row>
    <row r="478">
      <c r="A478" t="inlineStr">
        <is>
          <t>IDEXX</t>
        </is>
      </c>
      <c r="B478" t="inlineStr">
        <is>
          <t>Grasses &amp; Weeds Allergy Panel (Canine/Feline)</t>
        </is>
      </c>
      <c r="D478" t="inlineStr">
        <is>
          <t>G_ALGUK</t>
        </is>
      </c>
      <c r="E478" t="inlineStr">
        <is>
          <t>2025-01</t>
        </is>
      </c>
      <c r="F478" t="n">
        <v>632.2</v>
      </c>
      <c r="G478" t="n">
        <v>746</v>
      </c>
      <c r="H478">
        <f>הגדרות!B4</f>
        <v/>
      </c>
      <c r="I478">
        <f>F478*(1-H478/100)*1.18</f>
        <v/>
      </c>
      <c r="J478">
        <f>הגדרות!C4</f>
        <v/>
      </c>
      <c r="K478">
        <f>הגדרות!D4</f>
        <v/>
      </c>
      <c r="L478">
        <f>I478*(1+J478/100)+K478</f>
        <v/>
      </c>
    </row>
    <row r="479">
      <c r="A479" t="inlineStr">
        <is>
          <t>IDEXX</t>
        </is>
      </c>
      <c r="B479" t="inlineStr">
        <is>
          <t>Indoor Allergy Panel (Mites &amp; Moulds) (Canine/Feline)</t>
        </is>
      </c>
      <c r="D479" t="inlineStr">
        <is>
          <t>G_ALI</t>
        </is>
      </c>
      <c r="E479" t="inlineStr">
        <is>
          <t>2025-01</t>
        </is>
      </c>
      <c r="F479" t="n">
        <v>632.2</v>
      </c>
      <c r="G479" t="n">
        <v>746</v>
      </c>
      <c r="H479">
        <f>הגדרות!B4</f>
        <v/>
      </c>
      <c r="I479">
        <f>F479*(1-H479/100)*1.18</f>
        <v/>
      </c>
      <c r="J479">
        <f>הגדרות!C4</f>
        <v/>
      </c>
      <c r="K479">
        <f>הגדרות!D4</f>
        <v/>
      </c>
      <c r="L479">
        <f>I479*(1+J479/100)+K479</f>
        <v/>
      </c>
    </row>
    <row r="480">
      <c r="A480" t="inlineStr">
        <is>
          <t>IDEXX</t>
        </is>
      </c>
      <c r="B480" t="inlineStr">
        <is>
          <t>Allergy Screen (Canine/Feline)</t>
        </is>
      </c>
      <c r="D480" t="inlineStr">
        <is>
          <t>G_ALSC</t>
        </is>
      </c>
      <c r="E480" t="inlineStr">
        <is>
          <t>2025-01</t>
        </is>
      </c>
      <c r="F480" t="n">
        <v>290</v>
      </c>
      <c r="G480" t="n">
        <v>342.2</v>
      </c>
      <c r="H480">
        <f>הגדרות!B4</f>
        <v/>
      </c>
      <c r="I480">
        <f>F480*(1-H480/100)*1.18</f>
        <v/>
      </c>
      <c r="J480">
        <f>הגדרות!C4</f>
        <v/>
      </c>
      <c r="K480">
        <f>הגדרות!D4</f>
        <v/>
      </c>
      <c r="L480">
        <f>I480*(1+J480/100)+K480</f>
        <v/>
      </c>
    </row>
    <row r="481">
      <c r="A481" t="inlineStr">
        <is>
          <t>IDEXX</t>
        </is>
      </c>
      <c r="B481" t="inlineStr">
        <is>
          <t>Allergy Screen and Flea IgE (Canine/Feline)</t>
        </is>
      </c>
      <c r="D481" t="inlineStr">
        <is>
          <t>G_ALSCF</t>
        </is>
      </c>
      <c r="E481" t="inlineStr">
        <is>
          <t>2025-01</t>
        </is>
      </c>
      <c r="F481" t="n">
        <v>336.4</v>
      </c>
      <c r="G481" t="n">
        <v>396.95</v>
      </c>
      <c r="H481">
        <f>הגדרות!B4</f>
        <v/>
      </c>
      <c r="I481">
        <f>F481*(1-H481/100)*1.18</f>
        <v/>
      </c>
      <c r="J481">
        <f>הגדרות!C4</f>
        <v/>
      </c>
      <c r="K481">
        <f>הגדרות!D4</f>
        <v/>
      </c>
      <c r="L481">
        <f>I481*(1+J481/100)+K481</f>
        <v/>
      </c>
    </row>
    <row r="482">
      <c r="A482" t="inlineStr">
        <is>
          <t>IDEXX</t>
        </is>
      </c>
      <c r="B482" t="inlineStr">
        <is>
          <t>Comprehensive Allergy Panel (Canine/Feline)</t>
        </is>
      </c>
      <c r="D482" t="inlineStr">
        <is>
          <t>G_COMP</t>
        </is>
      </c>
      <c r="E482" t="inlineStr">
        <is>
          <t>2025-01</t>
        </is>
      </c>
      <c r="F482" t="n">
        <v>1612.4</v>
      </c>
      <c r="G482" t="n">
        <v>1902.63</v>
      </c>
      <c r="H482">
        <f>הגדרות!B4</f>
        <v/>
      </c>
      <c r="I482">
        <f>F482*(1-H482/100)*1.18</f>
        <v/>
      </c>
      <c r="J482">
        <f>הגדרות!C4</f>
        <v/>
      </c>
      <c r="K482">
        <f>הגדרות!D4</f>
        <v/>
      </c>
      <c r="L482">
        <f>I482*(1+J482/100)+K482</f>
        <v/>
      </c>
    </row>
    <row r="483">
      <c r="A483" t="inlineStr">
        <is>
          <t>IDEXX</t>
        </is>
      </c>
      <c r="B483" t="inlineStr">
        <is>
          <t>Comprehensive Allergy Panel (Canine)</t>
        </is>
      </c>
      <c r="D483" t="inlineStr">
        <is>
          <t>G_COMPC</t>
        </is>
      </c>
      <c r="E483" t="inlineStr">
        <is>
          <t>2025-01</t>
        </is>
      </c>
      <c r="F483" t="n">
        <v>1809.6</v>
      </c>
      <c r="G483" t="n">
        <v>2135.33</v>
      </c>
      <c r="H483">
        <f>הגדרות!B4</f>
        <v/>
      </c>
      <c r="I483">
        <f>F483*(1-H483/100)*1.18</f>
        <v/>
      </c>
      <c r="J483">
        <f>הגדרות!C4</f>
        <v/>
      </c>
      <c r="K483">
        <f>הגדרות!D4</f>
        <v/>
      </c>
      <c r="L483">
        <f>I483*(1+J483/100)+K483</f>
        <v/>
      </c>
    </row>
    <row r="484">
      <c r="A484" t="inlineStr">
        <is>
          <t>IDEXX</t>
        </is>
      </c>
      <c r="B484" t="inlineStr">
        <is>
          <t>Comprehensive Allergy Panel Plus (Canine)</t>
        </is>
      </c>
      <c r="D484" t="inlineStr">
        <is>
          <t>G_COMPIC</t>
        </is>
      </c>
      <c r="E484" t="inlineStr">
        <is>
          <t>2025-01</t>
        </is>
      </c>
      <c r="F484" t="n">
        <v>1969.1</v>
      </c>
      <c r="G484" t="n">
        <v>2323.54</v>
      </c>
      <c r="H484">
        <f>הגדרות!B4</f>
        <v/>
      </c>
      <c r="I484">
        <f>F484*(1-H484/100)*1.18</f>
        <v/>
      </c>
      <c r="J484">
        <f>הגדרות!C4</f>
        <v/>
      </c>
      <c r="K484">
        <f>הגדרות!D4</f>
        <v/>
      </c>
      <c r="L484">
        <f>I484*(1+J484/100)+K484</f>
        <v/>
      </c>
    </row>
    <row r="485">
      <c r="A485" t="inlineStr">
        <is>
          <t>IDEXX</t>
        </is>
      </c>
      <c r="B485" t="inlineStr">
        <is>
          <t>Comprehensive Allergy Panel Plus (Feline)</t>
        </is>
      </c>
      <c r="D485" t="inlineStr">
        <is>
          <t>G_COMPIF</t>
        </is>
      </c>
      <c r="E485" t="inlineStr">
        <is>
          <t>2025-01</t>
        </is>
      </c>
      <c r="F485" t="n">
        <v>1969.1</v>
      </c>
      <c r="G485" t="n">
        <v>2323.54</v>
      </c>
      <c r="H485">
        <f>הגדרות!B4</f>
        <v/>
      </c>
      <c r="I485">
        <f>F485*(1-H485/100)*1.18</f>
        <v/>
      </c>
      <c r="J485">
        <f>הגדרות!C4</f>
        <v/>
      </c>
      <c r="K485">
        <f>הגדרות!D4</f>
        <v/>
      </c>
      <c r="L485">
        <f>I485*(1+J485/100)+K485</f>
        <v/>
      </c>
    </row>
    <row r="486">
      <c r="A486" t="inlineStr">
        <is>
          <t>IDEXX</t>
        </is>
      </c>
      <c r="B486" t="inlineStr">
        <is>
          <t>Epidermal Allergy Panel (Canine)</t>
        </is>
      </c>
      <c r="D486" t="inlineStr">
        <is>
          <t>G_EPIC</t>
        </is>
      </c>
      <c r="E486" t="inlineStr">
        <is>
          <t>2025-01</t>
        </is>
      </c>
      <c r="F486" t="n">
        <v>397.3</v>
      </c>
      <c r="G486" t="n">
        <v>468.81</v>
      </c>
      <c r="H486">
        <f>הגדרות!B4</f>
        <v/>
      </c>
      <c r="I486">
        <f>F486*(1-H486/100)*1.18</f>
        <v/>
      </c>
      <c r="J486">
        <f>הגדרות!C4</f>
        <v/>
      </c>
      <c r="K486">
        <f>הגדרות!D4</f>
        <v/>
      </c>
      <c r="L486">
        <f>I486*(1+J486/100)+K486</f>
        <v/>
      </c>
    </row>
    <row r="487">
      <c r="A487" t="inlineStr">
        <is>
          <t>IDEXX</t>
        </is>
      </c>
      <c r="B487" t="inlineStr">
        <is>
          <t>Epidermal Allergy Panel (Feline)</t>
        </is>
      </c>
      <c r="D487" t="inlineStr">
        <is>
          <t>G_EPIF</t>
        </is>
      </c>
      <c r="E487" t="inlineStr">
        <is>
          <t>2025-01</t>
        </is>
      </c>
      <c r="F487" t="n">
        <v>397.3</v>
      </c>
      <c r="G487" t="n">
        <v>468.81</v>
      </c>
      <c r="H487">
        <f>הגדרות!B4</f>
        <v/>
      </c>
      <c r="I487">
        <f>F487*(1-H487/100)*1.18</f>
        <v/>
      </c>
      <c r="J487">
        <f>הגדרות!C4</f>
        <v/>
      </c>
      <c r="K487">
        <f>הגדרות!D4</f>
        <v/>
      </c>
      <c r="L487">
        <f>I487*(1+J487/100)+K487</f>
        <v/>
      </c>
    </row>
    <row r="488">
      <c r="A488" t="inlineStr">
        <is>
          <t>IDEXX</t>
        </is>
      </c>
      <c r="B488" t="inlineStr">
        <is>
          <t>Indoor &amp; Epidermal Allergy Panel (Canine)</t>
        </is>
      </c>
      <c r="D488" t="inlineStr">
        <is>
          <t>G_INDC</t>
        </is>
      </c>
      <c r="E488" t="inlineStr">
        <is>
          <t>2025-01</t>
        </is>
      </c>
      <c r="F488" t="n">
        <v>922.2</v>
      </c>
      <c r="G488" t="n">
        <v>1088.2</v>
      </c>
      <c r="H488">
        <f>הגדרות!B4</f>
        <v/>
      </c>
      <c r="I488">
        <f>F488*(1-H488/100)*1.18</f>
        <v/>
      </c>
      <c r="J488">
        <f>הגדרות!C4</f>
        <v/>
      </c>
      <c r="K488">
        <f>הגדרות!D4</f>
        <v/>
      </c>
      <c r="L488">
        <f>I488*(1+J488/100)+K488</f>
        <v/>
      </c>
    </row>
    <row r="489">
      <c r="A489" t="inlineStr">
        <is>
          <t>IDEXX</t>
        </is>
      </c>
      <c r="B489" t="inlineStr">
        <is>
          <t>Indoor &amp; Epidermal Allergy Panel (Feline)</t>
        </is>
      </c>
      <c r="D489" t="inlineStr">
        <is>
          <t>G_INDF</t>
        </is>
      </c>
      <c r="E489" t="inlineStr">
        <is>
          <t>2025-01</t>
        </is>
      </c>
      <c r="F489" t="n">
        <v>922.2</v>
      </c>
      <c r="G489" t="n">
        <v>1088.2</v>
      </c>
      <c r="H489">
        <f>הגדרות!B4</f>
        <v/>
      </c>
      <c r="I489">
        <f>F489*(1-H489/100)*1.18</f>
        <v/>
      </c>
      <c r="J489">
        <f>הגדרות!C4</f>
        <v/>
      </c>
      <c r="K489">
        <f>הגדרות!D4</f>
        <v/>
      </c>
      <c r="L489">
        <f>I489*(1+J489/100)+K489</f>
        <v/>
      </c>
    </row>
    <row r="490">
      <c r="A490" t="inlineStr">
        <is>
          <t>IDEXX</t>
        </is>
      </c>
      <c r="B490" t="inlineStr">
        <is>
          <t>Malassezia IgE (Canine / Feline)</t>
        </is>
      </c>
      <c r="D490" t="inlineStr">
        <is>
          <t>G_MAL</t>
        </is>
      </c>
      <c r="E490" t="inlineStr">
        <is>
          <t>2025-01</t>
        </is>
      </c>
      <c r="F490" t="n">
        <v>237.8</v>
      </c>
      <c r="G490" t="n">
        <v>280.6</v>
      </c>
      <c r="H490">
        <f>הגדרות!B4</f>
        <v/>
      </c>
      <c r="I490">
        <f>F490*(1-H490/100)*1.18</f>
        <v/>
      </c>
      <c r="J490">
        <f>הגדרות!C4</f>
        <v/>
      </c>
      <c r="K490">
        <f>הגדרות!D4</f>
        <v/>
      </c>
      <c r="L490">
        <f>I490*(1+J490/100)+K490</f>
        <v/>
      </c>
    </row>
    <row r="491">
      <c r="A491" t="inlineStr">
        <is>
          <t>IDEXX</t>
        </is>
      </c>
      <c r="B491" t="inlineStr">
        <is>
          <t>Grass, Weeds &amp; Trees Allergy Panel (Canine/Feline)</t>
        </is>
      </c>
      <c r="D491" t="inlineStr">
        <is>
          <t>G_OUT</t>
        </is>
      </c>
      <c r="E491" t="inlineStr">
        <is>
          <t>2025-01</t>
        </is>
      </c>
      <c r="F491" t="n">
        <v>1136.8</v>
      </c>
      <c r="G491" t="n">
        <v>1341.42</v>
      </c>
      <c r="H491">
        <f>הגדרות!B4</f>
        <v/>
      </c>
      <c r="I491">
        <f>F491*(1-H491/100)*1.18</f>
        <v/>
      </c>
      <c r="J491">
        <f>הגדרות!C4</f>
        <v/>
      </c>
      <c r="K491">
        <f>הגדרות!D4</f>
        <v/>
      </c>
      <c r="L491">
        <f>I491*(1+J491/100)+K491</f>
        <v/>
      </c>
    </row>
    <row r="492">
      <c r="A492" t="inlineStr">
        <is>
          <t>IDEXX</t>
        </is>
      </c>
      <c r="B492" t="inlineStr">
        <is>
          <t>Collie Eye Anomaly PCR (Canine)</t>
        </is>
      </c>
      <c r="D492" t="inlineStr">
        <is>
          <t>GD08</t>
        </is>
      </c>
      <c r="E492" t="inlineStr">
        <is>
          <t>2025-01</t>
        </is>
      </c>
      <c r="F492" t="n">
        <v>336.4</v>
      </c>
      <c r="G492" t="n">
        <v>396.95</v>
      </c>
      <c r="H492">
        <f>הגדרות!B4</f>
        <v/>
      </c>
      <c r="I492">
        <f>F492*(1-H492/100)*1.18</f>
        <v/>
      </c>
      <c r="J492">
        <f>הגדרות!C4</f>
        <v/>
      </c>
      <c r="K492">
        <f>הגדרות!D4</f>
        <v/>
      </c>
      <c r="L492">
        <f>I492*(1+J492/100)+K492</f>
        <v/>
      </c>
    </row>
    <row r="493">
      <c r="A493" t="inlineStr">
        <is>
          <t>IDEXX</t>
        </is>
      </c>
      <c r="B493" t="inlineStr">
        <is>
          <t>Copper Storage Disease (Canine)</t>
        </is>
      </c>
      <c r="D493" t="inlineStr">
        <is>
          <t>GD09</t>
        </is>
      </c>
      <c r="E493" t="inlineStr">
        <is>
          <t>2025-01</t>
        </is>
      </c>
      <c r="F493" t="n">
        <v>371.2</v>
      </c>
      <c r="G493" t="n">
        <v>438.02</v>
      </c>
      <c r="H493">
        <f>הגדרות!B4</f>
        <v/>
      </c>
      <c r="I493">
        <f>F493*(1-H493/100)*1.18</f>
        <v/>
      </c>
      <c r="J493">
        <f>הגדרות!C4</f>
        <v/>
      </c>
      <c r="K493">
        <f>הגדרות!D4</f>
        <v/>
      </c>
      <c r="L493">
        <f>I493*(1+J493/100)+K493</f>
        <v/>
      </c>
    </row>
    <row r="494">
      <c r="A494" t="inlineStr">
        <is>
          <t>IDEXX</t>
        </is>
      </c>
      <c r="B494" t="inlineStr">
        <is>
          <t>Hypertrophic Cardiomyopathy (HCM) PCR (Feline)</t>
        </is>
      </c>
      <c r="D494" t="inlineStr">
        <is>
          <t>GD16</t>
        </is>
      </c>
      <c r="E494" t="inlineStr">
        <is>
          <t>2025-01</t>
        </is>
      </c>
      <c r="F494" t="n">
        <v>371.2</v>
      </c>
      <c r="G494" t="n">
        <v>438.02</v>
      </c>
      <c r="H494">
        <f>הגדרות!B4</f>
        <v/>
      </c>
      <c r="I494">
        <f>F494*(1-H494/100)*1.18</f>
        <v/>
      </c>
      <c r="J494">
        <f>הגדרות!C4</f>
        <v/>
      </c>
      <c r="K494">
        <f>הגדרות!D4</f>
        <v/>
      </c>
      <c r="L494">
        <f>I494*(1+J494/100)+K494</f>
        <v/>
      </c>
    </row>
    <row r="495">
      <c r="A495" t="inlineStr">
        <is>
          <t>IDEXX</t>
        </is>
      </c>
      <c r="B495" t="inlineStr">
        <is>
          <t>HCM (Mutation A74T) (Feline)</t>
        </is>
      </c>
      <c r="D495" t="inlineStr">
        <is>
          <t>GD16A</t>
        </is>
      </c>
      <c r="E495" t="inlineStr">
        <is>
          <t>2025-01</t>
        </is>
      </c>
      <c r="F495" t="n">
        <v>1139.7</v>
      </c>
      <c r="G495" t="n">
        <v>1344.85</v>
      </c>
      <c r="H495">
        <f>הגדרות!B4</f>
        <v/>
      </c>
      <c r="I495">
        <f>F495*(1-H495/100)*1.18</f>
        <v/>
      </c>
      <c r="J495">
        <f>הגדרות!C4</f>
        <v/>
      </c>
      <c r="K495">
        <f>הגדרות!D4</f>
        <v/>
      </c>
      <c r="L495">
        <f>I495*(1+J495/100)+K495</f>
        <v/>
      </c>
    </row>
    <row r="496">
      <c r="A496" t="inlineStr">
        <is>
          <t>IDEXX</t>
        </is>
      </c>
      <c r="B496" t="inlineStr">
        <is>
          <t>Polycystic Kidney Disease (PKD) PCR (Feline)</t>
        </is>
      </c>
      <c r="D496" t="inlineStr">
        <is>
          <t>GD26</t>
        </is>
      </c>
      <c r="E496" t="inlineStr">
        <is>
          <t>2025-01</t>
        </is>
      </c>
      <c r="F496" t="n">
        <v>490.1</v>
      </c>
      <c r="G496" t="n">
        <v>578.3200000000001</v>
      </c>
      <c r="H496">
        <f>הגדרות!B4</f>
        <v/>
      </c>
      <c r="I496">
        <f>F496*(1-H496/100)*1.18</f>
        <v/>
      </c>
      <c r="J496">
        <f>הגדרות!C4</f>
        <v/>
      </c>
      <c r="K496">
        <f>הגדרות!D4</f>
        <v/>
      </c>
      <c r="L496">
        <f>I496*(1+J496/100)+K496</f>
        <v/>
      </c>
    </row>
    <row r="497">
      <c r="A497" t="inlineStr">
        <is>
          <t>IDEXX</t>
        </is>
      </c>
      <c r="B497" t="inlineStr">
        <is>
          <t>prcd-PRA (Atrophy of the retina) PCR (Canine)</t>
        </is>
      </c>
      <c r="D497" t="inlineStr">
        <is>
          <t>GD27</t>
        </is>
      </c>
      <c r="E497" t="inlineStr">
        <is>
          <t>2025-01</t>
        </is>
      </c>
      <c r="F497" t="n">
        <v>336.4</v>
      </c>
      <c r="G497" t="n">
        <v>396.95</v>
      </c>
      <c r="H497">
        <f>הגדרות!B4</f>
        <v/>
      </c>
      <c r="I497">
        <f>F497*(1-H497/100)*1.18</f>
        <v/>
      </c>
      <c r="J497">
        <f>הגדרות!C4</f>
        <v/>
      </c>
      <c r="K497">
        <f>הגדרות!D4</f>
        <v/>
      </c>
      <c r="L497">
        <f>I497*(1+J497/100)+K497</f>
        <v/>
      </c>
    </row>
    <row r="498">
      <c r="A498" t="inlineStr">
        <is>
          <t>IDEXX</t>
        </is>
      </c>
      <c r="B498" t="inlineStr">
        <is>
          <t>cord-1PRA PCR (Canine)</t>
        </is>
      </c>
      <c r="D498" t="inlineStr">
        <is>
          <t>GD28</t>
        </is>
      </c>
      <c r="E498" t="inlineStr">
        <is>
          <t>2025-01</t>
        </is>
      </c>
      <c r="F498" t="n">
        <v>336.4</v>
      </c>
      <c r="G498" t="n">
        <v>396.95</v>
      </c>
      <c r="H498">
        <f>הגדרות!B4</f>
        <v/>
      </c>
      <c r="I498">
        <f>F498*(1-H498/100)*1.18</f>
        <v/>
      </c>
      <c r="J498">
        <f>הגדרות!C4</f>
        <v/>
      </c>
      <c r="K498">
        <f>הגדרות!D4</f>
        <v/>
      </c>
      <c r="L498">
        <f>I498*(1+J498/100)+K498</f>
        <v/>
      </c>
    </row>
    <row r="499">
      <c r="A499" t="inlineStr">
        <is>
          <t>IDEXX</t>
        </is>
      </c>
      <c r="B499" t="inlineStr">
        <is>
          <t>Exercise Induced Collapse (EIC) (Canine)</t>
        </is>
      </c>
      <c r="D499" t="inlineStr">
        <is>
          <t>GD36</t>
        </is>
      </c>
      <c r="E499" t="inlineStr">
        <is>
          <t>2025-01</t>
        </is>
      </c>
      <c r="F499" t="n">
        <v>1223.8</v>
      </c>
      <c r="G499" t="n">
        <v>1444.08</v>
      </c>
      <c r="H499">
        <f>הגדרות!B4</f>
        <v/>
      </c>
      <c r="I499">
        <f>F499*(1-H499/100)*1.18</f>
        <v/>
      </c>
      <c r="J499">
        <f>הגדרות!C4</f>
        <v/>
      </c>
      <c r="K499">
        <f>הגדרות!D4</f>
        <v/>
      </c>
      <c r="L499">
        <f>I499*(1+J499/100)+K499</f>
        <v/>
      </c>
    </row>
    <row r="500">
      <c r="A500" t="inlineStr">
        <is>
          <t>IDEXX</t>
        </is>
      </c>
      <c r="B500" t="inlineStr">
        <is>
          <t>Familial Nephropathy PCR (Canine)</t>
        </is>
      </c>
      <c r="D500" t="inlineStr">
        <is>
          <t>GD38</t>
        </is>
      </c>
      <c r="E500" t="inlineStr">
        <is>
          <t>2025-01</t>
        </is>
      </c>
      <c r="F500" t="n">
        <v>382.8</v>
      </c>
      <c r="G500" t="n">
        <v>451.7</v>
      </c>
      <c r="H500">
        <f>הגדרות!B4</f>
        <v/>
      </c>
      <c r="I500">
        <f>F500*(1-H500/100)*1.18</f>
        <v/>
      </c>
      <c r="J500">
        <f>הגדרות!C4</f>
        <v/>
      </c>
      <c r="K500">
        <f>הגדרות!D4</f>
        <v/>
      </c>
      <c r="L500">
        <f>I500*(1+J500/100)+K500</f>
        <v/>
      </c>
    </row>
    <row r="501">
      <c r="A501" t="inlineStr">
        <is>
          <t>IDEXX</t>
        </is>
      </c>
      <c r="B501" t="inlineStr">
        <is>
          <t>Degenerative Myelopathy/Degenerative Radiculomyel</t>
        </is>
      </c>
      <c r="D501" t="inlineStr">
        <is>
          <t>oGpDat3h9y PCR</t>
        </is>
      </c>
      <c r="E501" t="inlineStr">
        <is>
          <t>2025-01</t>
        </is>
      </c>
      <c r="F501" t="n">
        <v>896.1</v>
      </c>
      <c r="G501" t="n">
        <v>1057.4</v>
      </c>
      <c r="H501">
        <f>הגדרות!B4</f>
        <v/>
      </c>
      <c r="I501">
        <f>F501*(1-H501/100)*1.18</f>
        <v/>
      </c>
      <c r="J501">
        <f>הגדרות!C4</f>
        <v/>
      </c>
      <c r="K501">
        <f>הגדרות!D4</f>
        <v/>
      </c>
      <c r="L501">
        <f>I501*(1+J501/100)+K501</f>
        <v/>
      </c>
    </row>
    <row r="502">
      <c r="A502" t="inlineStr">
        <is>
          <t>IDEXX</t>
        </is>
      </c>
      <c r="B502" t="inlineStr">
        <is>
          <t>Progressive Retinal Atrophy (PRA) (rdAc-PRA) PCR (F</t>
        </is>
      </c>
      <c r="D502" t="inlineStr">
        <is>
          <t>eGlDin5e8)</t>
        </is>
      </c>
      <c r="E502" t="inlineStr">
        <is>
          <t>2025-01</t>
        </is>
      </c>
      <c r="F502" t="n">
        <v>336.4</v>
      </c>
      <c r="G502" t="n">
        <v>396.95</v>
      </c>
      <c r="H502">
        <f>הגדרות!B4</f>
        <v/>
      </c>
      <c r="I502">
        <f>F502*(1-H502/100)*1.18</f>
        <v/>
      </c>
      <c r="J502">
        <f>הגדרות!C4</f>
        <v/>
      </c>
      <c r="K502">
        <f>הגדרות!D4</f>
        <v/>
      </c>
      <c r="L502">
        <f>I502*(1+J502/100)+K502</f>
        <v/>
      </c>
    </row>
    <row r="503">
      <c r="A503" t="inlineStr">
        <is>
          <t>IDEXX</t>
        </is>
      </c>
      <c r="B503" t="inlineStr">
        <is>
          <t>Haemophilia A (Canine)</t>
        </is>
      </c>
      <c r="D503" t="inlineStr">
        <is>
          <t>GDHA</t>
        </is>
      </c>
      <c r="E503" t="inlineStr">
        <is>
          <t>2025-01</t>
        </is>
      </c>
      <c r="F503" t="n">
        <v>1423.9</v>
      </c>
      <c r="G503" t="n">
        <v>1680.2</v>
      </c>
      <c r="H503">
        <f>הגדרות!B4</f>
        <v/>
      </c>
      <c r="I503">
        <f>F503*(1-H503/100)*1.18</f>
        <v/>
      </c>
      <c r="J503">
        <f>הגדרות!C4</f>
        <v/>
      </c>
      <c r="K503">
        <f>הגדרות!D4</f>
        <v/>
      </c>
      <c r="L503">
        <f>I503*(1+J503/100)+K503</f>
        <v/>
      </c>
    </row>
    <row r="504">
      <c r="A504" t="inlineStr">
        <is>
          <t>IDEXX</t>
        </is>
      </c>
      <c r="B504" t="inlineStr">
        <is>
          <t>Haemophilia B (Canine)</t>
        </is>
      </c>
      <c r="D504" t="inlineStr">
        <is>
          <t>GDHB</t>
        </is>
      </c>
      <c r="E504" t="inlineStr">
        <is>
          <t>2025-01</t>
        </is>
      </c>
      <c r="F504" t="n">
        <v>1423.9</v>
      </c>
      <c r="G504" t="n">
        <v>1680.2</v>
      </c>
      <c r="H504">
        <f>הגדרות!B4</f>
        <v/>
      </c>
      <c r="I504">
        <f>F504*(1-H504/100)*1.18</f>
        <v/>
      </c>
      <c r="J504">
        <f>הגדרות!C4</f>
        <v/>
      </c>
      <c r="K504">
        <f>הגדרות!D4</f>
        <v/>
      </c>
      <c r="L504">
        <f>I504*(1+J504/100)+K504</f>
        <v/>
      </c>
    </row>
    <row r="505">
      <c r="A505" t="inlineStr">
        <is>
          <t>IDEXX</t>
        </is>
      </c>
      <c r="B505" t="inlineStr">
        <is>
          <t>Polyuria/Polydipsia Profile (Interpreted)</t>
        </is>
      </c>
      <c r="D505" t="inlineStr">
        <is>
          <t>GER1I</t>
        </is>
      </c>
      <c r="E505" t="inlineStr">
        <is>
          <t>2025-01</t>
        </is>
      </c>
      <c r="F505" t="n">
        <v>606.1</v>
      </c>
      <c r="G505" t="n">
        <v>715.2</v>
      </c>
      <c r="H505">
        <f>הגדרות!B4</f>
        <v/>
      </c>
      <c r="I505">
        <f>F505*(1-H505/100)*1.18</f>
        <v/>
      </c>
      <c r="J505">
        <f>הגדרות!C4</f>
        <v/>
      </c>
      <c r="K505">
        <f>הגדרות!D4</f>
        <v/>
      </c>
      <c r="L505">
        <f>I505*(1+J505/100)+K505</f>
        <v/>
      </c>
    </row>
    <row r="506">
      <c r="A506" t="inlineStr">
        <is>
          <t>IDEXX</t>
        </is>
      </c>
      <c r="B506" t="inlineStr">
        <is>
          <t>Polyuria/Polydipsia Screen (Non-Interpreted)</t>
        </is>
      </c>
      <c r="D506" t="inlineStr">
        <is>
          <t>GER1N</t>
        </is>
      </c>
      <c r="E506" t="inlineStr">
        <is>
          <t>2025-01</t>
        </is>
      </c>
      <c r="F506" t="n">
        <v>533.6</v>
      </c>
      <c r="G506" t="n">
        <v>629.65</v>
      </c>
      <c r="H506">
        <f>הגדרות!B4</f>
        <v/>
      </c>
      <c r="I506">
        <f>F506*(1-H506/100)*1.18</f>
        <v/>
      </c>
      <c r="J506">
        <f>הגדרות!C4</f>
        <v/>
      </c>
      <c r="K506">
        <f>הגדרות!D4</f>
        <v/>
      </c>
      <c r="L506">
        <f>I506*(1+J506/100)+K506</f>
        <v/>
      </c>
    </row>
    <row r="507">
      <c r="A507" t="inlineStr">
        <is>
          <t>IDEXX</t>
        </is>
      </c>
      <c r="B507" t="inlineStr">
        <is>
          <t>Geriatric Profile (Interpreted)</t>
        </is>
      </c>
      <c r="D507" t="inlineStr">
        <is>
          <t>GERTI</t>
        </is>
      </c>
      <c r="E507" t="inlineStr">
        <is>
          <t>2025-01</t>
        </is>
      </c>
      <c r="F507" t="n">
        <v>562.6</v>
      </c>
      <c r="G507" t="n">
        <v>663.87</v>
      </c>
      <c r="H507">
        <f>הגדרות!B4</f>
        <v/>
      </c>
      <c r="I507">
        <f>F507*(1-H507/100)*1.18</f>
        <v/>
      </c>
      <c r="J507">
        <f>הגדרות!C4</f>
        <v/>
      </c>
      <c r="K507">
        <f>הגדרות!D4</f>
        <v/>
      </c>
      <c r="L507">
        <f>I507*(1+J507/100)+K507</f>
        <v/>
      </c>
    </row>
    <row r="508">
      <c r="A508" t="inlineStr">
        <is>
          <t>IDEXX</t>
        </is>
      </c>
      <c r="B508" t="inlineStr">
        <is>
          <t>Geriatric Screen (Non-Interpreted)</t>
        </is>
      </c>
      <c r="D508" t="inlineStr">
        <is>
          <t>GERTN</t>
        </is>
      </c>
      <c r="E508" t="inlineStr">
        <is>
          <t>2025-01</t>
        </is>
      </c>
      <c r="F508" t="n">
        <v>495.9</v>
      </c>
      <c r="G508" t="n">
        <v>585.16</v>
      </c>
      <c r="H508">
        <f>הגדרות!B4</f>
        <v/>
      </c>
      <c r="I508">
        <f>F508*(1-H508/100)*1.18</f>
        <v/>
      </c>
      <c r="J508">
        <f>הגדרות!C4</f>
        <v/>
      </c>
      <c r="K508">
        <f>הגדרות!D4</f>
        <v/>
      </c>
      <c r="L508">
        <f>I508*(1+J508/100)+K508</f>
        <v/>
      </c>
    </row>
    <row r="509">
      <c r="A509" t="inlineStr">
        <is>
          <t>IDEXX</t>
        </is>
      </c>
      <c r="B509" t="inlineStr">
        <is>
          <t>Giardia Antigen</t>
        </is>
      </c>
      <c r="D509" t="inlineStr">
        <is>
          <t>GIAR</t>
        </is>
      </c>
      <c r="E509" t="inlineStr">
        <is>
          <t>2025-01</t>
        </is>
      </c>
      <c r="F509" t="n">
        <v>162.4</v>
      </c>
      <c r="G509" t="n">
        <v>191.63</v>
      </c>
      <c r="H509">
        <f>הגדרות!B4</f>
        <v/>
      </c>
      <c r="I509">
        <f>F509*(1-H509/100)*1.18</f>
        <v/>
      </c>
      <c r="J509">
        <f>הגדרות!C4</f>
        <v/>
      </c>
      <c r="K509">
        <f>הגדרות!D4</f>
        <v/>
      </c>
      <c r="L509">
        <f>I509*(1+J509/100)+K509</f>
        <v/>
      </c>
    </row>
    <row r="510">
      <c r="A510" t="inlineStr">
        <is>
          <t>IDEXX</t>
        </is>
      </c>
      <c r="B510" t="inlineStr">
        <is>
          <t>Herpesvirus 1 (EHV-1) (DNA) PCR</t>
        </is>
      </c>
      <c r="D510" t="inlineStr">
        <is>
          <t>H1PC</t>
        </is>
      </c>
      <c r="E510" t="inlineStr">
        <is>
          <t>2025-01</t>
        </is>
      </c>
      <c r="F510" t="n">
        <v>368.3</v>
      </c>
      <c r="G510" t="n">
        <v>434.59</v>
      </c>
      <c r="H510">
        <f>הגדרות!B4</f>
        <v/>
      </c>
      <c r="I510">
        <f>F510*(1-H510/100)*1.18</f>
        <v/>
      </c>
      <c r="J510">
        <f>הגדרות!C4</f>
        <v/>
      </c>
      <c r="K510">
        <f>הגדרות!D4</f>
        <v/>
      </c>
      <c r="L510">
        <f>I510*(1+J510/100)+K510</f>
        <v/>
      </c>
    </row>
    <row r="511">
      <c r="A511" t="inlineStr">
        <is>
          <t>IDEXX</t>
        </is>
      </c>
      <c r="B511" t="inlineStr">
        <is>
          <t>Histology - 1 Site</t>
        </is>
      </c>
      <c r="D511" t="inlineStr">
        <is>
          <t>HIST1</t>
        </is>
      </c>
      <c r="E511" t="inlineStr">
        <is>
          <t>2025-01</t>
        </is>
      </c>
      <c r="F511" t="n">
        <v>609</v>
      </c>
      <c r="G511" t="n">
        <v>718.62</v>
      </c>
      <c r="H511">
        <f>הגדרות!B4</f>
        <v/>
      </c>
      <c r="I511">
        <f>F511*(1-H511/100)*1.18</f>
        <v/>
      </c>
      <c r="J511">
        <f>הגדרות!C4</f>
        <v/>
      </c>
      <c r="K511">
        <f>הגדרות!D4</f>
        <v/>
      </c>
      <c r="L511">
        <f>I511*(1+J511/100)+K511</f>
        <v/>
      </c>
    </row>
    <row r="512">
      <c r="A512" t="inlineStr">
        <is>
          <t>IDEXX</t>
        </is>
      </c>
      <c r="B512" t="inlineStr">
        <is>
          <t>Histology - 2 Sites</t>
        </is>
      </c>
      <c r="D512" t="inlineStr">
        <is>
          <t>HIST2</t>
        </is>
      </c>
      <c r="E512" t="inlineStr">
        <is>
          <t>2025-01</t>
        </is>
      </c>
      <c r="F512" t="n">
        <v>652.5</v>
      </c>
      <c r="G512" t="n">
        <v>769.95</v>
      </c>
      <c r="H512">
        <f>הגדרות!B4</f>
        <v/>
      </c>
      <c r="I512">
        <f>F512*(1-H512/100)*1.18</f>
        <v/>
      </c>
      <c r="J512">
        <f>הגדרות!C4</f>
        <v/>
      </c>
      <c r="K512">
        <f>הגדרות!D4</f>
        <v/>
      </c>
      <c r="L512">
        <f>I512*(1+J512/100)+K512</f>
        <v/>
      </c>
    </row>
    <row r="513">
      <c r="A513" t="inlineStr">
        <is>
          <t>IDEXX</t>
        </is>
      </c>
      <c r="B513" t="inlineStr">
        <is>
          <t>Histology - 3 Sites</t>
        </is>
      </c>
      <c r="D513" t="inlineStr">
        <is>
          <t>HIST3</t>
        </is>
      </c>
      <c r="E513" t="inlineStr">
        <is>
          <t>2025-01</t>
        </is>
      </c>
      <c r="F513" t="n">
        <v>754</v>
      </c>
      <c r="G513" t="n">
        <v>889.72</v>
      </c>
      <c r="H513">
        <f>הגדרות!B4</f>
        <v/>
      </c>
      <c r="I513">
        <f>F513*(1-H513/100)*1.18</f>
        <v/>
      </c>
      <c r="J513">
        <f>הגדרות!C4</f>
        <v/>
      </c>
      <c r="K513">
        <f>הגדרות!D4</f>
        <v/>
      </c>
      <c r="L513">
        <f>I513*(1+J513/100)+K513</f>
        <v/>
      </c>
    </row>
    <row r="514">
      <c r="A514" t="inlineStr">
        <is>
          <t>IDEXX</t>
        </is>
      </c>
      <c r="B514" t="inlineStr">
        <is>
          <t>Histology - 4 Sites</t>
        </is>
      </c>
      <c r="D514" t="inlineStr">
        <is>
          <t>HIST4</t>
        </is>
      </c>
      <c r="E514" t="inlineStr">
        <is>
          <t>2025-01</t>
        </is>
      </c>
      <c r="F514" t="n">
        <v>855.5</v>
      </c>
      <c r="G514" t="n">
        <v>1009.49</v>
      </c>
      <c r="H514">
        <f>הגדרות!B4</f>
        <v/>
      </c>
      <c r="I514">
        <f>F514*(1-H514/100)*1.18</f>
        <v/>
      </c>
      <c r="J514">
        <f>הגדרות!C4</f>
        <v/>
      </c>
      <c r="K514">
        <f>הגדרות!D4</f>
        <v/>
      </c>
      <c r="L514">
        <f>I514*(1+J514/100)+K514</f>
        <v/>
      </c>
    </row>
    <row r="515">
      <c r="A515" t="inlineStr">
        <is>
          <t>IDEXX</t>
        </is>
      </c>
      <c r="B515" t="inlineStr">
        <is>
          <t>Histology – Feline Proliferative Gum Lesion Panel</t>
        </is>
      </c>
      <c r="D515" t="inlineStr">
        <is>
          <t>HISTFPE</t>
        </is>
      </c>
      <c r="E515" t="inlineStr">
        <is>
          <t>2025-01</t>
        </is>
      </c>
      <c r="F515" t="n">
        <v>1009.2</v>
      </c>
      <c r="G515" t="n">
        <v>1190.86</v>
      </c>
      <c r="H515">
        <f>הגדרות!B4</f>
        <v/>
      </c>
      <c r="I515">
        <f>F515*(1-H515/100)*1.18</f>
        <v/>
      </c>
      <c r="J515">
        <f>הגדרות!C4</f>
        <v/>
      </c>
      <c r="K515">
        <f>הגדרות!D4</f>
        <v/>
      </c>
      <c r="L515">
        <f>I515*(1+J515/100)+K515</f>
        <v/>
      </c>
    </row>
    <row r="516">
      <c r="A516" t="inlineStr">
        <is>
          <t>IDEXX</t>
        </is>
      </c>
      <c r="B516" t="inlineStr">
        <is>
          <t>Histology - GI tract Profile</t>
        </is>
      </c>
      <c r="D516" t="inlineStr">
        <is>
          <t>HISTGI</t>
        </is>
      </c>
      <c r="E516" t="inlineStr">
        <is>
          <t>2025-01</t>
        </is>
      </c>
      <c r="F516" t="n">
        <v>910.6</v>
      </c>
      <c r="G516" t="n">
        <v>1074.51</v>
      </c>
      <c r="H516">
        <f>הגדרות!B4</f>
        <v/>
      </c>
      <c r="I516">
        <f>F516*(1-H516/100)*1.18</f>
        <v/>
      </c>
      <c r="J516">
        <f>הגדרות!C4</f>
        <v/>
      </c>
      <c r="K516">
        <f>הגדרות!D4</f>
        <v/>
      </c>
      <c r="L516">
        <f>I516*(1+J516/100)+K516</f>
        <v/>
      </c>
    </row>
    <row r="517">
      <c r="A517" t="inlineStr">
        <is>
          <t>IDEXX</t>
        </is>
      </c>
      <c r="B517" t="inlineStr">
        <is>
          <t>Histology - Large/Whole/Bone Specimens</t>
        </is>
      </c>
      <c r="D517" t="inlineStr">
        <is>
          <t>HISTLARGE</t>
        </is>
      </c>
      <c r="E517" t="inlineStr">
        <is>
          <t>2025-01</t>
        </is>
      </c>
      <c r="F517" t="n">
        <v>910.6</v>
      </c>
      <c r="G517" t="n">
        <v>1074.51</v>
      </c>
      <c r="H517">
        <f>הגדרות!B4</f>
        <v/>
      </c>
      <c r="I517">
        <f>F517*(1-H517/100)*1.18</f>
        <v/>
      </c>
      <c r="J517">
        <f>הגדרות!C4</f>
        <v/>
      </c>
      <c r="K517">
        <f>הגדרות!D4</f>
        <v/>
      </c>
      <c r="L517">
        <f>I517*(1+J517/100)+K517</f>
        <v/>
      </c>
    </row>
    <row r="518">
      <c r="A518" t="inlineStr">
        <is>
          <t>IDEXX</t>
        </is>
      </c>
      <c r="B518" t="inlineStr">
        <is>
          <t>Histology - Liver Profile</t>
        </is>
      </c>
      <c r="D518" t="inlineStr">
        <is>
          <t>HISTLIV</t>
        </is>
      </c>
      <c r="E518" t="inlineStr">
        <is>
          <t>2025-01</t>
        </is>
      </c>
      <c r="F518" t="n">
        <v>910.6</v>
      </c>
      <c r="G518" t="n">
        <v>1074.51</v>
      </c>
      <c r="H518">
        <f>הגדרות!B4</f>
        <v/>
      </c>
      <c r="I518">
        <f>F518*(1-H518/100)*1.18</f>
        <v/>
      </c>
      <c r="J518">
        <f>הגדרות!C4</f>
        <v/>
      </c>
      <c r="K518">
        <f>הגדרות!D4</f>
        <v/>
      </c>
      <c r="L518">
        <f>I518*(1+J518/100)+K518</f>
        <v/>
      </c>
    </row>
    <row r="519">
      <c r="A519" t="inlineStr">
        <is>
          <t>IDEXX</t>
        </is>
      </c>
      <c r="B519" t="inlineStr">
        <is>
          <t>Histology Eye Examination (Small Animal)</t>
        </is>
      </c>
      <c r="D519" t="inlineStr">
        <is>
          <t>HISTOC</t>
        </is>
      </c>
      <c r="E519" t="inlineStr">
        <is>
          <t>2025-01</t>
        </is>
      </c>
      <c r="F519" t="n">
        <v>1067.2</v>
      </c>
      <c r="G519" t="n">
        <v>1259.3</v>
      </c>
      <c r="H519">
        <f>הגדרות!B4</f>
        <v/>
      </c>
      <c r="I519">
        <f>F519*(1-H519/100)*1.18</f>
        <v/>
      </c>
      <c r="J519">
        <f>הגדרות!C4</f>
        <v/>
      </c>
      <c r="K519">
        <f>הגדרות!D4</f>
        <v/>
      </c>
      <c r="L519">
        <f>I519*(1+J519/100)+K519</f>
        <v/>
      </c>
    </row>
    <row r="520">
      <c r="A520" t="inlineStr">
        <is>
          <t>IDEXX</t>
        </is>
      </c>
      <c r="B520" t="inlineStr">
        <is>
          <t>Histology Eye Examination (Large Animal)</t>
        </is>
      </c>
      <c r="D520" t="inlineStr">
        <is>
          <t>HISTOCL</t>
        </is>
      </c>
      <c r="E520" t="inlineStr">
        <is>
          <t>2025-01</t>
        </is>
      </c>
      <c r="F520" t="n">
        <v>1218</v>
      </c>
      <c r="G520" t="n">
        <v>1437.24</v>
      </c>
      <c r="H520">
        <f>הגדרות!B4</f>
        <v/>
      </c>
      <c r="I520">
        <f>F520*(1-H520/100)*1.18</f>
        <v/>
      </c>
      <c r="J520">
        <f>הגדרות!C4</f>
        <v/>
      </c>
      <c r="K520">
        <f>הגדרות!D4</f>
        <v/>
      </c>
      <c r="L520">
        <f>I520*(1+J520/100)+K520</f>
        <v/>
      </c>
    </row>
    <row r="521">
      <c r="A521" t="inlineStr">
        <is>
          <t>IDEXX</t>
        </is>
      </c>
      <c r="B521" t="inlineStr">
        <is>
          <t>Histology - Post Mortem Case</t>
        </is>
      </c>
      <c r="D521" t="inlineStr">
        <is>
          <t>HISTPM</t>
        </is>
      </c>
      <c r="E521" t="inlineStr">
        <is>
          <t>2025-01</t>
        </is>
      </c>
      <c r="F521" t="n">
        <v>754</v>
      </c>
      <c r="G521" t="n">
        <v>889.72</v>
      </c>
      <c r="H521">
        <f>הגדרות!B4</f>
        <v/>
      </c>
      <c r="I521">
        <f>F521*(1-H521/100)*1.18</f>
        <v/>
      </c>
      <c r="J521">
        <f>הגדרות!C4</f>
        <v/>
      </c>
      <c r="K521">
        <f>הגדרות!D4</f>
        <v/>
      </c>
      <c r="L521">
        <f>I521*(1+J521/100)+K521</f>
        <v/>
      </c>
    </row>
    <row r="522">
      <c r="A522" t="inlineStr">
        <is>
          <t>IDEXX</t>
        </is>
      </c>
      <c r="B522" t="inlineStr">
        <is>
          <t>Histology - Post Mortem Case</t>
        </is>
      </c>
      <c r="D522" t="inlineStr">
        <is>
          <t>HISTPM2</t>
        </is>
      </c>
      <c r="E522" t="inlineStr">
        <is>
          <t>2025-01</t>
        </is>
      </c>
      <c r="F522" t="n">
        <v>1363</v>
      </c>
      <c r="G522" t="n">
        <v>1608.34</v>
      </c>
      <c r="H522">
        <f>הגדרות!B4</f>
        <v/>
      </c>
      <c r="I522">
        <f>F522*(1-H522/100)*1.18</f>
        <v/>
      </c>
      <c r="J522">
        <f>הגדרות!C4</f>
        <v/>
      </c>
      <c r="K522">
        <f>הגדרות!D4</f>
        <v/>
      </c>
      <c r="L522">
        <f>I522*(1+J522/100)+K522</f>
        <v/>
      </c>
    </row>
    <row r="523">
      <c r="A523" t="inlineStr">
        <is>
          <t>IDEXX</t>
        </is>
      </c>
      <c r="B523" t="inlineStr">
        <is>
          <t>Histology – Skin Profile</t>
        </is>
      </c>
      <c r="D523" t="inlineStr">
        <is>
          <t>HISTSK</t>
        </is>
      </c>
      <c r="E523" t="inlineStr">
        <is>
          <t>2025-01</t>
        </is>
      </c>
      <c r="F523" t="n">
        <v>762.7</v>
      </c>
      <c r="G523" t="n">
        <v>899.99</v>
      </c>
      <c r="H523">
        <f>הגדרות!B4</f>
        <v/>
      </c>
      <c r="I523">
        <f>F523*(1-H523/100)*1.18</f>
        <v/>
      </c>
      <c r="J523">
        <f>הגדרות!C4</f>
        <v/>
      </c>
      <c r="K523">
        <f>הגדרות!D4</f>
        <v/>
      </c>
      <c r="L523">
        <f>I523*(1+J523/100)+K523</f>
        <v/>
      </c>
    </row>
    <row r="524">
      <c r="A524" t="inlineStr">
        <is>
          <t>IDEXX</t>
        </is>
      </c>
      <c r="B524" t="inlineStr">
        <is>
          <t>Haemotropic Mycoplasma (DNA) RealPCR™ (Canine)</t>
        </is>
      </c>
      <c r="D524" t="inlineStr">
        <is>
          <t>HMPC</t>
        </is>
      </c>
      <c r="E524" t="inlineStr">
        <is>
          <t>2025-01</t>
        </is>
      </c>
      <c r="F524" t="n">
        <v>368.3</v>
      </c>
      <c r="G524" t="n">
        <v>434.59</v>
      </c>
      <c r="H524">
        <f>הגדרות!B4</f>
        <v/>
      </c>
      <c r="I524">
        <f>F524*(1-H524/100)*1.18</f>
        <v/>
      </c>
      <c r="J524">
        <f>הגדרות!C4</f>
        <v/>
      </c>
      <c r="K524">
        <f>הגדרות!D4</f>
        <v/>
      </c>
      <c r="L524">
        <f>I524*(1+J524/100)+K524</f>
        <v/>
      </c>
    </row>
    <row r="525">
      <c r="A525" t="inlineStr">
        <is>
          <t>IDEXX</t>
        </is>
      </c>
      <c r="B525" t="inlineStr">
        <is>
          <t>Canine Herpesvirus CHV-1 (DNA) RealPCR™</t>
        </is>
      </c>
      <c r="D525" t="inlineStr">
        <is>
          <t>HVPC</t>
        </is>
      </c>
      <c r="E525" t="inlineStr">
        <is>
          <t>2025-01</t>
        </is>
      </c>
      <c r="F525" t="n">
        <v>368.3</v>
      </c>
      <c r="G525" t="n">
        <v>434.59</v>
      </c>
      <c r="H525">
        <f>הגדרות!B4</f>
        <v/>
      </c>
      <c r="I525">
        <f>F525*(1-H525/100)*1.18</f>
        <v/>
      </c>
      <c r="J525">
        <f>הגדרות!C4</f>
        <v/>
      </c>
      <c r="K525">
        <f>הגדרות!D4</f>
        <v/>
      </c>
      <c r="L525">
        <f>I525*(1+J525/100)+K525</f>
        <v/>
      </c>
    </row>
    <row r="526">
      <c r="A526" t="inlineStr">
        <is>
          <t>IDEXX</t>
        </is>
      </c>
      <c r="B526" t="inlineStr">
        <is>
          <t>Heartworm Antigen (Canine)</t>
        </is>
      </c>
      <c r="D526" t="inlineStr">
        <is>
          <t>HW</t>
        </is>
      </c>
      <c r="E526" t="inlineStr">
        <is>
          <t>2025-01</t>
        </is>
      </c>
      <c r="F526" t="n">
        <v>229.1</v>
      </c>
      <c r="G526" t="n">
        <v>270.34</v>
      </c>
      <c r="H526">
        <f>הגדרות!B4</f>
        <v/>
      </c>
      <c r="I526">
        <f>F526*(1-H526/100)*1.18</f>
        <v/>
      </c>
      <c r="J526">
        <f>הגדרות!C4</f>
        <v/>
      </c>
      <c r="K526">
        <f>הגדרות!D4</f>
        <v/>
      </c>
      <c r="L526">
        <f>I526*(1+J526/100)+K526</f>
        <v/>
      </c>
    </row>
    <row r="527">
      <c r="A527" t="inlineStr">
        <is>
          <t>IDEXX</t>
        </is>
      </c>
      <c r="B527" t="inlineStr">
        <is>
          <t>Heartworm (Dirofilaria spp) (DNA) RealPCR™</t>
        </is>
      </c>
      <c r="D527" t="inlineStr">
        <is>
          <t>HWPC</t>
        </is>
      </c>
      <c r="E527" t="inlineStr">
        <is>
          <t>2025-01</t>
        </is>
      </c>
      <c r="F527" t="n">
        <v>368.3</v>
      </c>
      <c r="G527" t="n">
        <v>434.59</v>
      </c>
      <c r="H527">
        <f>הגדרות!B4</f>
        <v/>
      </c>
      <c r="I527">
        <f>F527*(1-H527/100)*1.18</f>
        <v/>
      </c>
      <c r="J527">
        <f>הגדרות!C4</f>
        <v/>
      </c>
      <c r="K527">
        <f>הגדרות!D4</f>
        <v/>
      </c>
      <c r="L527">
        <f>I527*(1+J527/100)+K527</f>
        <v/>
      </c>
    </row>
    <row r="528">
      <c r="A528" t="inlineStr">
        <is>
          <t>IDEXX</t>
        </is>
      </c>
      <c r="B528" t="inlineStr">
        <is>
          <t>Immunocytochemistry - 2 markers</t>
        </is>
      </c>
      <c r="D528" t="inlineStr">
        <is>
          <t>ICC2</t>
        </is>
      </c>
      <c r="E528" t="inlineStr">
        <is>
          <t>2025-01</t>
        </is>
      </c>
      <c r="F528" t="n">
        <v>977.3</v>
      </c>
      <c r="G528" t="n">
        <v>1153.21</v>
      </c>
      <c r="H528">
        <f>הגדרות!B4</f>
        <v/>
      </c>
      <c r="I528">
        <f>F528*(1-H528/100)*1.18</f>
        <v/>
      </c>
      <c r="J528">
        <f>הגדרות!C4</f>
        <v/>
      </c>
      <c r="K528">
        <f>הגדרות!D4</f>
        <v/>
      </c>
      <c r="L528">
        <f>I528*(1+J528/100)+K528</f>
        <v/>
      </c>
    </row>
    <row r="529">
      <c r="A529" t="inlineStr">
        <is>
          <t>IDEXX</t>
        </is>
      </c>
      <c r="B529" t="inlineStr">
        <is>
          <t>Insulin-like Growth factor (IGF1)</t>
        </is>
      </c>
      <c r="D529" t="inlineStr">
        <is>
          <t>IGF1</t>
        </is>
      </c>
      <c r="E529" t="inlineStr">
        <is>
          <t>2025-01</t>
        </is>
      </c>
      <c r="F529" t="n">
        <v>1081.7</v>
      </c>
      <c r="G529" t="n">
        <v>1276.41</v>
      </c>
      <c r="H529">
        <f>הגדרות!B4</f>
        <v/>
      </c>
      <c r="I529">
        <f>F529*(1-H529/100)*1.18</f>
        <v/>
      </c>
      <c r="J529">
        <f>הגדרות!C4</f>
        <v/>
      </c>
      <c r="K529">
        <f>הגדרות!D4</f>
        <v/>
      </c>
      <c r="L529">
        <f>I529*(1+J529/100)+K529</f>
        <v/>
      </c>
    </row>
    <row r="530">
      <c r="A530" t="inlineStr">
        <is>
          <t>IDEXX</t>
        </is>
      </c>
      <c r="B530" t="inlineStr">
        <is>
          <t>Immunohistochemistry - 1 Panel</t>
        </is>
      </c>
      <c r="D530" t="inlineStr">
        <is>
          <t>IHCR1</t>
        </is>
      </c>
      <c r="E530" t="inlineStr">
        <is>
          <t>2025-01</t>
        </is>
      </c>
      <c r="F530" t="n">
        <v>530.7</v>
      </c>
      <c r="G530" t="n">
        <v>626.23</v>
      </c>
      <c r="H530">
        <f>הגדרות!B4</f>
        <v/>
      </c>
      <c r="I530">
        <f>F530*(1-H530/100)*1.18</f>
        <v/>
      </c>
      <c r="J530">
        <f>הגדרות!C4</f>
        <v/>
      </c>
      <c r="K530">
        <f>הגדרות!D4</f>
        <v/>
      </c>
      <c r="L530">
        <f>I530*(1+J530/100)+K530</f>
        <v/>
      </c>
    </row>
    <row r="531">
      <c r="A531" t="inlineStr">
        <is>
          <t>IDEXX</t>
        </is>
      </c>
      <c r="B531" t="inlineStr">
        <is>
          <t>Immunohistochemistry - 2 Panels</t>
        </is>
      </c>
      <c r="D531" t="inlineStr">
        <is>
          <t>IHCR2</t>
        </is>
      </c>
      <c r="E531" t="inlineStr">
        <is>
          <t>2025-01</t>
        </is>
      </c>
      <c r="F531" t="n">
        <v>788.8</v>
      </c>
      <c r="G531" t="n">
        <v>930.78</v>
      </c>
      <c r="H531">
        <f>הגדרות!B4</f>
        <v/>
      </c>
      <c r="I531">
        <f>F531*(1-H531/100)*1.18</f>
        <v/>
      </c>
      <c r="J531">
        <f>הגדרות!C4</f>
        <v/>
      </c>
      <c r="K531">
        <f>הגדרות!D4</f>
        <v/>
      </c>
      <c r="L531">
        <f>I531*(1+J531/100)+K531</f>
        <v/>
      </c>
    </row>
    <row r="532">
      <c r="A532" t="inlineStr">
        <is>
          <t>IDEXX</t>
        </is>
      </c>
      <c r="B532" t="inlineStr">
        <is>
          <t>Immunohistochemistry - 3 Panels</t>
        </is>
      </c>
      <c r="D532" t="inlineStr">
        <is>
          <t>IHCR3</t>
        </is>
      </c>
      <c r="E532" t="inlineStr">
        <is>
          <t>2025-01</t>
        </is>
      </c>
      <c r="F532" t="n">
        <v>1046.9</v>
      </c>
      <c r="G532" t="n">
        <v>1235.34</v>
      </c>
      <c r="H532">
        <f>הגדרות!B4</f>
        <v/>
      </c>
      <c r="I532">
        <f>F532*(1-H532/100)*1.18</f>
        <v/>
      </c>
      <c r="J532">
        <f>הגדרות!C4</f>
        <v/>
      </c>
      <c r="K532">
        <f>הגדרות!D4</f>
        <v/>
      </c>
      <c r="L532">
        <f>I532*(1+J532/100)+K532</f>
        <v/>
      </c>
    </row>
    <row r="533">
      <c r="A533" t="inlineStr">
        <is>
          <t>IDEXX</t>
        </is>
      </c>
      <c r="B533" t="inlineStr">
        <is>
          <t>Immunohistochemistry - 4 Panels</t>
        </is>
      </c>
      <c r="D533" t="inlineStr">
        <is>
          <t>IHCR4</t>
        </is>
      </c>
      <c r="E533" t="inlineStr">
        <is>
          <t>2025-01</t>
        </is>
      </c>
      <c r="F533" t="n">
        <v>1305</v>
      </c>
      <c r="G533" t="n">
        <v>1539.9</v>
      </c>
      <c r="H533">
        <f>הגדרות!B4</f>
        <v/>
      </c>
      <c r="I533">
        <f>F533*(1-H533/100)*1.18</f>
        <v/>
      </c>
      <c r="J533">
        <f>הגדרות!C4</f>
        <v/>
      </c>
      <c r="K533">
        <f>הגדרות!D4</f>
        <v/>
      </c>
      <c r="L533">
        <f>I533*(1+J533/100)+K533</f>
        <v/>
      </c>
    </row>
    <row r="534">
      <c r="A534" t="inlineStr">
        <is>
          <t>IDEXX</t>
        </is>
      </c>
      <c r="B534" t="inlineStr">
        <is>
          <t>Immunohistochemistry - 5 Panels</t>
        </is>
      </c>
      <c r="D534" t="inlineStr">
        <is>
          <t>IHCR5</t>
        </is>
      </c>
      <c r="E534" t="inlineStr">
        <is>
          <t>2025-01</t>
        </is>
      </c>
      <c r="F534" t="n">
        <v>1563.1</v>
      </c>
      <c r="G534" t="n">
        <v>1844.46</v>
      </c>
      <c r="H534">
        <f>הגדרות!B4</f>
        <v/>
      </c>
      <c r="I534">
        <f>F534*(1-H534/100)*1.18</f>
        <v/>
      </c>
      <c r="J534">
        <f>הגדרות!C4</f>
        <v/>
      </c>
      <c r="K534">
        <f>הגדרות!D4</f>
        <v/>
      </c>
      <c r="L534">
        <f>I534*(1+J534/100)+K534</f>
        <v/>
      </c>
    </row>
    <row r="535">
      <c r="A535" t="inlineStr">
        <is>
          <t>IDEXX</t>
        </is>
      </c>
      <c r="B535" t="inlineStr">
        <is>
          <t>Insulin (Canine)</t>
        </is>
      </c>
      <c r="D535" t="inlineStr">
        <is>
          <t>IN</t>
        </is>
      </c>
      <c r="E535" t="inlineStr">
        <is>
          <t>2025-01</t>
        </is>
      </c>
      <c r="F535" t="n">
        <v>330.6</v>
      </c>
      <c r="G535" t="n">
        <v>390.11</v>
      </c>
      <c r="H535">
        <f>הגדרות!B4</f>
        <v/>
      </c>
      <c r="I535">
        <f>F535*(1-H535/100)*1.18</f>
        <v/>
      </c>
      <c r="J535">
        <f>הגדרות!C4</f>
        <v/>
      </c>
      <c r="K535">
        <f>הגדרות!D4</f>
        <v/>
      </c>
      <c r="L535">
        <f>I535*(1+J535/100)+K535</f>
        <v/>
      </c>
    </row>
    <row r="536">
      <c r="A536" t="inlineStr">
        <is>
          <t>IDEXX</t>
        </is>
      </c>
      <c r="B536" t="inlineStr">
        <is>
          <t>Insulin (Equine)</t>
        </is>
      </c>
      <c r="D536" t="inlineStr">
        <is>
          <t>INEQ</t>
        </is>
      </c>
      <c r="E536" t="inlineStr">
        <is>
          <t>2025-01</t>
        </is>
      </c>
      <c r="F536" t="n">
        <v>368.3</v>
      </c>
      <c r="G536" t="n">
        <v>434.59</v>
      </c>
      <c r="H536">
        <f>הגדרות!B4</f>
        <v/>
      </c>
      <c r="I536">
        <f>F536*(1-H536/100)*1.18</f>
        <v/>
      </c>
      <c r="J536">
        <f>הגדרות!C4</f>
        <v/>
      </c>
      <c r="K536">
        <f>הגדרות!D4</f>
        <v/>
      </c>
      <c r="L536">
        <f>I536*(1+J536/100)+K536</f>
        <v/>
      </c>
    </row>
    <row r="537">
      <c r="A537" t="inlineStr">
        <is>
          <t>IDEXX</t>
        </is>
      </c>
      <c r="B537" t="inlineStr">
        <is>
          <t>Intermediate Screen with Urine</t>
        </is>
      </c>
      <c r="D537" t="inlineStr">
        <is>
          <t>INTUN</t>
        </is>
      </c>
      <c r="E537" t="inlineStr">
        <is>
          <t>2025-01</t>
        </is>
      </c>
      <c r="F537" t="n">
        <v>379.9</v>
      </c>
      <c r="G537" t="n">
        <v>448.28</v>
      </c>
      <c r="H537">
        <f>הגדרות!B4</f>
        <v/>
      </c>
      <c r="I537">
        <f>F537*(1-H537/100)*1.18</f>
        <v/>
      </c>
      <c r="J537">
        <f>הגדרות!C4</f>
        <v/>
      </c>
      <c r="K537">
        <f>הגדרות!D4</f>
        <v/>
      </c>
      <c r="L537">
        <f>I537*(1+J537/100)+K537</f>
        <v/>
      </c>
    </row>
    <row r="538">
      <c r="A538" t="inlineStr">
        <is>
          <t>IDEXX</t>
        </is>
      </c>
      <c r="B538" t="inlineStr">
        <is>
          <t>Ionised Calcium (Canine only)</t>
        </is>
      </c>
      <c r="D538" t="inlineStr">
        <is>
          <t>IONCA</t>
        </is>
      </c>
      <c r="E538" t="inlineStr">
        <is>
          <t>2025-01</t>
        </is>
      </c>
      <c r="F538" t="n">
        <v>142.1</v>
      </c>
      <c r="G538" t="n">
        <v>167.68</v>
      </c>
      <c r="H538">
        <f>הגדרות!B4</f>
        <v/>
      </c>
      <c r="I538">
        <f>F538*(1-H538/100)*1.18</f>
        <v/>
      </c>
      <c r="J538">
        <f>הגדרות!C4</f>
        <v/>
      </c>
      <c r="K538">
        <f>הגדרות!D4</f>
        <v/>
      </c>
      <c r="L538">
        <f>I538*(1+J538/100)+K538</f>
        <v/>
      </c>
    </row>
    <row r="539">
      <c r="A539" t="inlineStr">
        <is>
          <t>IDEXX</t>
        </is>
      </c>
      <c r="B539" t="inlineStr">
        <is>
          <t>Potassium Bromide</t>
        </is>
      </c>
      <c r="D539" t="inlineStr">
        <is>
          <t>KBR</t>
        </is>
      </c>
      <c r="E539" t="inlineStr">
        <is>
          <t>2025-01</t>
        </is>
      </c>
      <c r="F539" t="n">
        <v>313.2</v>
      </c>
      <c r="G539" t="n">
        <v>369.58</v>
      </c>
      <c r="H539">
        <f>הגדרות!B4</f>
        <v/>
      </c>
      <c r="I539">
        <f>F539*(1-H539/100)*1.18</f>
        <v/>
      </c>
      <c r="J539">
        <f>הגדרות!C4</f>
        <v/>
      </c>
      <c r="K539">
        <f>הגדרות!D4</f>
        <v/>
      </c>
      <c r="L539">
        <f>I539*(1+J539/100)+K539</f>
        <v/>
      </c>
    </row>
    <row r="540">
      <c r="A540" t="inlineStr">
        <is>
          <t>IDEXX</t>
        </is>
      </c>
      <c r="B540" t="inlineStr">
        <is>
          <t>KI67 For Mast Cell Tumour</t>
        </is>
      </c>
      <c r="D540" t="inlineStr">
        <is>
          <t>KI67</t>
        </is>
      </c>
      <c r="E540" t="inlineStr">
        <is>
          <t>2025-01</t>
        </is>
      </c>
      <c r="F540" t="n">
        <v>1180.3</v>
      </c>
      <c r="G540" t="n">
        <v>1392.75</v>
      </c>
      <c r="H540">
        <f>הגדרות!B4</f>
        <v/>
      </c>
      <c r="I540">
        <f>F540*(1-H540/100)*1.18</f>
        <v/>
      </c>
      <c r="J540">
        <f>הגדרות!C4</f>
        <v/>
      </c>
      <c r="K540">
        <f>הגדרות!D4</f>
        <v/>
      </c>
      <c r="L540">
        <f>I540*(1+J540/100)+K540</f>
        <v/>
      </c>
    </row>
    <row r="541">
      <c r="A541" t="inlineStr">
        <is>
          <t>IDEXX</t>
        </is>
      </c>
      <c r="B541" t="inlineStr">
        <is>
          <t>KI67 For 2 Mast Cell Tumours</t>
        </is>
      </c>
      <c r="D541" t="inlineStr">
        <is>
          <t>KI672</t>
        </is>
      </c>
      <c r="E541" t="inlineStr">
        <is>
          <t>2025-01</t>
        </is>
      </c>
      <c r="F541" t="n">
        <v>2027.1</v>
      </c>
      <c r="G541" t="n">
        <v>2391.98</v>
      </c>
      <c r="H541">
        <f>הגדרות!B4</f>
        <v/>
      </c>
      <c r="I541">
        <f>F541*(1-H541/100)*1.18</f>
        <v/>
      </c>
      <c r="J541">
        <f>הגדרות!C4</f>
        <v/>
      </c>
      <c r="K541">
        <f>הגדרות!D4</f>
        <v/>
      </c>
      <c r="L541">
        <f>I541*(1+J541/100)+K541</f>
        <v/>
      </c>
    </row>
    <row r="542">
      <c r="A542" t="inlineStr">
        <is>
          <t>IDEXX</t>
        </is>
      </c>
      <c r="B542" t="inlineStr">
        <is>
          <t>Kidney Disease Monitoring Profile (Interpreted)</t>
        </is>
      </c>
      <c r="D542" t="inlineStr">
        <is>
          <t>KPI</t>
        </is>
      </c>
      <c r="E542" t="inlineStr">
        <is>
          <t>2025-01</t>
        </is>
      </c>
      <c r="F542" t="n">
        <v>234.9</v>
      </c>
      <c r="G542" t="n">
        <v>277.18</v>
      </c>
      <c r="H542">
        <f>הגדרות!B4</f>
        <v/>
      </c>
      <c r="I542">
        <f>F542*(1-H542/100)*1.18</f>
        <v/>
      </c>
      <c r="J542">
        <f>הגדרות!C4</f>
        <v/>
      </c>
      <c r="K542">
        <f>הגדרות!D4</f>
        <v/>
      </c>
      <c r="L542">
        <f>I542*(1+J542/100)+K542</f>
        <v/>
      </c>
    </row>
    <row r="543">
      <c r="A543" t="inlineStr">
        <is>
          <t>IDEXX</t>
        </is>
      </c>
      <c r="B543" t="inlineStr">
        <is>
          <t>Kidney Disease Monitoring Screen (Non-Interpreted)</t>
        </is>
      </c>
      <c r="D543" t="inlineStr">
        <is>
          <t>KPN</t>
        </is>
      </c>
      <c r="E543" t="inlineStr">
        <is>
          <t>2025-01</t>
        </is>
      </c>
      <c r="F543" t="n">
        <v>165.3</v>
      </c>
      <c r="G543" t="n">
        <v>195.05</v>
      </c>
      <c r="H543">
        <f>הגדרות!B4</f>
        <v/>
      </c>
      <c r="I543">
        <f>F543*(1-H543/100)*1.18</f>
        <v/>
      </c>
      <c r="J543">
        <f>הגדרות!C4</f>
        <v/>
      </c>
      <c r="K543">
        <f>הגדרות!D4</f>
        <v/>
      </c>
      <c r="L543">
        <f>I543*(1+J543/100)+K543</f>
        <v/>
      </c>
    </row>
    <row r="544">
      <c r="A544" t="inlineStr">
        <is>
          <t>IDEXX</t>
        </is>
      </c>
      <c r="B544" t="inlineStr">
        <is>
          <t>Lawsonia intracellularis RealPCR™</t>
        </is>
      </c>
      <c r="D544" t="inlineStr">
        <is>
          <t>LAWIP</t>
        </is>
      </c>
      <c r="E544" t="inlineStr">
        <is>
          <t>2025-01</t>
        </is>
      </c>
      <c r="F544" t="n">
        <v>368.3</v>
      </c>
      <c r="G544" t="n">
        <v>434.59</v>
      </c>
      <c r="H544">
        <f>הגדרות!B4</f>
        <v/>
      </c>
      <c r="I544">
        <f>F544*(1-H544/100)*1.18</f>
        <v/>
      </c>
      <c r="J544">
        <f>הגדרות!C4</f>
        <v/>
      </c>
      <c r="K544">
        <f>הגדרות!D4</f>
        <v/>
      </c>
      <c r="L544">
        <f>I544*(1+J544/100)+K544</f>
        <v/>
      </c>
    </row>
    <row r="545">
      <c r="A545" t="inlineStr">
        <is>
          <t>IDEXX</t>
        </is>
      </c>
      <c r="B545" t="inlineStr">
        <is>
          <t>Leishmania Serology (Canine)</t>
        </is>
      </c>
      <c r="D545" t="inlineStr">
        <is>
          <t>LEI</t>
        </is>
      </c>
      <c r="E545" t="inlineStr">
        <is>
          <t>2025-01</t>
        </is>
      </c>
      <c r="F545" t="n">
        <v>342.2</v>
      </c>
      <c r="G545" t="n">
        <v>403.8</v>
      </c>
      <c r="H545">
        <f>הגדרות!B4</f>
        <v/>
      </c>
      <c r="I545">
        <f>F545*(1-H545/100)*1.18</f>
        <v/>
      </c>
      <c r="J545">
        <f>הגדרות!C4</f>
        <v/>
      </c>
      <c r="K545">
        <f>הגדרות!D4</f>
        <v/>
      </c>
      <c r="L545">
        <f>I545*(1+J545/100)+K545</f>
        <v/>
      </c>
    </row>
    <row r="546">
      <c r="A546" t="inlineStr">
        <is>
          <t>IDEXX</t>
        </is>
      </c>
      <c r="B546" t="inlineStr">
        <is>
          <t>Leishmania Monitoring Profile (Interpreted)</t>
        </is>
      </c>
      <c r="D546" t="inlineStr">
        <is>
          <t>LEIMCI</t>
        </is>
      </c>
      <c r="E546" t="inlineStr">
        <is>
          <t>2025-01</t>
        </is>
      </c>
      <c r="F546" t="n">
        <v>919.3</v>
      </c>
      <c r="G546" t="n">
        <v>1084.77</v>
      </c>
      <c r="H546">
        <f>הגדרות!B4</f>
        <v/>
      </c>
      <c r="I546">
        <f>F546*(1-H546/100)*1.18</f>
        <v/>
      </c>
      <c r="J546">
        <f>הגדרות!C4</f>
        <v/>
      </c>
      <c r="K546">
        <f>הגדרות!D4</f>
        <v/>
      </c>
      <c r="L546">
        <f>I546*(1+J546/100)+K546</f>
        <v/>
      </c>
    </row>
    <row r="547">
      <c r="A547" t="inlineStr">
        <is>
          <t>IDEXX</t>
        </is>
      </c>
      <c r="B547" t="inlineStr">
        <is>
          <t>Leptospira Antibody (Full Screen)</t>
        </is>
      </c>
      <c r="D547" t="inlineStr">
        <is>
          <t>LEPMAR</t>
        </is>
      </c>
      <c r="E547" t="inlineStr">
        <is>
          <t>2025-01</t>
        </is>
      </c>
      <c r="F547" t="n">
        <v>716.3</v>
      </c>
      <c r="G547" t="n">
        <v>845.23</v>
      </c>
      <c r="H547">
        <f>הגדרות!B4</f>
        <v/>
      </c>
      <c r="I547">
        <f>F547*(1-H547/100)*1.18</f>
        <v/>
      </c>
      <c r="J547">
        <f>הגדרות!C4</f>
        <v/>
      </c>
      <c r="K547">
        <f>הגדרות!D4</f>
        <v/>
      </c>
      <c r="L547">
        <f>I547*(1+J547/100)+K547</f>
        <v/>
      </c>
    </row>
    <row r="548">
      <c r="A548" t="inlineStr">
        <is>
          <t>IDEXX</t>
        </is>
      </c>
      <c r="B548" t="inlineStr">
        <is>
          <t>Leptospira (DNA) RealPCR™</t>
        </is>
      </c>
      <c r="D548" t="inlineStr">
        <is>
          <t>LEPP</t>
        </is>
      </c>
      <c r="E548" t="inlineStr">
        <is>
          <t>2025-01</t>
        </is>
      </c>
      <c r="F548" t="n">
        <v>368.3</v>
      </c>
      <c r="G548" t="n">
        <v>434.59</v>
      </c>
      <c r="H548">
        <f>הגדרות!B4</f>
        <v/>
      </c>
      <c r="I548">
        <f>F548*(1-H548/100)*1.18</f>
        <v/>
      </c>
      <c r="J548">
        <f>הגדרות!C4</f>
        <v/>
      </c>
      <c r="K548">
        <f>הגדרות!D4</f>
        <v/>
      </c>
      <c r="L548">
        <f>I548*(1+J548/100)+K548</f>
        <v/>
      </c>
    </row>
    <row r="549">
      <c r="A549" t="inlineStr">
        <is>
          <t>IDEXX</t>
        </is>
      </c>
      <c r="B549" t="inlineStr">
        <is>
          <t>Leptospira (DNA) RealPCR™ (Urine and blood require</t>
        </is>
      </c>
      <c r="D549" t="inlineStr">
        <is>
          <t>dL)EPSPEU</t>
        </is>
      </c>
      <c r="E549" t="inlineStr">
        <is>
          <t>2025-01</t>
        </is>
      </c>
      <c r="F549" t="n">
        <v>368.3</v>
      </c>
      <c r="G549" t="n">
        <v>434.59</v>
      </c>
      <c r="H549">
        <f>הגדרות!B4</f>
        <v/>
      </c>
      <c r="I549">
        <f>F549*(1-H549/100)*1.18</f>
        <v/>
      </c>
      <c r="J549">
        <f>הגדרות!C4</f>
        <v/>
      </c>
      <c r="K549">
        <f>הגדרות!D4</f>
        <v/>
      </c>
      <c r="L549">
        <f>I549*(1+J549/100)+K549</f>
        <v/>
      </c>
    </row>
    <row r="550">
      <c r="A550" t="inlineStr">
        <is>
          <t>IDEXX</t>
        </is>
      </c>
      <c r="B550" t="inlineStr">
        <is>
          <t>Levetiracetam</t>
        </is>
      </c>
      <c r="D550" t="inlineStr">
        <is>
          <t>LEV</t>
        </is>
      </c>
      <c r="E550" t="inlineStr">
        <is>
          <t>2025-01</t>
        </is>
      </c>
      <c r="F550" t="n">
        <v>638</v>
      </c>
      <c r="G550" t="n">
        <v>752.84</v>
      </c>
      <c r="H550">
        <f>הגדרות!B4</f>
        <v/>
      </c>
      <c r="I550">
        <f>F550*(1-H550/100)*1.18</f>
        <v/>
      </c>
      <c r="J550">
        <f>הגדרות!C4</f>
        <v/>
      </c>
      <c r="K550">
        <f>הגדרות!D4</f>
        <v/>
      </c>
      <c r="L550">
        <f>I550*(1+J550/100)+K550</f>
        <v/>
      </c>
    </row>
    <row r="551">
      <c r="A551" t="inlineStr">
        <is>
          <t>IDEXX</t>
        </is>
      </c>
      <c r="B551" t="inlineStr">
        <is>
          <t>Large Animal Liver Profile</t>
        </is>
      </c>
      <c r="D551" t="inlineStr">
        <is>
          <t>LLFT</t>
        </is>
      </c>
      <c r="E551" t="inlineStr">
        <is>
          <t>2025-01</t>
        </is>
      </c>
      <c r="F551" t="n">
        <v>214.6</v>
      </c>
      <c r="G551" t="n">
        <v>253.23</v>
      </c>
      <c r="H551">
        <f>הגדרות!B4</f>
        <v/>
      </c>
      <c r="I551">
        <f>F551*(1-H551/100)*1.18</f>
        <v/>
      </c>
      <c r="J551">
        <f>הגדרות!C4</f>
        <v/>
      </c>
      <c r="K551">
        <f>הגדרות!D4</f>
        <v/>
      </c>
      <c r="L551">
        <f>I551*(1+J551/100)+K551</f>
        <v/>
      </c>
    </row>
    <row r="552">
      <c r="A552" t="inlineStr">
        <is>
          <t>IDEXX</t>
        </is>
      </c>
      <c r="B552" t="inlineStr">
        <is>
          <t>Bovine Liver Screen</t>
        </is>
      </c>
      <c r="D552" t="inlineStr">
        <is>
          <t>LLFTB</t>
        </is>
      </c>
      <c r="E552" t="inlineStr">
        <is>
          <t>2025-01</t>
        </is>
      </c>
      <c r="F552" t="n">
        <v>174</v>
      </c>
      <c r="G552" t="n">
        <v>205.32</v>
      </c>
      <c r="H552">
        <f>הגדרות!B4</f>
        <v/>
      </c>
      <c r="I552">
        <f>F552*(1-H552/100)*1.18</f>
        <v/>
      </c>
      <c r="J552">
        <f>הגדרות!C4</f>
        <v/>
      </c>
      <c r="K552">
        <f>הגדרות!D4</f>
        <v/>
      </c>
      <c r="L552">
        <f>I552*(1+J552/100)+K552</f>
        <v/>
      </c>
    </row>
    <row r="553">
      <c r="A553" t="inlineStr">
        <is>
          <t>IDEXX</t>
        </is>
      </c>
      <c r="B553" t="inlineStr">
        <is>
          <t>Lymph Node Aspirate</t>
        </is>
      </c>
      <c r="D553" t="inlineStr">
        <is>
          <t>LNAS</t>
        </is>
      </c>
      <c r="E553" t="inlineStr">
        <is>
          <t>2025-01</t>
        </is>
      </c>
      <c r="F553" t="n">
        <v>640.9</v>
      </c>
      <c r="G553" t="n">
        <v>756.26</v>
      </c>
      <c r="H553">
        <f>הגדרות!B4</f>
        <v/>
      </c>
      <c r="I553">
        <f>F553*(1-H553/100)*1.18</f>
        <v/>
      </c>
      <c r="J553">
        <f>הגדרות!C4</f>
        <v/>
      </c>
      <c r="K553">
        <f>הגדרות!D4</f>
        <v/>
      </c>
      <c r="L553">
        <f>I553*(1+J553/100)+K553</f>
        <v/>
      </c>
    </row>
    <row r="554">
      <c r="A554" t="inlineStr">
        <is>
          <t>IDEXX</t>
        </is>
      </c>
      <c r="B554" t="inlineStr">
        <is>
          <t>Lymph Node Aspirates and Fine Needle Aspirates - 1</t>
        </is>
      </c>
      <c r="D554" t="inlineStr">
        <is>
          <t>sLitNeCY1</t>
        </is>
      </c>
      <c r="E554" t="inlineStr">
        <is>
          <t>2025-01</t>
        </is>
      </c>
      <c r="F554" t="n">
        <v>1168.7</v>
      </c>
      <c r="G554" t="n">
        <v>1379.07</v>
      </c>
      <c r="H554">
        <f>הגדרות!B4</f>
        <v/>
      </c>
      <c r="I554">
        <f>F554*(1-H554/100)*1.18</f>
        <v/>
      </c>
      <c r="J554">
        <f>הגדרות!C4</f>
        <v/>
      </c>
      <c r="K554">
        <f>הגדרות!D4</f>
        <v/>
      </c>
      <c r="L554">
        <f>I554*(1+J554/100)+K554</f>
        <v/>
      </c>
    </row>
    <row r="555">
      <c r="A555" t="inlineStr">
        <is>
          <t>IDEXX</t>
        </is>
      </c>
      <c r="B555" t="inlineStr">
        <is>
          <t>Lymph Node Aspirates and Fine Needle Aspirates - 2</t>
        </is>
      </c>
      <c r="D555" t="inlineStr">
        <is>
          <t>sLitNeCsY2</t>
        </is>
      </c>
      <c r="E555" t="inlineStr">
        <is>
          <t>2025-01</t>
        </is>
      </c>
      <c r="F555" t="n">
        <v>1255.7</v>
      </c>
      <c r="G555" t="n">
        <v>1481.73</v>
      </c>
      <c r="H555">
        <f>הגדרות!B4</f>
        <v/>
      </c>
      <c r="I555">
        <f>F555*(1-H555/100)*1.18</f>
        <v/>
      </c>
      <c r="J555">
        <f>הגדרות!C4</f>
        <v/>
      </c>
      <c r="K555">
        <f>הגדרות!D4</f>
        <v/>
      </c>
      <c r="L555">
        <f>I555*(1+J555/100)+K555</f>
        <v/>
      </c>
    </row>
    <row r="556">
      <c r="A556" t="inlineStr">
        <is>
          <t>IDEXX</t>
        </is>
      </c>
      <c r="B556" t="inlineStr">
        <is>
          <t>Lymph Node Aspirates and Fine Needle Aspirates - 3</t>
        </is>
      </c>
      <c r="D556" t="inlineStr">
        <is>
          <t>sLitNeCsY3</t>
        </is>
      </c>
      <c r="E556" t="inlineStr">
        <is>
          <t>2025-01</t>
        </is>
      </c>
      <c r="F556" t="n">
        <v>1342.7</v>
      </c>
      <c r="G556" t="n">
        <v>1584.39</v>
      </c>
      <c r="H556">
        <f>הגדרות!B4</f>
        <v/>
      </c>
      <c r="I556">
        <f>F556*(1-H556/100)*1.18</f>
        <v/>
      </c>
      <c r="J556">
        <f>הגדרות!C4</f>
        <v/>
      </c>
      <c r="K556">
        <f>הגדרות!D4</f>
        <v/>
      </c>
      <c r="L556">
        <f>I556*(1+J556/100)+K556</f>
        <v/>
      </c>
    </row>
    <row r="557">
      <c r="A557" t="inlineStr">
        <is>
          <t>IDEXX</t>
        </is>
      </c>
      <c r="B557" t="inlineStr">
        <is>
          <t>Leishmania (DNA) RealPCR™</t>
        </is>
      </c>
      <c r="D557" t="inlineStr">
        <is>
          <t>LPCR</t>
        </is>
      </c>
      <c r="E557" t="inlineStr">
        <is>
          <t>2025-01</t>
        </is>
      </c>
      <c r="F557" t="n">
        <v>368.3</v>
      </c>
      <c r="G557" t="n">
        <v>434.59</v>
      </c>
      <c r="H557">
        <f>הגדרות!B4</f>
        <v/>
      </c>
      <c r="I557">
        <f>F557*(1-H557/100)*1.18</f>
        <v/>
      </c>
      <c r="J557">
        <f>הגדרות!C4</f>
        <v/>
      </c>
      <c r="K557">
        <f>הגדרות!D4</f>
        <v/>
      </c>
      <c r="L557">
        <f>I557*(1+J557/100)+K557</f>
        <v/>
      </c>
    </row>
    <row r="558">
      <c r="A558" t="inlineStr">
        <is>
          <t>IDEXX</t>
        </is>
      </c>
      <c r="B558" t="inlineStr">
        <is>
          <t>Canine Lungworm Panel</t>
        </is>
      </c>
      <c r="D558" t="inlineStr">
        <is>
          <t>LUNGWP</t>
        </is>
      </c>
      <c r="E558" t="inlineStr">
        <is>
          <t>2025-01</t>
        </is>
      </c>
      <c r="F558" t="n">
        <v>368.3</v>
      </c>
      <c r="G558" t="n">
        <v>434.59</v>
      </c>
      <c r="H558">
        <f>הגדרות!B4</f>
        <v/>
      </c>
      <c r="I558">
        <f>F558*(1-H558/100)*1.18</f>
        <v/>
      </c>
      <c r="J558">
        <f>הגדרות!C4</f>
        <v/>
      </c>
      <c r="K558">
        <f>הגדרות!D4</f>
        <v/>
      </c>
      <c r="L558">
        <f>I558*(1+J558/100)+K558</f>
        <v/>
      </c>
    </row>
    <row r="559">
      <c r="A559" t="inlineStr">
        <is>
          <t>IDEXX</t>
        </is>
      </c>
      <c r="B559" t="inlineStr">
        <is>
          <t>Lyme (Borrelia spp.) Antibody Screen</t>
        </is>
      </c>
      <c r="D559" t="inlineStr">
        <is>
          <t>LYM</t>
        </is>
      </c>
      <c r="E559" t="inlineStr">
        <is>
          <t>2025-01</t>
        </is>
      </c>
      <c r="F559" t="n">
        <v>258.1</v>
      </c>
      <c r="G559" t="n">
        <v>304.56</v>
      </c>
      <c r="H559">
        <f>הגדרות!B4</f>
        <v/>
      </c>
      <c r="I559">
        <f>F559*(1-H559/100)*1.18</f>
        <v/>
      </c>
      <c r="J559">
        <f>הגדרות!C4</f>
        <v/>
      </c>
      <c r="K559">
        <f>הגדרות!D4</f>
        <v/>
      </c>
      <c r="L559">
        <f>I559*(1+J559/100)+K559</f>
        <v/>
      </c>
    </row>
    <row r="560">
      <c r="A560" t="inlineStr">
        <is>
          <t>IDEXX</t>
        </is>
      </c>
      <c r="B560" t="inlineStr">
        <is>
          <t>Lyte 4 CLIP</t>
        </is>
      </c>
      <c r="D560" t="inlineStr">
        <is>
          <t>LYTE4</t>
        </is>
      </c>
      <c r="E560" t="inlineStr">
        <is>
          <t>2025-01</t>
        </is>
      </c>
      <c r="F560" t="n">
        <v>52.2</v>
      </c>
      <c r="G560" t="n">
        <v>61.6</v>
      </c>
      <c r="H560">
        <f>הגדרות!B4</f>
        <v/>
      </c>
      <c r="I560">
        <f>F560*(1-H560/100)*1.18</f>
        <v/>
      </c>
      <c r="J560">
        <f>הגדרות!C4</f>
        <v/>
      </c>
      <c r="K560">
        <f>הגדרות!D4</f>
        <v/>
      </c>
      <c r="L560">
        <f>I560*(1+J560/100)+K560</f>
        <v/>
      </c>
    </row>
    <row r="561">
      <c r="A561" t="inlineStr">
        <is>
          <t>IDEXX</t>
        </is>
      </c>
      <c r="B561" t="inlineStr">
        <is>
          <t>Mycoplasma Agassizii</t>
        </is>
      </c>
      <c r="D561" t="inlineStr">
        <is>
          <t>MAGP</t>
        </is>
      </c>
      <c r="E561" t="inlineStr">
        <is>
          <t>2025-01</t>
        </is>
      </c>
      <c r="F561" t="n">
        <v>350.9</v>
      </c>
      <c r="G561" t="n">
        <v>414.06</v>
      </c>
      <c r="H561">
        <f>הגדרות!B4</f>
        <v/>
      </c>
      <c r="I561">
        <f>F561*(1-H561/100)*1.18</f>
        <v/>
      </c>
      <c r="J561">
        <f>הגדרות!C4</f>
        <v/>
      </c>
      <c r="K561">
        <f>הגדרות!D4</f>
        <v/>
      </c>
      <c r="L561">
        <f>I561*(1+J561/100)+K561</f>
        <v/>
      </c>
    </row>
    <row r="562">
      <c r="A562" t="inlineStr">
        <is>
          <t>IDEXX</t>
        </is>
      </c>
      <c r="B562" t="inlineStr">
        <is>
          <t>MDR1 Defect</t>
        </is>
      </c>
      <c r="D562" t="inlineStr">
        <is>
          <t>MDR1</t>
        </is>
      </c>
      <c r="E562" t="inlineStr">
        <is>
          <t>2025-01</t>
        </is>
      </c>
      <c r="F562" t="n">
        <v>490.1</v>
      </c>
      <c r="G562" t="n">
        <v>578.3200000000001</v>
      </c>
      <c r="H562">
        <f>הגדרות!B4</f>
        <v/>
      </c>
      <c r="I562">
        <f>F562*(1-H562/100)*1.18</f>
        <v/>
      </c>
      <c r="J562">
        <f>הגדרות!C4</f>
        <v/>
      </c>
      <c r="K562">
        <f>הגדרות!D4</f>
        <v/>
      </c>
      <c r="L562">
        <f>I562*(1+J562/100)+K562</f>
        <v/>
      </c>
    </row>
    <row r="563">
      <c r="A563" t="inlineStr">
        <is>
          <t>IDEXX</t>
        </is>
      </c>
      <c r="B563" t="inlineStr">
        <is>
          <t>Melanoma Panel - Prognostic</t>
        </is>
      </c>
      <c r="D563" t="inlineStr">
        <is>
          <t>MEL</t>
        </is>
      </c>
      <c r="E563" t="inlineStr">
        <is>
          <t>2025-01</t>
        </is>
      </c>
      <c r="F563" t="n">
        <v>812</v>
      </c>
      <c r="G563" t="n">
        <v>958.16</v>
      </c>
      <c r="H563">
        <f>הגדרות!B4</f>
        <v/>
      </c>
      <c r="I563">
        <f>F563*(1-H563/100)*1.18</f>
        <v/>
      </c>
      <c r="J563">
        <f>הגדרות!C4</f>
        <v/>
      </c>
      <c r="K563">
        <f>הגדרות!D4</f>
        <v/>
      </c>
      <c r="L563">
        <f>I563*(1+J563/100)+K563</f>
        <v/>
      </c>
    </row>
    <row r="564">
      <c r="A564" t="inlineStr">
        <is>
          <t>IDEXX</t>
        </is>
      </c>
      <c r="B564" t="inlineStr">
        <is>
          <t>Skin Parasites / Dermatophyte</t>
        </is>
      </c>
      <c r="D564" t="inlineStr">
        <is>
          <t>MFC</t>
        </is>
      </c>
      <c r="E564" t="inlineStr">
        <is>
          <t>2025-01</t>
        </is>
      </c>
      <c r="F564" t="n">
        <v>307.4</v>
      </c>
      <c r="G564" t="n">
        <v>362.73</v>
      </c>
      <c r="H564">
        <f>הגדרות!B4</f>
        <v/>
      </c>
      <c r="I564">
        <f>F564*(1-H564/100)*1.18</f>
        <v/>
      </c>
      <c r="J564">
        <f>הגדרות!C4</f>
        <v/>
      </c>
      <c r="K564">
        <f>הגדרות!D4</f>
        <v/>
      </c>
      <c r="L564">
        <f>I564*(1+J564/100)+K564</f>
        <v/>
      </c>
    </row>
    <row r="565">
      <c r="A565" t="inlineStr">
        <is>
          <t>IDEXX</t>
        </is>
      </c>
      <c r="B565" t="inlineStr">
        <is>
          <t>Milk Culture</t>
        </is>
      </c>
      <c r="D565" t="inlineStr">
        <is>
          <t>MILK</t>
        </is>
      </c>
      <c r="E565" t="inlineStr">
        <is>
          <t>2025-01</t>
        </is>
      </c>
      <c r="F565" t="n">
        <v>330.6</v>
      </c>
      <c r="G565" t="n">
        <v>390.11</v>
      </c>
      <c r="H565">
        <f>הגדרות!B4</f>
        <v/>
      </c>
      <c r="I565">
        <f>F565*(1-H565/100)*1.18</f>
        <v/>
      </c>
      <c r="J565">
        <f>הגדרות!C4</f>
        <v/>
      </c>
      <c r="K565">
        <f>הגדרות!D4</f>
        <v/>
      </c>
      <c r="L565">
        <f>I565*(1+J565/100)+K565</f>
        <v/>
      </c>
    </row>
    <row r="566">
      <c r="A566" t="inlineStr">
        <is>
          <t>IDEXX</t>
        </is>
      </c>
      <c r="B566" t="inlineStr">
        <is>
          <t>Masticatory Muscle Myositis Antibody</t>
        </is>
      </c>
      <c r="D566" t="inlineStr">
        <is>
          <t>MMM</t>
        </is>
      </c>
      <c r="E566" t="inlineStr">
        <is>
          <t>2025-01</t>
        </is>
      </c>
      <c r="F566" t="n">
        <v>1122.3</v>
      </c>
      <c r="G566" t="n">
        <v>1324.31</v>
      </c>
      <c r="H566">
        <f>הגדרות!B4</f>
        <v/>
      </c>
      <c r="I566">
        <f>F566*(1-H566/100)*1.18</f>
        <v/>
      </c>
      <c r="J566">
        <f>הגדרות!C4</f>
        <v/>
      </c>
      <c r="K566">
        <f>הגדרות!D4</f>
        <v/>
      </c>
      <c r="L566">
        <f>I566*(1+J566/100)+K566</f>
        <v/>
      </c>
    </row>
    <row r="567">
      <c r="A567" t="inlineStr">
        <is>
          <t>IDEXX</t>
        </is>
      </c>
      <c r="B567" t="inlineStr">
        <is>
          <t>Mycoplasma felis (DNA) RealPCR™</t>
        </is>
      </c>
      <c r="D567" t="inlineStr">
        <is>
          <t>MPCC</t>
        </is>
      </c>
      <c r="E567" t="inlineStr">
        <is>
          <t>2025-01</t>
        </is>
      </c>
      <c r="F567" t="n">
        <v>368.3</v>
      </c>
      <c r="G567" t="n">
        <v>434.59</v>
      </c>
      <c r="H567">
        <f>הגדרות!B4</f>
        <v/>
      </c>
      <c r="I567">
        <f>F567*(1-H567/100)*1.18</f>
        <v/>
      </c>
      <c r="J567">
        <f>הגדרות!C4</f>
        <v/>
      </c>
      <c r="K567">
        <f>הגדרות!D4</f>
        <v/>
      </c>
      <c r="L567">
        <f>I567*(1+J567/100)+K567</f>
        <v/>
      </c>
    </row>
    <row r="568">
      <c r="A568" t="inlineStr">
        <is>
          <t>IDEXX</t>
        </is>
      </c>
      <c r="B568" t="inlineStr">
        <is>
          <t>Feline Haemotropic Mycoplasma spp.</t>
        </is>
      </c>
      <c r="D568" t="inlineStr">
        <is>
          <t>MPCR</t>
        </is>
      </c>
      <c r="E568" t="inlineStr">
        <is>
          <t>2025-01</t>
        </is>
      </c>
      <c r="F568" t="n">
        <v>582.9</v>
      </c>
      <c r="G568" t="n">
        <v>687.8200000000001</v>
      </c>
      <c r="H568">
        <f>הגדרות!B4</f>
        <v/>
      </c>
      <c r="I568">
        <f>F568*(1-H568/100)*1.18</f>
        <v/>
      </c>
      <c r="J568">
        <f>הגדרות!C4</f>
        <v/>
      </c>
      <c r="K568">
        <f>הגדרות!D4</f>
        <v/>
      </c>
      <c r="L568">
        <f>I568*(1+J568/100)+K568</f>
        <v/>
      </c>
    </row>
    <row r="569">
      <c r="A569" t="inlineStr">
        <is>
          <t>IDEXX</t>
        </is>
      </c>
      <c r="B569" t="inlineStr">
        <is>
          <t>MRSA Culture (price per swab)</t>
        </is>
      </c>
      <c r="D569" t="inlineStr">
        <is>
          <t>MRS1</t>
        </is>
      </c>
      <c r="E569" t="inlineStr">
        <is>
          <t>2025-01</t>
        </is>
      </c>
      <c r="F569" t="n">
        <v>269.7</v>
      </c>
      <c r="G569" t="n">
        <v>318.25</v>
      </c>
      <c r="H569">
        <f>הגדרות!B4</f>
        <v/>
      </c>
      <c r="I569">
        <f>F569*(1-H569/100)*1.18</f>
        <v/>
      </c>
      <c r="J569">
        <f>הגדרות!C4</f>
        <v/>
      </c>
      <c r="K569">
        <f>הגדרות!D4</f>
        <v/>
      </c>
      <c r="L569">
        <f>I569*(1+J569/100)+K569</f>
        <v/>
      </c>
    </row>
    <row r="570">
      <c r="A570" t="inlineStr">
        <is>
          <t>IDEXX</t>
        </is>
      </c>
      <c r="B570" t="inlineStr">
        <is>
          <t>Comprehensive Exotic Faecal Screen</t>
        </is>
      </c>
      <c r="D570" t="inlineStr">
        <is>
          <t>MSHC</t>
        </is>
      </c>
      <c r="E570" t="inlineStr">
        <is>
          <t>2025-01</t>
        </is>
      </c>
      <c r="F570" t="n">
        <v>524.9</v>
      </c>
      <c r="G570" t="n">
        <v>619.38</v>
      </c>
      <c r="H570">
        <f>הגדרות!B4</f>
        <v/>
      </c>
      <c r="I570">
        <f>F570*(1-H570/100)*1.18</f>
        <v/>
      </c>
      <c r="J570">
        <f>הגדרות!C4</f>
        <v/>
      </c>
      <c r="K570">
        <f>הגדרות!D4</f>
        <v/>
      </c>
      <c r="L570">
        <f>I570*(1+J570/100)+K570</f>
        <v/>
      </c>
    </row>
    <row r="571">
      <c r="A571" t="inlineStr">
        <is>
          <t>IDEXX</t>
        </is>
      </c>
      <c r="B571" t="inlineStr">
        <is>
          <t>Myxomatosis Antibody</t>
        </is>
      </c>
      <c r="D571" t="inlineStr">
        <is>
          <t>MYX</t>
        </is>
      </c>
      <c r="E571" t="inlineStr">
        <is>
          <t>2025-01</t>
        </is>
      </c>
      <c r="F571" t="n">
        <v>957</v>
      </c>
      <c r="G571" t="n">
        <v>1129.26</v>
      </c>
      <c r="H571">
        <f>הגדרות!B4</f>
        <v/>
      </c>
      <c r="I571">
        <f>F571*(1-H571/100)*1.18</f>
        <v/>
      </c>
      <c r="J571">
        <f>הגדרות!C4</f>
        <v/>
      </c>
      <c r="K571">
        <f>הגדרות!D4</f>
        <v/>
      </c>
      <c r="L571">
        <f>I571*(1+J571/100)+K571</f>
        <v/>
      </c>
    </row>
    <row r="572">
      <c r="A572" t="inlineStr">
        <is>
          <t>IDEXX</t>
        </is>
      </c>
      <c r="B572" t="inlineStr">
        <is>
          <t>Basic Nail Screen</t>
        </is>
      </c>
      <c r="D572" t="inlineStr">
        <is>
          <t>NAIL1</t>
        </is>
      </c>
      <c r="E572" t="inlineStr">
        <is>
          <t>2025-01</t>
        </is>
      </c>
      <c r="F572" t="n">
        <v>345.1</v>
      </c>
      <c r="G572" t="n">
        <v>407.22</v>
      </c>
      <c r="H572">
        <f>הגדרות!B4</f>
        <v/>
      </c>
      <c r="I572">
        <f>F572*(1-H572/100)*1.18</f>
        <v/>
      </c>
      <c r="J572">
        <f>הגדרות!C4</f>
        <v/>
      </c>
      <c r="K572">
        <f>הגדרות!D4</f>
        <v/>
      </c>
      <c r="L572">
        <f>I572*(1+J572/100)+K572</f>
        <v/>
      </c>
    </row>
    <row r="573">
      <c r="A573" t="inlineStr">
        <is>
          <t>IDEXX</t>
        </is>
      </c>
      <c r="B573" t="inlineStr">
        <is>
          <t>Comprehensive Nail Screen</t>
        </is>
      </c>
      <c r="D573" t="inlineStr">
        <is>
          <t>NAIL2</t>
        </is>
      </c>
      <c r="E573" t="inlineStr">
        <is>
          <t>2025-01</t>
        </is>
      </c>
      <c r="F573" t="n">
        <v>472.7</v>
      </c>
      <c r="G573" t="n">
        <v>557.79</v>
      </c>
      <c r="H573">
        <f>הגדרות!B4</f>
        <v/>
      </c>
      <c r="I573">
        <f>F573*(1-H573/100)*1.18</f>
        <v/>
      </c>
      <c r="J573">
        <f>הגדרות!C4</f>
        <v/>
      </c>
      <c r="K573">
        <f>הגדרות!D4</f>
        <v/>
      </c>
      <c r="L573">
        <f>I573*(1+J573/100)+K573</f>
        <v/>
      </c>
    </row>
    <row r="574">
      <c r="A574" t="inlineStr">
        <is>
          <t>IDEXX</t>
        </is>
      </c>
      <c r="B574" t="inlineStr">
        <is>
          <t>Neospora caninum Antibody</t>
        </is>
      </c>
      <c r="D574" t="inlineStr">
        <is>
          <t>NEO</t>
        </is>
      </c>
      <c r="E574" t="inlineStr">
        <is>
          <t>2025-01</t>
        </is>
      </c>
      <c r="F574" t="n">
        <v>261</v>
      </c>
      <c r="G574" t="n">
        <v>307.98</v>
      </c>
      <c r="H574">
        <f>הגדרות!B4</f>
        <v/>
      </c>
      <c r="I574">
        <f>F574*(1-H574/100)*1.18</f>
        <v/>
      </c>
      <c r="J574">
        <f>הגדרות!C4</f>
        <v/>
      </c>
      <c r="K574">
        <f>הגדרות!D4</f>
        <v/>
      </c>
      <c r="L574">
        <f>I574*(1+J574/100)+K574</f>
        <v/>
      </c>
    </row>
    <row r="575">
      <c r="A575" t="inlineStr">
        <is>
          <t>IDEXX</t>
        </is>
      </c>
      <c r="B575" t="inlineStr">
        <is>
          <t>Neospora (DNA) RealPCR™</t>
        </is>
      </c>
      <c r="D575" t="inlineStr">
        <is>
          <t>NEOSP</t>
        </is>
      </c>
      <c r="E575" t="inlineStr">
        <is>
          <t>2025-01</t>
        </is>
      </c>
      <c r="F575" t="n">
        <v>368.3</v>
      </c>
      <c r="G575" t="n">
        <v>434.59</v>
      </c>
      <c r="H575">
        <f>הגדרות!B4</f>
        <v/>
      </c>
      <c r="I575">
        <f>F575*(1-H575/100)*1.18</f>
        <v/>
      </c>
      <c r="J575">
        <f>הגדרות!C4</f>
        <v/>
      </c>
      <c r="K575">
        <f>הגדרות!D4</f>
        <v/>
      </c>
      <c r="L575">
        <f>I575*(1+J575/100)+K575</f>
        <v/>
      </c>
    </row>
    <row r="576">
      <c r="A576" t="inlineStr">
        <is>
          <t>IDEXX</t>
        </is>
      </c>
      <c r="B576" t="inlineStr">
        <is>
          <t>NSAID CLIP</t>
        </is>
      </c>
      <c r="D576" t="inlineStr">
        <is>
          <t>NSAID</t>
        </is>
      </c>
      <c r="E576" t="inlineStr">
        <is>
          <t>2025-01</t>
        </is>
      </c>
      <c r="F576" t="n">
        <v>116</v>
      </c>
      <c r="G576" t="n">
        <v>136.88</v>
      </c>
      <c r="H576">
        <f>הגדרות!B4</f>
        <v/>
      </c>
      <c r="I576">
        <f>F576*(1-H576/100)*1.18</f>
        <v/>
      </c>
      <c r="J576">
        <f>הגדרות!C4</f>
        <v/>
      </c>
      <c r="K576">
        <f>הגדרות!D4</f>
        <v/>
      </c>
      <c r="L576">
        <f>I576*(1+J576/100)+K576</f>
        <v/>
      </c>
    </row>
    <row r="577">
      <c r="A577" t="inlineStr">
        <is>
          <t>IDEXX</t>
        </is>
      </c>
      <c r="B577" t="inlineStr">
        <is>
          <t>Occult Blood</t>
        </is>
      </c>
      <c r="D577" t="inlineStr">
        <is>
          <t>OB</t>
        </is>
      </c>
      <c r="E577" t="inlineStr">
        <is>
          <t>2025-01</t>
        </is>
      </c>
      <c r="F577" t="n">
        <v>165.3</v>
      </c>
      <c r="G577" t="n">
        <v>195.05</v>
      </c>
      <c r="H577">
        <f>הגדרות!B4</f>
        <v/>
      </c>
      <c r="I577">
        <f>F577*(1-H577/100)*1.18</f>
        <v/>
      </c>
      <c r="J577">
        <f>הגדרות!C4</f>
        <v/>
      </c>
      <c r="K577">
        <f>הגדרות!D4</f>
        <v/>
      </c>
      <c r="L577">
        <f>I577*(1+J577/100)+K577</f>
        <v/>
      </c>
    </row>
    <row r="578">
      <c r="A578" t="inlineStr">
        <is>
          <t>IDEXX</t>
        </is>
      </c>
      <c r="B578" t="inlineStr">
        <is>
          <t>Oestradiol</t>
        </is>
      </c>
      <c r="D578" t="inlineStr">
        <is>
          <t>OEST</t>
        </is>
      </c>
      <c r="E578" t="inlineStr">
        <is>
          <t>2025-01</t>
        </is>
      </c>
      <c r="F578" t="n">
        <v>710.5</v>
      </c>
      <c r="G578" t="n">
        <v>838.39</v>
      </c>
      <c r="H578">
        <f>הגדרות!B4</f>
        <v/>
      </c>
      <c r="I578">
        <f>F578*(1-H578/100)*1.18</f>
        <v/>
      </c>
      <c r="J578">
        <f>הגדרות!C4</f>
        <v/>
      </c>
      <c r="K578">
        <f>הגדרות!D4</f>
        <v/>
      </c>
      <c r="L578">
        <f>I578*(1+J578/100)+K578</f>
        <v/>
      </c>
    </row>
    <row r="579">
      <c r="A579" t="inlineStr">
        <is>
          <t>IDEXX</t>
        </is>
      </c>
      <c r="B579" t="inlineStr">
        <is>
          <t>Canine Vomiting/Pancreatitis Profile (Interpreted)</t>
        </is>
      </c>
      <c r="D579" t="inlineStr">
        <is>
          <t>PANCI</t>
        </is>
      </c>
      <c r="E579" t="inlineStr">
        <is>
          <t>2025-01</t>
        </is>
      </c>
      <c r="F579" t="n">
        <v>669.9</v>
      </c>
      <c r="G579" t="n">
        <v>790.48</v>
      </c>
      <c r="H579">
        <f>הגדרות!B4</f>
        <v/>
      </c>
      <c r="I579">
        <f>F579*(1-H579/100)*1.18</f>
        <v/>
      </c>
      <c r="J579">
        <f>הגדרות!C4</f>
        <v/>
      </c>
      <c r="K579">
        <f>הגדרות!D4</f>
        <v/>
      </c>
      <c r="L579">
        <f>I579*(1+J579/100)+K579</f>
        <v/>
      </c>
    </row>
    <row r="580">
      <c r="A580" t="inlineStr">
        <is>
          <t>IDEXX</t>
        </is>
      </c>
      <c r="B580" t="inlineStr">
        <is>
          <t>Canine Vomiting/Pancreatitis Screen (Non-Interpreted</t>
        </is>
      </c>
      <c r="D580" t="inlineStr">
        <is>
          <t>)PANCN</t>
        </is>
      </c>
      <c r="E580" t="inlineStr">
        <is>
          <t>2025-01</t>
        </is>
      </c>
      <c r="F580" t="n">
        <v>594.5</v>
      </c>
      <c r="G580" t="n">
        <v>701.51</v>
      </c>
      <c r="H580">
        <f>הגדרות!B4</f>
        <v/>
      </c>
      <c r="I580">
        <f>F580*(1-H580/100)*1.18</f>
        <v/>
      </c>
      <c r="J580">
        <f>הגדרות!C4</f>
        <v/>
      </c>
      <c r="K580">
        <f>הגדרות!D4</f>
        <v/>
      </c>
      <c r="L580">
        <f>I580*(1+J580/100)+K580</f>
        <v/>
      </c>
    </row>
    <row r="581">
      <c r="A581" t="inlineStr">
        <is>
          <t>IDEXX</t>
        </is>
      </c>
      <c r="B581" t="inlineStr">
        <is>
          <t>Feline Under The Weather Profile (Interpreted)</t>
        </is>
      </c>
      <c r="D581" t="inlineStr">
        <is>
          <t>PANFI</t>
        </is>
      </c>
      <c r="E581" t="inlineStr">
        <is>
          <t>2025-01</t>
        </is>
      </c>
      <c r="F581" t="n">
        <v>667</v>
      </c>
      <c r="G581" t="n">
        <v>787.0599999999999</v>
      </c>
      <c r="H581">
        <f>הגדרות!B4</f>
        <v/>
      </c>
      <c r="I581">
        <f>F581*(1-H581/100)*1.18</f>
        <v/>
      </c>
      <c r="J581">
        <f>הגדרות!C4</f>
        <v/>
      </c>
      <c r="K581">
        <f>הגדרות!D4</f>
        <v/>
      </c>
      <c r="L581">
        <f>I581*(1+J581/100)+K581</f>
        <v/>
      </c>
    </row>
    <row r="582">
      <c r="A582" t="inlineStr">
        <is>
          <t>IDEXX</t>
        </is>
      </c>
      <c r="B582" t="inlineStr">
        <is>
          <t>Feline Under The Weather Screen (Non-Interpreted)</t>
        </is>
      </c>
      <c r="D582" t="inlineStr">
        <is>
          <t>PANFN</t>
        </is>
      </c>
      <c r="E582" t="inlineStr">
        <is>
          <t>2025-01</t>
        </is>
      </c>
      <c r="F582" t="n">
        <v>591.6</v>
      </c>
      <c r="G582" t="n">
        <v>698.09</v>
      </c>
      <c r="H582">
        <f>הגדרות!B4</f>
        <v/>
      </c>
      <c r="I582">
        <f>F582*(1-H582/100)*1.18</f>
        <v/>
      </c>
      <c r="J582">
        <f>הגדרות!C4</f>
        <v/>
      </c>
      <c r="K582">
        <f>הגדרות!D4</f>
        <v/>
      </c>
      <c r="L582">
        <f>I582*(1+J582/100)+K582</f>
        <v/>
      </c>
    </row>
    <row r="583">
      <c r="A583" t="inlineStr">
        <is>
          <t>IDEXX</t>
        </is>
      </c>
      <c r="B583" t="inlineStr">
        <is>
          <t>Parvovirus (CPV) Antibody</t>
        </is>
      </c>
      <c r="D583" t="inlineStr">
        <is>
          <t>PAR</t>
        </is>
      </c>
      <c r="E583" t="inlineStr">
        <is>
          <t>2025-01</t>
        </is>
      </c>
      <c r="F583" t="n">
        <v>394.4</v>
      </c>
      <c r="G583" t="n">
        <v>465.39</v>
      </c>
      <c r="H583">
        <f>הגדרות!B4</f>
        <v/>
      </c>
      <c r="I583">
        <f>F583*(1-H583/100)*1.18</f>
        <v/>
      </c>
      <c r="J583">
        <f>הגדרות!C4</f>
        <v/>
      </c>
      <c r="K583">
        <f>הגדרות!D4</f>
        <v/>
      </c>
      <c r="L583">
        <f>I583*(1+J583/100)+K583</f>
        <v/>
      </c>
    </row>
    <row r="584">
      <c r="A584" t="inlineStr">
        <is>
          <t>IDEXX</t>
        </is>
      </c>
      <c r="B584" t="inlineStr">
        <is>
          <t>Paramyxovirus (Ophidian)</t>
        </is>
      </c>
      <c r="D584" t="inlineStr">
        <is>
          <t>PARAMS</t>
        </is>
      </c>
      <c r="E584" t="inlineStr">
        <is>
          <t>2025-01</t>
        </is>
      </c>
      <c r="F584" t="n">
        <v>368.3</v>
      </c>
      <c r="G584" t="n">
        <v>434.59</v>
      </c>
      <c r="H584">
        <f>הגדרות!B4</f>
        <v/>
      </c>
      <c r="I584">
        <f>F584*(1-H584/100)*1.18</f>
        <v/>
      </c>
      <c r="J584">
        <f>הגדרות!C4</f>
        <v/>
      </c>
      <c r="K584">
        <f>הגדרות!D4</f>
        <v/>
      </c>
      <c r="L584">
        <f>I584*(1+J584/100)+K584</f>
        <v/>
      </c>
    </row>
    <row r="585">
      <c r="A585" t="inlineStr">
        <is>
          <t>IDEXX</t>
        </is>
      </c>
      <c r="B585" t="inlineStr">
        <is>
          <t>Parentage Test (Canine)</t>
        </is>
      </c>
      <c r="D585" t="inlineStr">
        <is>
          <t>PARC</t>
        </is>
      </c>
      <c r="E585" t="inlineStr">
        <is>
          <t>2025-01</t>
        </is>
      </c>
      <c r="F585" t="n">
        <v>1371.7</v>
      </c>
      <c r="G585" t="n">
        <v>1618.61</v>
      </c>
      <c r="H585">
        <f>הגדרות!B4</f>
        <v/>
      </c>
      <c r="I585">
        <f>F585*(1-H585/100)*1.18</f>
        <v/>
      </c>
      <c r="J585">
        <f>הגדרות!C4</f>
        <v/>
      </c>
      <c r="K585">
        <f>הגדרות!D4</f>
        <v/>
      </c>
      <c r="L585">
        <f>I585*(1+J585/100)+K585</f>
        <v/>
      </c>
    </row>
    <row r="586">
      <c r="A586" t="inlineStr">
        <is>
          <t>IDEXX</t>
        </is>
      </c>
      <c r="B586" t="inlineStr">
        <is>
          <t>Faecal Parasitology and Giardia Antigen</t>
        </is>
      </c>
      <c r="D586" t="inlineStr">
        <is>
          <t>PARG</t>
        </is>
      </c>
      <c r="E586" t="inlineStr">
        <is>
          <t>2025-01</t>
        </is>
      </c>
      <c r="F586" t="n">
        <v>229.1</v>
      </c>
      <c r="G586" t="n">
        <v>270.34</v>
      </c>
      <c r="H586">
        <f>הגדרות!B4</f>
        <v/>
      </c>
      <c r="I586">
        <f>F586*(1-H586/100)*1.18</f>
        <v/>
      </c>
      <c r="J586">
        <f>הגדרות!C4</f>
        <v/>
      </c>
      <c r="K586">
        <f>הגדרות!D4</f>
        <v/>
      </c>
      <c r="L586">
        <f>I586*(1+J586/100)+K586</f>
        <v/>
      </c>
    </row>
    <row r="587">
      <c r="A587" t="inlineStr">
        <is>
          <t>IDEXX</t>
        </is>
      </c>
      <c r="B587" t="inlineStr">
        <is>
          <t>Faecal Parasitology, Giardia Antigen and Tritrichomo</t>
        </is>
      </c>
      <c r="D587" t="inlineStr">
        <is>
          <t>nPaAs RPGCTR</t>
        </is>
      </c>
      <c r="E587" t="inlineStr">
        <is>
          <t>2025-01</t>
        </is>
      </c>
      <c r="F587" t="n">
        <v>597.4</v>
      </c>
      <c r="G587" t="n">
        <v>704.9299999999999</v>
      </c>
      <c r="H587">
        <f>הגדרות!B4</f>
        <v/>
      </c>
      <c r="I587">
        <f>F587*(1-H587/100)*1.18</f>
        <v/>
      </c>
      <c r="J587">
        <f>הגדרות!C4</f>
        <v/>
      </c>
      <c r="K587">
        <f>הגדרות!D4</f>
        <v/>
      </c>
      <c r="L587">
        <f>I587*(1+J587/100)+K587</f>
        <v/>
      </c>
    </row>
    <row r="588">
      <c r="A588" t="inlineStr">
        <is>
          <t>IDEXX</t>
        </is>
      </c>
      <c r="B588" t="inlineStr">
        <is>
          <t>PARR Molecular Clonality Assay for Lymphoma</t>
        </is>
      </c>
      <c r="D588" t="inlineStr">
        <is>
          <t>PARR</t>
        </is>
      </c>
      <c r="E588" t="inlineStr">
        <is>
          <t>2025-01</t>
        </is>
      </c>
      <c r="F588" t="n">
        <v>1583.4</v>
      </c>
      <c r="G588" t="n">
        <v>1868.41</v>
      </c>
      <c r="H588">
        <f>הגדרות!B4</f>
        <v/>
      </c>
      <c r="I588">
        <f>F588*(1-H588/100)*1.18</f>
        <v/>
      </c>
      <c r="J588">
        <f>הגדרות!C4</f>
        <v/>
      </c>
      <c r="K588">
        <f>הגדרות!D4</f>
        <v/>
      </c>
      <c r="L588">
        <f>I588*(1+J588/100)+K588</f>
        <v/>
      </c>
    </row>
    <row r="589">
      <c r="A589" t="inlineStr">
        <is>
          <t>IDEXX</t>
        </is>
      </c>
      <c r="B589" t="inlineStr">
        <is>
          <t>PARR Molecular Clonality Assay for Lymphoma (Fast</t>
        </is>
      </c>
      <c r="D589" t="inlineStr">
        <is>
          <t>TPrAaRckR)FX</t>
        </is>
      </c>
      <c r="E589" t="inlineStr">
        <is>
          <t>2025-01</t>
        </is>
      </c>
      <c r="F589" t="n">
        <v>1583.4</v>
      </c>
      <c r="G589" t="n">
        <v>1868.41</v>
      </c>
      <c r="H589">
        <f>הגדרות!B4</f>
        <v/>
      </c>
      <c r="I589">
        <f>F589*(1-H589/100)*1.18</f>
        <v/>
      </c>
      <c r="J589">
        <f>הגדרות!C4</f>
        <v/>
      </c>
      <c r="K589">
        <f>הגדרות!D4</f>
        <v/>
      </c>
      <c r="L589">
        <f>I589*(1+J589/100)+K589</f>
        <v/>
      </c>
    </row>
    <row r="590">
      <c r="A590" t="inlineStr">
        <is>
          <t>IDEXX</t>
        </is>
      </c>
      <c r="B590" t="inlineStr">
        <is>
          <t>Parvovirus (CPV) Antigen</t>
        </is>
      </c>
      <c r="D590" t="inlineStr">
        <is>
          <t>PARV</t>
        </is>
      </c>
      <c r="E590" t="inlineStr">
        <is>
          <t>2025-01</t>
        </is>
      </c>
      <c r="F590" t="n">
        <v>261</v>
      </c>
      <c r="G590" t="n">
        <v>307.98</v>
      </c>
      <c r="H590">
        <f>הגדרות!B4</f>
        <v/>
      </c>
      <c r="I590">
        <f>F590*(1-H590/100)*1.18</f>
        <v/>
      </c>
      <c r="J590">
        <f>הגדרות!C4</f>
        <v/>
      </c>
      <c r="K590">
        <f>הגדרות!D4</f>
        <v/>
      </c>
      <c r="L590">
        <f>I590*(1+J590/100)+K590</f>
        <v/>
      </c>
    </row>
    <row r="591">
      <c r="A591" t="inlineStr">
        <is>
          <t>IDEXX</t>
        </is>
      </c>
      <c r="B591" t="inlineStr">
        <is>
          <t>Lead</t>
        </is>
      </c>
      <c r="D591" t="inlineStr">
        <is>
          <t>PBAA</t>
        </is>
      </c>
      <c r="E591" t="inlineStr">
        <is>
          <t>2025-01</t>
        </is>
      </c>
      <c r="F591" t="n">
        <v>211.7</v>
      </c>
      <c r="G591" t="n">
        <v>249.81</v>
      </c>
      <c r="H591">
        <f>הגדרות!B4</f>
        <v/>
      </c>
      <c r="I591">
        <f>F591*(1-H591/100)*1.18</f>
        <v/>
      </c>
      <c r="J591">
        <f>הגדרות!C4</f>
        <v/>
      </c>
      <c r="K591">
        <f>הגדרות!D4</f>
        <v/>
      </c>
      <c r="L591">
        <f>I591*(1+J591/100)+K591</f>
        <v/>
      </c>
    </row>
    <row r="592">
      <c r="A592" t="inlineStr">
        <is>
          <t>IDEXX</t>
        </is>
      </c>
      <c r="B592" t="inlineStr">
        <is>
          <t>Psittacine Beak &amp; Feather Disease Virus (PBFD) (DNA</t>
        </is>
      </c>
      <c r="D592" t="inlineStr">
        <is>
          <t>)P PBCFRD</t>
        </is>
      </c>
      <c r="E592" t="inlineStr">
        <is>
          <t>2025-01</t>
        </is>
      </c>
      <c r="F592" t="n">
        <v>368.3</v>
      </c>
      <c r="G592" t="n">
        <v>434.59</v>
      </c>
      <c r="H592">
        <f>הגדרות!B4</f>
        <v/>
      </c>
      <c r="I592">
        <f>F592*(1-H592/100)*1.18</f>
        <v/>
      </c>
      <c r="J592">
        <f>הגדרות!C4</f>
        <v/>
      </c>
      <c r="K592">
        <f>הגדרות!D4</f>
        <v/>
      </c>
      <c r="L592">
        <f>I592*(1+J592/100)+K592</f>
        <v/>
      </c>
    </row>
    <row r="593">
      <c r="A593" t="inlineStr">
        <is>
          <t>IDEXX</t>
        </is>
      </c>
      <c r="B593" t="inlineStr">
        <is>
          <t>Urine Protein : Creatinine Ratio &amp; Deposit Microscopy</t>
        </is>
      </c>
      <c r="D593" t="inlineStr">
        <is>
          <t>PCRD</t>
        </is>
      </c>
      <c r="E593" t="inlineStr">
        <is>
          <t>2025-01</t>
        </is>
      </c>
      <c r="F593" t="n">
        <v>249.4</v>
      </c>
      <c r="G593" t="n">
        <v>294.29</v>
      </c>
      <c r="H593">
        <f>הגדרות!B4</f>
        <v/>
      </c>
      <c r="I593">
        <f>F593*(1-H593/100)*1.18</f>
        <v/>
      </c>
      <c r="J593">
        <f>הגדרות!C4</f>
        <v/>
      </c>
      <c r="K593">
        <f>הגדרות!D4</f>
        <v/>
      </c>
      <c r="L593">
        <f>I593*(1+J593/100)+K593</f>
        <v/>
      </c>
    </row>
    <row r="594">
      <c r="A594" t="inlineStr">
        <is>
          <t>IDEXX</t>
        </is>
      </c>
      <c r="B594" t="inlineStr">
        <is>
          <t>Protein: Creatinine Ratio (Urine)</t>
        </is>
      </c>
      <c r="D594" t="inlineStr">
        <is>
          <t>PCRU</t>
        </is>
      </c>
      <c r="E594" t="inlineStr">
        <is>
          <t>2025-01</t>
        </is>
      </c>
      <c r="F594" t="n">
        <v>185.6</v>
      </c>
      <c r="G594" t="n">
        <v>219.01</v>
      </c>
      <c r="H594">
        <f>הגדרות!B4</f>
        <v/>
      </c>
      <c r="I594">
        <f>F594*(1-H594/100)*1.18</f>
        <v/>
      </c>
      <c r="J594">
        <f>הגדרות!C4</f>
        <v/>
      </c>
      <c r="K594">
        <f>הגדרות!D4</f>
        <v/>
      </c>
      <c r="L594">
        <f>I594*(1+J594/100)+K594</f>
        <v/>
      </c>
    </row>
    <row r="595">
      <c r="A595" t="inlineStr">
        <is>
          <t>IDEXX</t>
        </is>
      </c>
      <c r="B595" t="inlineStr">
        <is>
          <t>Progesterone</t>
        </is>
      </c>
      <c r="D595" t="inlineStr">
        <is>
          <t>PGT</t>
        </is>
      </c>
      <c r="E595" t="inlineStr">
        <is>
          <t>2025-01</t>
        </is>
      </c>
      <c r="F595" t="n">
        <v>292.9</v>
      </c>
      <c r="G595" t="n">
        <v>345.62</v>
      </c>
      <c r="H595">
        <f>הגדרות!B4</f>
        <v/>
      </c>
      <c r="I595">
        <f>F595*(1-H595/100)*1.18</f>
        <v/>
      </c>
      <c r="J595">
        <f>הגדרות!C4</f>
        <v/>
      </c>
      <c r="K595">
        <f>הגדרות!D4</f>
        <v/>
      </c>
      <c r="L595">
        <f>I595*(1+J595/100)+K595</f>
        <v/>
      </c>
    </row>
    <row r="596">
      <c r="A596" t="inlineStr">
        <is>
          <t>IDEXX</t>
        </is>
      </c>
      <c r="B596" t="inlineStr">
        <is>
          <t>Progesterone and Anti-Mullerian Hormone (Canine/Fe</t>
        </is>
      </c>
      <c r="D596" t="inlineStr">
        <is>
          <t>lPinGeT/E+qAuMinHe)</t>
        </is>
      </c>
      <c r="E596" t="inlineStr">
        <is>
          <t>2025-01</t>
        </is>
      </c>
      <c r="F596" t="n">
        <v>814.9</v>
      </c>
      <c r="G596" t="n">
        <v>961.58</v>
      </c>
      <c r="H596">
        <f>הגדרות!B4</f>
        <v/>
      </c>
      <c r="I596">
        <f>F596*(1-H596/100)*1.18</f>
        <v/>
      </c>
      <c r="J596">
        <f>הגדרות!C4</f>
        <v/>
      </c>
      <c r="K596">
        <f>הגדרות!D4</f>
        <v/>
      </c>
      <c r="L596">
        <f>I596*(1+J596/100)+K596</f>
        <v/>
      </c>
    </row>
    <row r="597">
      <c r="A597" t="inlineStr">
        <is>
          <t>IDEXX</t>
        </is>
      </c>
      <c r="B597" t="inlineStr">
        <is>
          <t>Phenobarbital</t>
        </is>
      </c>
      <c r="D597" t="inlineStr">
        <is>
          <t>PHEN</t>
        </is>
      </c>
      <c r="E597" t="inlineStr">
        <is>
          <t>2025-01</t>
        </is>
      </c>
      <c r="F597" t="n">
        <v>237.8</v>
      </c>
      <c r="G597" t="n">
        <v>280.6</v>
      </c>
      <c r="H597">
        <f>הגדרות!B4</f>
        <v/>
      </c>
      <c r="I597">
        <f>F597*(1-H597/100)*1.18</f>
        <v/>
      </c>
      <c r="J597">
        <f>הגדרות!C4</f>
        <v/>
      </c>
      <c r="K597">
        <f>הגדרות!D4</f>
        <v/>
      </c>
      <c r="L597">
        <f>I597*(1+J597/100)+K597</f>
        <v/>
      </c>
    </row>
    <row r="598">
      <c r="A598" t="inlineStr">
        <is>
          <t>IDEXX</t>
        </is>
      </c>
      <c r="B598" t="inlineStr">
        <is>
          <t>Phenobarbital (Trough and Peak Samples)</t>
        </is>
      </c>
      <c r="D598" t="inlineStr">
        <is>
          <t>PHEN+</t>
        </is>
      </c>
      <c r="E598" t="inlineStr">
        <is>
          <t>2025-01</t>
        </is>
      </c>
      <c r="F598" t="n">
        <v>394.4</v>
      </c>
      <c r="G598" t="n">
        <v>465.39</v>
      </c>
      <c r="H598">
        <f>הגדרות!B4</f>
        <v/>
      </c>
      <c r="I598">
        <f>F598*(1-H598/100)*1.18</f>
        <v/>
      </c>
      <c r="J598">
        <f>הגדרות!C4</f>
        <v/>
      </c>
      <c r="K598">
        <f>הגדרות!D4</f>
        <v/>
      </c>
      <c r="L598">
        <f>I598*(1+J598/100)+K598</f>
        <v/>
      </c>
    </row>
    <row r="599">
      <c r="A599" t="inlineStr">
        <is>
          <t>IDEXX</t>
        </is>
      </c>
      <c r="B599" t="inlineStr">
        <is>
          <t>Phenobarbital Profile (Interpreted)</t>
        </is>
      </c>
      <c r="D599" t="inlineStr">
        <is>
          <t>PLFT</t>
        </is>
      </c>
      <c r="E599" t="inlineStr">
        <is>
          <t>2025-01</t>
        </is>
      </c>
      <c r="F599" t="n">
        <v>414.7</v>
      </c>
      <c r="G599" t="n">
        <v>489.35</v>
      </c>
      <c r="H599">
        <f>הגדרות!B4</f>
        <v/>
      </c>
      <c r="I599">
        <f>F599*(1-H599/100)*1.18</f>
        <v/>
      </c>
      <c r="J599">
        <f>הגדרות!C4</f>
        <v/>
      </c>
      <c r="K599">
        <f>הגדרות!D4</f>
        <v/>
      </c>
      <c r="L599">
        <f>I599*(1+J599/100)+K599</f>
        <v/>
      </c>
    </row>
    <row r="600">
      <c r="A600" t="inlineStr">
        <is>
          <t>IDEXX</t>
        </is>
      </c>
      <c r="B600" t="inlineStr">
        <is>
          <t>Platelet Count</t>
        </is>
      </c>
      <c r="D600" t="inlineStr">
        <is>
          <t>PLTS</t>
        </is>
      </c>
      <c r="E600" t="inlineStr">
        <is>
          <t>2025-01</t>
        </is>
      </c>
      <c r="F600" t="n">
        <v>133.4</v>
      </c>
      <c r="G600" t="n">
        <v>157.41</v>
      </c>
      <c r="H600">
        <f>הגדרות!B4</f>
        <v/>
      </c>
      <c r="I600">
        <f>F600*(1-H600/100)*1.18</f>
        <v/>
      </c>
      <c r="J600">
        <f>הגדרות!C4</f>
        <v/>
      </c>
      <c r="K600">
        <f>הגדרות!D4</f>
        <v/>
      </c>
      <c r="L600">
        <f>I600*(1+J600/100)+K600</f>
        <v/>
      </c>
    </row>
    <row r="601">
      <c r="A601" t="inlineStr">
        <is>
          <t>IDEXX</t>
        </is>
      </c>
      <c r="B601" t="inlineStr">
        <is>
          <t>PMSG</t>
        </is>
      </c>
      <c r="D601" t="inlineStr">
        <is>
          <t>PMSG</t>
        </is>
      </c>
      <c r="E601" t="inlineStr">
        <is>
          <t>2025-01</t>
        </is>
      </c>
      <c r="F601" t="n">
        <v>652.5</v>
      </c>
      <c r="G601" t="n">
        <v>769.95</v>
      </c>
      <c r="H601">
        <f>הגדרות!B4</f>
        <v/>
      </c>
      <c r="I601">
        <f>F601*(1-H601/100)*1.18</f>
        <v/>
      </c>
      <c r="J601">
        <f>הגדרות!C4</f>
        <v/>
      </c>
      <c r="K601">
        <f>הגדרות!D4</f>
        <v/>
      </c>
      <c r="L601">
        <f>I601*(1+J601/100)+K601</f>
        <v/>
      </c>
    </row>
    <row r="602">
      <c r="A602" t="inlineStr">
        <is>
          <t>IDEXX</t>
        </is>
      </c>
      <c r="B602" t="inlineStr">
        <is>
          <t>Polyomavirus (DNA) PCR</t>
        </is>
      </c>
      <c r="D602" t="inlineStr">
        <is>
          <t>POLY</t>
        </is>
      </c>
      <c r="E602" t="inlineStr">
        <is>
          <t>2025-01</t>
        </is>
      </c>
      <c r="F602" t="n">
        <v>368.3</v>
      </c>
      <c r="G602" t="n">
        <v>434.59</v>
      </c>
      <c r="H602">
        <f>הגדרות!B4</f>
        <v/>
      </c>
      <c r="I602">
        <f>F602*(1-H602/100)*1.18</f>
        <v/>
      </c>
      <c r="J602">
        <f>הגדרות!C4</f>
        <v/>
      </c>
      <c r="K602">
        <f>הגדרות!D4</f>
        <v/>
      </c>
      <c r="L602">
        <f>I602*(1+J602/100)+K602</f>
        <v/>
      </c>
    </row>
    <row r="603">
      <c r="A603" t="inlineStr">
        <is>
          <t>IDEXX</t>
        </is>
      </c>
      <c r="B603" t="inlineStr">
        <is>
          <t>Phenobarbital &amp; Potassium Bromide Combined</t>
        </is>
      </c>
      <c r="D603" t="inlineStr">
        <is>
          <t>PPBR</t>
        </is>
      </c>
      <c r="E603" t="inlineStr">
        <is>
          <t>2025-01</t>
        </is>
      </c>
      <c r="F603" t="n">
        <v>519.1</v>
      </c>
      <c r="G603" t="n">
        <v>612.54</v>
      </c>
      <c r="H603">
        <f>הגדרות!B4</f>
        <v/>
      </c>
      <c r="I603">
        <f>F603*(1-H603/100)*1.18</f>
        <v/>
      </c>
      <c r="J603">
        <f>הגדרות!C4</f>
        <v/>
      </c>
      <c r="K603">
        <f>הגדרות!D4</f>
        <v/>
      </c>
      <c r="L603">
        <f>I603*(1+J603/100)+K603</f>
        <v/>
      </c>
    </row>
    <row r="604">
      <c r="A604" t="inlineStr">
        <is>
          <t>IDEXX</t>
        </is>
      </c>
      <c r="B604" t="inlineStr">
        <is>
          <t>Phenobarbital &amp; Potassium Bromide Profile (Interpret</t>
        </is>
      </c>
      <c r="D604" t="inlineStr">
        <is>
          <t>ePdP)LFT</t>
        </is>
      </c>
      <c r="E604" t="inlineStr">
        <is>
          <t>2025-01</t>
        </is>
      </c>
      <c r="F604" t="n">
        <v>687.3</v>
      </c>
      <c r="G604" t="n">
        <v>811.01</v>
      </c>
      <c r="H604">
        <f>הגדרות!B4</f>
        <v/>
      </c>
      <c r="I604">
        <f>F604*(1-H604/100)*1.18</f>
        <v/>
      </c>
      <c r="J604">
        <f>הגדרות!C4</f>
        <v/>
      </c>
      <c r="K604">
        <f>הגדרות!D4</f>
        <v/>
      </c>
      <c r="L604">
        <f>I604*(1+J604/100)+K604</f>
        <v/>
      </c>
    </row>
    <row r="605">
      <c r="A605" t="inlineStr">
        <is>
          <t>IDEXX</t>
        </is>
      </c>
      <c r="B605" t="inlineStr">
        <is>
          <t>Clinical Pathologist review of blood film and CBC</t>
        </is>
      </c>
      <c r="D605" t="inlineStr">
        <is>
          <t>PRTP</t>
        </is>
      </c>
      <c r="E605" t="inlineStr">
        <is>
          <t>2025-01</t>
        </is>
      </c>
      <c r="F605" t="n">
        <v>365.4</v>
      </c>
      <c r="G605" t="n">
        <v>431.17</v>
      </c>
      <c r="H605">
        <f>הגדרות!B4</f>
        <v/>
      </c>
      <c r="I605">
        <f>F605*(1-H605/100)*1.18</f>
        <v/>
      </c>
      <c r="J605">
        <f>הגדרות!C4</f>
        <v/>
      </c>
      <c r="K605">
        <f>הגדרות!D4</f>
        <v/>
      </c>
      <c r="L605">
        <f>I605*(1+J605/100)+K605</f>
        <v/>
      </c>
    </row>
    <row r="606">
      <c r="A606" t="inlineStr">
        <is>
          <t>IDEXX</t>
        </is>
      </c>
      <c r="B606" t="inlineStr">
        <is>
          <t>Psittacid Herpes Virus PCR</t>
        </is>
      </c>
      <c r="D606" t="inlineStr">
        <is>
          <t>PSHV</t>
        </is>
      </c>
      <c r="E606" t="inlineStr">
        <is>
          <t>2025-01</t>
        </is>
      </c>
      <c r="F606" t="n">
        <v>368.3</v>
      </c>
      <c r="G606" t="n">
        <v>434.59</v>
      </c>
      <c r="H606">
        <f>הגדרות!B4</f>
        <v/>
      </c>
      <c r="I606">
        <f>F606*(1-H606/100)*1.18</f>
        <v/>
      </c>
      <c r="J606">
        <f>הגדרות!C4</f>
        <v/>
      </c>
      <c r="K606">
        <f>הגדרות!D4</f>
        <v/>
      </c>
      <c r="L606">
        <f>I606*(1+J606/100)+K606</f>
        <v/>
      </c>
    </row>
    <row r="607">
      <c r="A607" t="inlineStr">
        <is>
          <t>IDEXX</t>
        </is>
      </c>
      <c r="B607" t="inlineStr">
        <is>
          <t>PT (Prothrombin Time)</t>
        </is>
      </c>
      <c r="D607" t="inlineStr">
        <is>
          <t>PT</t>
        </is>
      </c>
      <c r="E607" t="inlineStr">
        <is>
          <t>2025-01</t>
        </is>
      </c>
      <c r="F607" t="n">
        <v>150.8</v>
      </c>
      <c r="G607" t="n">
        <v>177.94</v>
      </c>
      <c r="H607">
        <f>הגדרות!B4</f>
        <v/>
      </c>
      <c r="I607">
        <f>F607*(1-H607/100)*1.18</f>
        <v/>
      </c>
      <c r="J607">
        <f>הגדרות!C4</f>
        <v/>
      </c>
      <c r="K607">
        <f>הגדרות!D4</f>
        <v/>
      </c>
      <c r="L607">
        <f>I607*(1+J607/100)+K607</f>
        <v/>
      </c>
    </row>
    <row r="608">
      <c r="A608" t="inlineStr">
        <is>
          <t>IDEXX</t>
        </is>
      </c>
      <c r="B608" t="inlineStr">
        <is>
          <t>PT + APTT</t>
        </is>
      </c>
      <c r="D608" t="inlineStr">
        <is>
          <t>PTC</t>
        </is>
      </c>
      <c r="E608" t="inlineStr">
        <is>
          <t>2025-01</t>
        </is>
      </c>
      <c r="F608" t="n">
        <v>252.3</v>
      </c>
      <c r="G608" t="n">
        <v>297.71</v>
      </c>
      <c r="H608">
        <f>הגדרות!B4</f>
        <v/>
      </c>
      <c r="I608">
        <f>F608*(1-H608/100)*1.18</f>
        <v/>
      </c>
      <c r="J608">
        <f>הגדרות!C4</f>
        <v/>
      </c>
      <c r="K608">
        <f>הגדרות!D4</f>
        <v/>
      </c>
      <c r="L608">
        <f>I608*(1+J608/100)+K608</f>
        <v/>
      </c>
    </row>
    <row r="609">
      <c r="A609" t="inlineStr">
        <is>
          <t>IDEXX</t>
        </is>
      </c>
      <c r="B609" t="inlineStr">
        <is>
          <t>APTT (Activated Partial Thromboplastin Time)</t>
        </is>
      </c>
      <c r="D609" t="inlineStr">
        <is>
          <t>PTT</t>
        </is>
      </c>
      <c r="E609" t="inlineStr">
        <is>
          <t>2025-01</t>
        </is>
      </c>
      <c r="F609" t="n">
        <v>150.8</v>
      </c>
      <c r="G609" t="n">
        <v>177.94</v>
      </c>
      <c r="H609">
        <f>הגדרות!B4</f>
        <v/>
      </c>
      <c r="I609">
        <f>F609*(1-H609/100)*1.18</f>
        <v/>
      </c>
      <c r="J609">
        <f>הגדרות!C4</f>
        <v/>
      </c>
      <c r="K609">
        <f>הגדרות!D4</f>
        <v/>
      </c>
      <c r="L609">
        <f>I609*(1+J609/100)+K609</f>
        <v/>
      </c>
    </row>
    <row r="610">
      <c r="A610" t="inlineStr">
        <is>
          <t>IDEXX</t>
        </is>
      </c>
      <c r="B610" t="inlineStr">
        <is>
          <t>Rabies Serology</t>
        </is>
      </c>
      <c r="D610" t="inlineStr">
        <is>
          <t>RABB</t>
        </is>
      </c>
      <c r="E610" t="inlineStr">
        <is>
          <t>2025-01</t>
        </is>
      </c>
      <c r="F610" t="n">
        <v>820.7</v>
      </c>
      <c r="G610" t="n">
        <v>968.4299999999999</v>
      </c>
      <c r="H610">
        <f>הגדרות!B4</f>
        <v/>
      </c>
      <c r="I610">
        <f>F610*(1-H610/100)*1.18</f>
        <v/>
      </c>
      <c r="J610">
        <f>הגדרות!C4</f>
        <v/>
      </c>
      <c r="K610">
        <f>הגדרות!D4</f>
        <v/>
      </c>
      <c r="L610">
        <f>I610*(1+J610/100)+K610</f>
        <v/>
      </c>
    </row>
    <row r="611">
      <c r="A611" t="inlineStr">
        <is>
          <t>IDEXX</t>
        </is>
      </c>
      <c r="B611" t="inlineStr">
        <is>
          <t>Immunotherapy - 1-8 Allergens (1 vial)</t>
        </is>
      </c>
      <c r="D611" t="inlineStr">
        <is>
          <t>RAS1</t>
        </is>
      </c>
      <c r="E611" t="inlineStr">
        <is>
          <t>2025-01</t>
        </is>
      </c>
      <c r="F611" t="n">
        <v>1612.4</v>
      </c>
      <c r="G611" t="n">
        <v>1902.63</v>
      </c>
      <c r="H611">
        <f>הגדרות!B4</f>
        <v/>
      </c>
      <c r="I611">
        <f>F611*(1-H611/100)*1.18</f>
        <v/>
      </c>
      <c r="J611">
        <f>הגדרות!C4</f>
        <v/>
      </c>
      <c r="K611">
        <f>הגדרות!D4</f>
        <v/>
      </c>
      <c r="L611">
        <f>I611*(1+J611/100)+K611</f>
        <v/>
      </c>
    </row>
    <row r="612">
      <c r="A612" t="inlineStr">
        <is>
          <t>IDEXX</t>
        </is>
      </c>
      <c r="B612" t="inlineStr">
        <is>
          <t>Immunotherapy - More than 8 Allergens (&gt;1 vial)</t>
        </is>
      </c>
      <c r="D612" t="inlineStr">
        <is>
          <t>RAS2</t>
        </is>
      </c>
      <c r="E612" t="inlineStr">
        <is>
          <t>2025-01</t>
        </is>
      </c>
      <c r="F612" t="n">
        <v>3224.8</v>
      </c>
      <c r="G612" t="n">
        <v>3805.26</v>
      </c>
      <c r="H612">
        <f>הגדרות!B4</f>
        <v/>
      </c>
      <c r="I612">
        <f>F612*(1-H612/100)*1.18</f>
        <v/>
      </c>
      <c r="J612">
        <f>הגדרות!C4</f>
        <v/>
      </c>
      <c r="K612">
        <f>הגדרות!D4</f>
        <v/>
      </c>
      <c r="L612">
        <f>I612*(1+J612/100)+K612</f>
        <v/>
      </c>
    </row>
    <row r="613">
      <c r="A613" t="inlineStr">
        <is>
          <t>IDEXX</t>
        </is>
      </c>
      <c r="B613" t="inlineStr">
        <is>
          <t>Antinuclear Antibodies (Feline)</t>
        </is>
      </c>
      <c r="D613" t="inlineStr">
        <is>
          <t>RATKO</t>
        </is>
      </c>
      <c r="E613" t="inlineStr">
        <is>
          <t>2025-01</t>
        </is>
      </c>
      <c r="F613" t="n">
        <v>603.2</v>
      </c>
      <c r="G613" t="n">
        <v>711.78</v>
      </c>
      <c r="H613">
        <f>הגדרות!B4</f>
        <v/>
      </c>
      <c r="I613">
        <f>F613*(1-H613/100)*1.18</f>
        <v/>
      </c>
      <c r="J613">
        <f>הגדרות!C4</f>
        <v/>
      </c>
      <c r="K613">
        <f>הגדרות!D4</f>
        <v/>
      </c>
      <c r="L613">
        <f>I613*(1+J613/100)+K613</f>
        <v/>
      </c>
    </row>
    <row r="614">
      <c r="A614" t="inlineStr">
        <is>
          <t>IDEXX</t>
        </is>
      </c>
      <c r="B614" t="inlineStr">
        <is>
          <t>Basic Reptile Profile</t>
        </is>
      </c>
      <c r="D614" t="inlineStr">
        <is>
          <t>REB</t>
        </is>
      </c>
      <c r="E614" t="inlineStr">
        <is>
          <t>2025-01</t>
        </is>
      </c>
      <c r="F614" t="n">
        <v>458.2</v>
      </c>
      <c r="G614" t="n">
        <v>540.6799999999999</v>
      </c>
      <c r="H614">
        <f>הגדרות!B4</f>
        <v/>
      </c>
      <c r="I614">
        <f>F614*(1-H614/100)*1.18</f>
        <v/>
      </c>
      <c r="J614">
        <f>הגדרות!C4</f>
        <v/>
      </c>
      <c r="K614">
        <f>הגדרות!D4</f>
        <v/>
      </c>
      <c r="L614">
        <f>I614*(1+J614/100)+K614</f>
        <v/>
      </c>
    </row>
    <row r="615">
      <c r="A615" t="inlineStr">
        <is>
          <t>IDEXX</t>
        </is>
      </c>
      <c r="B615" t="inlineStr">
        <is>
          <t>Comprehensive Reptile Profile</t>
        </is>
      </c>
      <c r="D615" t="inlineStr">
        <is>
          <t>REE</t>
        </is>
      </c>
      <c r="E615" t="inlineStr">
        <is>
          <t>2025-01</t>
        </is>
      </c>
      <c r="F615" t="n">
        <v>603.2</v>
      </c>
      <c r="G615" t="n">
        <v>711.78</v>
      </c>
      <c r="H615">
        <f>הגדרות!B4</f>
        <v/>
      </c>
      <c r="I615">
        <f>F615*(1-H615/100)*1.18</f>
        <v/>
      </c>
      <c r="J615">
        <f>הגדרות!C4</f>
        <v/>
      </c>
      <c r="K615">
        <f>הגדרות!D4</f>
        <v/>
      </c>
      <c r="L615">
        <f>I615*(1+J615/100)+K615</f>
        <v/>
      </c>
    </row>
    <row r="616">
      <c r="A616" t="inlineStr">
        <is>
          <t>IDEXX</t>
        </is>
      </c>
      <c r="B616" t="inlineStr">
        <is>
          <t>Rabbit Haemorrhagic Disease PCR</t>
        </is>
      </c>
      <c r="D616" t="inlineStr">
        <is>
          <t>RHDP</t>
        </is>
      </c>
      <c r="E616" t="inlineStr">
        <is>
          <t>2025-01</t>
        </is>
      </c>
      <c r="F616" t="n">
        <v>472.7</v>
      </c>
      <c r="G616" t="n">
        <v>557.79</v>
      </c>
      <c r="H616">
        <f>הגדרות!B4</f>
        <v/>
      </c>
      <c r="I616">
        <f>F616*(1-H616/100)*1.18</f>
        <v/>
      </c>
      <c r="J616">
        <f>הגדרות!C4</f>
        <v/>
      </c>
      <c r="K616">
        <f>הגדרות!D4</f>
        <v/>
      </c>
      <c r="L616">
        <f>I616*(1+J616/100)+K616</f>
        <v/>
      </c>
    </row>
    <row r="617">
      <c r="A617" t="inlineStr">
        <is>
          <t>IDEXX</t>
        </is>
      </c>
      <c r="B617" t="inlineStr">
        <is>
          <t>Rickettsia Conorii PCR</t>
        </is>
      </c>
      <c r="D617" t="inlineStr">
        <is>
          <t>RICKCP</t>
        </is>
      </c>
      <c r="E617" t="inlineStr">
        <is>
          <t>2025-01</t>
        </is>
      </c>
      <c r="F617" t="n">
        <v>368.3</v>
      </c>
      <c r="G617" t="n">
        <v>434.59</v>
      </c>
      <c r="H617">
        <f>הגדרות!B4</f>
        <v/>
      </c>
      <c r="I617">
        <f>F617*(1-H617/100)*1.18</f>
        <v/>
      </c>
      <c r="J617">
        <f>הגדרות!C4</f>
        <v/>
      </c>
      <c r="K617">
        <f>הגדרות!D4</f>
        <v/>
      </c>
      <c r="L617">
        <f>I617*(1+J617/100)+K617</f>
        <v/>
      </c>
    </row>
    <row r="618">
      <c r="A618" t="inlineStr">
        <is>
          <t>IDEXX</t>
        </is>
      </c>
      <c r="B618" t="inlineStr">
        <is>
          <t>Rabbit Infectious Disease Screen (Non-Interpreted)</t>
        </is>
      </c>
      <c r="D618" t="inlineStr">
        <is>
          <t>RIFD</t>
        </is>
      </c>
      <c r="E618" t="inlineStr">
        <is>
          <t>2025-01</t>
        </is>
      </c>
      <c r="F618" t="n">
        <v>1566</v>
      </c>
      <c r="G618" t="n">
        <v>1847.88</v>
      </c>
      <c r="H618">
        <f>הגדרות!B4</f>
        <v/>
      </c>
      <c r="I618">
        <f>F618*(1-H618/100)*1.18</f>
        <v/>
      </c>
      <c r="J618">
        <f>הגדרות!C4</f>
        <v/>
      </c>
      <c r="K618">
        <f>הגדרות!D4</f>
        <v/>
      </c>
      <c r="L618">
        <f>I618*(1+J618/100)+K618</f>
        <v/>
      </c>
    </row>
    <row r="619">
      <c r="A619" t="inlineStr">
        <is>
          <t>IDEXX</t>
        </is>
      </c>
      <c r="B619" t="inlineStr">
        <is>
          <t>Serum Amyloid A</t>
        </is>
      </c>
      <c r="D619" t="inlineStr">
        <is>
          <t>SAA</t>
        </is>
      </c>
      <c r="E619" t="inlineStr">
        <is>
          <t>2025-01</t>
        </is>
      </c>
      <c r="F619" t="n">
        <v>263.9</v>
      </c>
      <c r="G619" t="n">
        <v>311.4</v>
      </c>
      <c r="H619">
        <f>הגדרות!B4</f>
        <v/>
      </c>
      <c r="I619">
        <f>F619*(1-H619/100)*1.18</f>
        <v/>
      </c>
      <c r="J619">
        <f>הגדרות!C4</f>
        <v/>
      </c>
      <c r="K619">
        <f>הגדרות!D4</f>
        <v/>
      </c>
      <c r="L619">
        <f>I619*(1+J619/100)+K619</f>
        <v/>
      </c>
    </row>
    <row r="620">
      <c r="A620" t="inlineStr">
        <is>
          <t>IDEXX</t>
        </is>
      </c>
      <c r="B620" t="inlineStr">
        <is>
          <t>Basic Faecal Screen</t>
        </is>
      </c>
      <c r="D620" t="inlineStr">
        <is>
          <t>SARC</t>
        </is>
      </c>
      <c r="E620" t="inlineStr">
        <is>
          <t>2025-01</t>
        </is>
      </c>
      <c r="F620" t="n">
        <v>377</v>
      </c>
      <c r="G620" t="n">
        <v>444.86</v>
      </c>
      <c r="H620">
        <f>הגדרות!B4</f>
        <v/>
      </c>
      <c r="I620">
        <f>F620*(1-H620/100)*1.18</f>
        <v/>
      </c>
      <c r="J620">
        <f>הגדרות!C4</f>
        <v/>
      </c>
      <c r="K620">
        <f>הגדרות!D4</f>
        <v/>
      </c>
      <c r="L620">
        <f>I620*(1+J620/100)+K620</f>
        <v/>
      </c>
    </row>
    <row r="621">
      <c r="A621" t="inlineStr">
        <is>
          <t>IDEXX</t>
        </is>
      </c>
      <c r="B621" t="inlineStr">
        <is>
          <t>Basic Faecal Screen plus Giardia Antigen</t>
        </is>
      </c>
      <c r="D621" t="inlineStr">
        <is>
          <t>SARCG</t>
        </is>
      </c>
      <c r="E621" t="inlineStr">
        <is>
          <t>2025-01</t>
        </is>
      </c>
      <c r="F621" t="n">
        <v>464</v>
      </c>
      <c r="G621" t="n">
        <v>547.52</v>
      </c>
      <c r="H621">
        <f>הגדרות!B4</f>
        <v/>
      </c>
      <c r="I621">
        <f>F621*(1-H621/100)*1.18</f>
        <v/>
      </c>
      <c r="J621">
        <f>הגדרות!C4</f>
        <v/>
      </c>
      <c r="K621">
        <f>הגדרות!D4</f>
        <v/>
      </c>
      <c r="L621">
        <f>I621*(1+J621/100)+K621</f>
        <v/>
      </c>
    </row>
    <row r="622">
      <c r="A622" t="inlineStr">
        <is>
          <t>IDEXX</t>
        </is>
      </c>
      <c r="B622" t="inlineStr">
        <is>
          <t>Synovial Culture</t>
        </is>
      </c>
      <c r="D622" t="inlineStr">
        <is>
          <t>SC</t>
        </is>
      </c>
      <c r="E622" t="inlineStr">
        <is>
          <t>2025-01</t>
        </is>
      </c>
      <c r="F622" t="n">
        <v>429.2</v>
      </c>
      <c r="G622" t="n">
        <v>506.46</v>
      </c>
      <c r="H622">
        <f>הגדרות!B4</f>
        <v/>
      </c>
      <c r="I622">
        <f>F622*(1-H622/100)*1.18</f>
        <v/>
      </c>
      <c r="J622">
        <f>הגדרות!C4</f>
        <v/>
      </c>
      <c r="K622">
        <f>הגדרות!D4</f>
        <v/>
      </c>
      <c r="L622">
        <f>I622*(1+J622/100)+K622</f>
        <v/>
      </c>
    </row>
    <row r="623">
      <c r="A623" t="inlineStr">
        <is>
          <t>IDEXX</t>
        </is>
      </c>
      <c r="B623" t="inlineStr">
        <is>
          <t>Sarcoptes IgG Canine only</t>
        </is>
      </c>
      <c r="D623" t="inlineStr">
        <is>
          <t>SCAB</t>
        </is>
      </c>
      <c r="E623" t="inlineStr">
        <is>
          <t>2025-01</t>
        </is>
      </c>
      <c r="F623" t="n">
        <v>446.6</v>
      </c>
      <c r="G623" t="n">
        <v>526.99</v>
      </c>
      <c r="H623">
        <f>הגדרות!B4</f>
        <v/>
      </c>
      <c r="I623">
        <f>F623*(1-H623/100)*1.18</f>
        <v/>
      </c>
      <c r="J623">
        <f>הגדרות!C4</f>
        <v/>
      </c>
      <c r="K623">
        <f>הגדרות!D4</f>
        <v/>
      </c>
      <c r="L623">
        <f>I623*(1+J623/100)+K623</f>
        <v/>
      </c>
    </row>
    <row r="624">
      <c r="A624" t="inlineStr">
        <is>
          <t>IDEXX</t>
        </is>
      </c>
      <c r="B624" t="inlineStr">
        <is>
          <t>Basic Skin Screen</t>
        </is>
      </c>
      <c r="D624" t="inlineStr">
        <is>
          <t>SCE</t>
        </is>
      </c>
      <c r="E624" t="inlineStr">
        <is>
          <t>2025-01</t>
        </is>
      </c>
      <c r="F624" t="n">
        <v>356.7</v>
      </c>
      <c r="G624" t="n">
        <v>420.91</v>
      </c>
      <c r="H624">
        <f>הגדרות!B4</f>
        <v/>
      </c>
      <c r="I624">
        <f>F624*(1-H624/100)*1.18</f>
        <v/>
      </c>
      <c r="J624">
        <f>הגדרות!C4</f>
        <v/>
      </c>
      <c r="K624">
        <f>הגדרות!D4</f>
        <v/>
      </c>
      <c r="L624">
        <f>I624*(1+J624/100)+K624</f>
        <v/>
      </c>
    </row>
    <row r="625">
      <c r="A625" t="inlineStr">
        <is>
          <t>IDEXX</t>
        </is>
      </c>
      <c r="B625" t="inlineStr">
        <is>
          <t>Extended Basic Skin Screen</t>
        </is>
      </c>
      <c r="D625" t="inlineStr">
        <is>
          <t>SCEF</t>
        </is>
      </c>
      <c r="E625" t="inlineStr">
        <is>
          <t>2025-01</t>
        </is>
      </c>
      <c r="F625" t="n">
        <v>435</v>
      </c>
      <c r="G625" t="n">
        <v>513.3</v>
      </c>
      <c r="H625">
        <f>הגדרות!B4</f>
        <v/>
      </c>
      <c r="I625">
        <f>F625*(1-H625/100)*1.18</f>
        <v/>
      </c>
      <c r="J625">
        <f>הגדרות!C4</f>
        <v/>
      </c>
      <c r="K625">
        <f>הגדרות!D4</f>
        <v/>
      </c>
      <c r="L625">
        <f>I625*(1+J625/100)+K625</f>
        <v/>
      </c>
    </row>
    <row r="626">
      <c r="A626" t="inlineStr">
        <is>
          <t>IDEXX</t>
        </is>
      </c>
      <c r="B626" t="inlineStr">
        <is>
          <t>Equine Comprehensive Skin Screen</t>
        </is>
      </c>
      <c r="D626" t="inlineStr">
        <is>
          <t>SCEFE</t>
        </is>
      </c>
      <c r="E626" t="inlineStr">
        <is>
          <t>2025-01</t>
        </is>
      </c>
      <c r="F626" t="n">
        <v>519.1</v>
      </c>
      <c r="G626" t="n">
        <v>612.54</v>
      </c>
      <c r="H626">
        <f>הגדרות!B4</f>
        <v/>
      </c>
      <c r="I626">
        <f>F626*(1-H626/100)*1.18</f>
        <v/>
      </c>
      <c r="J626">
        <f>הגדרות!C4</f>
        <v/>
      </c>
      <c r="K626">
        <f>הגדרות!D4</f>
        <v/>
      </c>
      <c r="L626">
        <f>I626*(1+J626/100)+K626</f>
        <v/>
      </c>
    </row>
    <row r="627">
      <c r="A627" t="inlineStr">
        <is>
          <t>IDEXX</t>
        </is>
      </c>
      <c r="B627" t="inlineStr">
        <is>
          <t>SDMA (Canine, Feline)</t>
        </is>
      </c>
      <c r="D627" t="inlineStr">
        <is>
          <t>SDMA</t>
        </is>
      </c>
      <c r="E627" t="inlineStr">
        <is>
          <t>2025-01</t>
        </is>
      </c>
      <c r="F627" t="n">
        <v>150.8</v>
      </c>
      <c r="G627" t="n">
        <v>177.94</v>
      </c>
      <c r="H627">
        <f>הגדרות!B4</f>
        <v/>
      </c>
      <c r="I627">
        <f>F627*(1-H627/100)*1.18</f>
        <v/>
      </c>
      <c r="J627">
        <f>הגדרות!C4</f>
        <v/>
      </c>
      <c r="K627">
        <f>הגדרות!D4</f>
        <v/>
      </c>
      <c r="L627">
        <f>I627*(1+J627/100)+K627</f>
        <v/>
      </c>
    </row>
    <row r="628">
      <c r="A628" t="inlineStr">
        <is>
          <t>IDEXX</t>
        </is>
      </c>
      <c r="B628" t="inlineStr">
        <is>
          <t>Food-specific IgG/IgE Panel (Canine/Feline)</t>
        </is>
      </c>
      <c r="D628" t="inlineStr">
        <is>
          <t>SENSIC</t>
        </is>
      </c>
      <c r="E628" t="inlineStr">
        <is>
          <t>2025-01</t>
        </is>
      </c>
      <c r="F628" t="n">
        <v>829.4</v>
      </c>
      <c r="G628" t="n">
        <v>978.6900000000001</v>
      </c>
      <c r="H628">
        <f>הגדרות!B4</f>
        <v/>
      </c>
      <c r="I628">
        <f>F628*(1-H628/100)*1.18</f>
        <v/>
      </c>
      <c r="J628">
        <f>הגדרות!C4</f>
        <v/>
      </c>
      <c r="K628">
        <f>הגדרות!D4</f>
        <v/>
      </c>
      <c r="L628">
        <f>I628*(1+J628/100)+K628</f>
        <v/>
      </c>
    </row>
    <row r="629">
      <c r="A629" t="inlineStr">
        <is>
          <t>IDEXX</t>
        </is>
      </c>
      <c r="B629" t="inlineStr">
        <is>
          <t>Streptococcus equi Antibody</t>
        </is>
      </c>
      <c r="D629" t="inlineStr">
        <is>
          <t>SESE</t>
        </is>
      </c>
      <c r="E629" t="inlineStr">
        <is>
          <t>2025-01</t>
        </is>
      </c>
      <c r="F629" t="n">
        <v>493</v>
      </c>
      <c r="G629" t="n">
        <v>581.74</v>
      </c>
      <c r="H629">
        <f>הגדרות!B4</f>
        <v/>
      </c>
      <c r="I629">
        <f>F629*(1-H629/100)*1.18</f>
        <v/>
      </c>
      <c r="J629">
        <f>הגדרות!C4</f>
        <v/>
      </c>
      <c r="K629">
        <f>הגדרות!D4</f>
        <v/>
      </c>
      <c r="L629">
        <f>I629*(1+J629/100)+K629</f>
        <v/>
      </c>
    </row>
    <row r="630">
      <c r="A630" t="inlineStr">
        <is>
          <t>IDEXX</t>
        </is>
      </c>
      <c r="B630" t="inlineStr">
        <is>
          <t>Spec fPL, Folate &amp; Cobalamin, TLI (Feline)</t>
        </is>
      </c>
      <c r="D630" t="inlineStr">
        <is>
          <t>SFTC</t>
        </is>
      </c>
      <c r="E630" t="inlineStr">
        <is>
          <t>2025-01</t>
        </is>
      </c>
      <c r="F630" t="n">
        <v>1020.8</v>
      </c>
      <c r="G630" t="n">
        <v>1204.54</v>
      </c>
      <c r="H630">
        <f>הגדרות!B4</f>
        <v/>
      </c>
      <c r="I630">
        <f>F630*(1-H630/100)*1.18</f>
        <v/>
      </c>
      <c r="J630">
        <f>הגדרות!C4</f>
        <v/>
      </c>
      <c r="K630">
        <f>הגדרות!D4</f>
        <v/>
      </c>
      <c r="L630">
        <f>I630*(1+J630/100)+K630</f>
        <v/>
      </c>
    </row>
    <row r="631">
      <c r="A631" t="inlineStr">
        <is>
          <t>IDEXX</t>
        </is>
      </c>
      <c r="B631" t="inlineStr">
        <is>
          <t>Specific Gravity</t>
        </is>
      </c>
      <c r="D631" t="inlineStr">
        <is>
          <t>SG</t>
        </is>
      </c>
      <c r="E631" t="inlineStr">
        <is>
          <t>2025-01</t>
        </is>
      </c>
      <c r="F631" t="n">
        <v>116</v>
      </c>
      <c r="G631" t="n">
        <v>136.88</v>
      </c>
      <c r="H631">
        <f>הגדרות!B4</f>
        <v/>
      </c>
      <c r="I631">
        <f>F631*(1-H631/100)*1.18</f>
        <v/>
      </c>
      <c r="J631">
        <f>הגדרות!C4</f>
        <v/>
      </c>
      <c r="K631">
        <f>הגדרות!D4</f>
        <v/>
      </c>
      <c r="L631">
        <f>I631*(1+J631/100)+K631</f>
        <v/>
      </c>
    </row>
    <row r="632">
      <c r="A632" t="inlineStr">
        <is>
          <t>IDEXX</t>
        </is>
      </c>
      <c r="B632" t="inlineStr">
        <is>
          <t>SHAP (Sex Hormone Alopecia Profile) (Canine)</t>
        </is>
      </c>
      <c r="D632" t="inlineStr">
        <is>
          <t>SHAP</t>
        </is>
      </c>
      <c r="E632" t="inlineStr">
        <is>
          <t>2025-01</t>
        </is>
      </c>
      <c r="F632" t="n">
        <v>1403.6</v>
      </c>
      <c r="G632" t="n">
        <v>1656.25</v>
      </c>
      <c r="H632">
        <f>הגדרות!B4</f>
        <v/>
      </c>
      <c r="I632">
        <f>F632*(1-H632/100)*1.18</f>
        <v/>
      </c>
      <c r="J632">
        <f>הגדרות!C4</f>
        <v/>
      </c>
      <c r="K632">
        <f>הגדרות!D4</f>
        <v/>
      </c>
      <c r="L632">
        <f>I632*(1+J632/100)+K632</f>
        <v/>
      </c>
    </row>
    <row r="633">
      <c r="A633" t="inlineStr">
        <is>
          <t>IDEXX</t>
        </is>
      </c>
      <c r="B633" t="inlineStr">
        <is>
          <t>Chelonian Herpesvirus PCR</t>
        </is>
      </c>
      <c r="D633" t="inlineStr">
        <is>
          <t>SKHVP</t>
        </is>
      </c>
      <c r="E633" t="inlineStr">
        <is>
          <t>2025-01</t>
        </is>
      </c>
      <c r="F633" t="n">
        <v>565.5</v>
      </c>
      <c r="G633" t="n">
        <v>667.29</v>
      </c>
      <c r="H633">
        <f>הגדרות!B4</f>
        <v/>
      </c>
      <c r="I633">
        <f>F633*(1-H633/100)*1.18</f>
        <v/>
      </c>
      <c r="J633">
        <f>הגדרות!C4</f>
        <v/>
      </c>
      <c r="K633">
        <f>הגדרות!D4</f>
        <v/>
      </c>
      <c r="L633">
        <f>I633*(1+J633/100)+K633</f>
        <v/>
      </c>
    </row>
    <row r="634">
      <c r="A634" t="inlineStr">
        <is>
          <t>IDEXX</t>
        </is>
      </c>
      <c r="B634" t="inlineStr">
        <is>
          <t>Liver Monitoring Profile (Interpreted)</t>
        </is>
      </c>
      <c r="D634" t="inlineStr">
        <is>
          <t>SLFTI</t>
        </is>
      </c>
      <c r="E634" t="inlineStr">
        <is>
          <t>2025-01</t>
        </is>
      </c>
      <c r="F634" t="n">
        <v>261</v>
      </c>
      <c r="G634" t="n">
        <v>307.98</v>
      </c>
      <c r="H634">
        <f>הגדרות!B4</f>
        <v/>
      </c>
      <c r="I634">
        <f>F634*(1-H634/100)*1.18</f>
        <v/>
      </c>
      <c r="J634">
        <f>הגדרות!C4</f>
        <v/>
      </c>
      <c r="K634">
        <f>הגדרות!D4</f>
        <v/>
      </c>
      <c r="L634">
        <f>I634*(1+J634/100)+K634</f>
        <v/>
      </c>
    </row>
    <row r="635">
      <c r="A635" t="inlineStr">
        <is>
          <t>IDEXX</t>
        </is>
      </c>
      <c r="B635" t="inlineStr">
        <is>
          <t>Liver Monitoring Screen (Non-Interpreted)</t>
        </is>
      </c>
      <c r="D635" t="inlineStr">
        <is>
          <t>SLFTN</t>
        </is>
      </c>
      <c r="E635" t="inlineStr">
        <is>
          <t>2025-01</t>
        </is>
      </c>
      <c r="F635" t="n">
        <v>197.2</v>
      </c>
      <c r="G635" t="n">
        <v>232.7</v>
      </c>
      <c r="H635">
        <f>הגדרות!B4</f>
        <v/>
      </c>
      <c r="I635">
        <f>F635*(1-H635/100)*1.18</f>
        <v/>
      </c>
      <c r="J635">
        <f>הגדרות!C4</f>
        <v/>
      </c>
      <c r="K635">
        <f>הגדרות!D4</f>
        <v/>
      </c>
      <c r="L635">
        <f>I635*(1+J635/100)+K635</f>
        <v/>
      </c>
    </row>
    <row r="636">
      <c r="A636" t="inlineStr">
        <is>
          <t>IDEXX</t>
        </is>
      </c>
      <c r="B636" t="inlineStr">
        <is>
          <t>Basic Small Mammal Profile</t>
        </is>
      </c>
      <c r="D636" t="inlineStr">
        <is>
          <t>SMB</t>
        </is>
      </c>
      <c r="E636" t="inlineStr">
        <is>
          <t>2025-01</t>
        </is>
      </c>
      <c r="F636" t="n">
        <v>379.9</v>
      </c>
      <c r="G636" t="n">
        <v>448.28</v>
      </c>
      <c r="H636">
        <f>הגדרות!B4</f>
        <v/>
      </c>
      <c r="I636">
        <f>F636*(1-H636/100)*1.18</f>
        <v/>
      </c>
      <c r="J636">
        <f>הגדרות!C4</f>
        <v/>
      </c>
      <c r="K636">
        <f>הגדרות!D4</f>
        <v/>
      </c>
      <c r="L636">
        <f>I636*(1+J636/100)+K636</f>
        <v/>
      </c>
    </row>
    <row r="637">
      <c r="A637" t="inlineStr">
        <is>
          <t>IDEXX</t>
        </is>
      </c>
      <c r="B637" t="inlineStr">
        <is>
          <t>Comprehensive Small Mammal Profile</t>
        </is>
      </c>
      <c r="D637" t="inlineStr">
        <is>
          <t>SME</t>
        </is>
      </c>
      <c r="E637" t="inlineStr">
        <is>
          <t>2025-01</t>
        </is>
      </c>
      <c r="F637" t="n">
        <v>559.7</v>
      </c>
      <c r="G637" t="n">
        <v>660.45</v>
      </c>
      <c r="H637">
        <f>הגדרות!B4</f>
        <v/>
      </c>
      <c r="I637">
        <f>F637*(1-H637/100)*1.18</f>
        <v/>
      </c>
      <c r="J637">
        <f>הגדרות!C4</f>
        <v/>
      </c>
      <c r="K637">
        <f>הגדרות!D4</f>
        <v/>
      </c>
      <c r="L637">
        <f>I637*(1+J637/100)+K637</f>
        <v/>
      </c>
    </row>
    <row r="638">
      <c r="A638" t="inlineStr">
        <is>
          <t>IDEXX</t>
        </is>
      </c>
      <c r="B638" t="inlineStr">
        <is>
          <t>Basic Profile (Interpreted)</t>
        </is>
      </c>
      <c r="D638" t="inlineStr">
        <is>
          <t>SP1I</t>
        </is>
      </c>
      <c r="E638" t="inlineStr">
        <is>
          <t>2025-01</t>
        </is>
      </c>
      <c r="F638" t="n">
        <v>319</v>
      </c>
      <c r="G638" t="n">
        <v>376.42</v>
      </c>
      <c r="H638">
        <f>הגדרות!B4</f>
        <v/>
      </c>
      <c r="I638">
        <f>F638*(1-H638/100)*1.18</f>
        <v/>
      </c>
      <c r="J638">
        <f>הגדרות!C4</f>
        <v/>
      </c>
      <c r="K638">
        <f>הגדרות!D4</f>
        <v/>
      </c>
      <c r="L638">
        <f>I638*(1+J638/100)+K638</f>
        <v/>
      </c>
    </row>
    <row r="639">
      <c r="A639" t="inlineStr">
        <is>
          <t>IDEXX</t>
        </is>
      </c>
      <c r="B639" t="inlineStr">
        <is>
          <t>Basic Screen (Non-Interpreted)</t>
        </is>
      </c>
      <c r="D639" t="inlineStr">
        <is>
          <t>SP1N</t>
        </is>
      </c>
      <c r="E639" t="inlineStr">
        <is>
          <t>2025-01</t>
        </is>
      </c>
      <c r="F639" t="n">
        <v>266.8</v>
      </c>
      <c r="G639" t="n">
        <v>314.82</v>
      </c>
      <c r="H639">
        <f>הגדרות!B4</f>
        <v/>
      </c>
      <c r="I639">
        <f>F639*(1-H639/100)*1.18</f>
        <v/>
      </c>
      <c r="J639">
        <f>הגדרות!C4</f>
        <v/>
      </c>
      <c r="K639">
        <f>הגדרות!D4</f>
        <v/>
      </c>
      <c r="L639">
        <f>I639*(1+J639/100)+K639</f>
        <v/>
      </c>
    </row>
    <row r="640">
      <c r="A640" t="inlineStr">
        <is>
          <t>IDEXX</t>
        </is>
      </c>
      <c r="B640" t="inlineStr">
        <is>
          <t>Standard Profile (Interpreted)</t>
        </is>
      </c>
      <c r="D640" t="inlineStr">
        <is>
          <t>SP2I</t>
        </is>
      </c>
      <c r="E640" t="inlineStr">
        <is>
          <t>2025-01</t>
        </is>
      </c>
      <c r="F640" t="n">
        <v>548.1</v>
      </c>
      <c r="G640" t="n">
        <v>646.76</v>
      </c>
      <c r="H640">
        <f>הגדרות!B4</f>
        <v/>
      </c>
      <c r="I640">
        <f>F640*(1-H640/100)*1.18</f>
        <v/>
      </c>
      <c r="J640">
        <f>הגדרות!C4</f>
        <v/>
      </c>
      <c r="K640">
        <f>הגדרות!D4</f>
        <v/>
      </c>
      <c r="L640">
        <f>I640*(1+J640/100)+K640</f>
        <v/>
      </c>
    </row>
    <row r="641">
      <c r="A641" t="inlineStr">
        <is>
          <t>IDEXX</t>
        </is>
      </c>
      <c r="B641" t="inlineStr">
        <is>
          <t>Standard Screen (Non-Interpreted)</t>
        </is>
      </c>
      <c r="D641" t="inlineStr">
        <is>
          <t>SP2N</t>
        </is>
      </c>
      <c r="E641" t="inlineStr">
        <is>
          <t>2025-01</t>
        </is>
      </c>
      <c r="F641" t="n">
        <v>478.5</v>
      </c>
      <c r="G641" t="n">
        <v>564.63</v>
      </c>
      <c r="H641">
        <f>הגדרות!B4</f>
        <v/>
      </c>
      <c r="I641">
        <f>F641*(1-H641/100)*1.18</f>
        <v/>
      </c>
      <c r="J641">
        <f>הגדרות!C4</f>
        <v/>
      </c>
      <c r="K641">
        <f>הגדרות!D4</f>
        <v/>
      </c>
      <c r="L641">
        <f>I641*(1+J641/100)+K641</f>
        <v/>
      </c>
    </row>
    <row r="642">
      <c r="A642" t="inlineStr">
        <is>
          <t>IDEXX</t>
        </is>
      </c>
      <c r="B642" t="inlineStr">
        <is>
          <t>Extended Profile (Interpreted)</t>
        </is>
      </c>
      <c r="D642" t="inlineStr">
        <is>
          <t>SP3I</t>
        </is>
      </c>
      <c r="E642" t="inlineStr">
        <is>
          <t>2025-01</t>
        </is>
      </c>
      <c r="F642" t="n">
        <v>713.4</v>
      </c>
      <c r="G642" t="n">
        <v>841.8099999999999</v>
      </c>
      <c r="H642">
        <f>הגדרות!B4</f>
        <v/>
      </c>
      <c r="I642">
        <f>F642*(1-H642/100)*1.18</f>
        <v/>
      </c>
      <c r="J642">
        <f>הגדרות!C4</f>
        <v/>
      </c>
      <c r="K642">
        <f>הגדרות!D4</f>
        <v/>
      </c>
      <c r="L642">
        <f>I642*(1+J642/100)+K642</f>
        <v/>
      </c>
    </row>
    <row r="643">
      <c r="A643" t="inlineStr">
        <is>
          <t>IDEXX</t>
        </is>
      </c>
      <c r="B643" t="inlineStr">
        <is>
          <t>Extended Screen (Non-Interpreted)</t>
        </is>
      </c>
      <c r="D643" t="inlineStr">
        <is>
          <t>SP3N</t>
        </is>
      </c>
      <c r="E643" t="inlineStr">
        <is>
          <t>2025-01</t>
        </is>
      </c>
      <c r="F643" t="n">
        <v>672.8</v>
      </c>
      <c r="G643" t="n">
        <v>793.9</v>
      </c>
      <c r="H643">
        <f>הגדרות!B4</f>
        <v/>
      </c>
      <c r="I643">
        <f>F643*(1-H643/100)*1.18</f>
        <v/>
      </c>
      <c r="J643">
        <f>הגדרות!C4</f>
        <v/>
      </c>
      <c r="K643">
        <f>הגדרות!D4</f>
        <v/>
      </c>
      <c r="L643">
        <f>I643*(1+J643/100)+K643</f>
        <v/>
      </c>
    </row>
    <row r="644">
      <c r="A644" t="inlineStr">
        <is>
          <t>IDEXX</t>
        </is>
      </c>
      <c r="B644" t="inlineStr">
        <is>
          <t>Fits And Faints Profile (Interpreted)</t>
        </is>
      </c>
      <c r="D644" t="inlineStr">
        <is>
          <t>SP4I</t>
        </is>
      </c>
      <c r="E644" t="inlineStr">
        <is>
          <t>2025-01</t>
        </is>
      </c>
      <c r="F644" t="n">
        <v>504.6</v>
      </c>
      <c r="G644" t="n">
        <v>595.4299999999999</v>
      </c>
      <c r="H644">
        <f>הגדרות!B4</f>
        <v/>
      </c>
      <c r="I644">
        <f>F644*(1-H644/100)*1.18</f>
        <v/>
      </c>
      <c r="J644">
        <f>הגדרות!C4</f>
        <v/>
      </c>
      <c r="K644">
        <f>הגדרות!D4</f>
        <v/>
      </c>
      <c r="L644">
        <f>I644*(1+J644/100)+K644</f>
        <v/>
      </c>
    </row>
    <row r="645">
      <c r="A645" t="inlineStr">
        <is>
          <t>IDEXX</t>
        </is>
      </c>
      <c r="B645" t="inlineStr">
        <is>
          <t>Fits And Faints Screen (Non-Interpreted)</t>
        </is>
      </c>
      <c r="D645" t="inlineStr">
        <is>
          <t>SP4N</t>
        </is>
      </c>
      <c r="E645" t="inlineStr">
        <is>
          <t>2025-01</t>
        </is>
      </c>
      <c r="F645" t="n">
        <v>437.9</v>
      </c>
      <c r="G645" t="n">
        <v>516.72</v>
      </c>
      <c r="H645">
        <f>הגדרות!B4</f>
        <v/>
      </c>
      <c r="I645">
        <f>F645*(1-H645/100)*1.18</f>
        <v/>
      </c>
      <c r="J645">
        <f>הגדרות!C4</f>
        <v/>
      </c>
      <c r="K645">
        <f>הגדרות!D4</f>
        <v/>
      </c>
      <c r="L645">
        <f>I645*(1+J645/100)+K645</f>
        <v/>
      </c>
    </row>
    <row r="646">
      <c r="A646" t="inlineStr">
        <is>
          <t>IDEXX</t>
        </is>
      </c>
      <c r="B646" t="inlineStr">
        <is>
          <t>Protein Electrophoresis (Serum)</t>
        </is>
      </c>
      <c r="D646" t="inlineStr">
        <is>
          <t>SPE</t>
        </is>
      </c>
      <c r="E646" t="inlineStr">
        <is>
          <t>2025-01</t>
        </is>
      </c>
      <c r="F646" t="n">
        <v>214.6</v>
      </c>
      <c r="G646" t="n">
        <v>253.23</v>
      </c>
      <c r="H646">
        <f>הגדרות!B4</f>
        <v/>
      </c>
      <c r="I646">
        <f>F646*(1-H646/100)*1.18</f>
        <v/>
      </c>
      <c r="J646">
        <f>הגדרות!C4</f>
        <v/>
      </c>
      <c r="K646">
        <f>הגדרות!D4</f>
        <v/>
      </c>
      <c r="L646">
        <f>I646*(1+J646/100)+K646</f>
        <v/>
      </c>
    </row>
    <row r="647">
      <c r="A647" t="inlineStr">
        <is>
          <t>IDEXX</t>
        </is>
      </c>
      <c r="B647" t="inlineStr">
        <is>
          <t>Skin Parasites / Dermatophyte</t>
        </is>
      </c>
      <c r="D647" t="inlineStr">
        <is>
          <t>SPF</t>
        </is>
      </c>
      <c r="E647" t="inlineStr">
        <is>
          <t>2025-01</t>
        </is>
      </c>
      <c r="F647" t="n">
        <v>179.8</v>
      </c>
      <c r="G647" t="n">
        <v>212.16</v>
      </c>
      <c r="H647">
        <f>הגדרות!B4</f>
        <v/>
      </c>
      <c r="I647">
        <f>F647*(1-H647/100)*1.18</f>
        <v/>
      </c>
      <c r="J647">
        <f>הגדרות!C4</f>
        <v/>
      </c>
      <c r="K647">
        <f>הגדרות!D4</f>
        <v/>
      </c>
      <c r="L647">
        <f>I647*(1+J647/100)+K647</f>
        <v/>
      </c>
    </row>
    <row r="648">
      <c r="A648" t="inlineStr">
        <is>
          <t>IDEXX</t>
        </is>
      </c>
      <c r="B648" t="inlineStr">
        <is>
          <t>Urolith Analysis</t>
        </is>
      </c>
      <c r="D648" t="inlineStr">
        <is>
          <t>STOX</t>
        </is>
      </c>
      <c r="E648" t="inlineStr">
        <is>
          <t>2025-01</t>
        </is>
      </c>
      <c r="F648" t="n">
        <v>522</v>
      </c>
      <c r="G648" t="n">
        <v>615.96</v>
      </c>
      <c r="H648">
        <f>הגדרות!B4</f>
        <v/>
      </c>
      <c r="I648">
        <f>F648*(1-H648/100)*1.18</f>
        <v/>
      </c>
      <c r="J648">
        <f>הגדרות!C4</f>
        <v/>
      </c>
      <c r="K648">
        <f>הגדרות!D4</f>
        <v/>
      </c>
      <c r="L648">
        <f>I648*(1+J648/100)+K648</f>
        <v/>
      </c>
    </row>
    <row r="649">
      <c r="A649" t="inlineStr">
        <is>
          <t>IDEXX</t>
        </is>
      </c>
      <c r="B649" t="inlineStr">
        <is>
          <t>Urolith Analysis &amp; Urolith Culture</t>
        </is>
      </c>
      <c r="D649" t="inlineStr">
        <is>
          <t>STOXC</t>
        </is>
      </c>
      <c r="E649" t="inlineStr">
        <is>
          <t>2025-01</t>
        </is>
      </c>
      <c r="F649" t="n">
        <v>765.6</v>
      </c>
      <c r="G649" t="n">
        <v>903.41</v>
      </c>
      <c r="H649">
        <f>הגדרות!B4</f>
        <v/>
      </c>
      <c r="I649">
        <f>F649*(1-H649/100)*1.18</f>
        <v/>
      </c>
      <c r="J649">
        <f>הגדרות!C4</f>
        <v/>
      </c>
      <c r="K649">
        <f>הגדרות!D4</f>
        <v/>
      </c>
      <c r="L649">
        <f>I649*(1+J649/100)+K649</f>
        <v/>
      </c>
    </row>
    <row r="650">
      <c r="A650" t="inlineStr">
        <is>
          <t>IDEXX</t>
        </is>
      </c>
      <c r="B650" t="inlineStr">
        <is>
          <t>Urolith Analysis, Urolith Culture &amp; Urine Culture</t>
        </is>
      </c>
      <c r="D650" t="inlineStr">
        <is>
          <t>STOXUC</t>
        </is>
      </c>
      <c r="E650" t="inlineStr">
        <is>
          <t>2025-01</t>
        </is>
      </c>
      <c r="F650" t="n">
        <v>1055.6</v>
      </c>
      <c r="G650" t="n">
        <v>1245.61</v>
      </c>
      <c r="H650">
        <f>הגדרות!B4</f>
        <v/>
      </c>
      <c r="I650">
        <f>F650*(1-H650/100)*1.18</f>
        <v/>
      </c>
      <c r="J650">
        <f>הגדרות!C4</f>
        <v/>
      </c>
      <c r="K650">
        <f>הגדרות!D4</f>
        <v/>
      </c>
      <c r="L650">
        <f>I650*(1+J650/100)+K650</f>
        <v/>
      </c>
    </row>
    <row r="651">
      <c r="A651" t="inlineStr">
        <is>
          <t>IDEXX</t>
        </is>
      </c>
      <c r="B651" t="inlineStr">
        <is>
          <t>Swab (Culture and Sensitivity)</t>
        </is>
      </c>
      <c r="D651" t="inlineStr">
        <is>
          <t>SW</t>
        </is>
      </c>
      <c r="E651" t="inlineStr">
        <is>
          <t>2025-01</t>
        </is>
      </c>
      <c r="F651" t="n">
        <v>330.6</v>
      </c>
      <c r="G651" t="n">
        <v>390.11</v>
      </c>
      <c r="H651">
        <f>הגדרות!B4</f>
        <v/>
      </c>
      <c r="I651">
        <f>F651*(1-H651/100)*1.18</f>
        <v/>
      </c>
      <c r="J651">
        <f>הגדרות!C4</f>
        <v/>
      </c>
      <c r="K651">
        <f>הגדרות!D4</f>
        <v/>
      </c>
      <c r="L651">
        <f>I651*(1+J651/100)+K651</f>
        <v/>
      </c>
    </row>
    <row r="652">
      <c r="A652" t="inlineStr">
        <is>
          <t>IDEXX</t>
        </is>
      </c>
      <c r="B652" t="inlineStr">
        <is>
          <t>Equine Pre-Breeding Culture 24 Hour</t>
        </is>
      </c>
      <c r="D652" t="inlineStr">
        <is>
          <t>SW24</t>
        </is>
      </c>
      <c r="E652" t="inlineStr">
        <is>
          <t>2025-01</t>
        </is>
      </c>
      <c r="F652" t="n">
        <v>327.7</v>
      </c>
      <c r="G652" t="n">
        <v>386.69</v>
      </c>
      <c r="H652">
        <f>הגדרות!B4</f>
        <v/>
      </c>
      <c r="I652">
        <f>F652*(1-H652/100)*1.18</f>
        <v/>
      </c>
      <c r="J652">
        <f>הגדרות!C4</f>
        <v/>
      </c>
      <c r="K652">
        <f>הגדרות!D4</f>
        <v/>
      </c>
      <c r="L652">
        <f>I652*(1+J652/100)+K652</f>
        <v/>
      </c>
    </row>
    <row r="653">
      <c r="A653" t="inlineStr">
        <is>
          <t>IDEXX</t>
        </is>
      </c>
      <c r="B653" t="inlineStr">
        <is>
          <t>Faecal Culture - swab</t>
        </is>
      </c>
      <c r="D653" t="inlineStr">
        <is>
          <t>SWAF</t>
        </is>
      </c>
      <c r="E653" t="inlineStr">
        <is>
          <t>2025-01</t>
        </is>
      </c>
      <c r="F653" t="n">
        <v>388.6</v>
      </c>
      <c r="G653" t="n">
        <v>458.55</v>
      </c>
      <c r="H653">
        <f>הגדרות!B4</f>
        <v/>
      </c>
      <c r="I653">
        <f>F653*(1-H653/100)*1.18</f>
        <v/>
      </c>
      <c r="J653">
        <f>הגדרות!C4</f>
        <v/>
      </c>
      <c r="K653">
        <f>הגדרות!D4</f>
        <v/>
      </c>
      <c r="L653">
        <f>I653*(1+J653/100)+K653</f>
        <v/>
      </c>
    </row>
    <row r="654">
      <c r="A654" t="inlineStr">
        <is>
          <t>IDEXX</t>
        </is>
      </c>
      <c r="B654" t="inlineStr">
        <is>
          <t>Skin cultures – no microscopy</t>
        </is>
      </c>
      <c r="D654" t="inlineStr">
        <is>
          <t>SWFC</t>
        </is>
      </c>
      <c r="E654" t="inlineStr">
        <is>
          <t>2025-01</t>
        </is>
      </c>
      <c r="F654" t="n">
        <v>377</v>
      </c>
      <c r="G654" t="n">
        <v>444.86</v>
      </c>
      <c r="H654">
        <f>הגדרות!B4</f>
        <v/>
      </c>
      <c r="I654">
        <f>F654*(1-H654/100)*1.18</f>
        <v/>
      </c>
      <c r="J654">
        <f>הגדרות!C4</f>
        <v/>
      </c>
      <c r="K654">
        <f>הגדרות!D4</f>
        <v/>
      </c>
      <c r="L654">
        <f>I654*(1+J654/100)+K654</f>
        <v/>
      </c>
    </row>
    <row r="655">
      <c r="A655" t="inlineStr">
        <is>
          <t>IDEXX</t>
        </is>
      </c>
      <c r="B655" t="inlineStr">
        <is>
          <t>Synovial Fluid Cytology with Extended Culture</t>
        </is>
      </c>
      <c r="D655" t="inlineStr">
        <is>
          <t>SYN2</t>
        </is>
      </c>
      <c r="E655" t="inlineStr">
        <is>
          <t>2025-01</t>
        </is>
      </c>
      <c r="F655" t="n">
        <v>1023.7</v>
      </c>
      <c r="G655" t="n">
        <v>1207.97</v>
      </c>
      <c r="H655">
        <f>הגדרות!B4</f>
        <v/>
      </c>
      <c r="I655">
        <f>F655*(1-H655/100)*1.18</f>
        <v/>
      </c>
      <c r="J655">
        <f>הגדרות!C4</f>
        <v/>
      </c>
      <c r="K655">
        <f>הגדרות!D4</f>
        <v/>
      </c>
      <c r="L655">
        <f>I655*(1+J655/100)+K655</f>
        <v/>
      </c>
    </row>
    <row r="656">
      <c r="A656" t="inlineStr">
        <is>
          <t>IDEXX</t>
        </is>
      </c>
      <c r="B656" t="inlineStr">
        <is>
          <t>Synovial Fluid Cytology - 1 Joint</t>
        </is>
      </c>
      <c r="D656" t="inlineStr">
        <is>
          <t>SYNO</t>
        </is>
      </c>
      <c r="E656" t="inlineStr">
        <is>
          <t>2025-01</t>
        </is>
      </c>
      <c r="F656" t="n">
        <v>664.1</v>
      </c>
      <c r="G656" t="n">
        <v>783.64</v>
      </c>
      <c r="H656">
        <f>הגדרות!B4</f>
        <v/>
      </c>
      <c r="I656">
        <f>F656*(1-H656/100)*1.18</f>
        <v/>
      </c>
      <c r="J656">
        <f>הגדרות!C4</f>
        <v/>
      </c>
      <c r="K656">
        <f>הגדרות!D4</f>
        <v/>
      </c>
      <c r="L656">
        <f>I656*(1+J656/100)+K656</f>
        <v/>
      </c>
    </row>
    <row r="657">
      <c r="A657" t="inlineStr">
        <is>
          <t>IDEXX</t>
        </is>
      </c>
      <c r="B657" t="inlineStr">
        <is>
          <t>Synovial Fluid Cytology - 2 Joints</t>
        </is>
      </c>
      <c r="D657" t="inlineStr">
        <is>
          <t>SYNO2</t>
        </is>
      </c>
      <c r="E657" t="inlineStr">
        <is>
          <t>2025-01</t>
        </is>
      </c>
      <c r="F657" t="n">
        <v>751.1</v>
      </c>
      <c r="G657" t="n">
        <v>886.3</v>
      </c>
      <c r="H657">
        <f>הגדרות!B4</f>
        <v/>
      </c>
      <c r="I657">
        <f>F657*(1-H657/100)*1.18</f>
        <v/>
      </c>
      <c r="J657">
        <f>הגדרות!C4</f>
        <v/>
      </c>
      <c r="K657">
        <f>הגדרות!D4</f>
        <v/>
      </c>
      <c r="L657">
        <f>I657*(1+J657/100)+K657</f>
        <v/>
      </c>
    </row>
    <row r="658">
      <c r="A658" t="inlineStr">
        <is>
          <t>IDEXX</t>
        </is>
      </c>
      <c r="B658" t="inlineStr">
        <is>
          <t>Synovial Fluid Cytology - 3 Joints</t>
        </is>
      </c>
      <c r="D658" t="inlineStr">
        <is>
          <t>SYNO3</t>
        </is>
      </c>
      <c r="E658" t="inlineStr">
        <is>
          <t>2025-01</t>
        </is>
      </c>
      <c r="F658" t="n">
        <v>838.1</v>
      </c>
      <c r="G658" t="n">
        <v>988.96</v>
      </c>
      <c r="H658">
        <f>הגדרות!B4</f>
        <v/>
      </c>
      <c r="I658">
        <f>F658*(1-H658/100)*1.18</f>
        <v/>
      </c>
      <c r="J658">
        <f>הגדרות!C4</f>
        <v/>
      </c>
      <c r="K658">
        <f>הגדרות!D4</f>
        <v/>
      </c>
      <c r="L658">
        <f>I658*(1+J658/100)+K658</f>
        <v/>
      </c>
    </row>
    <row r="659">
      <c r="A659" t="inlineStr">
        <is>
          <t>IDEXX</t>
        </is>
      </c>
      <c r="B659" t="inlineStr">
        <is>
          <t>Synovial Fluid Cytology - 4 Joints</t>
        </is>
      </c>
      <c r="D659" t="inlineStr">
        <is>
          <t>SYNO4</t>
        </is>
      </c>
      <c r="E659" t="inlineStr">
        <is>
          <t>2025-01</t>
        </is>
      </c>
      <c r="F659" t="n">
        <v>925.1</v>
      </c>
      <c r="G659" t="n">
        <v>1091.62</v>
      </c>
      <c r="H659">
        <f>הגדרות!B4</f>
        <v/>
      </c>
      <c r="I659">
        <f>F659*(1-H659/100)*1.18</f>
        <v/>
      </c>
      <c r="J659">
        <f>הגדרות!C4</f>
        <v/>
      </c>
      <c r="K659">
        <f>הגדרות!D4</f>
        <v/>
      </c>
      <c r="L659">
        <f>I659*(1+J659/100)+K659</f>
        <v/>
      </c>
    </row>
    <row r="660">
      <c r="A660" t="inlineStr">
        <is>
          <t>IDEXX</t>
        </is>
      </c>
      <c r="B660" t="inlineStr">
        <is>
          <t>Trilostane (Vetoryl) Monitoring Profile - ACTH stimula</t>
        </is>
      </c>
      <c r="D660" t="inlineStr">
        <is>
          <t>tTio3n6 Ptest</t>
        </is>
      </c>
      <c r="E660" t="inlineStr">
        <is>
          <t>2025-01</t>
        </is>
      </c>
      <c r="F660" t="n">
        <v>426.3</v>
      </c>
      <c r="G660" t="n">
        <v>503.03</v>
      </c>
      <c r="H660">
        <f>הגדרות!B4</f>
        <v/>
      </c>
      <c r="I660">
        <f>F660*(1-H660/100)*1.18</f>
        <v/>
      </c>
      <c r="J660">
        <f>הגדרות!C4</f>
        <v/>
      </c>
      <c r="K660">
        <f>הגדרות!D4</f>
        <v/>
      </c>
      <c r="L660">
        <f>I660*(1+J660/100)+K660</f>
        <v/>
      </c>
    </row>
    <row r="661">
      <c r="A661" t="inlineStr">
        <is>
          <t>IDEXX</t>
        </is>
      </c>
      <c r="B661" t="inlineStr">
        <is>
          <t>Trilostane (Vetoryl) Monitoring Profile - Prepill Cortiso</t>
        </is>
      </c>
      <c r="D661" t="inlineStr">
        <is>
          <t>Tl 3(s6iXngle sa</t>
        </is>
      </c>
      <c r="E661" t="inlineStr">
        <is>
          <t>2025-01</t>
        </is>
      </c>
      <c r="F661" t="n">
        <v>359.6</v>
      </c>
      <c r="G661" t="n">
        <v>424.33</v>
      </c>
      <c r="H661">
        <f>הגדרות!B4</f>
        <v/>
      </c>
      <c r="I661">
        <f>F661*(1-H661/100)*1.18</f>
        <v/>
      </c>
      <c r="J661">
        <f>הגדרות!C4</f>
        <v/>
      </c>
      <c r="K661">
        <f>הגדרות!D4</f>
        <v/>
      </c>
      <c r="L661">
        <f>I661*(1+J661/100)+K661</f>
        <v/>
      </c>
    </row>
    <row r="662">
      <c r="A662" t="inlineStr">
        <is>
          <t>IDEXX</t>
        </is>
      </c>
      <c r="B662" t="inlineStr">
        <is>
          <t>Total T4</t>
        </is>
      </c>
      <c r="D662" t="inlineStr">
        <is>
          <t>T4M</t>
        </is>
      </c>
      <c r="E662" t="inlineStr">
        <is>
          <t>2025-01</t>
        </is>
      </c>
      <c r="F662" t="n">
        <v>168.2</v>
      </c>
      <c r="G662" t="n">
        <v>198.48</v>
      </c>
      <c r="H662">
        <f>הגדרות!B4</f>
        <v/>
      </c>
      <c r="I662">
        <f>F662*(1-H662/100)*1.18</f>
        <v/>
      </c>
      <c r="J662">
        <f>הגדרות!C4</f>
        <v/>
      </c>
      <c r="K662">
        <f>הגדרות!D4</f>
        <v/>
      </c>
      <c r="L662">
        <f>I662*(1+J662/100)+K662</f>
        <v/>
      </c>
    </row>
    <row r="663">
      <c r="A663" t="inlineStr">
        <is>
          <t>IDEXX</t>
        </is>
      </c>
      <c r="B663" t="inlineStr">
        <is>
          <t>Taurine</t>
        </is>
      </c>
      <c r="D663" t="inlineStr">
        <is>
          <t>TAU</t>
        </is>
      </c>
      <c r="E663" t="inlineStr">
        <is>
          <t>2025-01</t>
        </is>
      </c>
      <c r="F663" t="n">
        <v>2102.5</v>
      </c>
      <c r="G663" t="n">
        <v>2480.95</v>
      </c>
      <c r="H663">
        <f>הגדרות!B4</f>
        <v/>
      </c>
      <c r="I663">
        <f>F663*(1-H663/100)*1.18</f>
        <v/>
      </c>
      <c r="J663">
        <f>הגדרות!C4</f>
        <v/>
      </c>
      <c r="K663">
        <f>הגדרות!D4</f>
        <v/>
      </c>
      <c r="L663">
        <f>I663*(1+J663/100)+K663</f>
        <v/>
      </c>
    </row>
    <row r="664">
      <c r="A664" t="inlineStr">
        <is>
          <t>IDEXX</t>
        </is>
      </c>
      <c r="B664" t="inlineStr">
        <is>
          <t>Treponema cuniculi Antibody (Rabbit Syphilis)</t>
        </is>
      </c>
      <c r="D664" t="inlineStr">
        <is>
          <t>TCS</t>
        </is>
      </c>
      <c r="E664" t="inlineStr">
        <is>
          <t>2025-01</t>
        </is>
      </c>
      <c r="F664" t="n">
        <v>609</v>
      </c>
      <c r="G664" t="n">
        <v>718.62</v>
      </c>
      <c r="H664">
        <f>הגדרות!B4</f>
        <v/>
      </c>
      <c r="I664">
        <f>F664*(1-H664/100)*1.18</f>
        <v/>
      </c>
      <c r="J664">
        <f>הגדרות!C4</f>
        <v/>
      </c>
      <c r="K664">
        <f>הגדרות!D4</f>
        <v/>
      </c>
      <c r="L664">
        <f>I664*(1+J664/100)+K664</f>
        <v/>
      </c>
    </row>
    <row r="665">
      <c r="A665" t="inlineStr">
        <is>
          <t>IDEXX</t>
        </is>
      </c>
      <c r="B665" t="inlineStr">
        <is>
          <t>Testosterone</t>
        </is>
      </c>
      <c r="D665" t="inlineStr">
        <is>
          <t>TEST</t>
        </is>
      </c>
      <c r="E665" t="inlineStr">
        <is>
          <t>2025-01</t>
        </is>
      </c>
      <c r="F665" t="n">
        <v>336.4</v>
      </c>
      <c r="G665" t="n">
        <v>396.95</v>
      </c>
      <c r="H665">
        <f>הגדרות!B4</f>
        <v/>
      </c>
      <c r="I665">
        <f>F665*(1-H665/100)*1.18</f>
        <v/>
      </c>
      <c r="J665">
        <f>הגדרות!C4</f>
        <v/>
      </c>
      <c r="K665">
        <f>הגדרות!D4</f>
        <v/>
      </c>
      <c r="L665">
        <f>I665*(1+J665/100)+K665</f>
        <v/>
      </c>
    </row>
    <row r="666">
      <c r="A666" t="inlineStr">
        <is>
          <t>IDEXX</t>
        </is>
      </c>
      <c r="B666" t="inlineStr">
        <is>
          <t>TLI, Folate &amp; Cobalamin (Canine)</t>
        </is>
      </c>
      <c r="D666" t="inlineStr">
        <is>
          <t>TFCB</t>
        </is>
      </c>
      <c r="E666" t="inlineStr">
        <is>
          <t>2025-01</t>
        </is>
      </c>
      <c r="F666" t="n">
        <v>553.9</v>
      </c>
      <c r="G666" t="n">
        <v>653.6</v>
      </c>
      <c r="H666">
        <f>הגדרות!B4</f>
        <v/>
      </c>
      <c r="I666">
        <f>F666*(1-H666/100)*1.18</f>
        <v/>
      </c>
      <c r="J666">
        <f>הגדרות!C4</f>
        <v/>
      </c>
      <c r="K666">
        <f>הגדרות!D4</f>
        <v/>
      </c>
      <c r="L666">
        <f>I666*(1+J666/100)+K666</f>
        <v/>
      </c>
    </row>
    <row r="667">
      <c r="A667" t="inlineStr">
        <is>
          <t>IDEXX</t>
        </is>
      </c>
      <c r="B667" t="inlineStr">
        <is>
          <t>TLI, Folate, Cobalamin, Total Protein, Albumin, Globul</t>
        </is>
      </c>
      <c r="D667" t="inlineStr">
        <is>
          <t>iTnF, CAG:G Rati</t>
        </is>
      </c>
      <c r="E667" t="inlineStr">
        <is>
          <t>2025-01</t>
        </is>
      </c>
      <c r="F667" t="n">
        <v>649.6</v>
      </c>
      <c r="G667" t="n">
        <v>766.53</v>
      </c>
      <c r="H667">
        <f>הגדרות!B4</f>
        <v/>
      </c>
      <c r="I667">
        <f>F667*(1-H667/100)*1.18</f>
        <v/>
      </c>
      <c r="J667">
        <f>הגדרות!C4</f>
        <v/>
      </c>
      <c r="K667">
        <f>הגדרות!D4</f>
        <v/>
      </c>
      <c r="L667">
        <f>I667*(1+J667/100)+K667</f>
        <v/>
      </c>
    </row>
    <row r="668">
      <c r="A668" t="inlineStr">
        <is>
          <t>IDEXX</t>
        </is>
      </c>
      <c r="B668" t="inlineStr">
        <is>
          <t>TLI, Folate, Cobalamin, Total Protein, Albumin, Globul</t>
        </is>
      </c>
      <c r="D668" t="inlineStr">
        <is>
          <t>iTnF, FAG:G Rati</t>
        </is>
      </c>
      <c r="E668" t="inlineStr">
        <is>
          <t>2025-01</t>
        </is>
      </c>
      <c r="F668" t="n">
        <v>841</v>
      </c>
      <c r="G668" t="n">
        <v>992.38</v>
      </c>
      <c r="H668">
        <f>הגדרות!B4</f>
        <v/>
      </c>
      <c r="I668">
        <f>F668*(1-H668/100)*1.18</f>
        <v/>
      </c>
      <c r="J668">
        <f>הגדרות!C4</f>
        <v/>
      </c>
      <c r="K668">
        <f>הגדרות!D4</f>
        <v/>
      </c>
      <c r="L668">
        <f>I668*(1+J668/100)+K668</f>
        <v/>
      </c>
    </row>
    <row r="669">
      <c r="A669" t="inlineStr">
        <is>
          <t>IDEXX</t>
        </is>
      </c>
      <c r="B669" t="inlineStr">
        <is>
          <t>Thyroglobulin Autoantibodies (Canine)</t>
        </is>
      </c>
      <c r="D669" t="inlineStr">
        <is>
          <t>TGAA</t>
        </is>
      </c>
      <c r="E669" t="inlineStr">
        <is>
          <t>2025-01</t>
        </is>
      </c>
      <c r="F669" t="n">
        <v>275.5</v>
      </c>
      <c r="G669" t="n">
        <v>325.09</v>
      </c>
      <c r="H669">
        <f>הגדרות!B4</f>
        <v/>
      </c>
      <c r="I669">
        <f>F669*(1-H669/100)*1.18</f>
        <v/>
      </c>
      <c r="J669">
        <f>הגדרות!C4</f>
        <v/>
      </c>
      <c r="K669">
        <f>הגדרות!D4</f>
        <v/>
      </c>
      <c r="L669">
        <f>I669*(1+J669/100)+K669</f>
        <v/>
      </c>
    </row>
    <row r="670">
      <c r="A670" t="inlineStr">
        <is>
          <t>IDEXX</t>
        </is>
      </c>
      <c r="B670" t="inlineStr">
        <is>
          <t>Tick Panel - PCR on Tick</t>
        </is>
      </c>
      <c r="D670" t="inlineStr">
        <is>
          <t>TIC2</t>
        </is>
      </c>
      <c r="E670" t="inlineStr">
        <is>
          <t>2025-01</t>
        </is>
      </c>
      <c r="F670" t="n">
        <v>667</v>
      </c>
      <c r="G670" t="n">
        <v>787.0599999999999</v>
      </c>
      <c r="H670">
        <f>הגדרות!B4</f>
        <v/>
      </c>
      <c r="I670">
        <f>F670*(1-H670/100)*1.18</f>
        <v/>
      </c>
      <c r="J670">
        <f>הגדרות!C4</f>
        <v/>
      </c>
      <c r="K670">
        <f>הגדרות!D4</f>
        <v/>
      </c>
      <c r="L670">
        <f>I670*(1+J670/100)+K670</f>
        <v/>
      </c>
    </row>
    <row r="671">
      <c r="A671" t="inlineStr">
        <is>
          <t>IDEXX</t>
        </is>
      </c>
      <c r="B671" t="inlineStr">
        <is>
          <t>TLI (Canine)</t>
        </is>
      </c>
      <c r="D671" t="inlineStr">
        <is>
          <t>TLIC</t>
        </is>
      </c>
      <c r="E671" t="inlineStr">
        <is>
          <t>2025-01</t>
        </is>
      </c>
      <c r="F671" t="n">
        <v>342.2</v>
      </c>
      <c r="G671" t="n">
        <v>403.8</v>
      </c>
      <c r="H671">
        <f>הגדרות!B4</f>
        <v/>
      </c>
      <c r="I671">
        <f>F671*(1-H671/100)*1.18</f>
        <v/>
      </c>
      <c r="J671">
        <f>הגדרות!C4</f>
        <v/>
      </c>
      <c r="K671">
        <f>הגדרות!D4</f>
        <v/>
      </c>
      <c r="L671">
        <f>I671*(1+J671/100)+K671</f>
        <v/>
      </c>
    </row>
    <row r="672">
      <c r="A672" t="inlineStr">
        <is>
          <t>IDEXX</t>
        </is>
      </c>
      <c r="B672" t="inlineStr">
        <is>
          <t>TLI (Feline)</t>
        </is>
      </c>
      <c r="D672" t="inlineStr">
        <is>
          <t>TLIF</t>
        </is>
      </c>
      <c r="E672" t="inlineStr">
        <is>
          <t>2025-01</t>
        </is>
      </c>
      <c r="F672" t="n">
        <v>449.5</v>
      </c>
      <c r="G672" t="n">
        <v>530.41</v>
      </c>
      <c r="H672">
        <f>הגדרות!B4</f>
        <v/>
      </c>
      <c r="I672">
        <f>F672*(1-H672/100)*1.18</f>
        <v/>
      </c>
      <c r="J672">
        <f>הגדרות!C4</f>
        <v/>
      </c>
      <c r="K672">
        <f>הגדרות!D4</f>
        <v/>
      </c>
      <c r="L672">
        <f>I672*(1+J672/100)+K672</f>
        <v/>
      </c>
    </row>
    <row r="673">
      <c r="A673" t="inlineStr">
        <is>
          <t>IDEXX</t>
        </is>
      </c>
      <c r="B673" t="inlineStr">
        <is>
          <t>Bovine Trace Mineral Screen</t>
        </is>
      </c>
      <c r="D673" t="inlineStr">
        <is>
          <t>TMIN</t>
        </is>
      </c>
      <c r="E673" t="inlineStr">
        <is>
          <t>2025-01</t>
        </is>
      </c>
      <c r="F673" t="n">
        <v>171.1</v>
      </c>
      <c r="G673" t="n">
        <v>201.9</v>
      </c>
      <c r="H673">
        <f>הגדרות!B4</f>
        <v/>
      </c>
      <c r="I673">
        <f>F673*(1-H673/100)*1.18</f>
        <v/>
      </c>
      <c r="J673">
        <f>הגדרות!C4</f>
        <v/>
      </c>
      <c r="K673">
        <f>הגדרות!D4</f>
        <v/>
      </c>
      <c r="L673">
        <f>I673*(1+J673/100)+K673</f>
        <v/>
      </c>
    </row>
    <row r="674">
      <c r="A674" t="inlineStr">
        <is>
          <t>IDEXX</t>
        </is>
      </c>
      <c r="B674" t="inlineStr">
        <is>
          <t>Troponin I HS</t>
        </is>
      </c>
      <c r="D674" t="inlineStr">
        <is>
          <t>TNI</t>
        </is>
      </c>
      <c r="E674" t="inlineStr">
        <is>
          <t>2025-01</t>
        </is>
      </c>
      <c r="F674" t="n">
        <v>310.3</v>
      </c>
      <c r="G674" t="n">
        <v>366.15</v>
      </c>
      <c r="H674">
        <f>הגדרות!B4</f>
        <v/>
      </c>
      <c r="I674">
        <f>F674*(1-H674/100)*1.18</f>
        <v/>
      </c>
      <c r="J674">
        <f>הגדרות!C4</f>
        <v/>
      </c>
      <c r="K674">
        <f>הגדרות!D4</f>
        <v/>
      </c>
      <c r="L674">
        <f>I674*(1+J674/100)+K674</f>
        <v/>
      </c>
    </row>
    <row r="675">
      <c r="A675" t="inlineStr">
        <is>
          <t>IDEXX</t>
        </is>
      </c>
      <c r="B675" t="inlineStr">
        <is>
          <t>Toxoplasma gondii (DNA) RealPCR™</t>
        </is>
      </c>
      <c r="D675" t="inlineStr">
        <is>
          <t>TOPC</t>
        </is>
      </c>
      <c r="E675" t="inlineStr">
        <is>
          <t>2025-01</t>
        </is>
      </c>
      <c r="F675" t="n">
        <v>368.3</v>
      </c>
      <c r="G675" t="n">
        <v>434.59</v>
      </c>
      <c r="H675">
        <f>הגדרות!B4</f>
        <v/>
      </c>
      <c r="I675">
        <f>F675*(1-H675/100)*1.18</f>
        <v/>
      </c>
      <c r="J675">
        <f>הגדרות!C4</f>
        <v/>
      </c>
      <c r="K675">
        <f>הגדרות!D4</f>
        <v/>
      </c>
      <c r="L675">
        <f>I675*(1+J675/100)+K675</f>
        <v/>
      </c>
    </row>
    <row r="676">
      <c r="A676" t="inlineStr">
        <is>
          <t>IDEXX</t>
        </is>
      </c>
      <c r="B676" t="inlineStr">
        <is>
          <t>Toxoplasma IgG / IgM</t>
        </is>
      </c>
      <c r="D676" t="inlineStr">
        <is>
          <t>TOXC</t>
        </is>
      </c>
      <c r="E676" t="inlineStr">
        <is>
          <t>2025-01</t>
        </is>
      </c>
      <c r="F676" t="n">
        <v>577.1</v>
      </c>
      <c r="G676" t="n">
        <v>680.98</v>
      </c>
      <c r="H676">
        <f>הגדרות!B4</f>
        <v/>
      </c>
      <c r="I676">
        <f>F676*(1-H676/100)*1.18</f>
        <v/>
      </c>
      <c r="J676">
        <f>הגדרות!C4</f>
        <v/>
      </c>
      <c r="K676">
        <f>הגדרות!D4</f>
        <v/>
      </c>
      <c r="L676">
        <f>I676*(1+J676/100)+K676</f>
        <v/>
      </c>
    </row>
    <row r="677">
      <c r="A677" t="inlineStr">
        <is>
          <t>IDEXX</t>
        </is>
      </c>
      <c r="B677" t="inlineStr">
        <is>
          <t>Toxoplasma IgG / IgM</t>
        </is>
      </c>
      <c r="D677" t="inlineStr">
        <is>
          <t>TOXO</t>
        </is>
      </c>
      <c r="E677" t="inlineStr">
        <is>
          <t>2025-01</t>
        </is>
      </c>
      <c r="F677" t="n">
        <v>472.7</v>
      </c>
      <c r="G677" t="n">
        <v>557.79</v>
      </c>
      <c r="H677">
        <f>הגדרות!B4</f>
        <v/>
      </c>
      <c r="I677">
        <f>F677*(1-H677/100)*1.18</f>
        <v/>
      </c>
      <c r="J677">
        <f>הגדרות!C4</f>
        <v/>
      </c>
      <c r="K677">
        <f>הגדרות!D4</f>
        <v/>
      </c>
      <c r="L677">
        <f>I677*(1+J677/100)+K677</f>
        <v/>
      </c>
    </row>
    <row r="678">
      <c r="A678" t="inlineStr">
        <is>
          <t>IDEXX</t>
        </is>
      </c>
      <c r="B678" t="inlineStr">
        <is>
          <t>Total Protein</t>
        </is>
      </c>
      <c r="D678" t="inlineStr">
        <is>
          <t>TP</t>
        </is>
      </c>
      <c r="E678" t="inlineStr">
        <is>
          <t>2025-01</t>
        </is>
      </c>
      <c r="F678" t="n">
        <v>63.8</v>
      </c>
      <c r="G678" t="n">
        <v>75.28</v>
      </c>
      <c r="H678">
        <f>הגדרות!B4</f>
        <v/>
      </c>
      <c r="I678">
        <f>F678*(1-H678/100)*1.18</f>
        <v/>
      </c>
      <c r="J678">
        <f>הגדרות!C4</f>
        <v/>
      </c>
      <c r="K678">
        <f>הגדרות!D4</f>
        <v/>
      </c>
      <c r="L678">
        <f>I678*(1+J678/100)+K678</f>
        <v/>
      </c>
    </row>
    <row r="679">
      <c r="A679" t="inlineStr">
        <is>
          <t>IDEXX</t>
        </is>
      </c>
      <c r="B679" t="inlineStr">
        <is>
          <t>Canine Travel Disease Profile - Recent travel</t>
        </is>
      </c>
      <c r="D679" t="inlineStr">
        <is>
          <t>TRA</t>
        </is>
      </c>
      <c r="E679" t="inlineStr">
        <is>
          <t>2025-01</t>
        </is>
      </c>
      <c r="F679" t="n">
        <v>968.6</v>
      </c>
      <c r="G679" t="n">
        <v>1142.95</v>
      </c>
      <c r="H679">
        <f>הגדרות!B4</f>
        <v/>
      </c>
      <c r="I679">
        <f>F679*(1-H679/100)*1.18</f>
        <v/>
      </c>
      <c r="J679">
        <f>הגדרות!C4</f>
        <v/>
      </c>
      <c r="K679">
        <f>הגדרות!D4</f>
        <v/>
      </c>
      <c r="L679">
        <f>I679*(1+J679/100)+K679</f>
        <v/>
      </c>
    </row>
    <row r="680">
      <c r="A680" t="inlineStr">
        <is>
          <t>IDEXX</t>
        </is>
      </c>
      <c r="B680" t="inlineStr">
        <is>
          <t>Treponema Cuniculi PCR</t>
        </is>
      </c>
      <c r="D680" t="inlineStr">
        <is>
          <t>TREPP</t>
        </is>
      </c>
      <c r="E680" t="inlineStr">
        <is>
          <t>2025-01</t>
        </is>
      </c>
      <c r="F680" t="n">
        <v>368.3</v>
      </c>
      <c r="G680" t="n">
        <v>434.59</v>
      </c>
      <c r="H680">
        <f>הגדרות!B4</f>
        <v/>
      </c>
      <c r="I680">
        <f>F680*(1-H680/100)*1.18</f>
        <v/>
      </c>
      <c r="J680">
        <f>הגדרות!C4</f>
        <v/>
      </c>
      <c r="K680">
        <f>הגדרות!D4</f>
        <v/>
      </c>
      <c r="L680">
        <f>I680*(1+J680/100)+K680</f>
        <v/>
      </c>
    </row>
    <row r="681">
      <c r="A681" t="inlineStr">
        <is>
          <t>IDEXX</t>
        </is>
      </c>
      <c r="B681" t="inlineStr">
        <is>
          <t>TSH (Canine) - Add-On</t>
        </is>
      </c>
      <c r="D681" t="inlineStr">
        <is>
          <t>TSHA</t>
        </is>
      </c>
      <c r="E681" t="inlineStr">
        <is>
          <t>2025-01</t>
        </is>
      </c>
      <c r="F681" t="n">
        <v>130.5</v>
      </c>
      <c r="G681" t="n">
        <v>153.99</v>
      </c>
      <c r="H681">
        <f>הגדרות!B4</f>
        <v/>
      </c>
      <c r="I681">
        <f>F681*(1-H681/100)*1.18</f>
        <v/>
      </c>
      <c r="J681">
        <f>הגדרות!C4</f>
        <v/>
      </c>
      <c r="K681">
        <f>הגדרות!D4</f>
        <v/>
      </c>
      <c r="L681">
        <f>I681*(1+J681/100)+K681</f>
        <v/>
      </c>
    </row>
    <row r="682">
      <c r="A682" t="inlineStr">
        <is>
          <t>IDEXX</t>
        </is>
      </c>
      <c r="B682" t="inlineStr">
        <is>
          <t>Canine TSH</t>
        </is>
      </c>
      <c r="D682" t="inlineStr">
        <is>
          <t>TSHS</t>
        </is>
      </c>
      <c r="E682" t="inlineStr">
        <is>
          <t>2025-01</t>
        </is>
      </c>
      <c r="F682" t="n">
        <v>217.5</v>
      </c>
      <c r="G682" t="n">
        <v>256.65</v>
      </c>
      <c r="H682">
        <f>הגדרות!B4</f>
        <v/>
      </c>
      <c r="I682">
        <f>F682*(1-H682/100)*1.18</f>
        <v/>
      </c>
      <c r="J682">
        <f>הגדרות!C4</f>
        <v/>
      </c>
      <c r="K682">
        <f>הגדרות!D4</f>
        <v/>
      </c>
      <c r="L682">
        <f>I682*(1+J682/100)+K682</f>
        <v/>
      </c>
    </row>
    <row r="683">
      <c r="A683" t="inlineStr">
        <is>
          <t>IDEXX</t>
        </is>
      </c>
      <c r="B683" t="inlineStr">
        <is>
          <t>Tritrichomonas foetus (DNA) RealPCR™</t>
        </is>
      </c>
      <c r="D683" t="inlineStr">
        <is>
          <t>TTFF</t>
        </is>
      </c>
      <c r="E683" t="inlineStr">
        <is>
          <t>2025-01</t>
        </is>
      </c>
      <c r="F683" t="n">
        <v>368.3</v>
      </c>
      <c r="G683" t="n">
        <v>434.59</v>
      </c>
      <c r="H683">
        <f>הגדרות!B4</f>
        <v/>
      </c>
      <c r="I683">
        <f>F683*(1-H683/100)*1.18</f>
        <v/>
      </c>
      <c r="J683">
        <f>הגדרות!C4</f>
        <v/>
      </c>
      <c r="K683">
        <f>הגדרות!D4</f>
        <v/>
      </c>
      <c r="L683">
        <f>I683*(1+J683/100)+K683</f>
        <v/>
      </c>
    </row>
    <row r="684">
      <c r="A684" t="inlineStr">
        <is>
          <t>IDEXX</t>
        </is>
      </c>
      <c r="B684" t="inlineStr">
        <is>
          <t>Urine Cortisol : Creatinine Ratio (Canine/Feline)</t>
        </is>
      </c>
      <c r="D684" t="inlineStr">
        <is>
          <t>UCCR</t>
        </is>
      </c>
      <c r="E684" t="inlineStr">
        <is>
          <t>2025-01</t>
        </is>
      </c>
      <c r="F684" t="n">
        <v>408.9</v>
      </c>
      <c r="G684" t="n">
        <v>482.5</v>
      </c>
      <c r="H684">
        <f>הגדרות!B4</f>
        <v/>
      </c>
      <c r="I684">
        <f>F684*(1-H684/100)*1.18</f>
        <v/>
      </c>
      <c r="J684">
        <f>הגדרות!C4</f>
        <v/>
      </c>
      <c r="K684">
        <f>הגדרות!D4</f>
        <v/>
      </c>
      <c r="L684">
        <f>I684*(1+J684/100)+K684</f>
        <v/>
      </c>
    </row>
    <row r="685">
      <c r="A685" t="inlineStr">
        <is>
          <t>IDEXX</t>
        </is>
      </c>
      <c r="B685" t="inlineStr">
        <is>
          <t>Urine Deposit Microscopy</t>
        </is>
      </c>
      <c r="D685" t="inlineStr">
        <is>
          <t>UCD</t>
        </is>
      </c>
      <c r="E685" t="inlineStr">
        <is>
          <t>2025-01</t>
        </is>
      </c>
      <c r="F685" t="n">
        <v>179.8</v>
      </c>
      <c r="G685" t="n">
        <v>212.16</v>
      </c>
      <c r="H685">
        <f>הגדרות!B4</f>
        <v/>
      </c>
      <c r="I685">
        <f>F685*(1-H685/100)*1.18</f>
        <v/>
      </c>
      <c r="J685">
        <f>הגדרות!C4</f>
        <v/>
      </c>
      <c r="K685">
        <f>הגדרות!D4</f>
        <v/>
      </c>
      <c r="L685">
        <f>I685*(1+J685/100)+K685</f>
        <v/>
      </c>
    </row>
    <row r="686">
      <c r="A686" t="inlineStr">
        <is>
          <t>IDEXX</t>
        </is>
      </c>
      <c r="B686" t="inlineStr">
        <is>
          <t>Basic Urine Screen</t>
        </is>
      </c>
      <c r="D686" t="inlineStr">
        <is>
          <t>UCE</t>
        </is>
      </c>
      <c r="E686" t="inlineStr">
        <is>
          <t>2025-01</t>
        </is>
      </c>
      <c r="F686" t="n">
        <v>374.1</v>
      </c>
      <c r="G686" t="n">
        <v>441.44</v>
      </c>
      <c r="H686">
        <f>הגדרות!B4</f>
        <v/>
      </c>
      <c r="I686">
        <f>F686*(1-H686/100)*1.18</f>
        <v/>
      </c>
      <c r="J686">
        <f>הגדרות!C4</f>
        <v/>
      </c>
      <c r="K686">
        <f>הגדרות!D4</f>
        <v/>
      </c>
      <c r="L686">
        <f>I686*(1+J686/100)+K686</f>
        <v/>
      </c>
    </row>
    <row r="687">
      <c r="A687" t="inlineStr">
        <is>
          <t>IDEXX</t>
        </is>
      </c>
      <c r="B687" t="inlineStr">
        <is>
          <t>Comprehensive Urine Screen</t>
        </is>
      </c>
      <c r="D687" t="inlineStr">
        <is>
          <t>UCEC</t>
        </is>
      </c>
      <c r="E687" t="inlineStr">
        <is>
          <t>2025-01</t>
        </is>
      </c>
      <c r="F687" t="n">
        <v>722.1</v>
      </c>
      <c r="G687" t="n">
        <v>852.08</v>
      </c>
      <c r="H687">
        <f>הגדרות!B4</f>
        <v/>
      </c>
      <c r="I687">
        <f>F687*(1-H687/100)*1.18</f>
        <v/>
      </c>
      <c r="J687">
        <f>הגדרות!C4</f>
        <v/>
      </c>
      <c r="K687">
        <f>הגדרות!D4</f>
        <v/>
      </c>
      <c r="L687">
        <f>I687*(1+J687/100)+K687</f>
        <v/>
      </c>
    </row>
    <row r="688">
      <c r="A688" t="inlineStr">
        <is>
          <t>IDEXX</t>
        </is>
      </c>
      <c r="B688" t="inlineStr">
        <is>
          <t>Premium Urine Screen</t>
        </is>
      </c>
      <c r="D688" t="inlineStr">
        <is>
          <t>UCECP</t>
        </is>
      </c>
      <c r="E688" t="inlineStr">
        <is>
          <t>2025-01</t>
        </is>
      </c>
      <c r="F688" t="n">
        <v>838.1</v>
      </c>
      <c r="G688" t="n">
        <v>988.96</v>
      </c>
      <c r="H688">
        <f>הגדרות!B4</f>
        <v/>
      </c>
      <c r="I688">
        <f>F688*(1-H688/100)*1.18</f>
        <v/>
      </c>
      <c r="J688">
        <f>הגדרות!C4</f>
        <v/>
      </c>
      <c r="K688">
        <f>הגדרות!D4</f>
        <v/>
      </c>
      <c r="L688">
        <f>I688*(1+J688/100)+K688</f>
        <v/>
      </c>
    </row>
    <row r="689">
      <c r="A689" t="inlineStr">
        <is>
          <t>IDEXX</t>
        </is>
      </c>
      <c r="B689" t="inlineStr">
        <is>
          <t>Extended Basic Urine Screen</t>
        </is>
      </c>
      <c r="D689" t="inlineStr">
        <is>
          <t>UCEP</t>
        </is>
      </c>
      <c r="E689" t="inlineStr">
        <is>
          <t>2025-01</t>
        </is>
      </c>
      <c r="F689" t="n">
        <v>464</v>
      </c>
      <c r="G689" t="n">
        <v>547.52</v>
      </c>
      <c r="H689">
        <f>הגדרות!B4</f>
        <v/>
      </c>
      <c r="I689">
        <f>F689*(1-H689/100)*1.18</f>
        <v/>
      </c>
      <c r="J689">
        <f>הגדרות!C4</f>
        <v/>
      </c>
      <c r="K689">
        <f>הגדרות!D4</f>
        <v/>
      </c>
      <c r="L689">
        <f>I689*(1+J689/100)+K689</f>
        <v/>
      </c>
    </row>
    <row r="690">
      <c r="A690" t="inlineStr">
        <is>
          <t>IDEXX</t>
        </is>
      </c>
      <c r="B690" t="inlineStr">
        <is>
          <t>Urine Culture &amp; Sensitivity</t>
        </is>
      </c>
      <c r="D690" t="inlineStr">
        <is>
          <t>UCUL</t>
        </is>
      </c>
      <c r="E690" t="inlineStr">
        <is>
          <t>2025-01</t>
        </is>
      </c>
      <c r="F690" t="n">
        <v>327.7</v>
      </c>
      <c r="G690" t="n">
        <v>386.69</v>
      </c>
      <c r="H690">
        <f>הגדרות!B4</f>
        <v/>
      </c>
      <c r="I690">
        <f>F690*(1-H690/100)*1.18</f>
        <v/>
      </c>
      <c r="J690">
        <f>הגדרות!C4</f>
        <v/>
      </c>
      <c r="K690">
        <f>הגדרות!D4</f>
        <v/>
      </c>
      <c r="L690">
        <f>I690*(1+J690/100)+K690</f>
        <v/>
      </c>
    </row>
    <row r="691">
      <c r="A691" t="inlineStr">
        <is>
          <t>IDEXX</t>
        </is>
      </c>
      <c r="B691" t="inlineStr">
        <is>
          <t>Urine Cytology</t>
        </is>
      </c>
      <c r="D691" t="inlineStr">
        <is>
          <t>UCYT</t>
        </is>
      </c>
      <c r="E691" t="inlineStr">
        <is>
          <t>2025-01</t>
        </is>
      </c>
      <c r="F691" t="n">
        <v>626.4</v>
      </c>
      <c r="G691" t="n">
        <v>739.15</v>
      </c>
      <c r="H691">
        <f>הגדרות!B4</f>
        <v/>
      </c>
      <c r="I691">
        <f>F691*(1-H691/100)*1.18</f>
        <v/>
      </c>
      <c r="J691">
        <f>הגדרות!C4</f>
        <v/>
      </c>
      <c r="K691">
        <f>הגדרות!D4</f>
        <v/>
      </c>
      <c r="L691">
        <f>I691*(1+J691/100)+K691</f>
        <v/>
      </c>
    </row>
    <row r="692">
      <c r="A692" t="inlineStr">
        <is>
          <t>IDEXX</t>
        </is>
      </c>
      <c r="B692" t="inlineStr">
        <is>
          <t>Urine Chemistry &amp; Deposit Microscopy</t>
        </is>
      </c>
      <c r="D692" t="inlineStr">
        <is>
          <t>UENC</t>
        </is>
      </c>
      <c r="E692" t="inlineStr">
        <is>
          <t>2025-01</t>
        </is>
      </c>
      <c r="F692" t="n">
        <v>243.6</v>
      </c>
      <c r="G692" t="n">
        <v>287.45</v>
      </c>
      <c r="H692">
        <f>הגדרות!B4</f>
        <v/>
      </c>
      <c r="I692">
        <f>F692*(1-H692/100)*1.18</f>
        <v/>
      </c>
      <c r="J692">
        <f>הגדרות!C4</f>
        <v/>
      </c>
      <c r="K692">
        <f>הגדרות!D4</f>
        <v/>
      </c>
      <c r="L692">
        <f>I692*(1+J692/100)+K692</f>
        <v/>
      </c>
    </row>
    <row r="693">
      <c r="A693" t="inlineStr">
        <is>
          <t>IDEXX</t>
        </is>
      </c>
      <c r="B693" t="inlineStr">
        <is>
          <t>Fast Track Histology For Urgent Cases</t>
        </is>
      </c>
      <c r="D693" t="inlineStr">
        <is>
          <t>UHIS</t>
        </is>
      </c>
      <c r="E693" t="inlineStr">
        <is>
          <t>2025-01</t>
        </is>
      </c>
      <c r="F693" t="n">
        <v>243.6</v>
      </c>
      <c r="G693" t="n">
        <v>287.45</v>
      </c>
      <c r="H693">
        <f>הגדרות!B4</f>
        <v/>
      </c>
      <c r="I693">
        <f>F693*(1-H693/100)*1.18</f>
        <v/>
      </c>
      <c r="J693">
        <f>הגדרות!C4</f>
        <v/>
      </c>
      <c r="K693">
        <f>הגדרות!D4</f>
        <v/>
      </c>
      <c r="L693">
        <f>I693*(1+J693/100)+K693</f>
        <v/>
      </c>
    </row>
    <row r="694">
      <c r="A694" t="inlineStr">
        <is>
          <t>IDEXX</t>
        </is>
      </c>
      <c r="B694" t="inlineStr">
        <is>
          <t>Protein Electrophoresis (Urine)</t>
        </is>
      </c>
      <c r="D694" t="inlineStr">
        <is>
          <t>UPE</t>
        </is>
      </c>
      <c r="E694" t="inlineStr">
        <is>
          <t>2025-01</t>
        </is>
      </c>
      <c r="F694" t="n">
        <v>316.1</v>
      </c>
      <c r="G694" t="n">
        <v>373</v>
      </c>
      <c r="H694">
        <f>הגדרות!B4</f>
        <v/>
      </c>
      <c r="I694">
        <f>F694*(1-H694/100)*1.18</f>
        <v/>
      </c>
      <c r="J694">
        <f>הגדרות!C4</f>
        <v/>
      </c>
      <c r="K694">
        <f>הגדרות!D4</f>
        <v/>
      </c>
      <c r="L694">
        <f>I694*(1+J694/100)+K694</f>
        <v/>
      </c>
    </row>
    <row r="695">
      <c r="A695" t="inlineStr">
        <is>
          <t>IDEXX</t>
        </is>
      </c>
      <c r="B695" t="inlineStr">
        <is>
          <t>Free T4 (Immunoassay)</t>
        </is>
      </c>
      <c r="D695" t="inlineStr">
        <is>
          <t>VFT4</t>
        </is>
      </c>
      <c r="E695" t="inlineStr">
        <is>
          <t>2025-01</t>
        </is>
      </c>
      <c r="F695" t="n">
        <v>292.9</v>
      </c>
      <c r="G695" t="n">
        <v>345.62</v>
      </c>
      <c r="H695">
        <f>הגדרות!B4</f>
        <v/>
      </c>
      <c r="I695">
        <f>F695*(1-H695/100)*1.18</f>
        <v/>
      </c>
      <c r="J695">
        <f>הגדרות!C4</f>
        <v/>
      </c>
      <c r="K695">
        <f>הגדרות!D4</f>
        <v/>
      </c>
      <c r="L695">
        <f>I695*(1+J695/100)+K695</f>
        <v/>
      </c>
    </row>
    <row r="696">
      <c r="A696" t="inlineStr">
        <is>
          <t>IDEXX</t>
        </is>
      </c>
      <c r="B696" t="inlineStr">
        <is>
          <t>Von Willebrand‘s Factor</t>
        </is>
      </c>
      <c r="D696" t="inlineStr">
        <is>
          <t>VON</t>
        </is>
      </c>
      <c r="E696" t="inlineStr">
        <is>
          <t>2025-01</t>
        </is>
      </c>
      <c r="F696" t="n">
        <v>1023.7</v>
      </c>
      <c r="G696" t="n">
        <v>1207.97</v>
      </c>
      <c r="H696">
        <f>הגדרות!B4</f>
        <v/>
      </c>
      <c r="I696">
        <f>F696*(1-H696/100)*1.18</f>
        <v/>
      </c>
      <c r="J696">
        <f>הגדרות!C4</f>
        <v/>
      </c>
      <c r="K696">
        <f>הגדרות!D4</f>
        <v/>
      </c>
      <c r="L696">
        <f>I696*(1+J696/100)+K696</f>
        <v/>
      </c>
    </row>
    <row r="697">
      <c r="A697" t="inlineStr">
        <is>
          <t>IDEXX</t>
        </is>
      </c>
      <c r="B697" t="inlineStr">
        <is>
          <t>Von Willebrand Disease PCR (Canine)</t>
        </is>
      </c>
      <c r="D697" t="inlineStr">
        <is>
          <t>VONP</t>
        </is>
      </c>
      <c r="E697" t="inlineStr">
        <is>
          <t>2025-01</t>
        </is>
      </c>
      <c r="F697" t="n">
        <v>371.2</v>
      </c>
      <c r="G697" t="n">
        <v>438.02</v>
      </c>
      <c r="H697">
        <f>הגדרות!B4</f>
        <v/>
      </c>
      <c r="I697">
        <f>F697*(1-H697/100)*1.18</f>
        <v/>
      </c>
      <c r="J697">
        <f>הגדרות!C4</f>
        <v/>
      </c>
      <c r="K697">
        <f>הגדרות!D4</f>
        <v/>
      </c>
      <c r="L697">
        <f>I697*(1+J697/100)+K697</f>
        <v/>
      </c>
    </row>
    <row r="698">
      <c r="A698" t="inlineStr">
        <is>
          <t>IDEXX</t>
        </is>
      </c>
      <c r="B698" t="inlineStr">
        <is>
          <t>Flush/Wash/Cystic Fluid Cytology - 1 Fluid/Site</t>
        </is>
      </c>
      <c r="D698" t="inlineStr">
        <is>
          <t>WASH</t>
        </is>
      </c>
      <c r="E698" t="inlineStr">
        <is>
          <t>2025-01</t>
        </is>
      </c>
      <c r="F698" t="n">
        <v>652.5</v>
      </c>
      <c r="G698" t="n">
        <v>769.95</v>
      </c>
      <c r="H698">
        <f>הגדרות!B4</f>
        <v/>
      </c>
      <c r="I698">
        <f>F698*(1-H698/100)*1.18</f>
        <v/>
      </c>
      <c r="J698">
        <f>הגדרות!C4</f>
        <v/>
      </c>
      <c r="K698">
        <f>הגדרות!D4</f>
        <v/>
      </c>
      <c r="L698">
        <f>I698*(1+J698/100)+K698</f>
        <v/>
      </c>
    </row>
    <row r="699">
      <c r="A699" t="inlineStr">
        <is>
          <t>IDEXX</t>
        </is>
      </c>
      <c r="B699" t="inlineStr">
        <is>
          <t>Flush/Wash/Cystic Fluid Cytology - 2 Fluids/Sites</t>
        </is>
      </c>
      <c r="D699" t="inlineStr">
        <is>
          <t>WASH2</t>
        </is>
      </c>
      <c r="E699" t="inlineStr">
        <is>
          <t>2025-01</t>
        </is>
      </c>
      <c r="F699" t="n">
        <v>739.5</v>
      </c>
      <c r="G699" t="n">
        <v>872.61</v>
      </c>
      <c r="H699">
        <f>הגדרות!B4</f>
        <v/>
      </c>
      <c r="I699">
        <f>F699*(1-H699/100)*1.18</f>
        <v/>
      </c>
      <c r="J699">
        <f>הגדרות!C4</f>
        <v/>
      </c>
      <c r="K699">
        <f>הגדרות!D4</f>
        <v/>
      </c>
      <c r="L699">
        <f>I699*(1+J699/100)+K699</f>
        <v/>
      </c>
    </row>
    <row r="700">
      <c r="A700" t="inlineStr">
        <is>
          <t>IDEXX</t>
        </is>
      </c>
      <c r="B700" t="inlineStr">
        <is>
          <t>Flush/Wash/Cystic Fluid Cytology - 3 or more Fluids/S</t>
        </is>
      </c>
      <c r="D700" t="inlineStr">
        <is>
          <t>WiteAsSH3</t>
        </is>
      </c>
      <c r="E700" t="inlineStr">
        <is>
          <t>2025-01</t>
        </is>
      </c>
      <c r="F700" t="n">
        <v>826.5</v>
      </c>
      <c r="G700" t="n">
        <v>975.27</v>
      </c>
      <c r="H700">
        <f>הגדרות!B4</f>
        <v/>
      </c>
      <c r="I700">
        <f>F700*(1-H700/100)*1.18</f>
        <v/>
      </c>
      <c r="J700">
        <f>הגדרות!C4</f>
        <v/>
      </c>
      <c r="K700">
        <f>הגדרות!D4</f>
        <v/>
      </c>
      <c r="L700">
        <f>I700*(1+J700/100)+K700</f>
        <v/>
      </c>
    </row>
    <row r="701">
      <c r="A701" t="inlineStr">
        <is>
          <t>IDEXX</t>
        </is>
      </c>
      <c r="B701" t="inlineStr">
        <is>
          <t>Worm Egg Count</t>
        </is>
      </c>
      <c r="D701" t="inlineStr">
        <is>
          <t>WEC</t>
        </is>
      </c>
      <c r="E701" t="inlineStr">
        <is>
          <t>2025-01</t>
        </is>
      </c>
      <c r="F701" t="n">
        <v>159.5</v>
      </c>
      <c r="G701" t="n">
        <v>188.21</v>
      </c>
      <c r="H701">
        <f>הגדרות!B4</f>
        <v/>
      </c>
      <c r="I701">
        <f>F701*(1-H701/100)*1.18</f>
        <v/>
      </c>
      <c r="J701">
        <f>הגדרות!C4</f>
        <v/>
      </c>
      <c r="K701">
        <f>הגדרות!D4</f>
        <v/>
      </c>
      <c r="L701">
        <f>I701*(1+J701/100)+K701</f>
        <v/>
      </c>
    </row>
    <row r="702">
      <c r="A702" t="inlineStr">
        <is>
          <t>IDEXX</t>
        </is>
      </c>
      <c r="B702" t="inlineStr">
        <is>
          <t>Cross Match Single donor</t>
        </is>
      </c>
      <c r="D702" t="inlineStr">
        <is>
          <t>XM</t>
        </is>
      </c>
      <c r="E702" t="inlineStr">
        <is>
          <t>2025-01</t>
        </is>
      </c>
      <c r="F702" t="n">
        <v>510.4</v>
      </c>
      <c r="G702" t="n">
        <v>602.27</v>
      </c>
      <c r="H702">
        <f>הגדרות!B4</f>
        <v/>
      </c>
      <c r="I702">
        <f>F702*(1-H702/100)*1.18</f>
        <v/>
      </c>
      <c r="J702">
        <f>הגדרות!C4</f>
        <v/>
      </c>
      <c r="K702">
        <f>הגדרות!D4</f>
        <v/>
      </c>
      <c r="L702">
        <f>I702*(1+J702/100)+K702</f>
        <v/>
      </c>
    </row>
    <row r="703">
      <c r="A703" t="inlineStr">
        <is>
          <t>IDEXX</t>
        </is>
      </c>
      <c r="B703" t="inlineStr">
        <is>
          <t>Cross Match Additional Donor(s)</t>
        </is>
      </c>
      <c r="D703" t="inlineStr">
        <is>
          <t>XMAD</t>
        </is>
      </c>
      <c r="E703" t="inlineStr">
        <is>
          <t>2025-01</t>
        </is>
      </c>
      <c r="F703" t="n">
        <v>403.1</v>
      </c>
      <c r="G703" t="n">
        <v>475.66</v>
      </c>
      <c r="H703">
        <f>הגדרות!B4</f>
        <v/>
      </c>
      <c r="I703">
        <f>F703*(1-H703/100)*1.18</f>
        <v/>
      </c>
      <c r="J703">
        <f>הגדרות!C4</f>
        <v/>
      </c>
      <c r="K703">
        <f>הגדרות!D4</f>
        <v/>
      </c>
      <c r="L703">
        <f>I703*(1+J703/100)+K703</f>
        <v/>
      </c>
    </row>
    <row r="704">
      <c r="A704" t="inlineStr">
        <is>
          <t>IDEXX</t>
        </is>
      </c>
      <c r="B704" t="inlineStr">
        <is>
          <t>Zinc (Equine)</t>
        </is>
      </c>
      <c r="D704" t="inlineStr">
        <is>
          <t>ZINCE</t>
        </is>
      </c>
      <c r="E704" t="inlineStr">
        <is>
          <t>2025-01</t>
        </is>
      </c>
      <c r="F704" t="n">
        <v>310.3</v>
      </c>
      <c r="G704" t="n">
        <v>366.15</v>
      </c>
      <c r="H704">
        <f>הגדרות!B4</f>
        <v/>
      </c>
      <c r="I704">
        <f>F704*(1-H704/100)*1.18</f>
        <v/>
      </c>
      <c r="J704">
        <f>הגדרות!C4</f>
        <v/>
      </c>
      <c r="K704">
        <f>הגדרות!D4</f>
        <v/>
      </c>
      <c r="L704">
        <f>I704*(1+J704/100)+K704</f>
        <v/>
      </c>
    </row>
    <row r="705">
      <c r="A705" t="inlineStr">
        <is>
          <t>IDEXX</t>
        </is>
      </c>
      <c r="B705" t="inlineStr">
        <is>
          <t>Zinc</t>
        </is>
      </c>
      <c r="D705" t="inlineStr">
        <is>
          <t>ZN</t>
        </is>
      </c>
      <c r="E705" t="inlineStr">
        <is>
          <t>2025-01</t>
        </is>
      </c>
      <c r="F705" t="n">
        <v>310.3</v>
      </c>
      <c r="G705" t="n">
        <v>366.15</v>
      </c>
      <c r="H705">
        <f>הגדרות!B4</f>
        <v/>
      </c>
      <c r="I705">
        <f>F705*(1-H705/100)*1.18</f>
        <v/>
      </c>
      <c r="J705">
        <f>הגדרות!C4</f>
        <v/>
      </c>
      <c r="K705">
        <f>הגדרות!D4</f>
        <v/>
      </c>
      <c r="L705">
        <f>I705*(1+J705/100)+K705</f>
        <v/>
      </c>
    </row>
    <row r="706">
      <c r="A706" t="inlineStr">
        <is>
          <t>IDEXX</t>
        </is>
      </c>
      <c r="B706" t="inlineStr">
        <is>
          <t>Zoonosis Package 2</t>
        </is>
      </c>
      <c r="D706" t="inlineStr">
        <is>
          <t>ZP2</t>
        </is>
      </c>
      <c r="E706" t="inlineStr">
        <is>
          <t>2025-01</t>
        </is>
      </c>
      <c r="F706" t="n">
        <v>719.2</v>
      </c>
      <c r="G706" t="n">
        <v>848.66</v>
      </c>
      <c r="H706">
        <f>הגדרות!B4</f>
        <v/>
      </c>
      <c r="I706">
        <f>F706*(1-H706/100)*1.18</f>
        <v/>
      </c>
      <c r="J706">
        <f>הגדרות!C4</f>
        <v/>
      </c>
      <c r="K706">
        <f>הגדרות!D4</f>
        <v/>
      </c>
      <c r="L706">
        <f>I706*(1+J706/100)+K706</f>
        <v/>
      </c>
    </row>
    <row r="707">
      <c r="A707" t="inlineStr">
        <is>
          <t>קרניאלי</t>
        </is>
      </c>
      <c r="B707" t="inlineStr">
        <is>
          <t>פאנל מחלות זואונוטיות</t>
        </is>
      </c>
      <c r="C707" t="inlineStr">
        <is>
          <t>פאנלים - עופות</t>
        </is>
      </c>
      <c r="E707" t="inlineStr">
        <is>
          <t>2025-01</t>
        </is>
      </c>
      <c r="F707" t="n">
        <v>160.68</v>
      </c>
      <c r="G707" t="n">
        <v>189.6</v>
      </c>
      <c r="H707">
        <f>הגדרות!B5</f>
        <v/>
      </c>
      <c r="I707">
        <f>F707*(1-H707/100)*1.18</f>
        <v/>
      </c>
      <c r="J707">
        <f>הגדרות!C5</f>
        <v/>
      </c>
      <c r="K707">
        <f>הגדרות!D5</f>
        <v/>
      </c>
      <c r="L707">
        <f>I707*(1+J707/100)+K707</f>
        <v/>
      </c>
    </row>
    <row r="708">
      <c r="A708" t="inlineStr">
        <is>
          <t>קרניאלי</t>
        </is>
      </c>
      <c r="B708" t="inlineStr">
        <is>
          <t>פאנל מערכת נשימה</t>
        </is>
      </c>
      <c r="C708" t="inlineStr">
        <is>
          <t>פאנלים - עופות</t>
        </is>
      </c>
      <c r="E708" t="inlineStr">
        <is>
          <t>2025-01</t>
        </is>
      </c>
      <c r="F708" t="n">
        <v>160.68</v>
      </c>
      <c r="G708" t="n">
        <v>189.6</v>
      </c>
      <c r="H708">
        <f>הגדרות!B5</f>
        <v/>
      </c>
      <c r="I708">
        <f>F708*(1-H708/100)*1.18</f>
        <v/>
      </c>
      <c r="J708">
        <f>הגדרות!C5</f>
        <v/>
      </c>
      <c r="K708">
        <f>הגדרות!D5</f>
        <v/>
      </c>
      <c r="L708">
        <f>I708*(1+J708/100)+K708</f>
        <v/>
      </c>
    </row>
    <row r="709">
      <c r="A709" t="inlineStr">
        <is>
          <t>קרניאלי</t>
        </is>
      </c>
      <c r="B709" t="inlineStr">
        <is>
          <t>פאנל שלשולים</t>
        </is>
      </c>
      <c r="C709" t="inlineStr">
        <is>
          <t>פאנלים - כלבים</t>
        </is>
      </c>
      <c r="E709" t="inlineStr">
        <is>
          <t>2025-01</t>
        </is>
      </c>
      <c r="F709" t="n">
        <v>602.5599999999999</v>
      </c>
      <c r="G709" t="n">
        <v>711.02</v>
      </c>
      <c r="H709">
        <f>הגדרות!B5</f>
        <v/>
      </c>
      <c r="I709">
        <f>F709*(1-H709/100)*1.18</f>
        <v/>
      </c>
      <c r="J709">
        <f>הגדרות!C5</f>
        <v/>
      </c>
      <c r="K709">
        <f>הגדרות!D5</f>
        <v/>
      </c>
      <c r="L709">
        <f>I709*(1+J709/100)+K709</f>
        <v/>
      </c>
    </row>
    <row r="710">
      <c r="A710" t="inlineStr">
        <is>
          <t>קרניאלי</t>
        </is>
      </c>
      <c r="B710" t="inlineStr">
        <is>
          <t>פאנל שלשולים מצומצם</t>
        </is>
      </c>
      <c r="C710" t="inlineStr">
        <is>
          <t>פאנלים - כלבים</t>
        </is>
      </c>
      <c r="E710" t="inlineStr">
        <is>
          <t>2025-01</t>
        </is>
      </c>
      <c r="F710" t="n">
        <v>367.52</v>
      </c>
      <c r="G710" t="n">
        <v>433.67</v>
      </c>
      <c r="H710">
        <f>הגדרות!B5</f>
        <v/>
      </c>
      <c r="I710">
        <f>F710*(1-H710/100)*1.18</f>
        <v/>
      </c>
      <c r="J710">
        <f>הגדרות!C5</f>
        <v/>
      </c>
      <c r="K710">
        <f>הגדרות!D5</f>
        <v/>
      </c>
      <c r="L710">
        <f>I710*(1+J710/100)+K710</f>
        <v/>
      </c>
    </row>
    <row r="711">
      <c r="A711" t="inlineStr">
        <is>
          <t>קרניאלי</t>
        </is>
      </c>
      <c r="B711" t="inlineStr">
        <is>
          <t>פאנל טפילי דם</t>
        </is>
      </c>
      <c r="C711" t="inlineStr">
        <is>
          <t>פאנלים - כלבים</t>
        </is>
      </c>
      <c r="E711" t="inlineStr">
        <is>
          <t>2025-01</t>
        </is>
      </c>
      <c r="F711" t="n">
        <v>405.98</v>
      </c>
      <c r="G711" t="n">
        <v>479.06</v>
      </c>
      <c r="H711">
        <f>הגדרות!B5</f>
        <v/>
      </c>
      <c r="I711">
        <f>F711*(1-H711/100)*1.18</f>
        <v/>
      </c>
      <c r="J711">
        <f>הגדרות!C5</f>
        <v/>
      </c>
      <c r="K711">
        <f>הגדרות!D5</f>
        <v/>
      </c>
      <c r="L711">
        <f>I711*(1+J711/100)+K711</f>
        <v/>
      </c>
    </row>
    <row r="712">
      <c r="A712" t="inlineStr">
        <is>
          <t>קרניאלי</t>
        </is>
      </c>
      <c r="B712" t="inlineStr">
        <is>
          <t>פאנל מחלות זואונוטיות</t>
        </is>
      </c>
      <c r="C712" t="inlineStr">
        <is>
          <t>פאנלים - חתולים</t>
        </is>
      </c>
      <c r="E712" t="inlineStr">
        <is>
          <t>2025-01</t>
        </is>
      </c>
      <c r="F712" t="n">
        <v>376.07</v>
      </c>
      <c r="G712" t="n">
        <v>443.76</v>
      </c>
      <c r="H712">
        <f>הגדרות!B5</f>
        <v/>
      </c>
      <c r="I712">
        <f>F712*(1-H712/100)*1.18</f>
        <v/>
      </c>
      <c r="J712">
        <f>הגדרות!C5</f>
        <v/>
      </c>
      <c r="K712">
        <f>הגדרות!D5</f>
        <v/>
      </c>
      <c r="L712">
        <f>I712*(1+J712/100)+K712</f>
        <v/>
      </c>
    </row>
    <row r="713">
      <c r="A713" t="inlineStr">
        <is>
          <t>קרניאלי</t>
        </is>
      </c>
      <c r="B713" t="inlineStr">
        <is>
          <t>פאנל מערכת נשימה</t>
        </is>
      </c>
      <c r="C713" t="inlineStr">
        <is>
          <t>פאנלים - חתולים</t>
        </is>
      </c>
      <c r="E713" t="inlineStr">
        <is>
          <t>2025-01</t>
        </is>
      </c>
      <c r="F713" t="n">
        <v>564.1</v>
      </c>
      <c r="G713" t="n">
        <v>665.64</v>
      </c>
      <c r="H713">
        <f>הגדרות!B5</f>
        <v/>
      </c>
      <c r="I713">
        <f>F713*(1-H713/100)*1.18</f>
        <v/>
      </c>
      <c r="J713">
        <f>הגדרות!C5</f>
        <v/>
      </c>
      <c r="K713">
        <f>הגדרות!D5</f>
        <v/>
      </c>
      <c r="L713">
        <f>I713*(1+J713/100)+K713</f>
        <v/>
      </c>
    </row>
    <row r="714">
      <c r="A714" t="inlineStr">
        <is>
          <t>קרניאלי</t>
        </is>
      </c>
      <c r="B714" t="inlineStr">
        <is>
          <t>פאנל שלשולים</t>
        </is>
      </c>
      <c r="C714" t="inlineStr">
        <is>
          <t>פאנלים - חתולים</t>
        </is>
      </c>
      <c r="E714" t="inlineStr">
        <is>
          <t>2025-01</t>
        </is>
      </c>
      <c r="F714" t="n">
        <v>367.52</v>
      </c>
      <c r="G714" t="n">
        <v>433.67</v>
      </c>
      <c r="H714">
        <f>הגדרות!B5</f>
        <v/>
      </c>
      <c r="I714">
        <f>F714*(1-H714/100)*1.18</f>
        <v/>
      </c>
      <c r="J714">
        <f>הגדרות!C5</f>
        <v/>
      </c>
      <c r="K714">
        <f>הגדרות!D5</f>
        <v/>
      </c>
      <c r="L714">
        <f>I714*(1+J714/100)+K714</f>
        <v/>
      </c>
    </row>
    <row r="715">
      <c r="A715" t="inlineStr">
        <is>
          <t>קרניאלי</t>
        </is>
      </c>
      <c r="B715" t="inlineStr">
        <is>
          <t>פאנל חתולים גזעיים</t>
        </is>
      </c>
      <c r="C715" t="inlineStr">
        <is>
          <t>פאנלים - חתולים</t>
        </is>
      </c>
      <c r="E715" t="inlineStr">
        <is>
          <t>2025-01</t>
        </is>
      </c>
      <c r="F715" t="n">
        <v>658.12</v>
      </c>
      <c r="G715" t="n">
        <v>776.58</v>
      </c>
      <c r="H715">
        <f>הגדרות!B5</f>
        <v/>
      </c>
      <c r="I715">
        <f>F715*(1-H715/100)*1.18</f>
        <v/>
      </c>
      <c r="J715">
        <f>הגדרות!C5</f>
        <v/>
      </c>
      <c r="K715">
        <f>הגדרות!D5</f>
        <v/>
      </c>
      <c r="L715">
        <f>I715*(1+J715/100)+K715</f>
        <v/>
      </c>
    </row>
    <row r="716">
      <c r="A716" t="inlineStr">
        <is>
          <t>פרופ' בנעט</t>
        </is>
      </c>
      <c r="B716" t="inlineStr">
        <is>
          <t>Ehrlichia spp.</t>
        </is>
      </c>
      <c r="C716" t="inlineStr">
        <is>
          <t>PCR</t>
        </is>
      </c>
      <c r="F716" t="n">
        <v>170.94</v>
      </c>
      <c r="G716" t="n">
        <v>201.71</v>
      </c>
      <c r="H716">
        <f>הגדרות!B6</f>
        <v/>
      </c>
      <c r="I716">
        <f>F716*(1-H716/100)*1.18</f>
        <v/>
      </c>
      <c r="J716">
        <f>הגדרות!C6</f>
        <v/>
      </c>
      <c r="K716">
        <f>הגדרות!D6</f>
        <v/>
      </c>
      <c r="L716">
        <f>I716*(1+J716/100)+K716</f>
        <v/>
      </c>
    </row>
    <row r="717">
      <c r="A717" t="inlineStr">
        <is>
          <t>פרופ' בנעט</t>
        </is>
      </c>
      <c r="B717" t="inlineStr">
        <is>
          <t>Babesia spp.</t>
        </is>
      </c>
      <c r="C717" t="inlineStr">
        <is>
          <t>PCR</t>
        </is>
      </c>
      <c r="F717" t="n">
        <v>170.94</v>
      </c>
      <c r="G717" t="n">
        <v>201.71</v>
      </c>
      <c r="H717">
        <f>הגדרות!B6</f>
        <v/>
      </c>
      <c r="I717">
        <f>F717*(1-H717/100)*1.18</f>
        <v/>
      </c>
      <c r="J717">
        <f>הגדרות!C6</f>
        <v/>
      </c>
      <c r="K717">
        <f>הגדרות!D6</f>
        <v/>
      </c>
      <c r="L717">
        <f>I717*(1+J717/100)+K717</f>
        <v/>
      </c>
    </row>
    <row r="718">
      <c r="A718" t="inlineStr">
        <is>
          <t>פרופ' בנעט</t>
        </is>
      </c>
      <c r="B718" t="inlineStr">
        <is>
          <t>Hepatozoon spp.</t>
        </is>
      </c>
      <c r="C718" t="inlineStr">
        <is>
          <t>PCR</t>
        </is>
      </c>
      <c r="F718" t="n">
        <v>170.94</v>
      </c>
      <c r="G718" t="n">
        <v>201.71</v>
      </c>
      <c r="H718">
        <f>הגדרות!B6</f>
        <v/>
      </c>
      <c r="I718">
        <f>F718*(1-H718/100)*1.18</f>
        <v/>
      </c>
      <c r="J718">
        <f>הגדרות!C6</f>
        <v/>
      </c>
      <c r="K718">
        <f>הגדרות!D6</f>
        <v/>
      </c>
      <c r="L718">
        <f>I718*(1+J718/100)+K718</f>
        <v/>
      </c>
    </row>
    <row r="719">
      <c r="A719" t="inlineStr">
        <is>
          <t>פרופ' בנעט</t>
        </is>
      </c>
      <c r="B719" t="inlineStr">
        <is>
          <t>Borrelia spp (Lyme)</t>
        </is>
      </c>
      <c r="C719" t="inlineStr">
        <is>
          <t>PCR</t>
        </is>
      </c>
      <c r="F719" t="n">
        <v>170.94</v>
      </c>
      <c r="G719" t="n">
        <v>201.71</v>
      </c>
      <c r="H719">
        <f>הגדרות!B6</f>
        <v/>
      </c>
      <c r="I719">
        <f>F719*(1-H719/100)*1.18</f>
        <v/>
      </c>
      <c r="J719">
        <f>הגדרות!C6</f>
        <v/>
      </c>
      <c r="K719">
        <f>הגדרות!D6</f>
        <v/>
      </c>
      <c r="L719">
        <f>I719*(1+J719/100)+K719</f>
        <v/>
      </c>
    </row>
    <row r="720">
      <c r="A720" t="inlineStr">
        <is>
          <t>פרופ' בנעט</t>
        </is>
      </c>
      <c r="B720" t="inlineStr">
        <is>
          <t>Rickettsia spp.</t>
        </is>
      </c>
      <c r="C720" t="inlineStr">
        <is>
          <t>PCR</t>
        </is>
      </c>
      <c r="F720" t="n">
        <v>170.94</v>
      </c>
      <c r="G720" t="n">
        <v>201.71</v>
      </c>
      <c r="H720">
        <f>הגדרות!B6</f>
        <v/>
      </c>
      <c r="I720">
        <f>F720*(1-H720/100)*1.18</f>
        <v/>
      </c>
      <c r="J720">
        <f>הגדרות!C6</f>
        <v/>
      </c>
      <c r="K720">
        <f>הגדרות!D6</f>
        <v/>
      </c>
      <c r="L720">
        <f>I720*(1+J720/100)+K720</f>
        <v/>
      </c>
    </row>
    <row r="721">
      <c r="A721" t="inlineStr">
        <is>
          <t>פרופ' בנעט</t>
        </is>
      </c>
      <c r="B721" t="inlineStr">
        <is>
          <t>Bartonella spp.</t>
        </is>
      </c>
      <c r="C721" t="inlineStr">
        <is>
          <t>PCR</t>
        </is>
      </c>
      <c r="F721" t="n">
        <v>170.94</v>
      </c>
      <c r="G721" t="n">
        <v>201.71</v>
      </c>
      <c r="H721">
        <f>הגדרות!B6</f>
        <v/>
      </c>
      <c r="I721">
        <f>F721*(1-H721/100)*1.18</f>
        <v/>
      </c>
      <c r="J721">
        <f>הגדרות!C6</f>
        <v/>
      </c>
      <c r="K721">
        <f>הגדרות!D6</f>
        <v/>
      </c>
      <c r="L721">
        <f>I721*(1+J721/100)+K721</f>
        <v/>
      </c>
    </row>
    <row r="722">
      <c r="A722" t="inlineStr">
        <is>
          <t>פרופ' בנעט</t>
        </is>
      </c>
      <c r="B722" t="inlineStr">
        <is>
          <t>Mycoplasma Hemofelis/Hemocanis</t>
        </is>
      </c>
      <c r="C722" t="inlineStr">
        <is>
          <t>PCR</t>
        </is>
      </c>
      <c r="F722" t="n">
        <v>170.94</v>
      </c>
      <c r="G722" t="n">
        <v>201.71</v>
      </c>
      <c r="H722">
        <f>הגדרות!B6</f>
        <v/>
      </c>
      <c r="I722">
        <f>F722*(1-H722/100)*1.18</f>
        <v/>
      </c>
      <c r="J722">
        <f>הגדרות!C6</f>
        <v/>
      </c>
      <c r="K722">
        <f>הגדרות!D6</f>
        <v/>
      </c>
      <c r="L722">
        <f>I722*(1+J722/100)+K722</f>
        <v/>
      </c>
    </row>
    <row r="723">
      <c r="A723" t="inlineStr">
        <is>
          <t>פרופ' בנעט</t>
        </is>
      </c>
      <c r="B723" t="inlineStr">
        <is>
          <t>Canine Parvo Virus</t>
        </is>
      </c>
      <c r="C723" t="inlineStr">
        <is>
          <t>PCR</t>
        </is>
      </c>
      <c r="F723" t="n">
        <v>170.94</v>
      </c>
      <c r="G723" t="n">
        <v>201.71</v>
      </c>
      <c r="H723">
        <f>הגדרות!B6</f>
        <v/>
      </c>
      <c r="I723">
        <f>F723*(1-H723/100)*1.18</f>
        <v/>
      </c>
      <c r="J723">
        <f>הגדרות!C6</f>
        <v/>
      </c>
      <c r="K723">
        <f>הגדרות!D6</f>
        <v/>
      </c>
      <c r="L723">
        <f>I723*(1+J723/100)+K723</f>
        <v/>
      </c>
    </row>
    <row r="724">
      <c r="A724" t="inlineStr">
        <is>
          <t>פרופ' בנעט</t>
        </is>
      </c>
      <c r="B724" t="inlineStr">
        <is>
          <t>Canine Distemper Virus</t>
        </is>
      </c>
      <c r="C724" t="inlineStr">
        <is>
          <t>PCR</t>
        </is>
      </c>
      <c r="F724" t="n">
        <v>222.22</v>
      </c>
      <c r="G724" t="n">
        <v>262.22</v>
      </c>
      <c r="H724">
        <f>הגדרות!B6</f>
        <v/>
      </c>
      <c r="I724">
        <f>F724*(1-H724/100)*1.18</f>
        <v/>
      </c>
      <c r="J724">
        <f>הגדרות!C6</f>
        <v/>
      </c>
      <c r="K724">
        <f>הגדרות!D6</f>
        <v/>
      </c>
      <c r="L724">
        <f>I724*(1+J724/100)+K724</f>
        <v/>
      </c>
    </row>
    <row r="725">
      <c r="A725" t="inlineStr">
        <is>
          <t>פרופ' בנעט</t>
        </is>
      </c>
      <c r="B725" t="inlineStr">
        <is>
          <t>Canine Herpes Virus</t>
        </is>
      </c>
      <c r="C725" t="inlineStr">
        <is>
          <t>PCR</t>
        </is>
      </c>
      <c r="F725" t="n">
        <v>170.94</v>
      </c>
      <c r="G725" t="n">
        <v>201.71</v>
      </c>
      <c r="H725">
        <f>הגדרות!B6</f>
        <v/>
      </c>
      <c r="I725">
        <f>F725*(1-H725/100)*1.18</f>
        <v/>
      </c>
      <c r="J725">
        <f>הגדרות!C6</f>
        <v/>
      </c>
      <c r="K725">
        <f>הגדרות!D6</f>
        <v/>
      </c>
      <c r="L725">
        <f>I725*(1+J725/100)+K725</f>
        <v/>
      </c>
    </row>
    <row r="726">
      <c r="A726" t="inlineStr">
        <is>
          <t>פרופ' בנעט</t>
        </is>
      </c>
      <c r="B726" t="inlineStr">
        <is>
          <t>Leishmania</t>
        </is>
      </c>
      <c r="C726" t="inlineStr">
        <is>
          <t>PCR</t>
        </is>
      </c>
      <c r="F726" t="n">
        <v>170.94</v>
      </c>
      <c r="G726" t="n">
        <v>201.71</v>
      </c>
      <c r="H726">
        <f>הגדרות!B6</f>
        <v/>
      </c>
      <c r="I726">
        <f>F726*(1-H726/100)*1.18</f>
        <v/>
      </c>
      <c r="J726">
        <f>הגדרות!C6</f>
        <v/>
      </c>
      <c r="K726">
        <f>הגדרות!D6</f>
        <v/>
      </c>
      <c r="L726">
        <f>I726*(1+J726/100)+K726</f>
        <v/>
      </c>
    </row>
    <row r="727">
      <c r="A727" t="inlineStr">
        <is>
          <t>פרופ' בנעט</t>
        </is>
      </c>
      <c r="B727" t="inlineStr">
        <is>
          <t>Corona Virus</t>
        </is>
      </c>
      <c r="C727" t="inlineStr">
        <is>
          <t>PCR</t>
        </is>
      </c>
      <c r="F727" t="n">
        <v>222.22</v>
      </c>
      <c r="G727" t="n">
        <v>262.22</v>
      </c>
      <c r="H727">
        <f>הגדרות!B6</f>
        <v/>
      </c>
      <c r="I727">
        <f>F727*(1-H727/100)*1.18</f>
        <v/>
      </c>
      <c r="J727">
        <f>הגדרות!C6</f>
        <v/>
      </c>
      <c r="K727">
        <f>הגדרות!D6</f>
        <v/>
      </c>
      <c r="L727">
        <f>I727*(1+J727/100)+K727</f>
        <v/>
      </c>
    </row>
    <row r="728">
      <c r="A728" t="inlineStr">
        <is>
          <t>פרופ' בנעט</t>
        </is>
      </c>
      <c r="B728" t="inlineStr">
        <is>
          <t>Corona Virus (FIP)</t>
        </is>
      </c>
      <c r="C728" t="inlineStr">
        <is>
          <t>PCR</t>
        </is>
      </c>
      <c r="F728" t="n">
        <v>222.22</v>
      </c>
      <c r="G728" t="n">
        <v>262.22</v>
      </c>
      <c r="H728">
        <f>הגדרות!B6</f>
        <v/>
      </c>
      <c r="I728">
        <f>F728*(1-H728/100)*1.18</f>
        <v/>
      </c>
      <c r="J728">
        <f>הגדרות!C6</f>
        <v/>
      </c>
      <c r="K728">
        <f>הגדרות!D6</f>
        <v/>
      </c>
      <c r="L728">
        <f>I728*(1+J728/100)+K728</f>
        <v/>
      </c>
    </row>
    <row r="729">
      <c r="A729" t="inlineStr">
        <is>
          <t>פרופ' בנעט</t>
        </is>
      </c>
      <c r="B729" t="inlineStr">
        <is>
          <t>Salmonella sp.</t>
        </is>
      </c>
      <c r="C729" t="inlineStr">
        <is>
          <t>PCR</t>
        </is>
      </c>
      <c r="F729" t="n">
        <v>170.94</v>
      </c>
      <c r="G729" t="n">
        <v>201.71</v>
      </c>
      <c r="H729">
        <f>הגדרות!B6</f>
        <v/>
      </c>
      <c r="I729">
        <f>F729*(1-H729/100)*1.18</f>
        <v/>
      </c>
      <c r="J729">
        <f>הגדרות!C6</f>
        <v/>
      </c>
      <c r="K729">
        <f>הגדרות!D6</f>
        <v/>
      </c>
      <c r="L729">
        <f>I729*(1+J729/100)+K729</f>
        <v/>
      </c>
    </row>
    <row r="730">
      <c r="A730" t="inlineStr">
        <is>
          <t>פרופ' בנעט</t>
        </is>
      </c>
      <c r="B730" t="inlineStr">
        <is>
          <t>Dirofilaria Immitis / Repens</t>
        </is>
      </c>
      <c r="C730" t="inlineStr">
        <is>
          <t>PCR</t>
        </is>
      </c>
      <c r="F730" t="n">
        <v>170.94</v>
      </c>
      <c r="G730" t="n">
        <v>201.71</v>
      </c>
      <c r="H730">
        <f>הגדרות!B6</f>
        <v/>
      </c>
      <c r="I730">
        <f>F730*(1-H730/100)*1.18</f>
        <v/>
      </c>
      <c r="J730">
        <f>הגדרות!C6</f>
        <v/>
      </c>
      <c r="K730">
        <f>הגדרות!D6</f>
        <v/>
      </c>
      <c r="L730">
        <f>I730*(1+J730/100)+K730</f>
        <v/>
      </c>
    </row>
    <row r="731">
      <c r="A731" t="inlineStr">
        <is>
          <t>פרופ' בנעט</t>
        </is>
      </c>
      <c r="B731" t="inlineStr">
        <is>
          <t>Neospora Caninum</t>
        </is>
      </c>
      <c r="C731" t="inlineStr">
        <is>
          <t>PCR</t>
        </is>
      </c>
      <c r="F731" t="n">
        <v>170.94</v>
      </c>
      <c r="G731" t="n">
        <v>201.71</v>
      </c>
      <c r="H731">
        <f>הגדרות!B6</f>
        <v/>
      </c>
      <c r="I731">
        <f>F731*(1-H731/100)*1.18</f>
        <v/>
      </c>
      <c r="J731">
        <f>הגדרות!C6</f>
        <v/>
      </c>
      <c r="K731">
        <f>הגדרות!D6</f>
        <v/>
      </c>
      <c r="L731">
        <f>I731*(1+J731/100)+K731</f>
        <v/>
      </c>
    </row>
    <row r="732">
      <c r="A732" t="inlineStr">
        <is>
          <t>פרופ' בנעט</t>
        </is>
      </c>
      <c r="B732" t="inlineStr">
        <is>
          <t>Feline Herpes Virus</t>
        </is>
      </c>
      <c r="C732" t="inlineStr">
        <is>
          <t>PCR</t>
        </is>
      </c>
      <c r="F732" t="n">
        <v>170.94</v>
      </c>
      <c r="G732" t="n">
        <v>201.71</v>
      </c>
      <c r="H732">
        <f>הגדרות!B6</f>
        <v/>
      </c>
      <c r="I732">
        <f>F732*(1-H732/100)*1.18</f>
        <v/>
      </c>
      <c r="J732">
        <f>הגדרות!C6</f>
        <v/>
      </c>
      <c r="K732">
        <f>הגדרות!D6</f>
        <v/>
      </c>
      <c r="L732">
        <f>I732*(1+J732/100)+K732</f>
        <v/>
      </c>
    </row>
    <row r="733">
      <c r="A733" t="inlineStr">
        <is>
          <t>פרופ' בנעט</t>
        </is>
      </c>
      <c r="B733" t="inlineStr">
        <is>
          <t>Feline Leukemia Virus (FeLV)</t>
        </is>
      </c>
      <c r="C733" t="inlineStr">
        <is>
          <t>PCR</t>
        </is>
      </c>
      <c r="F733" t="n">
        <v>170.94</v>
      </c>
      <c r="G733" t="n">
        <v>201.71</v>
      </c>
      <c r="H733">
        <f>הגדרות!B6</f>
        <v/>
      </c>
      <c r="I733">
        <f>F733*(1-H733/100)*1.18</f>
        <v/>
      </c>
      <c r="J733">
        <f>הגדרות!C6</f>
        <v/>
      </c>
      <c r="K733">
        <f>הגדרות!D6</f>
        <v/>
      </c>
      <c r="L733">
        <f>I733*(1+J733/100)+K733</f>
        <v/>
      </c>
    </row>
    <row r="734">
      <c r="A734" t="inlineStr">
        <is>
          <t>פרופ' בנעט</t>
        </is>
      </c>
      <c r="B734" t="inlineStr">
        <is>
          <t>Feline Immunodeficiency Virus (FIV)</t>
        </is>
      </c>
      <c r="C734" t="inlineStr">
        <is>
          <t>PCR</t>
        </is>
      </c>
      <c r="F734" t="n">
        <v>170.94</v>
      </c>
      <c r="G734" t="n">
        <v>201.71</v>
      </c>
      <c r="H734">
        <f>הגדרות!B6</f>
        <v/>
      </c>
      <c r="I734">
        <f>F734*(1-H734/100)*1.18</f>
        <v/>
      </c>
      <c r="J734">
        <f>הגדרות!C6</f>
        <v/>
      </c>
      <c r="K734">
        <f>הגדרות!D6</f>
        <v/>
      </c>
      <c r="L734">
        <f>I734*(1+J734/100)+K734</f>
        <v/>
      </c>
    </row>
    <row r="735">
      <c r="A735" t="inlineStr">
        <is>
          <t>פרופ' בנעט</t>
        </is>
      </c>
      <c r="B735" t="inlineStr">
        <is>
          <t>Toxoplasma</t>
        </is>
      </c>
      <c r="C735" t="inlineStr">
        <is>
          <t>PCR</t>
        </is>
      </c>
      <c r="F735" t="n">
        <v>170.94</v>
      </c>
      <c r="G735" t="n">
        <v>201.71</v>
      </c>
      <c r="H735">
        <f>הגדרות!B6</f>
        <v/>
      </c>
      <c r="I735">
        <f>F735*(1-H735/100)*1.18</f>
        <v/>
      </c>
      <c r="J735">
        <f>הגדרות!C6</f>
        <v/>
      </c>
      <c r="K735">
        <f>הגדרות!D6</f>
        <v/>
      </c>
      <c r="L735">
        <f>I735*(1+J735/100)+K735</f>
        <v/>
      </c>
    </row>
    <row r="736">
      <c r="A736" t="inlineStr">
        <is>
          <t>פרופ' בנעט</t>
        </is>
      </c>
      <c r="B736" t="inlineStr">
        <is>
          <t>Panleukopenia Parvo Virus</t>
        </is>
      </c>
      <c r="C736" t="inlineStr">
        <is>
          <t>PCR</t>
        </is>
      </c>
      <c r="F736" t="n">
        <v>170.94</v>
      </c>
      <c r="G736" t="n">
        <v>201.71</v>
      </c>
      <c r="H736">
        <f>הגדרות!B6</f>
        <v/>
      </c>
      <c r="I736">
        <f>F736*(1-H736/100)*1.18</f>
        <v/>
      </c>
      <c r="J736">
        <f>הגדרות!C6</f>
        <v/>
      </c>
      <c r="K736">
        <f>הגדרות!D6</f>
        <v/>
      </c>
      <c r="L736">
        <f>I736*(1+J736/100)+K736</f>
        <v/>
      </c>
    </row>
    <row r="737">
      <c r="A737" t="inlineStr">
        <is>
          <t>פרופ' בנעט</t>
        </is>
      </c>
      <c r="B737" t="inlineStr">
        <is>
          <t>Feline Calici Virus</t>
        </is>
      </c>
      <c r="C737" t="inlineStr">
        <is>
          <t>PCR</t>
        </is>
      </c>
      <c r="F737" t="n">
        <v>222.22</v>
      </c>
      <c r="G737" t="n">
        <v>262.22</v>
      </c>
      <c r="H737">
        <f>הגדרות!B6</f>
        <v/>
      </c>
      <c r="I737">
        <f>F737*(1-H737/100)*1.18</f>
        <v/>
      </c>
      <c r="J737">
        <f>הגדרות!C6</f>
        <v/>
      </c>
      <c r="K737">
        <f>הגדרות!D6</f>
        <v/>
      </c>
      <c r="L737">
        <f>I737*(1+J737/100)+K737</f>
        <v/>
      </c>
    </row>
    <row r="738">
      <c r="A738" t="inlineStr">
        <is>
          <t>פרופ' בנעט</t>
        </is>
      </c>
      <c r="B738" t="inlineStr">
        <is>
          <t>Chlamydophila Felis</t>
        </is>
      </c>
      <c r="C738" t="inlineStr">
        <is>
          <t>PCR</t>
        </is>
      </c>
      <c r="F738" t="n">
        <v>170.94</v>
      </c>
      <c r="G738" t="n">
        <v>201.71</v>
      </c>
      <c r="H738">
        <f>הגדרות!B6</f>
        <v/>
      </c>
      <c r="I738">
        <f>F738*(1-H738/100)*1.18</f>
        <v/>
      </c>
      <c r="J738">
        <f>הגדרות!C6</f>
        <v/>
      </c>
      <c r="K738">
        <f>הגדרות!D6</f>
        <v/>
      </c>
      <c r="L738">
        <f>I738*(1+J738/100)+K738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2026-08-26T10:08:13Z</dcterms:created>
  <dcterms:modified xmlns:dcterms="http://purl.org/dc/terms/" xmlns:xsi="http://www.w3.org/2001/XMLSchema-instance" xsi:type="dcterms:W3CDTF">2026-08-26T10:08:13Z</dcterms:modified>
</cp:coreProperties>
</file>