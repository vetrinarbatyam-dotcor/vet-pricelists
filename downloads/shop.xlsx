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פרפלסט (Ferplast)</t>
        </is>
      </c>
      <c r="B3" t="n">
        <v>0</v>
      </c>
      <c r="C3" t="n">
        <v>0</v>
      </c>
      <c r="D3" t="n">
        <v>0</v>
      </c>
    </row>
    <row r="4">
      <c r="A4" t="inlineStr">
        <is>
          <t>וטמרקט</t>
        </is>
      </c>
      <c r="B4" t="n">
        <v>0</v>
      </c>
      <c r="C4" t="n">
        <v>0</v>
      </c>
      <c r="D4" t="n">
        <v>0</v>
      </c>
    </row>
    <row r="5">
      <c r="A5" t="inlineStr">
        <is>
          <t>מדי-מרקט</t>
        </is>
      </c>
      <c r="B5" t="n">
        <v>0</v>
      </c>
      <c r="C5" t="n">
        <v>0</v>
      </c>
      <c r="D5" t="n">
        <v>0</v>
      </c>
    </row>
    <row r="6">
      <c r="A6" t="inlineStr">
        <is>
          <t>פט-וט ביומד</t>
        </is>
      </c>
      <c r="B6" t="n">
        <v>0</v>
      </c>
      <c r="C6" t="n">
        <v>0</v>
      </c>
      <c r="D6" t="n">
        <v>0</v>
      </c>
    </row>
    <row r="7">
      <c r="A7" t="inlineStr">
        <is>
          <t>Hill's Prescription Diet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פרפלסט (Ferplast)</t>
        </is>
      </c>
      <c r="B7" t="inlineStr">
        <is>
          <t>פרפלסט גניקר ונטה מגנטית לשירותי חתול</t>
        </is>
      </c>
      <c r="C7" t="inlineStr">
        <is>
          <t>אביזרים</t>
        </is>
      </c>
      <c r="D7" t="inlineStr">
        <is>
          <t>5555870</t>
        </is>
      </c>
      <c r="E7" t="inlineStr">
        <is>
          <t>2026-02</t>
        </is>
      </c>
      <c r="F7" t="n">
        <v>170</v>
      </c>
      <c r="G7" t="n">
        <v>200.6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פרפלסט (Ferplast)</t>
        </is>
      </c>
      <c r="B8" t="inlineStr">
        <is>
          <t>פרפלסט פילטרים לונטה מגנטית</t>
        </is>
      </c>
      <c r="C8" t="inlineStr">
        <is>
          <t>אביזרים</t>
        </is>
      </c>
      <c r="D8" t="inlineStr">
        <is>
          <t>5555871</t>
        </is>
      </c>
      <c r="E8" t="inlineStr">
        <is>
          <t>2026-02</t>
        </is>
      </c>
      <c r="F8" t="n">
        <v>17.9</v>
      </c>
      <c r="G8" t="n">
        <v>21.12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פרפלסט (Ferplast)</t>
        </is>
      </c>
      <c r="B9" t="inlineStr">
        <is>
          <t>פרפלסט קיט גניקר לחנות - 6+6+דיספלי</t>
        </is>
      </c>
      <c r="C9" t="inlineStr">
        <is>
          <t>אביזרים</t>
        </is>
      </c>
      <c r="D9" t="inlineStr">
        <is>
          <t>5555872</t>
        </is>
      </c>
      <c r="E9" t="inlineStr">
        <is>
          <t>2026-02</t>
        </is>
      </c>
      <c r="F9" t="n">
        <v>912.2</v>
      </c>
      <c r="G9" t="n">
        <v>1076.4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פרפלסט (Ferplast)</t>
        </is>
      </c>
      <c r="B10" t="inlineStr">
        <is>
          <t>פרפלסט סהרה שירותים לחתול</t>
        </is>
      </c>
      <c r="C10" t="inlineStr">
        <is>
          <t>חול ושירותים</t>
        </is>
      </c>
      <c r="D10" t="inlineStr">
        <is>
          <t>5555879</t>
        </is>
      </c>
      <c r="E10" t="inlineStr">
        <is>
          <t>2026-02</t>
        </is>
      </c>
      <c r="F10" t="n">
        <v>221.9</v>
      </c>
      <c r="G10" t="n">
        <v>261.84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פרפלסט (Ferplast)</t>
        </is>
      </c>
      <c r="B11" t="inlineStr">
        <is>
          <t>פרפלסט פרימה XXL שירותים לחתול</t>
        </is>
      </c>
      <c r="C11" t="inlineStr">
        <is>
          <t>חול ושירותים</t>
        </is>
      </c>
      <c r="D11" t="inlineStr">
        <is>
          <t>5555880</t>
        </is>
      </c>
      <c r="E11" t="inlineStr">
        <is>
          <t>2026-02</t>
        </is>
      </c>
      <c r="F11" t="n">
        <v>141.45</v>
      </c>
      <c r="G11" t="n">
        <v>166.91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פרפלסט (Ferplast)</t>
        </is>
      </c>
      <c r="B12" t="inlineStr">
        <is>
          <t>פרפלסט מגבונים קמומיל 40</t>
        </is>
      </c>
      <c r="C12" t="inlineStr">
        <is>
          <t>טיפוח והיגיינה</t>
        </is>
      </c>
      <c r="D12" t="inlineStr">
        <is>
          <t>5555873</t>
        </is>
      </c>
      <c r="E12" t="inlineStr">
        <is>
          <t>2026-02</t>
        </is>
      </c>
      <c r="F12" t="n">
        <v>11.3</v>
      </c>
      <c r="G12" t="n">
        <v>13.33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פרפלסט (Ferplast)</t>
        </is>
      </c>
      <c r="B13" t="inlineStr">
        <is>
          <t>פרפלסט מגבונים גרין תה 40</t>
        </is>
      </c>
      <c r="C13" t="inlineStr">
        <is>
          <t>טיפוח והיגיינה</t>
        </is>
      </c>
      <c r="D13" t="inlineStr">
        <is>
          <t>5555874</t>
        </is>
      </c>
      <c r="E13" t="inlineStr">
        <is>
          <t>2026-02</t>
        </is>
      </c>
      <c r="F13" t="n">
        <v>11.3</v>
      </c>
      <c r="G13" t="n">
        <v>13.33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פרפלסט (Ferplast)</t>
        </is>
      </c>
      <c r="B14" t="inlineStr">
        <is>
          <t>פרפלסט מגבונים טלק 40</t>
        </is>
      </c>
      <c r="C14" t="inlineStr">
        <is>
          <t>טיפוח והיגיינה</t>
        </is>
      </c>
      <c r="D14" t="inlineStr">
        <is>
          <t>5555875</t>
        </is>
      </c>
      <c r="E14" t="inlineStr">
        <is>
          <t>2026-02</t>
        </is>
      </c>
      <c r="F14" t="n">
        <v>11.3</v>
      </c>
      <c r="G14" t="n">
        <v>13.33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פרפלסט (Ferplast)</t>
        </is>
      </c>
      <c r="B15" t="inlineStr">
        <is>
          <t>פרפלסט מגבונים לעיניים 120</t>
        </is>
      </c>
      <c r="C15" t="inlineStr">
        <is>
          <t>טיפוח והיגיינה</t>
        </is>
      </c>
      <c r="D15" t="inlineStr">
        <is>
          <t>5555876</t>
        </is>
      </c>
      <c r="E15" t="inlineStr">
        <is>
          <t>2026-02</t>
        </is>
      </c>
      <c r="F15" t="n">
        <v>14.2</v>
      </c>
      <c r="G15" t="n">
        <v>16.76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פרפלסט (Ferplast)</t>
        </is>
      </c>
      <c r="B16" t="inlineStr">
        <is>
          <t>פרפלסט מגבונים לאוזניים 50</t>
        </is>
      </c>
      <c r="C16" t="inlineStr">
        <is>
          <t>טיפוח והיגיינה</t>
        </is>
      </c>
      <c r="D16" t="inlineStr">
        <is>
          <t>5555877</t>
        </is>
      </c>
      <c r="E16" t="inlineStr">
        <is>
          <t>2026-02</t>
        </is>
      </c>
      <c r="F16" t="n">
        <v>18.45</v>
      </c>
      <c r="G16" t="n">
        <v>21.77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פרפלסט (Ferplast)</t>
        </is>
      </c>
      <c r="B17" t="inlineStr">
        <is>
          <t>פרפלסט מגבונים כפפה 8</t>
        </is>
      </c>
      <c r="C17" t="inlineStr">
        <is>
          <t>טיפוח והיגיינה</t>
        </is>
      </c>
      <c r="D17" t="inlineStr">
        <is>
          <t>5555878</t>
        </is>
      </c>
      <c r="E17" t="inlineStr">
        <is>
          <t>2026-02</t>
        </is>
      </c>
      <c r="F17" t="n">
        <v>11.3</v>
      </c>
      <c r="G17" t="n">
        <v>13.33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פרפלסט (Ferplast)</t>
        </is>
      </c>
      <c r="B18" t="inlineStr">
        <is>
          <t>פרפלסט שמפו לגורים</t>
        </is>
      </c>
      <c r="C18" t="inlineStr">
        <is>
          <t>טיפוח והיגיינה</t>
        </is>
      </c>
      <c r="D18" t="inlineStr">
        <is>
          <t>5555881</t>
        </is>
      </c>
      <c r="E18" t="inlineStr">
        <is>
          <t>2026-02</t>
        </is>
      </c>
      <c r="F18" t="n">
        <v>21.3</v>
      </c>
      <c r="G18" t="n">
        <v>25.13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פרפלסט (Ferplast)</t>
        </is>
      </c>
      <c r="B19" t="inlineStr">
        <is>
          <t>פרפלסט שמפו חימר</t>
        </is>
      </c>
      <c r="C19" t="inlineStr">
        <is>
          <t>טיפוח והיגיינה</t>
        </is>
      </c>
      <c r="D19" t="inlineStr">
        <is>
          <t>5555882</t>
        </is>
      </c>
      <c r="E19" t="inlineStr">
        <is>
          <t>2026-02</t>
        </is>
      </c>
      <c r="F19" t="n">
        <v>21.3</v>
      </c>
      <c r="G19" t="n">
        <v>25.13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פרפלסט (Ferplast)</t>
        </is>
      </c>
      <c r="B20" t="inlineStr">
        <is>
          <t>פרפלסט שמפו לשיער ארוך</t>
        </is>
      </c>
      <c r="C20" t="inlineStr">
        <is>
          <t>טיפוח והיגיינה</t>
        </is>
      </c>
      <c r="D20" t="inlineStr">
        <is>
          <t>5555883</t>
        </is>
      </c>
      <c r="E20" t="inlineStr">
        <is>
          <t>2026-02</t>
        </is>
      </c>
      <c r="F20" t="n">
        <v>21.3</v>
      </c>
      <c r="G20" t="n">
        <v>25.13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פרפלסט (Ferplast)</t>
        </is>
      </c>
      <c r="B21" t="inlineStr">
        <is>
          <t>פרפלסט שמפו לפרווה לבנה</t>
        </is>
      </c>
      <c r="C21" t="inlineStr">
        <is>
          <t>טיפוח והיגיינה</t>
        </is>
      </c>
      <c r="D21" t="inlineStr">
        <is>
          <t>5555884</t>
        </is>
      </c>
      <c r="E21" t="inlineStr">
        <is>
          <t>2026-02</t>
        </is>
      </c>
      <c r="F21" t="n">
        <v>21.3</v>
      </c>
      <c r="G21" t="n">
        <v>25.13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וטמרקט</t>
        </is>
      </c>
      <c r="B22" t="inlineStr">
        <is>
          <t>חטיף הילס היפואלרגני לכלב 200 גרם</t>
        </is>
      </c>
      <c r="C22" t="inlineStr">
        <is>
          <t>חטיפים</t>
        </is>
      </c>
      <c r="D22" t="inlineStr">
        <is>
          <t>40608557</t>
        </is>
      </c>
      <c r="E22" t="inlineStr">
        <is>
          <t>2026-08</t>
        </is>
      </c>
      <c r="F22" t="n">
        <v>23</v>
      </c>
      <c r="G22" t="n">
        <v>27.14</v>
      </c>
      <c r="H22">
        <f>הגדרות!B4</f>
        <v/>
      </c>
      <c r="I22">
        <f>F22*(1-H22/100)*1.18</f>
        <v/>
      </c>
      <c r="J22">
        <f>הגדרות!C4</f>
        <v/>
      </c>
      <c r="K22">
        <f>הגדרות!D4</f>
        <v/>
      </c>
      <c r="L22">
        <f>I22*(1+J22/100)+K22</f>
        <v/>
      </c>
    </row>
    <row r="23">
      <c r="A23" t="inlineStr">
        <is>
          <t>וטמרקט</t>
        </is>
      </c>
      <c r="B23" t="inlineStr">
        <is>
          <t>חטיף פודיס נגיסי סלמון 100 גרם</t>
        </is>
      </c>
      <c r="C23" t="inlineStr">
        <is>
          <t>חטיפים</t>
        </is>
      </c>
      <c r="D23" t="inlineStr">
        <is>
          <t>48000004</t>
        </is>
      </c>
      <c r="E23" t="inlineStr">
        <is>
          <t>2026-08</t>
        </is>
      </c>
      <c r="F23" t="n">
        <v>6</v>
      </c>
      <c r="G23" t="n">
        <v>7.08</v>
      </c>
      <c r="H23">
        <f>הגדרות!B4</f>
        <v/>
      </c>
      <c r="I23">
        <f>F23*(1-H23/100)*1.18</f>
        <v/>
      </c>
      <c r="J23">
        <f>הגדרות!C4</f>
        <v/>
      </c>
      <c r="K23">
        <f>הגדרות!D4</f>
        <v/>
      </c>
      <c r="L23">
        <f>I23*(1+J23/100)+K23</f>
        <v/>
      </c>
    </row>
    <row r="24">
      <c r="A24" t="inlineStr">
        <is>
          <t>וטמרקט</t>
        </is>
      </c>
      <c r="B24" t="inlineStr">
        <is>
          <t>חטיף פודיס רצועות עוף רכות 100 גרם</t>
        </is>
      </c>
      <c r="C24" t="inlineStr">
        <is>
          <t>חטיפים</t>
        </is>
      </c>
      <c r="D24" t="inlineStr">
        <is>
          <t>48000000</t>
        </is>
      </c>
      <c r="E24" t="inlineStr">
        <is>
          <t>2026-08</t>
        </is>
      </c>
      <c r="F24" t="n">
        <v>6</v>
      </c>
      <c r="G24" t="n">
        <v>7.08</v>
      </c>
      <c r="H24">
        <f>הגדרות!B4</f>
        <v/>
      </c>
      <c r="I24">
        <f>F24*(1-H24/100)*1.18</f>
        <v/>
      </c>
      <c r="J24">
        <f>הגדרות!C4</f>
        <v/>
      </c>
      <c r="K24">
        <f>הגדרות!D4</f>
        <v/>
      </c>
      <c r="L24">
        <f>I24*(1+J24/100)+K24</f>
        <v/>
      </c>
    </row>
    <row r="25">
      <c r="A25" t="inlineStr">
        <is>
          <t>וטמרקט</t>
        </is>
      </c>
      <c r="B25" t="inlineStr">
        <is>
          <t>חטיף פודיס נתחי ברווז רכים 100 גרם</t>
        </is>
      </c>
      <c r="C25" t="inlineStr">
        <is>
          <t>חטיפים</t>
        </is>
      </c>
      <c r="D25" t="inlineStr">
        <is>
          <t>48000001</t>
        </is>
      </c>
      <c r="E25" t="inlineStr">
        <is>
          <t>2026-08</t>
        </is>
      </c>
      <c r="F25" t="n">
        <v>4.3</v>
      </c>
      <c r="G25" t="n">
        <v>5.07</v>
      </c>
      <c r="H25">
        <f>הגדרות!B4</f>
        <v/>
      </c>
      <c r="I25">
        <f>F25*(1-H25/100)*1.18</f>
        <v/>
      </c>
      <c r="J25">
        <f>הגדרות!C4</f>
        <v/>
      </c>
      <c r="K25">
        <f>הגדרות!D4</f>
        <v/>
      </c>
      <c r="L25">
        <f>I25*(1+J25/100)+K25</f>
        <v/>
      </c>
    </row>
    <row r="26">
      <c r="A26" t="inlineStr">
        <is>
          <t>וטמרקט</t>
        </is>
      </c>
      <c r="B26" t="inlineStr">
        <is>
          <t>חטיף פודיס נגיסי ברווז 100 גרם</t>
        </is>
      </c>
      <c r="C26" t="inlineStr">
        <is>
          <t>חטיפים</t>
        </is>
      </c>
      <c r="D26" t="inlineStr">
        <is>
          <t>48000005</t>
        </is>
      </c>
      <c r="E26" t="inlineStr">
        <is>
          <t>2026-08</t>
        </is>
      </c>
      <c r="F26" t="n">
        <v>6</v>
      </c>
      <c r="G26" t="n">
        <v>7.08</v>
      </c>
      <c r="H26">
        <f>הגדרות!B4</f>
        <v/>
      </c>
      <c r="I26">
        <f>F26*(1-H26/100)*1.18</f>
        <v/>
      </c>
      <c r="J26">
        <f>הגדרות!C4</f>
        <v/>
      </c>
      <c r="K26">
        <f>הגדרות!D4</f>
        <v/>
      </c>
      <c r="L26">
        <f>I26*(1+J26/100)+K26</f>
        <v/>
      </c>
    </row>
    <row r="27">
      <c r="A27" t="inlineStr">
        <is>
          <t>וטמרקט</t>
        </is>
      </c>
      <c r="B27" t="inlineStr">
        <is>
          <t>Kit4Cat חול</t>
        </is>
      </c>
      <c r="C27" t="inlineStr">
        <is>
          <t>חול ושירותים</t>
        </is>
      </c>
      <c r="D27" t="inlineStr">
        <is>
          <t>460001</t>
        </is>
      </c>
      <c r="E27" t="inlineStr">
        <is>
          <t>2026-08</t>
        </is>
      </c>
      <c r="F27" t="n">
        <v>35</v>
      </c>
      <c r="G27" t="n">
        <v>41.3</v>
      </c>
      <c r="H27">
        <f>הגדרות!B4</f>
        <v/>
      </c>
      <c r="I27">
        <f>F27*(1-H27/100)*1.18</f>
        <v/>
      </c>
      <c r="J27">
        <f>הגדרות!C4</f>
        <v/>
      </c>
      <c r="K27">
        <f>הגדרות!D4</f>
        <v/>
      </c>
      <c r="L27">
        <f>I27*(1+J27/100)+K27</f>
        <v/>
      </c>
    </row>
    <row r="28">
      <c r="A28" t="inlineStr">
        <is>
          <t>וטמרקט</t>
        </is>
      </c>
      <c r="B28" t="inlineStr">
        <is>
          <t>תוסף מפרקים  DASUQUIN Nutramax חטיפים לכלב בינוני/קטן, 84 יח'</t>
        </is>
      </c>
      <c r="C28" t="inlineStr">
        <is>
          <t>חטיפים</t>
        </is>
      </c>
      <c r="D28" t="inlineStr">
        <is>
          <t>181525</t>
        </is>
      </c>
      <c r="E28" t="inlineStr">
        <is>
          <t>2026-08</t>
        </is>
      </c>
      <c r="F28" t="n">
        <v>156</v>
      </c>
      <c r="G28" t="n">
        <v>184.08</v>
      </c>
      <c r="H28">
        <f>הגדרות!B4</f>
        <v/>
      </c>
      <c r="I28">
        <f>F28*(1-H28/100)*1.18</f>
        <v/>
      </c>
      <c r="J28">
        <f>הגדרות!C4</f>
        <v/>
      </c>
      <c r="K28">
        <f>הגדרות!D4</f>
        <v/>
      </c>
      <c r="L28">
        <f>I28*(1+J28/100)+K28</f>
        <v/>
      </c>
    </row>
    <row r="29">
      <c r="A29" t="inlineStr">
        <is>
          <t>וטמרקט</t>
        </is>
      </c>
      <c r="B29" t="inlineStr">
        <is>
          <t>תוסף מפרקים  DASUQUIN Nutramax חטיפים לכלב גדול, 84 יח'</t>
        </is>
      </c>
      <c r="C29" t="inlineStr">
        <is>
          <t>חטיפים</t>
        </is>
      </c>
      <c r="D29" t="inlineStr">
        <is>
          <t>181526</t>
        </is>
      </c>
      <c r="E29" t="inlineStr">
        <is>
          <t>2026-08</t>
        </is>
      </c>
      <c r="F29" t="n">
        <v>190</v>
      </c>
      <c r="G29" t="n">
        <v>224.2</v>
      </c>
      <c r="H29">
        <f>הגדרות!B4</f>
        <v/>
      </c>
      <c r="I29">
        <f>F29*(1-H29/100)*1.18</f>
        <v/>
      </c>
      <c r="J29">
        <f>הגדרות!C4</f>
        <v/>
      </c>
      <c r="K29">
        <f>הגדרות!D4</f>
        <v/>
      </c>
      <c r="L29">
        <f>I29*(1+J29/100)+K29</f>
        <v/>
      </c>
    </row>
    <row r="30">
      <c r="A30" t="inlineStr">
        <is>
          <t>וטמרקט</t>
        </is>
      </c>
      <c r="B30" t="inlineStr">
        <is>
          <t>חטיף FOODIES גלילת ברווז עם עצם דנטלית 100 גרם</t>
        </is>
      </c>
      <c r="C30" t="inlineStr">
        <is>
          <t>חטיפים</t>
        </is>
      </c>
      <c r="D30" t="inlineStr">
        <is>
          <t>48000013</t>
        </is>
      </c>
      <c r="E30" t="inlineStr">
        <is>
          <t>2026-08</t>
        </is>
      </c>
      <c r="F30" t="n">
        <v>6</v>
      </c>
      <c r="G30" t="n">
        <v>7.08</v>
      </c>
      <c r="H30">
        <f>הגדרות!B4</f>
        <v/>
      </c>
      <c r="I30">
        <f>F30*(1-H30/100)*1.18</f>
        <v/>
      </c>
      <c r="J30">
        <f>הגדרות!C4</f>
        <v/>
      </c>
      <c r="K30">
        <f>הגדרות!D4</f>
        <v/>
      </c>
      <c r="L30">
        <f>I30*(1+J30/100)+K30</f>
        <v/>
      </c>
    </row>
    <row r="31">
      <c r="A31" t="inlineStr">
        <is>
          <t>וטמרקט</t>
        </is>
      </c>
      <c r="B31" t="inlineStr">
        <is>
          <t>חטיף FOODIES גלילת כבש, אורז ועור בקר, 100 גרם</t>
        </is>
      </c>
      <c r="C31" t="inlineStr">
        <is>
          <t>חטיפים</t>
        </is>
      </c>
      <c r="D31" t="inlineStr">
        <is>
          <t>48000015</t>
        </is>
      </c>
      <c r="E31" t="inlineStr">
        <is>
          <t>2026-08</t>
        </is>
      </c>
      <c r="F31" t="n">
        <v>6</v>
      </c>
      <c r="G31" t="n">
        <v>7.08</v>
      </c>
      <c r="H31">
        <f>הגדרות!B4</f>
        <v/>
      </c>
      <c r="I31">
        <f>F31*(1-H31/100)*1.18</f>
        <v/>
      </c>
      <c r="J31">
        <f>הגדרות!C4</f>
        <v/>
      </c>
      <c r="K31">
        <f>הגדרות!D4</f>
        <v/>
      </c>
      <c r="L31">
        <f>I31*(1+J31/100)+K31</f>
        <v/>
      </c>
    </row>
    <row r="32">
      <c r="A32" t="inlineStr">
        <is>
          <t>וטמרקט</t>
        </is>
      </c>
      <c r="B32" t="inlineStr">
        <is>
          <t>חטיף FOODIES מקלות לעיסה עוף ועור בקר 1 ק"ג</t>
        </is>
      </c>
      <c r="C32" t="inlineStr">
        <is>
          <t>חטיפים</t>
        </is>
      </c>
      <c r="D32" t="inlineStr">
        <is>
          <t>48000025</t>
        </is>
      </c>
      <c r="E32" t="inlineStr">
        <is>
          <t>2026-08</t>
        </is>
      </c>
      <c r="F32" t="n">
        <v>53</v>
      </c>
      <c r="G32" t="n">
        <v>62.54</v>
      </c>
      <c r="H32">
        <f>הגדרות!B4</f>
        <v/>
      </c>
      <c r="I32">
        <f>F32*(1-H32/100)*1.18</f>
        <v/>
      </c>
      <c r="J32">
        <f>הגדרות!C4</f>
        <v/>
      </c>
      <c r="K32">
        <f>הגדרות!D4</f>
        <v/>
      </c>
      <c r="L32">
        <f>I32*(1+J32/100)+K32</f>
        <v/>
      </c>
    </row>
    <row r="33">
      <c r="A33" t="inlineStr">
        <is>
          <t>וטמרקט</t>
        </is>
      </c>
      <c r="B33" t="inlineStr">
        <is>
          <t>חטיף FOODIES גלילת עוף ועור בקר ג'מבו 1 ק"ג</t>
        </is>
      </c>
      <c r="C33" t="inlineStr">
        <is>
          <t>חטיפים</t>
        </is>
      </c>
      <c r="D33" t="inlineStr">
        <is>
          <t>48000027</t>
        </is>
      </c>
      <c r="E33" t="inlineStr">
        <is>
          <t>2026-08</t>
        </is>
      </c>
      <c r="F33" t="n">
        <v>53</v>
      </c>
      <c r="G33" t="n">
        <v>62.54</v>
      </c>
      <c r="H33">
        <f>הגדרות!B4</f>
        <v/>
      </c>
      <c r="I33">
        <f>F33*(1-H33/100)*1.18</f>
        <v/>
      </c>
      <c r="J33">
        <f>הגדרות!C4</f>
        <v/>
      </c>
      <c r="K33">
        <f>הגדרות!D4</f>
        <v/>
      </c>
      <c r="L33">
        <f>I33*(1+J33/100)+K33</f>
        <v/>
      </c>
    </row>
    <row r="34">
      <c r="A34" t="inlineStr">
        <is>
          <t>וטמרקט</t>
        </is>
      </c>
      <c r="B34" t="inlineStr">
        <is>
          <t>חטיף FOODIES גלילת ברווז עם עצם סידן 1 ק"ג</t>
        </is>
      </c>
      <c r="C34" t="inlineStr">
        <is>
          <t>חטיפים</t>
        </is>
      </c>
      <c r="D34" t="inlineStr">
        <is>
          <t>48000028</t>
        </is>
      </c>
      <c r="E34" t="inlineStr">
        <is>
          <t>2026-08</t>
        </is>
      </c>
      <c r="F34" t="n">
        <v>53</v>
      </c>
      <c r="G34" t="n">
        <v>62.54</v>
      </c>
      <c r="H34">
        <f>הגדרות!B4</f>
        <v/>
      </c>
      <c r="I34">
        <f>F34*(1-H34/100)*1.18</f>
        <v/>
      </c>
      <c r="J34">
        <f>הגדרות!C4</f>
        <v/>
      </c>
      <c r="K34">
        <f>הגדרות!D4</f>
        <v/>
      </c>
      <c r="L34">
        <f>I34*(1+J34/100)+K34</f>
        <v/>
      </c>
    </row>
    <row r="35">
      <c r="A35" t="inlineStr">
        <is>
          <t>וטמרקט</t>
        </is>
      </c>
      <c r="B35" t="inlineStr">
        <is>
          <t>חטיף FOODIES פילה חזה עוף 1 ק"ג</t>
        </is>
      </c>
      <c r="C35" t="inlineStr">
        <is>
          <t>חטיפים</t>
        </is>
      </c>
      <c r="D35" t="inlineStr">
        <is>
          <t>48000029</t>
        </is>
      </c>
      <c r="E35" t="inlineStr">
        <is>
          <t>2026-08</t>
        </is>
      </c>
      <c r="F35" t="n">
        <v>53</v>
      </c>
      <c r="G35" t="n">
        <v>62.54</v>
      </c>
      <c r="H35">
        <f>הגדרות!B4</f>
        <v/>
      </c>
      <c r="I35">
        <f>F35*(1-H35/100)*1.18</f>
        <v/>
      </c>
      <c r="J35">
        <f>הגדרות!C4</f>
        <v/>
      </c>
      <c r="K35">
        <f>הגדרות!D4</f>
        <v/>
      </c>
      <c r="L35">
        <f>I35*(1+J35/100)+K35</f>
        <v/>
      </c>
    </row>
    <row r="36">
      <c r="A36" t="inlineStr">
        <is>
          <t>וטמרקט</t>
        </is>
      </c>
      <c r="B36" t="inlineStr">
        <is>
          <t>ק"ג 1 חטיף פודיס ברווז על מקלוני עור בקר,</t>
        </is>
      </c>
      <c r="C36" t="inlineStr">
        <is>
          <t>חטיפים</t>
        </is>
      </c>
      <c r="D36" t="inlineStr">
        <is>
          <t>48000030</t>
        </is>
      </c>
      <c r="E36" t="inlineStr">
        <is>
          <t>2026-08</t>
        </is>
      </c>
      <c r="F36" t="n">
        <v>53</v>
      </c>
      <c r="G36" t="n">
        <v>62.54</v>
      </c>
      <c r="H36">
        <f>הגדרות!B4</f>
        <v/>
      </c>
      <c r="I36">
        <f>F36*(1-H36/100)*1.18</f>
        <v/>
      </c>
      <c r="J36">
        <f>הגדרות!C4</f>
        <v/>
      </c>
      <c r="K36">
        <f>הגדרות!D4</f>
        <v/>
      </c>
      <c r="L36">
        <f>I36*(1+J36/100)+K36</f>
        <v/>
      </c>
    </row>
    <row r="37">
      <c r="A37" t="inlineStr">
        <is>
          <t>וטמרקט</t>
        </is>
      </c>
      <c r="B37" t="inlineStr">
        <is>
          <t>חטיף FOODIES גלילת כבש ועור בקר, 1 ק"ג</t>
        </is>
      </c>
      <c r="C37" t="inlineStr">
        <is>
          <t>חטיפים</t>
        </is>
      </c>
      <c r="D37" t="inlineStr">
        <is>
          <t>48000031</t>
        </is>
      </c>
      <c r="E37" t="inlineStr">
        <is>
          <t>2026-08</t>
        </is>
      </c>
      <c r="F37" t="n">
        <v>53</v>
      </c>
      <c r="G37" t="n">
        <v>62.54</v>
      </c>
      <c r="H37">
        <f>הגדרות!B4</f>
        <v/>
      </c>
      <c r="I37">
        <f>F37*(1-H37/100)*1.18</f>
        <v/>
      </c>
      <c r="J37">
        <f>הגדרות!C4</f>
        <v/>
      </c>
      <c r="K37">
        <f>הגדרות!D4</f>
        <v/>
      </c>
      <c r="L37">
        <f>I37*(1+J37/100)+K37</f>
        <v/>
      </c>
    </row>
    <row r="38">
      <c r="A38" t="inlineStr">
        <is>
          <t>וטמרקט</t>
        </is>
      </c>
      <c r="B38" t="inlineStr">
        <is>
          <t>ק"ג 1 חטיף פודיס מקלות לעיסה כבש ועור בקר,</t>
        </is>
      </c>
      <c r="C38" t="inlineStr">
        <is>
          <t>חטיפים</t>
        </is>
      </c>
      <c r="D38" t="inlineStr">
        <is>
          <t>48000032</t>
        </is>
      </c>
      <c r="E38" t="inlineStr">
        <is>
          <t>2026-08</t>
        </is>
      </c>
      <c r="F38" t="n">
        <v>53</v>
      </c>
      <c r="G38" t="n">
        <v>62.54</v>
      </c>
      <c r="H38">
        <f>הגדרות!B4</f>
        <v/>
      </c>
      <c r="I38">
        <f>F38*(1-H38/100)*1.18</f>
        <v/>
      </c>
      <c r="J38">
        <f>הגדרות!C4</f>
        <v/>
      </c>
      <c r="K38">
        <f>הגדרות!D4</f>
        <v/>
      </c>
      <c r="L38">
        <f>I38*(1+J38/100)+K38</f>
        <v/>
      </c>
    </row>
    <row r="39">
      <c r="A39" t="inlineStr">
        <is>
          <t>וטמרקט</t>
        </is>
      </c>
      <c r="B39" t="inlineStr">
        <is>
          <t>חטיף FOODIES מקלות לעיסה סלמון ועור בקר, 1 ק"ג</t>
        </is>
      </c>
      <c r="C39" t="inlineStr">
        <is>
          <t>חטיפים</t>
        </is>
      </c>
      <c r="D39" t="inlineStr">
        <is>
          <t>48000033</t>
        </is>
      </c>
      <c r="E39" t="inlineStr">
        <is>
          <t>2026-08</t>
        </is>
      </c>
      <c r="F39" t="n">
        <v>53</v>
      </c>
      <c r="G39" t="n">
        <v>62.54</v>
      </c>
      <c r="H39">
        <f>הגדרות!B4</f>
        <v/>
      </c>
      <c r="I39">
        <f>F39*(1-H39/100)*1.18</f>
        <v/>
      </c>
      <c r="J39">
        <f>הגדרות!C4</f>
        <v/>
      </c>
      <c r="K39">
        <f>הגדרות!D4</f>
        <v/>
      </c>
      <c r="L39">
        <f>I39*(1+J39/100)+K39</f>
        <v/>
      </c>
    </row>
    <row r="40">
      <c r="A40" t="inlineStr">
        <is>
          <t>מדי-מרקט</t>
        </is>
      </c>
      <c r="B40" t="inlineStr">
        <is>
          <t>@ סדיניה 35 60X90 יח' TENA BED @</t>
        </is>
      </c>
      <c r="C40" t="inlineStr">
        <is>
          <t>אביזרים</t>
        </is>
      </c>
      <c r="D40" t="inlineStr">
        <is>
          <t>33262-1</t>
        </is>
      </c>
      <c r="E40" t="inlineStr">
        <is>
          <t>2026-06</t>
        </is>
      </c>
      <c r="F40" t="n">
        <v>31.36</v>
      </c>
      <c r="G40" t="n">
        <v>37</v>
      </c>
      <c r="H40">
        <f>הגדרות!B5</f>
        <v/>
      </c>
      <c r="I40">
        <f>F40*(1-H40/100)*1.18</f>
        <v/>
      </c>
      <c r="J40">
        <f>הגדרות!C5</f>
        <v/>
      </c>
      <c r="K40">
        <f>הגדרות!D5</f>
        <v/>
      </c>
      <c r="L40">
        <f>I40*(1+J40/100)+K40</f>
        <v/>
      </c>
    </row>
    <row r="41">
      <c r="A41" t="inlineStr">
        <is>
          <t>מדי-מרקט</t>
        </is>
      </c>
      <c r="B41" t="inlineStr">
        <is>
          <t>ANTIGONE WIPES 19*20 500</t>
        </is>
      </c>
      <c r="C41" t="inlineStr">
        <is>
          <t>טיפוח והיגיינה</t>
        </is>
      </c>
      <c r="D41" t="inlineStr">
        <is>
          <t>M0002020</t>
        </is>
      </c>
      <c r="E41" t="inlineStr">
        <is>
          <t>2026-06</t>
        </is>
      </c>
      <c r="F41" t="n">
        <v>71.42</v>
      </c>
      <c r="G41" t="n">
        <v>84.27</v>
      </c>
      <c r="H41">
        <f>הגדרות!B5</f>
        <v/>
      </c>
      <c r="I41">
        <f>F41*(1-H41/100)*1.18</f>
        <v/>
      </c>
      <c r="J41">
        <f>הגדרות!C5</f>
        <v/>
      </c>
      <c r="K41">
        <f>הגדרות!D5</f>
        <v/>
      </c>
      <c r="L41">
        <f>I41*(1+J41/100)+K41</f>
        <v/>
      </c>
    </row>
    <row r="42">
      <c r="A42" t="inlineStr">
        <is>
          <t>מדי-מרקט</t>
        </is>
      </c>
      <c r="B42" t="inlineStr">
        <is>
          <t>ANTIGONE WIPES 20*20 200</t>
        </is>
      </c>
      <c r="C42" t="inlineStr">
        <is>
          <t>טיפוח והיגיינה</t>
        </is>
      </c>
      <c r="D42" t="inlineStr">
        <is>
          <t>100003</t>
        </is>
      </c>
      <c r="E42" t="inlineStr">
        <is>
          <t>2026-06</t>
        </is>
      </c>
      <c r="F42" t="n">
        <v>30.32</v>
      </c>
      <c r="G42" t="n">
        <v>35.78</v>
      </c>
      <c r="H42">
        <f>הגדרות!B5</f>
        <v/>
      </c>
      <c r="I42">
        <f>F42*(1-H42/100)*1.18</f>
        <v/>
      </c>
      <c r="J42">
        <f>הגדרות!C5</f>
        <v/>
      </c>
      <c r="K42">
        <f>הגדרות!D5</f>
        <v/>
      </c>
      <c r="L42">
        <f>I42*(1+J42/100)+K42</f>
        <v/>
      </c>
    </row>
    <row r="43">
      <c r="A43" t="inlineStr">
        <is>
          <t>מדי-מרקט</t>
        </is>
      </c>
      <c r="B43" t="inlineStr">
        <is>
          <t>CETRIN 1 LITTER SOL</t>
        </is>
      </c>
      <c r="C43" t="inlineStr">
        <is>
          <t>חול ושירותים</t>
        </is>
      </c>
      <c r="D43" t="inlineStr">
        <is>
          <t>33365</t>
        </is>
      </c>
      <c r="E43" t="inlineStr">
        <is>
          <t>2026-06</t>
        </is>
      </c>
      <c r="F43" t="n">
        <v>30.84</v>
      </c>
      <c r="G43" t="n">
        <v>36.39</v>
      </c>
      <c r="H43">
        <f>הגדרות!B5</f>
        <v/>
      </c>
      <c r="I43">
        <f>F43*(1-H43/100)*1.18</f>
        <v/>
      </c>
      <c r="J43">
        <f>הגדרות!C5</f>
        <v/>
      </c>
      <c r="K43">
        <f>הגדרות!D5</f>
        <v/>
      </c>
      <c r="L43">
        <f>I43*(1+J43/100)+K43</f>
        <v/>
      </c>
    </row>
    <row r="44">
      <c r="A44" t="inlineStr">
        <is>
          <t>מדי-מרקט</t>
        </is>
      </c>
      <c r="B44" t="inlineStr">
        <is>
          <t>DOUXO S3 CALM MOUSSE 150 ML</t>
        </is>
      </c>
      <c r="C44" t="inlineStr">
        <is>
          <t>טיפוח והיגיינה</t>
        </is>
      </c>
      <c r="D44" t="inlineStr">
        <is>
          <t>81-105</t>
        </is>
      </c>
      <c r="E44" t="inlineStr">
        <is>
          <t>2026-06</t>
        </is>
      </c>
      <c r="F44" t="n">
        <v>58.47</v>
      </c>
      <c r="G44" t="n">
        <v>69</v>
      </c>
      <c r="H44">
        <f>הגדרות!B5</f>
        <v/>
      </c>
      <c r="I44">
        <f>F44*(1-H44/100)*1.18</f>
        <v/>
      </c>
      <c r="J44">
        <f>הגדרות!C5</f>
        <v/>
      </c>
      <c r="K44">
        <f>הגדרות!D5</f>
        <v/>
      </c>
      <c r="L44">
        <f>I44*(1+J44/100)+K44</f>
        <v/>
      </c>
    </row>
    <row r="45">
      <c r="A45" t="inlineStr">
        <is>
          <t>מדי-מרקט</t>
        </is>
      </c>
      <c r="B45" t="inlineStr">
        <is>
          <t>DOUXO S3 PYO MOUSSE 150 ML</t>
        </is>
      </c>
      <c r="C45" t="inlineStr">
        <is>
          <t>טיפוח והיגיינה</t>
        </is>
      </c>
      <c r="D45" t="inlineStr">
        <is>
          <t>81-101</t>
        </is>
      </c>
      <c r="E45" t="inlineStr">
        <is>
          <t>2026-06</t>
        </is>
      </c>
      <c r="F45" t="n">
        <v>58.47</v>
      </c>
      <c r="G45" t="n">
        <v>69</v>
      </c>
      <c r="H45">
        <f>הגדרות!B5</f>
        <v/>
      </c>
      <c r="I45">
        <f>F45*(1-H45/100)*1.18</f>
        <v/>
      </c>
      <c r="J45">
        <f>הגדרות!C5</f>
        <v/>
      </c>
      <c r="K45">
        <f>הגדרות!D5</f>
        <v/>
      </c>
      <c r="L45">
        <f>I45*(1+J45/100)+K45</f>
        <v/>
      </c>
    </row>
    <row r="46">
      <c r="A46" t="inlineStr">
        <is>
          <t>מדי-מרקט</t>
        </is>
      </c>
      <c r="B46" t="inlineStr">
        <is>
          <t>DOUXO S3 PYO PADS</t>
        </is>
      </c>
      <c r="C46" t="inlineStr">
        <is>
          <t>טיפוח והיגיינה</t>
        </is>
      </c>
      <c r="D46" t="inlineStr">
        <is>
          <t>81-107</t>
        </is>
      </c>
      <c r="E46" t="inlineStr">
        <is>
          <t>2026-06</t>
        </is>
      </c>
      <c r="F46" t="n">
        <v>36.44</v>
      </c>
      <c r="G46" t="n">
        <v>43</v>
      </c>
      <c r="H46">
        <f>הגדרות!B5</f>
        <v/>
      </c>
      <c r="I46">
        <f>F46*(1-H46/100)*1.18</f>
        <v/>
      </c>
      <c r="J46">
        <f>הגדרות!C5</f>
        <v/>
      </c>
      <c r="K46">
        <f>הגדרות!D5</f>
        <v/>
      </c>
      <c r="L46">
        <f>I46*(1+J46/100)+K46</f>
        <v/>
      </c>
    </row>
    <row r="47">
      <c r="A47" t="inlineStr">
        <is>
          <t>מדי-מרקט</t>
        </is>
      </c>
      <c r="B47" t="inlineStr">
        <is>
          <t>DOUXO S3 SEB MOUSSE 150 ML</t>
        </is>
      </c>
      <c r="C47" t="inlineStr">
        <is>
          <t>טיפוח והיגיינה</t>
        </is>
      </c>
      <c r="D47" t="inlineStr">
        <is>
          <t>81-103</t>
        </is>
      </c>
      <c r="E47" t="inlineStr">
        <is>
          <t>2026-06</t>
        </is>
      </c>
      <c r="F47" t="n">
        <v>58.47</v>
      </c>
      <c r="G47" t="n">
        <v>69</v>
      </c>
      <c r="H47">
        <f>הגדרות!B5</f>
        <v/>
      </c>
      <c r="I47">
        <f>F47*(1-H47/100)*1.18</f>
        <v/>
      </c>
      <c r="J47">
        <f>הגדרות!C5</f>
        <v/>
      </c>
      <c r="K47">
        <f>הגדרות!D5</f>
        <v/>
      </c>
      <c r="L47">
        <f>I47*(1+J47/100)+K47</f>
        <v/>
      </c>
    </row>
    <row r="48">
      <c r="A48" t="inlineStr">
        <is>
          <t>מדי-מרקט</t>
        </is>
      </c>
      <c r="B48" t="inlineStr">
        <is>
          <t>Easy Go 500 Litter - איזי גו</t>
        </is>
      </c>
      <c r="C48" t="inlineStr">
        <is>
          <t>חול ושירותים</t>
        </is>
      </c>
      <c r="D48" t="inlineStr">
        <is>
          <t>18033-1</t>
        </is>
      </c>
      <c r="E48" t="inlineStr">
        <is>
          <t>2026-06</t>
        </is>
      </c>
      <c r="F48" t="n">
        <v>14.32</v>
      </c>
      <c r="G48" t="n">
        <v>16.9</v>
      </c>
      <c r="H48">
        <f>הגדרות!B5</f>
        <v/>
      </c>
      <c r="I48">
        <f>F48*(1-H48/100)*1.18</f>
        <v/>
      </c>
      <c r="J48">
        <f>הגדרות!C5</f>
        <v/>
      </c>
      <c r="K48">
        <f>הגדרות!D5</f>
        <v/>
      </c>
      <c r="L48">
        <f>I48*(1+J48/100)+K48</f>
        <v/>
      </c>
    </row>
    <row r="49">
      <c r="A49" t="inlineStr">
        <is>
          <t>מדי-מרקט</t>
        </is>
      </c>
      <c r="B49" t="inlineStr">
        <is>
          <t>Pinchers 45chews peanut butter pill hiding treat</t>
        </is>
      </c>
      <c r="C49" t="inlineStr">
        <is>
          <t>חטיפים</t>
        </is>
      </c>
      <c r="D49" t="inlineStr">
        <is>
          <t>090062J.045</t>
        </is>
      </c>
      <c r="E49" t="inlineStr">
        <is>
          <t>2026-06</t>
        </is>
      </c>
      <c r="F49" t="n">
        <v>22.3</v>
      </c>
      <c r="G49" t="n">
        <v>26.31</v>
      </c>
      <c r="H49">
        <f>הגדרות!B5</f>
        <v/>
      </c>
      <c r="I49">
        <f>F49*(1-H49/100)*1.18</f>
        <v/>
      </c>
      <c r="J49">
        <f>הגדרות!C5</f>
        <v/>
      </c>
      <c r="K49">
        <f>הגדרות!D5</f>
        <v/>
      </c>
      <c r="L49">
        <f>I49*(1+J49/100)+K49</f>
        <v/>
      </c>
    </row>
    <row r="50">
      <c r="A50" t="inlineStr">
        <is>
          <t>מדי-מרקט</t>
        </is>
      </c>
      <c r="B50" t="inlineStr">
        <is>
          <t>אלונקה רכה מתקפלת NAR QuikLitter</t>
        </is>
      </c>
      <c r="C50" t="inlineStr">
        <is>
          <t>חול ושירותים</t>
        </is>
      </c>
      <c r="D50" t="inlineStr">
        <is>
          <t>4105</t>
        </is>
      </c>
      <c r="E50" t="inlineStr">
        <is>
          <t>2026-06</t>
        </is>
      </c>
      <c r="F50" t="n">
        <v>194.49</v>
      </c>
      <c r="G50" t="n">
        <v>229.5</v>
      </c>
      <c r="H50">
        <f>הגדרות!B5</f>
        <v/>
      </c>
      <c r="I50">
        <f>F50*(1-H50/100)*1.18</f>
        <v/>
      </c>
      <c r="J50">
        <f>הגדרות!C5</f>
        <v/>
      </c>
      <c r="K50">
        <f>הגדרות!D5</f>
        <v/>
      </c>
      <c r="L50">
        <f>I50*(1+J50/100)+K50</f>
        <v/>
      </c>
    </row>
    <row r="51">
      <c r="A51" t="inlineStr">
        <is>
          <t>מדי-מרקט</t>
        </is>
      </c>
      <c r="B51" t="inlineStr">
        <is>
          <t>כלוב נשיאה אטלס 10 ללא מזרון Ferplast</t>
        </is>
      </c>
      <c r="C51" t="inlineStr">
        <is>
          <t>טיפוח והיגיינה</t>
        </is>
      </c>
      <c r="D51" t="inlineStr">
        <is>
          <t>5550279</t>
        </is>
      </c>
      <c r="E51" t="inlineStr">
        <is>
          <t>2026-06</t>
        </is>
      </c>
      <c r="F51" t="n">
        <v>50.85</v>
      </c>
      <c r="G51" t="n">
        <v>60</v>
      </c>
      <c r="H51">
        <f>הגדרות!B5</f>
        <v/>
      </c>
      <c r="I51">
        <f>F51*(1-H51/100)*1.18</f>
        <v/>
      </c>
      <c r="J51">
        <f>הגדרות!C5</f>
        <v/>
      </c>
      <c r="K51">
        <f>הגדרות!D5</f>
        <v/>
      </c>
      <c r="L51">
        <f>I51*(1+J51/100)+K51</f>
        <v/>
      </c>
    </row>
    <row r="52">
      <c r="A52" t="inlineStr">
        <is>
          <t>מדי-מרקט</t>
        </is>
      </c>
      <c r="B52" t="inlineStr">
        <is>
          <t>כלוב נשיאה אטלס 20 ללא מזרון Ferplast</t>
        </is>
      </c>
      <c r="C52" t="inlineStr">
        <is>
          <t>טיפוח והיגיינה</t>
        </is>
      </c>
      <c r="D52" t="inlineStr">
        <is>
          <t>5550280</t>
        </is>
      </c>
      <c r="E52" t="inlineStr">
        <is>
          <t>2026-06</t>
        </is>
      </c>
      <c r="F52" t="n">
        <v>88.14</v>
      </c>
      <c r="G52" t="n">
        <v>104</v>
      </c>
      <c r="H52">
        <f>הגדרות!B5</f>
        <v/>
      </c>
      <c r="I52">
        <f>F52*(1-H52/100)*1.18</f>
        <v/>
      </c>
      <c r="J52">
        <f>הגדרות!C5</f>
        <v/>
      </c>
      <c r="K52">
        <f>הגדרות!D5</f>
        <v/>
      </c>
      <c r="L52">
        <f>I52*(1+J52/100)+K52</f>
        <v/>
      </c>
    </row>
    <row r="53">
      <c r="A53" t="inlineStr">
        <is>
          <t>מדי-מרקט</t>
        </is>
      </c>
      <c r="B53" t="inlineStr">
        <is>
          <t>מברשת רחצת ידיים לפני ניתוח, סטר', מדיקפרו</t>
        </is>
      </c>
      <c r="C53" t="inlineStr">
        <is>
          <t>טיפוח והיגיינה</t>
        </is>
      </c>
      <c r="D53" t="inlineStr">
        <is>
          <t>3694</t>
        </is>
      </c>
      <c r="E53" t="inlineStr">
        <is>
          <t>2026-06</t>
        </is>
      </c>
      <c r="F53" t="n">
        <v>0.87</v>
      </c>
      <c r="G53" t="n">
        <v>1.03</v>
      </c>
      <c r="H53">
        <f>הגדרות!B5</f>
        <v/>
      </c>
      <c r="I53">
        <f>F53*(1-H53/100)*1.18</f>
        <v/>
      </c>
      <c r="J53">
        <f>הגדרות!C5</f>
        <v/>
      </c>
      <c r="K53">
        <f>הגדרות!D5</f>
        <v/>
      </c>
      <c r="L53">
        <f>I53*(1+J53/100)+K53</f>
        <v/>
      </c>
    </row>
    <row r="54">
      <c r="A54" t="inlineStr">
        <is>
          <t>מדי-מרקט</t>
        </is>
      </c>
      <c r="B54" t="inlineStr">
        <is>
          <t>מגבונים - Clinell sporicidal wipesn 1/6</t>
        </is>
      </c>
      <c r="C54" t="inlineStr">
        <is>
          <t>טיפוח והיגיינה</t>
        </is>
      </c>
      <c r="D54" t="inlineStr">
        <is>
          <t>CS25</t>
        </is>
      </c>
      <c r="E54" t="inlineStr">
        <is>
          <t>2026-06</t>
        </is>
      </c>
      <c r="F54" t="n">
        <v>156.78</v>
      </c>
      <c r="G54" t="n">
        <v>185</v>
      </c>
      <c r="H54">
        <f>הגדרות!B5</f>
        <v/>
      </c>
      <c r="I54">
        <f>F54*(1-H54/100)*1.18</f>
        <v/>
      </c>
      <c r="J54">
        <f>הגדרות!C5</f>
        <v/>
      </c>
      <c r="K54">
        <f>הגדרות!D5</f>
        <v/>
      </c>
      <c r="L54">
        <f>I54*(1+J54/100)+K54</f>
        <v/>
      </c>
    </row>
    <row r="55">
      <c r="A55" t="inlineStr">
        <is>
          <t>מדי-מרקט</t>
        </is>
      </c>
      <c r="B55" t="inlineStr">
        <is>
          <t>מגבונים - Clinell Universal wipes clip pack 50</t>
        </is>
      </c>
      <c r="C55" t="inlineStr">
        <is>
          <t>טיפוח והיגיינה</t>
        </is>
      </c>
      <c r="D55" t="inlineStr">
        <is>
          <t>11050</t>
        </is>
      </c>
      <c r="E55" t="inlineStr">
        <is>
          <t>2026-06</t>
        </is>
      </c>
      <c r="F55" t="n">
        <v>9.25</v>
      </c>
      <c r="G55" t="n">
        <v>10.92</v>
      </c>
      <c r="H55">
        <f>הגדרות!B5</f>
        <v/>
      </c>
      <c r="I55">
        <f>F55*(1-H55/100)*1.18</f>
        <v/>
      </c>
      <c r="J55">
        <f>הגדרות!C5</f>
        <v/>
      </c>
      <c r="K55">
        <f>הגדרות!D5</f>
        <v/>
      </c>
      <c r="L55">
        <f>I55*(1+J55/100)+K55</f>
        <v/>
      </c>
    </row>
    <row r="56">
      <c r="A56" t="inlineStr">
        <is>
          <t>מדי-מרקט</t>
        </is>
      </c>
      <c r="B56" t="inlineStr">
        <is>
          <t>מגבונים - Clinell Universal Wipes pack of 200</t>
        </is>
      </c>
      <c r="C56" t="inlineStr">
        <is>
          <t>טיפוח והיגיינה</t>
        </is>
      </c>
      <c r="D56" t="inlineStr">
        <is>
          <t>11200</t>
        </is>
      </c>
      <c r="E56" t="inlineStr">
        <is>
          <t>2026-06</t>
        </is>
      </c>
      <c r="F56" t="n">
        <v>19.92</v>
      </c>
      <c r="G56" t="n">
        <v>23.5</v>
      </c>
      <c r="H56">
        <f>הגדרות!B5</f>
        <v/>
      </c>
      <c r="I56">
        <f>F56*(1-H56/100)*1.18</f>
        <v/>
      </c>
      <c r="J56">
        <f>הגדרות!C5</f>
        <v/>
      </c>
      <c r="K56">
        <f>הגדרות!D5</f>
        <v/>
      </c>
      <c r="L56">
        <f>I56*(1+J56/100)+K56</f>
        <v/>
      </c>
    </row>
    <row r="57">
      <c r="A57" t="inlineStr">
        <is>
          <t>מדי-מרקט</t>
        </is>
      </c>
      <c r="B57" t="inlineStr">
        <is>
          <t>מגבונים מדי-קלין אקסטרה עבים מועשר באלוורה 500 יח 20X16 ס"מ</t>
        </is>
      </c>
      <c r="C57" t="inlineStr">
        <is>
          <t>טיפוח והיגיינה</t>
        </is>
      </c>
      <c r="D57" t="inlineStr">
        <is>
          <t>128697</t>
        </is>
      </c>
      <c r="E57" t="inlineStr">
        <is>
          <t>2026-06</t>
        </is>
      </c>
      <c r="F57" t="n">
        <v>22.88</v>
      </c>
      <c r="G57" t="n">
        <v>27</v>
      </c>
      <c r="H57">
        <f>הגדרות!B5</f>
        <v/>
      </c>
      <c r="I57">
        <f>F57*(1-H57/100)*1.18</f>
        <v/>
      </c>
      <c r="J57">
        <f>הגדרות!C5</f>
        <v/>
      </c>
      <c r="K57">
        <f>הגדרות!D5</f>
        <v/>
      </c>
      <c r="L57">
        <f>I57*(1+J57/100)+K57</f>
        <v/>
      </c>
    </row>
    <row r="58">
      <c r="A58" t="inlineStr">
        <is>
          <t>מדי-מרקט</t>
        </is>
      </c>
      <c r="B58" t="inlineStr">
        <is>
          <t>מגבונים מדי-קלין מועשרים באלוורה 500 יח' 28X20 ס"מ</t>
        </is>
      </c>
      <c r="C58" t="inlineStr">
        <is>
          <t>טיפוח והיגיינה</t>
        </is>
      </c>
      <c r="D58" t="inlineStr">
        <is>
          <t>128695</t>
        </is>
      </c>
      <c r="E58" t="inlineStr">
        <is>
          <t>2026-06</t>
        </is>
      </c>
      <c r="F58" t="n">
        <v>22.88</v>
      </c>
      <c r="G58" t="n">
        <v>27</v>
      </c>
      <c r="H58">
        <f>הגדרות!B5</f>
        <v/>
      </c>
      <c r="I58">
        <f>F58*(1-H58/100)*1.18</f>
        <v/>
      </c>
      <c r="J58">
        <f>הגדרות!C5</f>
        <v/>
      </c>
      <c r="K58">
        <f>הגדרות!D5</f>
        <v/>
      </c>
      <c r="L58">
        <f>I58*(1+J58/100)+K58</f>
        <v/>
      </c>
    </row>
    <row r="59">
      <c r="A59" t="inlineStr">
        <is>
          <t>מדי-מרקט</t>
        </is>
      </c>
      <c r="B59" t="inlineStr">
        <is>
          <t>מיטה חשמלית דגם GUESS 402 מעקה מגלוון</t>
        </is>
      </c>
      <c r="C59" t="inlineStr">
        <is>
          <t>אביזרים</t>
        </is>
      </c>
      <c r="D59" t="inlineStr">
        <is>
          <t>883135</t>
        </is>
      </c>
      <c r="E59" t="inlineStr">
        <is>
          <t>2026-06</t>
        </is>
      </c>
      <c r="F59" t="n">
        <v>6288.14</v>
      </c>
      <c r="G59" t="n">
        <v>7420</v>
      </c>
      <c r="H59">
        <f>הגדרות!B5</f>
        <v/>
      </c>
      <c r="I59">
        <f>F59*(1-H59/100)*1.18</f>
        <v/>
      </c>
      <c r="J59">
        <f>הגדרות!C5</f>
        <v/>
      </c>
      <c r="K59">
        <f>הגדרות!D5</f>
        <v/>
      </c>
      <c r="L59">
        <f>I59*(1+J59/100)+K59</f>
        <v/>
      </c>
    </row>
    <row r="60">
      <c r="A60" t="inlineStr">
        <is>
          <t>מדי-מרקט</t>
        </is>
      </c>
      <c r="B60" t="inlineStr">
        <is>
          <t>מספריים אל חלד לציפורניים REISZ</t>
        </is>
      </c>
      <c r="C60" t="inlineStr">
        <is>
          <t>טיפוח והיגיינה</t>
        </is>
      </c>
      <c r="D60" t="inlineStr">
        <is>
          <t>434457</t>
        </is>
      </c>
      <c r="E60" t="inlineStr">
        <is>
          <t>2026-06</t>
        </is>
      </c>
      <c r="F60" t="n">
        <v>21.17</v>
      </c>
      <c r="G60" t="n">
        <v>24.98</v>
      </c>
      <c r="H60">
        <f>הגדרות!B5</f>
        <v/>
      </c>
      <c r="I60">
        <f>F60*(1-H60/100)*1.18</f>
        <v/>
      </c>
      <c r="J60">
        <f>הגדרות!C5</f>
        <v/>
      </c>
      <c r="K60">
        <f>הגדרות!D5</f>
        <v/>
      </c>
      <c r="L60">
        <f>I60*(1+J60/100)+K60</f>
        <v/>
      </c>
    </row>
    <row r="61">
      <c r="A61" t="inlineStr">
        <is>
          <t>מדי-מרקט</t>
        </is>
      </c>
      <c r="B61" t="inlineStr">
        <is>
          <t>משושת ג'ל 500 מ"ל פוליגונום רב תכליתי Herbaderm</t>
        </is>
      </c>
      <c r="C61" t="inlineStr">
        <is>
          <t>טיפוח והיגיינה</t>
        </is>
      </c>
      <c r="D61" t="inlineStr">
        <is>
          <t>67-105</t>
        </is>
      </c>
      <c r="E61" t="inlineStr">
        <is>
          <t>2026-06</t>
        </is>
      </c>
      <c r="F61" t="n">
        <v>157.63</v>
      </c>
      <c r="G61" t="n">
        <v>186</v>
      </c>
      <c r="H61">
        <f>הגדרות!B5</f>
        <v/>
      </c>
      <c r="I61">
        <f>F61*(1-H61/100)*1.18</f>
        <v/>
      </c>
      <c r="J61">
        <f>הגדרות!C5</f>
        <v/>
      </c>
      <c r="K61">
        <f>הגדרות!D5</f>
        <v/>
      </c>
      <c r="L61">
        <f>I61*(1+J61/100)+K61</f>
        <v/>
      </c>
    </row>
    <row r="62">
      <c r="A62" t="inlineStr">
        <is>
          <t>מדי-מרקט</t>
        </is>
      </c>
      <c r="B62" t="inlineStr">
        <is>
          <t>משושת קרם 500 מ"ל פוליגונום רב תכליתי Herbaderm</t>
        </is>
      </c>
      <c r="C62" t="inlineStr">
        <is>
          <t>טיפוח והיגיינה</t>
        </is>
      </c>
      <c r="D62" t="inlineStr">
        <is>
          <t>67-103</t>
        </is>
      </c>
      <c r="E62" t="inlineStr">
        <is>
          <t>2026-06</t>
        </is>
      </c>
      <c r="F62" t="n">
        <v>157.63</v>
      </c>
      <c r="G62" t="n">
        <v>186</v>
      </c>
      <c r="H62">
        <f>הגדרות!B5</f>
        <v/>
      </c>
      <c r="I62">
        <f>F62*(1-H62/100)*1.18</f>
        <v/>
      </c>
      <c r="J62">
        <f>הגדרות!C5</f>
        <v/>
      </c>
      <c r="K62">
        <f>הגדרות!D5</f>
        <v/>
      </c>
      <c r="L62">
        <f>I62*(1+J62/100)+K62</f>
        <v/>
      </c>
    </row>
    <row r="63">
      <c r="A63" t="inlineStr">
        <is>
          <t>מדי-מרקט</t>
        </is>
      </c>
      <c r="B63" t="inlineStr">
        <is>
          <t>נייר לניגוב עדשות מיקרוסקופ 1159 1/280 Kimwipes</t>
        </is>
      </c>
      <c r="C63" t="inlineStr">
        <is>
          <t>טיפוח והיגיינה</t>
        </is>
      </c>
      <c r="D63" t="inlineStr">
        <is>
          <t>3422</t>
        </is>
      </c>
      <c r="E63" t="inlineStr">
        <is>
          <t>2026-06</t>
        </is>
      </c>
      <c r="F63" t="n">
        <v>26.44</v>
      </c>
      <c r="G63" t="n">
        <v>31.2</v>
      </c>
      <c r="H63">
        <f>הגדרות!B5</f>
        <v/>
      </c>
      <c r="I63">
        <f>F63*(1-H63/100)*1.18</f>
        <v/>
      </c>
      <c r="J63">
        <f>הגדרות!C5</f>
        <v/>
      </c>
      <c r="K63">
        <f>הגדרות!D5</f>
        <v/>
      </c>
      <c r="L63">
        <f>I63*(1+J63/100)+K63</f>
        <v/>
      </c>
    </row>
    <row r="64">
      <c r="A64" t="inlineStr">
        <is>
          <t>מדי-מרקט</t>
        </is>
      </c>
      <c r="B64" t="inlineStr">
        <is>
          <t>סיר לילה פלסטיק/ מיטה גדול עם ידית, מדיקפרו</t>
        </is>
      </c>
      <c r="C64" t="inlineStr">
        <is>
          <t>אביזרים</t>
        </is>
      </c>
      <c r="D64" t="inlineStr">
        <is>
          <t>4055</t>
        </is>
      </c>
      <c r="E64" t="inlineStr">
        <is>
          <t>2026-06</t>
        </is>
      </c>
      <c r="F64" t="n">
        <v>11.86</v>
      </c>
      <c r="G64" t="n">
        <v>14</v>
      </c>
      <c r="H64">
        <f>הגדרות!B5</f>
        <v/>
      </c>
      <c r="I64">
        <f>F64*(1-H64/100)*1.18</f>
        <v/>
      </c>
      <c r="J64">
        <f>הגדרות!C5</f>
        <v/>
      </c>
      <c r="K64">
        <f>הגדרות!D5</f>
        <v/>
      </c>
      <c r="L64">
        <f>I64*(1+J64/100)+K64</f>
        <v/>
      </c>
    </row>
    <row r="65">
      <c r="A65" t="inlineStr">
        <is>
          <t>מדי-מרקט</t>
        </is>
      </c>
      <c r="B65" t="inlineStr">
        <is>
          <t>קוצץ ציפורניים, מדיקפרו</t>
        </is>
      </c>
      <c r="C65" t="inlineStr">
        <is>
          <t>טיפוח והיגיינה</t>
        </is>
      </c>
      <c r="D65" t="inlineStr">
        <is>
          <t>17709</t>
        </is>
      </c>
      <c r="E65" t="inlineStr">
        <is>
          <t>2026-06</t>
        </is>
      </c>
      <c r="F65" t="n">
        <v>3.32</v>
      </c>
      <c r="G65" t="n">
        <v>3.92</v>
      </c>
      <c r="H65">
        <f>הגדרות!B5</f>
        <v/>
      </c>
      <c r="I65">
        <f>F65*(1-H65/100)*1.18</f>
        <v/>
      </c>
      <c r="J65">
        <f>הגדרות!C5</f>
        <v/>
      </c>
      <c r="K65">
        <f>הגדרות!D5</f>
        <v/>
      </c>
      <c r="L65">
        <f>I65*(1+J65/100)+K65</f>
        <v/>
      </c>
    </row>
    <row r="66">
      <c r="A66" t="inlineStr">
        <is>
          <t>מדי-מרקט</t>
        </is>
      </c>
      <c r="B66" t="inlineStr">
        <is>
          <t>ראש למכונת תספורת (סכין) 40 - 0.25 מ"מ LAUBE</t>
        </is>
      </c>
      <c r="C66" t="inlineStr">
        <is>
          <t>טיפוח והיגיינה</t>
        </is>
      </c>
      <c r="D66" t="inlineStr">
        <is>
          <t>80662</t>
        </is>
      </c>
      <c r="E66" t="inlineStr">
        <is>
          <t>2026-06</t>
        </is>
      </c>
      <c r="F66" t="n">
        <v>120.13</v>
      </c>
      <c r="G66" t="n">
        <v>141.75</v>
      </c>
      <c r="H66">
        <f>הגדרות!B5</f>
        <v/>
      </c>
      <c r="I66">
        <f>F66*(1-H66/100)*1.18</f>
        <v/>
      </c>
      <c r="J66">
        <f>הגדרות!C5</f>
        <v/>
      </c>
      <c r="K66">
        <f>הגדרות!D5</f>
        <v/>
      </c>
      <c r="L66">
        <f>I66*(1+J66/100)+K66</f>
        <v/>
      </c>
    </row>
    <row r="67">
      <c r="A67" t="inlineStr">
        <is>
          <t>מדי-מרקט</t>
        </is>
      </c>
      <c r="B67" t="inlineStr">
        <is>
          <t>רצועה ללוח גב צבע כתום עם אבזם מתכת</t>
        </is>
      </c>
      <c r="C67" t="inlineStr">
        <is>
          <t>אביזרים</t>
        </is>
      </c>
      <c r="D67" t="inlineStr">
        <is>
          <t>16155</t>
        </is>
      </c>
      <c r="E67" t="inlineStr">
        <is>
          <t>2026-06</t>
        </is>
      </c>
      <c r="F67" t="n">
        <v>71.19</v>
      </c>
      <c r="G67" t="n">
        <v>84</v>
      </c>
      <c r="H67">
        <f>הגדרות!B5</f>
        <v/>
      </c>
      <c r="I67">
        <f>F67*(1-H67/100)*1.18</f>
        <v/>
      </c>
      <c r="J67">
        <f>הגדרות!C5</f>
        <v/>
      </c>
      <c r="K67">
        <f>הגדרות!D5</f>
        <v/>
      </c>
      <c r="L67">
        <f>I67*(1+J67/100)+K67</f>
        <v/>
      </c>
    </row>
    <row r="68">
      <c r="A68" t="inlineStr">
        <is>
          <t>מדי-מרקט</t>
        </is>
      </c>
      <c r="B68" t="inlineStr">
        <is>
          <t>רצועה לתמיכה למסכת טרכוסטומי L</t>
        </is>
      </c>
      <c r="C68" t="inlineStr">
        <is>
          <t>אביזרים</t>
        </is>
      </c>
      <c r="D68" t="inlineStr">
        <is>
          <t>7985</t>
        </is>
      </c>
      <c r="E68" t="inlineStr">
        <is>
          <t>2026-06</t>
        </is>
      </c>
      <c r="F68" t="n">
        <v>5.91</v>
      </c>
      <c r="G68" t="n">
        <v>6.97</v>
      </c>
      <c r="H68">
        <f>הגדרות!B5</f>
        <v/>
      </c>
      <c r="I68">
        <f>F68*(1-H68/100)*1.18</f>
        <v/>
      </c>
      <c r="J68">
        <f>הגדרות!C5</f>
        <v/>
      </c>
      <c r="K68">
        <f>הגדרות!D5</f>
        <v/>
      </c>
      <c r="L68">
        <f>I68*(1+J68/100)+K68</f>
        <v/>
      </c>
    </row>
    <row r="69">
      <c r="A69" t="inlineStr">
        <is>
          <t>מדי-מרקט</t>
        </is>
      </c>
      <c r="B69" t="inlineStr">
        <is>
          <t>רצועה לתמיכה למסכת טרכוסטומי M</t>
        </is>
      </c>
      <c r="C69" t="inlineStr">
        <is>
          <t>אביזרים</t>
        </is>
      </c>
      <c r="D69" t="inlineStr">
        <is>
          <t>7987</t>
        </is>
      </c>
      <c r="E69" t="inlineStr">
        <is>
          <t>2026-06</t>
        </is>
      </c>
      <c r="F69" t="n">
        <v>6.19</v>
      </c>
      <c r="G69" t="n">
        <v>7.3</v>
      </c>
      <c r="H69">
        <f>הגדרות!B5</f>
        <v/>
      </c>
      <c r="I69">
        <f>F69*(1-H69/100)*1.18</f>
        <v/>
      </c>
      <c r="J69">
        <f>הגדרות!C5</f>
        <v/>
      </c>
      <c r="K69">
        <f>הגדרות!D5</f>
        <v/>
      </c>
      <c r="L69">
        <f>I69*(1+J69/100)+K69</f>
        <v/>
      </c>
    </row>
    <row r="70">
      <c r="A70" t="inlineStr">
        <is>
          <t>מדי-מרקט</t>
        </is>
      </c>
      <c r="B70" t="inlineStr">
        <is>
          <t>רצועה לתמיכה למסכת טרכוסטומי XL</t>
        </is>
      </c>
      <c r="C70" t="inlineStr">
        <is>
          <t>אביזרים</t>
        </is>
      </c>
      <c r="D70" t="inlineStr">
        <is>
          <t>7986</t>
        </is>
      </c>
      <c r="E70" t="inlineStr">
        <is>
          <t>2026-06</t>
        </is>
      </c>
      <c r="F70" t="n">
        <v>6.36</v>
      </c>
      <c r="G70" t="n">
        <v>7.5</v>
      </c>
      <c r="H70">
        <f>הגדרות!B5</f>
        <v/>
      </c>
      <c r="I70">
        <f>F70*(1-H70/100)*1.18</f>
        <v/>
      </c>
      <c r="J70">
        <f>הגדרות!C5</f>
        <v/>
      </c>
      <c r="K70">
        <f>הגדרות!D5</f>
        <v/>
      </c>
      <c r="L70">
        <f>I70*(1+J70/100)+K70</f>
        <v/>
      </c>
    </row>
    <row r="71">
      <c r="A71" t="inlineStr">
        <is>
          <t>פט-וט ביומד</t>
        </is>
      </c>
      <c r="B71" t="inlineStr">
        <is>
          <t>Keto Tris Finger Wipes 50 units</t>
        </is>
      </c>
      <c r="C71" t="inlineStr">
        <is>
          <t>טיפוח והיגיינה</t>
        </is>
      </c>
      <c r="D71" t="inlineStr">
        <is>
          <t>DERMA-SP1330</t>
        </is>
      </c>
      <c r="E71" t="inlineStr">
        <is>
          <t>2026-05</t>
        </is>
      </c>
      <c r="F71" t="n">
        <v>59</v>
      </c>
      <c r="G71" t="n">
        <v>69.62</v>
      </c>
      <c r="H71">
        <f>הגדרות!B6</f>
        <v/>
      </c>
      <c r="I71">
        <f>F71*(1-H71/100)*1.18</f>
        <v/>
      </c>
      <c r="J71">
        <f>הגדרות!C6</f>
        <v/>
      </c>
      <c r="K71">
        <f>הגדרות!D6</f>
        <v/>
      </c>
      <c r="L71">
        <f>I71*(1+J71/100)+K71</f>
        <v/>
      </c>
    </row>
    <row r="72">
      <c r="A72" t="inlineStr">
        <is>
          <t>פט-וט ביומד</t>
        </is>
      </c>
      <c r="B72" t="inlineStr">
        <is>
          <t>Tris Ophto Wipes 50ct</t>
        </is>
      </c>
      <c r="C72" t="inlineStr">
        <is>
          <t>טיפוח והיגיינה</t>
        </is>
      </c>
      <c r="D72" t="inlineStr">
        <is>
          <t>DZOO-TWX</t>
        </is>
      </c>
      <c r="E72" t="inlineStr">
        <is>
          <t>2026-05</t>
        </is>
      </c>
      <c r="F72" t="n">
        <v>58</v>
      </c>
      <c r="G72" t="n">
        <v>68.44</v>
      </c>
      <c r="H72">
        <f>הגדרות!B6</f>
        <v/>
      </c>
      <c r="I72">
        <f>F72*(1-H72/100)*1.18</f>
        <v/>
      </c>
      <c r="J72">
        <f>הגדרות!C6</f>
        <v/>
      </c>
      <c r="K72">
        <f>הגדרות!D6</f>
        <v/>
      </c>
      <c r="L72">
        <f>I72*(1+J72/100)+K72</f>
        <v/>
      </c>
    </row>
    <row r="73">
      <c r="A73" t="inlineStr">
        <is>
          <t>פט-וט ביומד</t>
        </is>
      </c>
      <c r="B73" t="inlineStr">
        <is>
          <t>Pill Splitter</t>
        </is>
      </c>
      <c r="C73" t="inlineStr">
        <is>
          <t>חול ושירותים</t>
        </is>
      </c>
      <c r="D73" t="inlineStr">
        <is>
          <t>FIONA-821070-1</t>
        </is>
      </c>
      <c r="E73" t="inlineStr">
        <is>
          <t>2026-05</t>
        </is>
      </c>
      <c r="F73" t="n">
        <v>7</v>
      </c>
      <c r="G73" t="n">
        <v>8.26</v>
      </c>
      <c r="H73">
        <f>הגדרות!B6</f>
        <v/>
      </c>
      <c r="I73">
        <f>F73*(1-H73/100)*1.18</f>
        <v/>
      </c>
      <c r="J73">
        <f>הגדרות!C6</f>
        <v/>
      </c>
      <c r="K73">
        <f>הגדרות!D6</f>
        <v/>
      </c>
      <c r="L73">
        <f>I73*(1+J73/100)+K73</f>
        <v/>
      </c>
    </row>
    <row r="74">
      <c r="A74" t="inlineStr">
        <is>
          <t>פט-וט ביומד</t>
        </is>
      </c>
      <c r="B74" t="inlineStr">
        <is>
          <t>Calming Spray 200ml</t>
        </is>
      </c>
      <c r="C74" t="inlineStr">
        <is>
          <t>הרגעה</t>
        </is>
      </c>
      <c r="D74" t="inlineStr">
        <is>
          <t>PR-79583</t>
        </is>
      </c>
      <c r="E74" t="inlineStr">
        <is>
          <t>2026-05</t>
        </is>
      </c>
      <c r="F74" t="n">
        <v>46</v>
      </c>
      <c r="G74" t="n">
        <v>54.28</v>
      </c>
      <c r="H74">
        <f>הגדרות!B6</f>
        <v/>
      </c>
      <c r="I74">
        <f>F74*(1-H74/100)*1.18</f>
        <v/>
      </c>
      <c r="J74">
        <f>הגדרות!C6</f>
        <v/>
      </c>
      <c r="K74">
        <f>הגדרות!D6</f>
        <v/>
      </c>
      <c r="L74">
        <f>I74*(1+J74/100)+K74</f>
        <v/>
      </c>
    </row>
    <row r="75">
      <c r="A75" t="inlineStr">
        <is>
          <t>פט-וט ביומד</t>
        </is>
      </c>
      <c r="B75" t="inlineStr">
        <is>
          <t>Mini Calming Spray 15ml</t>
        </is>
      </c>
      <c r="C75" t="inlineStr">
        <is>
          <t>הרגעה</t>
        </is>
      </c>
      <c r="D75" t="inlineStr">
        <is>
          <t>PR-79664</t>
        </is>
      </c>
      <c r="E75" t="inlineStr">
        <is>
          <t>2026-05</t>
        </is>
      </c>
      <c r="F75" t="n">
        <v>18</v>
      </c>
      <c r="G75" t="n">
        <v>21.24</v>
      </c>
      <c r="H75">
        <f>הגדרות!B6</f>
        <v/>
      </c>
      <c r="I75">
        <f>F75*(1-H75/100)*1.18</f>
        <v/>
      </c>
      <c r="J75">
        <f>הגדרות!C6</f>
        <v/>
      </c>
      <c r="K75">
        <f>הגדרות!D6</f>
        <v/>
      </c>
      <c r="L75">
        <f>I75*(1+J75/100)+K75</f>
        <v/>
      </c>
    </row>
    <row r="76">
      <c r="A76" t="inlineStr">
        <is>
          <t>פט-וט ביומד</t>
        </is>
      </c>
      <c r="B76" t="inlineStr">
        <is>
          <t>Battery Atomizer Refill 300ml</t>
        </is>
      </c>
      <c r="C76" t="inlineStr">
        <is>
          <t>הרגעה</t>
        </is>
      </c>
      <c r="D76" t="inlineStr">
        <is>
          <t>PR-79744</t>
        </is>
      </c>
      <c r="E76" t="inlineStr">
        <is>
          <t>2026-05</t>
        </is>
      </c>
      <c r="F76" t="n">
        <v>56</v>
      </c>
      <c r="G76" t="n">
        <v>66.08</v>
      </c>
      <c r="H76">
        <f>הגדרות!B6</f>
        <v/>
      </c>
      <c r="I76">
        <f>F76*(1-H76/100)*1.18</f>
        <v/>
      </c>
      <c r="J76">
        <f>הגדרות!C6</f>
        <v/>
      </c>
      <c r="K76">
        <f>הגדרות!D6</f>
        <v/>
      </c>
      <c r="L76">
        <f>I76*(1+J76/100)+K76</f>
        <v/>
      </c>
    </row>
    <row r="77">
      <c r="A77" t="inlineStr">
        <is>
          <t>פט-וט ביומד</t>
        </is>
      </c>
      <c r="B77" t="inlineStr">
        <is>
          <t>Battery Atomizer</t>
        </is>
      </c>
      <c r="C77" t="inlineStr">
        <is>
          <t>הרגעה</t>
        </is>
      </c>
      <c r="D77" t="inlineStr">
        <is>
          <t>PR-79745</t>
        </is>
      </c>
      <c r="E77" t="inlineStr">
        <is>
          <t>2026-05</t>
        </is>
      </c>
      <c r="F77" t="n">
        <v>185</v>
      </c>
      <c r="G77" t="n">
        <v>218.3</v>
      </c>
      <c r="H77">
        <f>הגדרות!B6</f>
        <v/>
      </c>
      <c r="I77">
        <f>F77*(1-H77/100)*1.18</f>
        <v/>
      </c>
      <c r="J77">
        <f>הגדרות!C6</f>
        <v/>
      </c>
      <c r="K77">
        <f>הגדרות!D6</f>
        <v/>
      </c>
      <c r="L77">
        <f>I77*(1+J77/100)+K77</f>
        <v/>
      </c>
    </row>
    <row r="78">
      <c r="A78" t="inlineStr">
        <is>
          <t>פט-וט ביומד</t>
        </is>
      </c>
      <c r="B78" t="inlineStr">
        <is>
          <t>Calming Wipe Sachet (12)</t>
        </is>
      </c>
      <c r="C78" t="inlineStr">
        <is>
          <t>הרגעה</t>
        </is>
      </c>
      <c r="D78" t="inlineStr">
        <is>
          <t>PR-79881</t>
        </is>
      </c>
      <c r="E78" t="inlineStr">
        <is>
          <t>2026-05</t>
        </is>
      </c>
      <c r="F78" t="n">
        <v>18</v>
      </c>
      <c r="G78" t="n">
        <v>21.24</v>
      </c>
      <c r="H78">
        <f>הגדרות!B6</f>
        <v/>
      </c>
      <c r="I78">
        <f>F78*(1-H78/100)*1.18</f>
        <v/>
      </c>
      <c r="J78">
        <f>הגדרות!C6</f>
        <v/>
      </c>
      <c r="K78">
        <f>הגדרות!D6</f>
        <v/>
      </c>
      <c r="L78">
        <f>I78*(1+J78/100)+K78</f>
        <v/>
      </c>
    </row>
    <row r="79">
      <c r="A79" t="inlineStr">
        <is>
          <t>פט-וט ביומד</t>
        </is>
      </c>
      <c r="B79" t="inlineStr">
        <is>
          <t>Boredom Buster forager kit</t>
        </is>
      </c>
      <c r="C79" t="inlineStr">
        <is>
          <t>צעצועים</t>
        </is>
      </c>
      <c r="D79" t="inlineStr">
        <is>
          <t>PR-80128</t>
        </is>
      </c>
      <c r="E79" t="inlineStr">
        <is>
          <t>2026-05</t>
        </is>
      </c>
      <c r="F79" t="n">
        <v>105</v>
      </c>
      <c r="G79" t="n">
        <v>123.9</v>
      </c>
      <c r="H79">
        <f>הגדרות!B6</f>
        <v/>
      </c>
      <c r="I79">
        <f>F79*(1-H79/100)*1.18</f>
        <v/>
      </c>
      <c r="J79">
        <f>הגדרות!C6</f>
        <v/>
      </c>
      <c r="K79">
        <f>הגדרות!D6</f>
        <v/>
      </c>
      <c r="L79">
        <f>I79*(1+J79/100)+K79</f>
        <v/>
      </c>
    </row>
    <row r="80">
      <c r="A80" t="inlineStr">
        <is>
          <t>פט-וט ביומד</t>
        </is>
      </c>
      <c r="B80" t="inlineStr">
        <is>
          <t>Calming Bandana Kit EXTRA SMALL</t>
        </is>
      </c>
      <c r="C80" t="inlineStr">
        <is>
          <t>הרגעה</t>
        </is>
      </c>
      <c r="D80" t="inlineStr">
        <is>
          <t>PR-79959</t>
        </is>
      </c>
      <c r="E80" t="inlineStr">
        <is>
          <t>2026-05</t>
        </is>
      </c>
      <c r="F80" t="n">
        <v>44</v>
      </c>
      <c r="G80" t="n">
        <v>51.92</v>
      </c>
      <c r="H80">
        <f>הגדרות!B6</f>
        <v/>
      </c>
      <c r="I80">
        <f>F80*(1-H80/100)*1.18</f>
        <v/>
      </c>
      <c r="J80">
        <f>הגדרות!C6</f>
        <v/>
      </c>
      <c r="K80">
        <f>הגדרות!D6</f>
        <v/>
      </c>
      <c r="L80">
        <f>I80*(1+J80/100)+K80</f>
        <v/>
      </c>
    </row>
    <row r="81">
      <c r="A81" t="inlineStr">
        <is>
          <t>פט-וט ביומד</t>
        </is>
      </c>
      <c r="B81" t="inlineStr">
        <is>
          <t>Calming Bandana Kit SMALL</t>
        </is>
      </c>
      <c r="C81" t="inlineStr">
        <is>
          <t>הרגעה</t>
        </is>
      </c>
      <c r="D81" t="inlineStr">
        <is>
          <t>PR-79960</t>
        </is>
      </c>
      <c r="E81" t="inlineStr">
        <is>
          <t>2026-05</t>
        </is>
      </c>
      <c r="F81" t="n">
        <v>44</v>
      </c>
      <c r="G81" t="n">
        <v>51.92</v>
      </c>
      <c r="H81">
        <f>הגדרות!B6</f>
        <v/>
      </c>
      <c r="I81">
        <f>F81*(1-H81/100)*1.18</f>
        <v/>
      </c>
      <c r="J81">
        <f>הגדרות!C6</f>
        <v/>
      </c>
      <c r="K81">
        <f>הגדרות!D6</f>
        <v/>
      </c>
      <c r="L81">
        <f>I81*(1+J81/100)+K81</f>
        <v/>
      </c>
    </row>
    <row r="82">
      <c r="A82" t="inlineStr">
        <is>
          <t>פט-וט ביומד</t>
        </is>
      </c>
      <c r="B82" t="inlineStr">
        <is>
          <t>Calming Bandana Kit MEDIUM</t>
        </is>
      </c>
      <c r="C82" t="inlineStr">
        <is>
          <t>הרגעה</t>
        </is>
      </c>
      <c r="D82" t="inlineStr">
        <is>
          <t>PR-79961</t>
        </is>
      </c>
      <c r="E82" t="inlineStr">
        <is>
          <t>2026-05</t>
        </is>
      </c>
      <c r="F82" t="n">
        <v>44</v>
      </c>
      <c r="G82" t="n">
        <v>51.92</v>
      </c>
      <c r="H82">
        <f>הגדרות!B6</f>
        <v/>
      </c>
      <c r="I82">
        <f>F82*(1-H82/100)*1.18</f>
        <v/>
      </c>
      <c r="J82">
        <f>הגדרות!C6</f>
        <v/>
      </c>
      <c r="K82">
        <f>הגדרות!D6</f>
        <v/>
      </c>
      <c r="L82">
        <f>I82*(1+J82/100)+K82</f>
        <v/>
      </c>
    </row>
    <row r="83">
      <c r="A83" t="inlineStr">
        <is>
          <t>פט-וט ביומד</t>
        </is>
      </c>
      <c r="B83" t="inlineStr">
        <is>
          <t>Calming Bandana Kit LARGE</t>
        </is>
      </c>
      <c r="C83" t="inlineStr">
        <is>
          <t>הרגעה</t>
        </is>
      </c>
      <c r="D83" t="inlineStr">
        <is>
          <t>PR-79962</t>
        </is>
      </c>
      <c r="E83" t="inlineStr">
        <is>
          <t>2026-05</t>
        </is>
      </c>
      <c r="F83" t="n">
        <v>44</v>
      </c>
      <c r="G83" t="n">
        <v>51.92</v>
      </c>
      <c r="H83">
        <f>הגדרות!B6</f>
        <v/>
      </c>
      <c r="I83">
        <f>F83*(1-H83/100)*1.18</f>
        <v/>
      </c>
      <c r="J83">
        <f>הגדרות!C6</f>
        <v/>
      </c>
      <c r="K83">
        <f>הגדרות!D6</f>
        <v/>
      </c>
      <c r="L83">
        <f>I83*(1+J83/100)+K83</f>
        <v/>
      </c>
    </row>
    <row r="84">
      <c r="A84" t="inlineStr">
        <is>
          <t>פט-וט ביומד</t>
        </is>
      </c>
      <c r="B84" t="inlineStr">
        <is>
          <t>Calming Spray 400ml – PROF. PACK</t>
        </is>
      </c>
      <c r="C84" t="inlineStr">
        <is>
          <t>הרגעה</t>
        </is>
      </c>
      <c r="D84" t="inlineStr">
        <is>
          <t>PR-79983</t>
        </is>
      </c>
      <c r="E84" t="inlineStr">
        <is>
          <t>2026-05</t>
        </is>
      </c>
      <c r="F84" t="n">
        <v>61</v>
      </c>
      <c r="G84" t="n">
        <v>71.98</v>
      </c>
      <c r="H84">
        <f>הגדרות!B6</f>
        <v/>
      </c>
      <c r="I84">
        <f>F84*(1-H84/100)*1.18</f>
        <v/>
      </c>
      <c r="J84">
        <f>הגדרות!C6</f>
        <v/>
      </c>
      <c r="K84">
        <f>הגדרות!D6</f>
        <v/>
      </c>
      <c r="L84">
        <f>I84*(1+J84/100)+K84</f>
        <v/>
      </c>
    </row>
    <row r="85">
      <c r="A85" t="inlineStr">
        <is>
          <t>Hill's Prescription Diet</t>
        </is>
      </c>
      <c r="B85" t="inlineStr">
        <is>
          <t>חטיף היפואלרגני</t>
        </is>
      </c>
      <c r="C85" t="inlineStr">
        <is>
          <t>חטיפים</t>
        </is>
      </c>
      <c r="E85" t="inlineStr">
        <is>
          <t>2026-04</t>
        </is>
      </c>
      <c r="F85" t="n">
        <v>24</v>
      </c>
      <c r="G85" t="n">
        <v>28.32</v>
      </c>
      <c r="H85">
        <f>הגדרות!B7</f>
        <v/>
      </c>
      <c r="I85">
        <f>F85*(1-H85/100)*1.18</f>
        <v/>
      </c>
      <c r="J85">
        <f>הגדרות!C7</f>
        <v/>
      </c>
      <c r="K85">
        <f>הגדרות!D7</f>
        <v/>
      </c>
      <c r="L85">
        <f>I85*(1+J85/100)+K85</f>
        <v/>
      </c>
    </row>
    <row r="86">
      <c r="A86" t="inlineStr">
        <is>
          <t>Hill's Prescription Diet</t>
        </is>
      </c>
      <c r="B86" t="inlineStr">
        <is>
          <t>חטיף שמירה על המשקל</t>
        </is>
      </c>
      <c r="C86" t="inlineStr">
        <is>
          <t>חטיפים</t>
        </is>
      </c>
      <c r="E86" t="inlineStr">
        <is>
          <t>2026-04</t>
        </is>
      </c>
      <c r="F86" t="n">
        <v>21</v>
      </c>
      <c r="G86" t="n">
        <v>24.78</v>
      </c>
      <c r="H86">
        <f>הגדרות!B7</f>
        <v/>
      </c>
      <c r="I86">
        <f>F86*(1-H86/100)*1.18</f>
        <v/>
      </c>
      <c r="J86">
        <f>הגדרות!C7</f>
        <v/>
      </c>
      <c r="K86">
        <f>הגדרות!D7</f>
        <v/>
      </c>
      <c r="L86">
        <f>I86*(1+J86/100)+K86</f>
        <v/>
      </c>
    </row>
    <row r="87">
      <c r="A87" t="inlineStr">
        <is>
          <t>פורינה (חנויות)</t>
        </is>
      </c>
      <c r="B87" t="inlineStr">
        <is>
          <t>פריסקיז פארטי מיקס אוריגי'נל קראנץ</t>
        </is>
      </c>
      <c r="C87" t="inlineStr">
        <is>
          <t>חטיפים</t>
        </is>
      </c>
      <c r="D87" t="inlineStr">
        <is>
          <t>12348261</t>
        </is>
      </c>
      <c r="E87" t="inlineStr">
        <is>
          <t>2026-06</t>
        </is>
      </c>
      <c r="F87" t="n">
        <v>8.18</v>
      </c>
      <c r="G87" t="n">
        <v>9.65</v>
      </c>
      <c r="H87">
        <f>הגדרות!B8</f>
        <v/>
      </c>
      <c r="I87">
        <f>F87*(1-H87/100)*1.18</f>
        <v/>
      </c>
      <c r="J87">
        <f>הגדרות!C8</f>
        <v/>
      </c>
      <c r="K87">
        <f>הגדרות!D8</f>
        <v/>
      </c>
      <c r="L87">
        <f>I87*(1+J87/100)+K87</f>
        <v/>
      </c>
    </row>
    <row r="88">
      <c r="A88" t="inlineStr">
        <is>
          <t>פורינה (חנויות)</t>
        </is>
      </c>
      <c r="B88" t="inlineStr">
        <is>
          <t>פריסקיז פארטי מיקס מיקס גריל קראנץ</t>
        </is>
      </c>
      <c r="C88" t="inlineStr">
        <is>
          <t>חטיפים</t>
        </is>
      </c>
      <c r="D88" t="inlineStr">
        <is>
          <t>12348037</t>
        </is>
      </c>
      <c r="E88" t="inlineStr">
        <is>
          <t>2026-06</t>
        </is>
      </c>
      <c r="F88" t="n">
        <v>8.18</v>
      </c>
      <c r="G88" t="n">
        <v>9.65</v>
      </c>
      <c r="H88">
        <f>הגדרות!B8</f>
        <v/>
      </c>
      <c r="I88">
        <f>F88*(1-H88/100)*1.18</f>
        <v/>
      </c>
      <c r="J88">
        <f>הגדרות!C8</f>
        <v/>
      </c>
      <c r="K88">
        <f>הגדרות!D8</f>
        <v/>
      </c>
      <c r="L88">
        <f>I88*(1+J88/100)+K88</f>
        <v/>
      </c>
    </row>
    <row r="89">
      <c r="A89" t="inlineStr">
        <is>
          <t>פורינה (חנויות)</t>
        </is>
      </c>
      <c r="B89" t="inlineStr">
        <is>
          <t>פריסקיז פארטי מיקס מעדני ים קראנץ</t>
        </is>
      </c>
      <c r="C89" t="inlineStr">
        <is>
          <t>חטיפים</t>
        </is>
      </c>
      <c r="D89" t="inlineStr">
        <is>
          <t>12364507</t>
        </is>
      </c>
      <c r="E89" t="inlineStr">
        <is>
          <t>2026-06</t>
        </is>
      </c>
      <c r="F89" t="n">
        <v>8.18</v>
      </c>
      <c r="G89" t="n">
        <v>9.65</v>
      </c>
      <c r="H89">
        <f>הגדרות!B8</f>
        <v/>
      </c>
      <c r="I89">
        <f>F89*(1-H89/100)*1.18</f>
        <v/>
      </c>
      <c r="J89">
        <f>הגדרות!C8</f>
        <v/>
      </c>
      <c r="K89">
        <f>הגדרות!D8</f>
        <v/>
      </c>
      <c r="L89">
        <f>I89*(1+J89/100)+K89</f>
        <v/>
      </c>
    </row>
    <row r="90">
      <c r="A90" t="inlineStr">
        <is>
          <t>פורינה (חנויות)</t>
        </is>
      </c>
      <c r="B90" t="inlineStr">
        <is>
          <t>פריסקיז פארטי מיקס פיקניק קרנץ</t>
        </is>
      </c>
      <c r="C90" t="inlineStr">
        <is>
          <t>חטיפים</t>
        </is>
      </c>
      <c r="D90" t="inlineStr">
        <is>
          <t>12368621</t>
        </is>
      </c>
      <c r="E90" t="inlineStr">
        <is>
          <t>2026-06</t>
        </is>
      </c>
      <c r="F90" t="n">
        <v>8.18</v>
      </c>
      <c r="G90" t="n">
        <v>9.65</v>
      </c>
      <c r="H90">
        <f>הגדרות!B8</f>
        <v/>
      </c>
      <c r="I90">
        <f>F90*(1-H90/100)*1.18</f>
        <v/>
      </c>
      <c r="J90">
        <f>הגדרות!C8</f>
        <v/>
      </c>
      <c r="K90">
        <f>הגדרות!D8</f>
        <v/>
      </c>
      <c r="L90">
        <f>I90*(1+J90/100)+K90</f>
        <v/>
      </c>
    </row>
    <row r="91">
      <c r="A91" t="inlineStr">
        <is>
          <t>פורינה (חנויות)</t>
        </is>
      </c>
      <c r="B91" t="inlineStr">
        <is>
          <t>פריסקיז פארטי מיקס קרייזי צ'יז</t>
        </is>
      </c>
      <c r="C91" t="inlineStr">
        <is>
          <t>חטיפים</t>
        </is>
      </c>
      <c r="D91" t="inlineStr">
        <is>
          <t>12528489</t>
        </is>
      </c>
      <c r="E91" t="inlineStr">
        <is>
          <t>2026-06</t>
        </is>
      </c>
      <c r="F91" t="n">
        <v>8.18</v>
      </c>
      <c r="G91" t="n">
        <v>9.65</v>
      </c>
      <c r="H91">
        <f>הגדרות!B8</f>
        <v/>
      </c>
      <c r="I91">
        <f>F91*(1-H91/100)*1.18</f>
        <v/>
      </c>
      <c r="J91">
        <f>הגדרות!C8</f>
        <v/>
      </c>
      <c r="K91">
        <f>הגדרות!D8</f>
        <v/>
      </c>
      <c r="L91">
        <f>I91*(1+J91/100)+K91</f>
        <v/>
      </c>
    </row>
    <row r="92">
      <c r="A92" t="inlineStr">
        <is>
          <t>פורינה (חנויות)</t>
        </is>
      </c>
      <c r="B92" t="inlineStr">
        <is>
          <t>פריסקיז פארטי מיקס מאנץ' בוקר</t>
        </is>
      </c>
      <c r="C92" t="inlineStr">
        <is>
          <t>חטיפים</t>
        </is>
      </c>
      <c r="D92" t="inlineStr">
        <is>
          <t>12280472</t>
        </is>
      </c>
      <c r="E92" t="inlineStr">
        <is>
          <t>2026-06</t>
        </is>
      </c>
      <c r="F92" t="n">
        <v>8.18</v>
      </c>
      <c r="G92" t="n">
        <v>9.65</v>
      </c>
      <c r="H92">
        <f>הגדרות!B8</f>
        <v/>
      </c>
      <c r="I92">
        <f>F92*(1-H92/100)*1.18</f>
        <v/>
      </c>
      <c r="J92">
        <f>הגדרות!C8</f>
        <v/>
      </c>
      <c r="K92">
        <f>הגדרות!D8</f>
        <v/>
      </c>
      <c r="L92">
        <f>I92*(1+J92/100)+K92</f>
        <v/>
      </c>
    </row>
    <row r="93">
      <c r="A93" t="inlineStr">
        <is>
          <t>פורינה (חנויות)</t>
        </is>
      </c>
      <c r="B93" t="inlineStr">
        <is>
          <t>פריסקיז פארטי מיקס הודו</t>
        </is>
      </c>
      <c r="C93" t="inlineStr">
        <is>
          <t>חטיפים</t>
        </is>
      </c>
      <c r="D93" t="inlineStr">
        <is>
          <t>12332654</t>
        </is>
      </c>
      <c r="E93" t="inlineStr">
        <is>
          <t>2026-06</t>
        </is>
      </c>
      <c r="F93" t="n">
        <v>8.18</v>
      </c>
      <c r="G93" t="n">
        <v>9.65</v>
      </c>
      <c r="H93">
        <f>הגדרות!B8</f>
        <v/>
      </c>
      <c r="I93">
        <f>F93*(1-H93/100)*1.18</f>
        <v/>
      </c>
      <c r="J93">
        <f>הגדרות!C8</f>
        <v/>
      </c>
      <c r="K93">
        <f>הגדרות!D8</f>
        <v/>
      </c>
      <c r="L93">
        <f>I93*(1+J93/100)+K93</f>
        <v/>
      </c>
    </row>
    <row r="94">
      <c r="A94" t="inlineStr">
        <is>
          <t>פורינה (חנויות)</t>
        </is>
      </c>
      <c r="B94" t="inlineStr">
        <is>
          <t>פריסקיז פארטי מיקס עוף</t>
        </is>
      </c>
      <c r="C94" t="inlineStr">
        <is>
          <t>חטיפים</t>
        </is>
      </c>
      <c r="D94" t="inlineStr">
        <is>
          <t>12332617</t>
        </is>
      </c>
      <c r="E94" t="inlineStr">
        <is>
          <t>2026-06</t>
        </is>
      </c>
      <c r="F94" t="n">
        <v>8.18</v>
      </c>
      <c r="G94" t="n">
        <v>9.65</v>
      </c>
      <c r="H94">
        <f>הגדרות!B8</f>
        <v/>
      </c>
      <c r="I94">
        <f>F94*(1-H94/100)*1.18</f>
        <v/>
      </c>
      <c r="J94">
        <f>הגדרות!C8</f>
        <v/>
      </c>
      <c r="K94">
        <f>הגדרות!D8</f>
        <v/>
      </c>
      <c r="L94">
        <f>I94*(1+J94/100)+K94</f>
        <v/>
      </c>
    </row>
    <row r="95">
      <c r="A95" t="inlineStr">
        <is>
          <t>פורינה (חנויות)</t>
        </is>
      </c>
      <c r="B95" t="inlineStr">
        <is>
          <t>פריסקיז פלייפולס סלמון ושרימפס</t>
        </is>
      </c>
      <c r="C95" t="inlineStr">
        <is>
          <t>חטיפים</t>
        </is>
      </c>
      <c r="D95" t="inlineStr">
        <is>
          <t>12534203</t>
        </is>
      </c>
      <c r="E95" t="inlineStr">
        <is>
          <t>2026-06</t>
        </is>
      </c>
      <c r="F95" t="n">
        <v>8.18</v>
      </c>
      <c r="G95" t="n">
        <v>9.65</v>
      </c>
      <c r="H95">
        <f>הגדרות!B8</f>
        <v/>
      </c>
      <c r="I95">
        <f>F95*(1-H95/100)*1.18</f>
        <v/>
      </c>
      <c r="J95">
        <f>הגדרות!C8</f>
        <v/>
      </c>
      <c r="K95">
        <f>הגדרות!D8</f>
        <v/>
      </c>
      <c r="L95">
        <f>I95*(1+J95/100)+K95</f>
        <v/>
      </c>
    </row>
    <row r="96">
      <c r="A96" t="inlineStr">
        <is>
          <t>פורינה (חנויות)</t>
        </is>
      </c>
      <c r="B96" t="inlineStr">
        <is>
          <t>פריסקיז פלייפולס עוף וכבד</t>
        </is>
      </c>
      <c r="C96" t="inlineStr">
        <is>
          <t>חטיפים</t>
        </is>
      </c>
      <c r="D96" t="inlineStr">
        <is>
          <t>12534194</t>
        </is>
      </c>
      <c r="E96" t="inlineStr">
        <is>
          <t>2026-06</t>
        </is>
      </c>
      <c r="F96" t="n">
        <v>8.18</v>
      </c>
      <c r="G96" t="n">
        <v>9.65</v>
      </c>
      <c r="H96">
        <f>הגדרות!B8</f>
        <v/>
      </c>
      <c r="I96">
        <f>F96*(1-H96/100)*1.18</f>
        <v/>
      </c>
      <c r="J96">
        <f>הגדרות!C8</f>
        <v/>
      </c>
      <c r="K96">
        <f>הגדרות!D8</f>
        <v/>
      </c>
      <c r="L96">
        <f>I96*(1+J96/100)+K96</f>
        <v/>
      </c>
    </row>
    <row r="97">
      <c r="A97" t="inlineStr">
        <is>
          <t>פורינה (חנויות)</t>
        </is>
      </c>
      <c r="B97" t="inlineStr">
        <is>
          <t>פריסקיז צנצנת פארטי מיקס מעדני ים קראנץ</t>
        </is>
      </c>
      <c r="C97" t="inlineStr">
        <is>
          <t>חטיפים</t>
        </is>
      </c>
      <c r="D97" t="inlineStr">
        <is>
          <t>12364794</t>
        </is>
      </c>
      <c r="E97" t="inlineStr">
        <is>
          <t>2026-06</t>
        </is>
      </c>
      <c r="F97" t="n">
        <v>50.67</v>
      </c>
      <c r="G97" t="n">
        <v>59.79</v>
      </c>
      <c r="H97">
        <f>הגדרות!B8</f>
        <v/>
      </c>
      <c r="I97">
        <f>F97*(1-H97/100)*1.18</f>
        <v/>
      </c>
      <c r="J97">
        <f>הגדרות!C8</f>
        <v/>
      </c>
      <c r="K97">
        <f>הגדרות!D8</f>
        <v/>
      </c>
      <c r="L97">
        <f>I97*(1+J97/100)+K97</f>
        <v/>
      </c>
    </row>
    <row r="98">
      <c r="A98" t="inlineStr">
        <is>
          <t>פורינה (חנויות)</t>
        </is>
      </c>
      <c r="B98" t="inlineStr">
        <is>
          <t>פריסקיז צנצנת פארטי מיקס אוריגי'נל קראנץ</t>
        </is>
      </c>
      <c r="C98" t="inlineStr">
        <is>
          <t>חטיפים</t>
        </is>
      </c>
      <c r="D98" t="inlineStr">
        <is>
          <t>12349730</t>
        </is>
      </c>
      <c r="E98" t="inlineStr">
        <is>
          <t>2026-06</t>
        </is>
      </c>
      <c r="F98" t="n">
        <v>50.67</v>
      </c>
      <c r="G98" t="n">
        <v>59.79</v>
      </c>
      <c r="H98">
        <f>הגדרות!B8</f>
        <v/>
      </c>
      <c r="I98">
        <f>F98*(1-H98/100)*1.18</f>
        <v/>
      </c>
      <c r="J98">
        <f>הגדרות!C8</f>
        <v/>
      </c>
      <c r="K98">
        <f>הגדרות!D8</f>
        <v/>
      </c>
      <c r="L98">
        <f>I98*(1+J98/100)+K98</f>
        <v/>
      </c>
    </row>
    <row r="99">
      <c r="A99" t="inlineStr">
        <is>
          <t>פורינה (חנויות)</t>
        </is>
      </c>
      <c r="B99" t="inlineStr">
        <is>
          <t>דנטלייף לכלב מגזע קטן</t>
        </is>
      </c>
      <c r="C99" t="inlineStr">
        <is>
          <t>חטיפים</t>
        </is>
      </c>
      <c r="D99" t="inlineStr">
        <is>
          <t>12606950</t>
        </is>
      </c>
      <c r="E99" t="inlineStr">
        <is>
          <t>2026-06</t>
        </is>
      </c>
      <c r="F99" t="n">
        <v>10.2</v>
      </c>
      <c r="G99" t="n">
        <v>12.04</v>
      </c>
      <c r="H99">
        <f>הגדרות!B8</f>
        <v/>
      </c>
      <c r="I99">
        <f>F99*(1-H99/100)*1.18</f>
        <v/>
      </c>
      <c r="J99">
        <f>הגדרות!C8</f>
        <v/>
      </c>
      <c r="K99">
        <f>הגדרות!D8</f>
        <v/>
      </c>
      <c r="L99">
        <f>I99*(1+J99/100)+K99</f>
        <v/>
      </c>
    </row>
    <row r="100">
      <c r="A100" t="inlineStr">
        <is>
          <t>פורינה (חנויות)</t>
        </is>
      </c>
      <c r="B100" t="inlineStr">
        <is>
          <t>דנטלייף לכלב מגזע בינוני</t>
        </is>
      </c>
      <c r="C100" t="inlineStr">
        <is>
          <t>חטיפים</t>
        </is>
      </c>
      <c r="D100" t="inlineStr">
        <is>
          <t>12606926</t>
        </is>
      </c>
      <c r="E100" t="inlineStr">
        <is>
          <t>2026-06</t>
        </is>
      </c>
      <c r="F100" t="n">
        <v>10.2</v>
      </c>
      <c r="G100" t="n">
        <v>12.04</v>
      </c>
      <c r="H100">
        <f>הגדרות!B8</f>
        <v/>
      </c>
      <c r="I100">
        <f>F100*(1-H100/100)*1.18</f>
        <v/>
      </c>
      <c r="J100">
        <f>הגדרות!C8</f>
        <v/>
      </c>
      <c r="K100">
        <f>הגדרות!D8</f>
        <v/>
      </c>
      <c r="L100">
        <f>I100*(1+J100/100)+K100</f>
        <v/>
      </c>
    </row>
    <row r="101">
      <c r="A101" t="inlineStr">
        <is>
          <t>פורינה (חנויות)</t>
        </is>
      </c>
      <c r="B101" t="inlineStr">
        <is>
          <t>דנטלייף לכלב מגזע גדול</t>
        </is>
      </c>
      <c r="C101" t="inlineStr">
        <is>
          <t>חטיפים</t>
        </is>
      </c>
      <c r="D101" t="inlineStr">
        <is>
          <t>12606948</t>
        </is>
      </c>
      <c r="E101" t="inlineStr">
        <is>
          <t>2026-06</t>
        </is>
      </c>
      <c r="F101" t="n">
        <v>10.2</v>
      </c>
      <c r="G101" t="n">
        <v>12.04</v>
      </c>
      <c r="H101">
        <f>הגדרות!B8</f>
        <v/>
      </c>
      <c r="I101">
        <f>F101*(1-H101/100)*1.18</f>
        <v/>
      </c>
      <c r="J101">
        <f>הגדרות!C8</f>
        <v/>
      </c>
      <c r="K101">
        <f>הגדרות!D8</f>
        <v/>
      </c>
      <c r="L101">
        <f>I101*(1+J101/100)+K101</f>
        <v/>
      </c>
    </row>
    <row r="102">
      <c r="A102" t="inlineStr">
        <is>
          <t>פורינה (חנויות)</t>
        </is>
      </c>
      <c r="B102" t="inlineStr">
        <is>
          <t>דנטלייף חתול עוף</t>
        </is>
      </c>
      <c r="C102" t="inlineStr">
        <is>
          <t>חטיפים</t>
        </is>
      </c>
      <c r="D102" t="inlineStr">
        <is>
          <t>12607325</t>
        </is>
      </c>
      <c r="E102" t="inlineStr">
        <is>
          <t>2026-06</t>
        </is>
      </c>
      <c r="F102" t="n">
        <v>6.5</v>
      </c>
      <c r="G102" t="n">
        <v>7.67</v>
      </c>
      <c r="H102">
        <f>הגדרות!B8</f>
        <v/>
      </c>
      <c r="I102">
        <f>F102*(1-H102/100)*1.18</f>
        <v/>
      </c>
      <c r="J102">
        <f>הגדרות!C8</f>
        <v/>
      </c>
      <c r="K102">
        <f>הגדרות!D8</f>
        <v/>
      </c>
      <c r="L102">
        <f>I102*(1+J102/100)+K102</f>
        <v/>
      </c>
    </row>
    <row r="103">
      <c r="A103" t="inlineStr">
        <is>
          <t>פורינה (חנויות)</t>
        </is>
      </c>
      <c r="B103" t="inlineStr">
        <is>
          <t>דנטלייף חתול סלמון</t>
        </is>
      </c>
      <c r="C103" t="inlineStr">
        <is>
          <t>חטיפים</t>
        </is>
      </c>
      <c r="D103" t="inlineStr">
        <is>
          <t>12607342</t>
        </is>
      </c>
      <c r="E103" t="inlineStr">
        <is>
          <t>2026-06</t>
        </is>
      </c>
      <c r="F103" t="n">
        <v>6.5</v>
      </c>
      <c r="G103" t="n">
        <v>7.67</v>
      </c>
      <c r="H103">
        <f>הגדרות!B8</f>
        <v/>
      </c>
      <c r="I103">
        <f>F103*(1-H103/100)*1.18</f>
        <v/>
      </c>
      <c r="J103">
        <f>הגדרות!C8</f>
        <v/>
      </c>
      <c r="K103">
        <f>הגדרות!D8</f>
        <v/>
      </c>
      <c r="L103">
        <f>I103*(1+J103/100)+K103</f>
        <v/>
      </c>
    </row>
    <row r="104">
      <c r="A104" t="inlineStr">
        <is>
          <t>פורינה (חנויות)</t>
        </is>
      </c>
      <c r="B104" t="inlineStr">
        <is>
          <t>פליקס שלוקים Joyables עוף</t>
        </is>
      </c>
      <c r="C104" t="inlineStr">
        <is>
          <t>חטיפים</t>
        </is>
      </c>
      <c r="D104" t="inlineStr">
        <is>
          <t>12620437</t>
        </is>
      </c>
      <c r="E104" t="inlineStr">
        <is>
          <t>2026-06</t>
        </is>
      </c>
      <c r="F104" t="n">
        <v>8.49</v>
      </c>
      <c r="G104" t="n">
        <v>10.02</v>
      </c>
      <c r="H104">
        <f>הגדרות!B8</f>
        <v/>
      </c>
      <c r="I104">
        <f>F104*(1-H104/100)*1.18</f>
        <v/>
      </c>
      <c r="J104">
        <f>הגדרות!C8</f>
        <v/>
      </c>
      <c r="K104">
        <f>הגדרות!D8</f>
        <v/>
      </c>
      <c r="L104">
        <f>I104*(1+J104/100)+K104</f>
        <v/>
      </c>
    </row>
    <row r="105">
      <c r="A105" t="inlineStr">
        <is>
          <t>פורינה (חנויות)</t>
        </is>
      </c>
      <c r="B105" t="inlineStr">
        <is>
          <t>פליקס שלוקים Joyables סלמון</t>
        </is>
      </c>
      <c r="C105" t="inlineStr">
        <is>
          <t>חטיפים</t>
        </is>
      </c>
      <c r="D105" t="inlineStr">
        <is>
          <t>12620438</t>
        </is>
      </c>
      <c r="E105" t="inlineStr">
        <is>
          <t>2026-06</t>
        </is>
      </c>
      <c r="F105" t="n">
        <v>8.49</v>
      </c>
      <c r="G105" t="n">
        <v>10.02</v>
      </c>
      <c r="H105">
        <f>הגדרות!B8</f>
        <v/>
      </c>
      <c r="I105">
        <f>F105*(1-H105/100)*1.18</f>
        <v/>
      </c>
      <c r="J105">
        <f>הגדרות!C8</f>
        <v/>
      </c>
      <c r="K105">
        <f>הגדרות!D8</f>
        <v/>
      </c>
      <c r="L105">
        <f>I105*(1+J105/100)+K105</f>
        <v/>
      </c>
    </row>
    <row r="106">
      <c r="A106" t="inlineStr">
        <is>
          <t>פורינה (חנויות)</t>
        </is>
      </c>
      <c r="B106" t="inlineStr">
        <is>
          <t>פליקס שלוקים Joyables ברווז</t>
        </is>
      </c>
      <c r="C106" t="inlineStr">
        <is>
          <t>חטיפים</t>
        </is>
      </c>
      <c r="D106" t="inlineStr">
        <is>
          <t>12620419</t>
        </is>
      </c>
      <c r="E106" t="inlineStr">
        <is>
          <t>2026-06</t>
        </is>
      </c>
      <c r="F106" t="n">
        <v>8.49</v>
      </c>
      <c r="G106" t="n">
        <v>10.02</v>
      </c>
      <c r="H106">
        <f>הגדרות!B8</f>
        <v/>
      </c>
      <c r="I106">
        <f>F106*(1-H106/100)*1.18</f>
        <v/>
      </c>
      <c r="J106">
        <f>הגדרות!C8</f>
        <v/>
      </c>
      <c r="K106">
        <f>הגדרות!D8</f>
        <v/>
      </c>
      <c r="L106">
        <f>I106*(1+J106/100)+K106</f>
        <v/>
      </c>
    </row>
    <row r="107">
      <c r="A107" t="inlineStr">
        <is>
          <t>פורינה (חנויות)</t>
        </is>
      </c>
      <c r="B107" t="inlineStr">
        <is>
          <t>פרו פלאן חטיפי DentalCare לכלב מגזע קטן</t>
        </is>
      </c>
      <c r="C107" t="inlineStr">
        <is>
          <t>חטיפים</t>
        </is>
      </c>
      <c r="D107" t="inlineStr">
        <is>
          <t>12604543</t>
        </is>
      </c>
      <c r="E107" t="inlineStr">
        <is>
          <t>2026-06</t>
        </is>
      </c>
      <c r="F107" t="n">
        <v>25.64</v>
      </c>
      <c r="G107" t="n">
        <v>30.26</v>
      </c>
      <c r="H107">
        <f>הגדרות!B8</f>
        <v/>
      </c>
      <c r="I107">
        <f>F107*(1-H107/100)*1.18</f>
        <v/>
      </c>
      <c r="J107">
        <f>הגדרות!C8</f>
        <v/>
      </c>
      <c r="K107">
        <f>הגדרות!D8</f>
        <v/>
      </c>
      <c r="L107">
        <f>I107*(1+J107/100)+K107</f>
        <v/>
      </c>
    </row>
    <row r="108">
      <c r="A108" t="inlineStr">
        <is>
          <t>פורינה (חנויות)</t>
        </is>
      </c>
      <c r="B108" t="inlineStr">
        <is>
          <t>פרו פלאן חטיפי DentalCare לכלב מגזע בינוני</t>
        </is>
      </c>
      <c r="C108" t="inlineStr">
        <is>
          <t>חטיפים</t>
        </is>
      </c>
      <c r="D108" t="inlineStr">
        <is>
          <t>12604772</t>
        </is>
      </c>
      <c r="E108" t="inlineStr">
        <is>
          <t>2026-06</t>
        </is>
      </c>
      <c r="F108" t="n">
        <v>25.64</v>
      </c>
      <c r="G108" t="n">
        <v>30.26</v>
      </c>
      <c r="H108">
        <f>הגדרות!B8</f>
        <v/>
      </c>
      <c r="I108">
        <f>F108*(1-H108/100)*1.18</f>
        <v/>
      </c>
      <c r="J108">
        <f>הגדרות!C8</f>
        <v/>
      </c>
      <c r="K108">
        <f>הגדרות!D8</f>
        <v/>
      </c>
      <c r="L108">
        <f>I108*(1+J108/100)+K108</f>
        <v/>
      </c>
    </row>
    <row r="109">
      <c r="A109" t="inlineStr">
        <is>
          <t>פורינה (חנויות)</t>
        </is>
      </c>
      <c r="B109" t="inlineStr">
        <is>
          <t>פרו פלאן חטיפי DentalCare לכלב מגזע גדול</t>
        </is>
      </c>
      <c r="C109" t="inlineStr">
        <is>
          <t>חטיפים</t>
        </is>
      </c>
      <c r="D109" t="inlineStr">
        <is>
          <t>12604733</t>
        </is>
      </c>
      <c r="E109" t="inlineStr">
        <is>
          <t>2026-06</t>
        </is>
      </c>
      <c r="F109" t="n">
        <v>25.64</v>
      </c>
      <c r="G109" t="n">
        <v>30.26</v>
      </c>
      <c r="H109">
        <f>הגדרות!B8</f>
        <v/>
      </c>
      <c r="I109">
        <f>F109*(1-H109/100)*1.18</f>
        <v/>
      </c>
      <c r="J109">
        <f>הגדרות!C8</f>
        <v/>
      </c>
      <c r="K109">
        <f>הגדרות!D8</f>
        <v/>
      </c>
      <c r="L109">
        <f>I109*(1+J109/100)+K109</f>
        <v/>
      </c>
    </row>
    <row r="110">
      <c r="A110" t="inlineStr">
        <is>
          <t>פורינה (חנויות)</t>
        </is>
      </c>
      <c r="B110" t="inlineStr">
        <is>
          <t>דוגלי אקטיב בקר</t>
        </is>
      </c>
      <c r="C110" t="inlineStr">
        <is>
          <t>חטיפים</t>
        </is>
      </c>
      <c r="D110" t="inlineStr">
        <is>
          <t>12466720</t>
        </is>
      </c>
      <c r="E110" t="inlineStr">
        <is>
          <t>2026-06</t>
        </is>
      </c>
      <c r="F110" t="n">
        <v>114.19</v>
      </c>
      <c r="G110" t="n">
        <v>134.74</v>
      </c>
      <c r="H110">
        <f>הגדרות!B8</f>
        <v/>
      </c>
      <c r="I110">
        <f>F110*(1-H110/100)*1.18</f>
        <v/>
      </c>
      <c r="J110">
        <f>הגדרות!C8</f>
        <v/>
      </c>
      <c r="K110">
        <f>הגדרות!D8</f>
        <v/>
      </c>
      <c r="L110">
        <f>I110*(1+J110/100)+K110</f>
        <v/>
      </c>
    </row>
    <row r="111">
      <c r="A111" t="inlineStr">
        <is>
          <t>פורינה (חנויות)</t>
        </is>
      </c>
      <c r="B111" t="inlineStr">
        <is>
          <t>דוגלי גורים עוף</t>
        </is>
      </c>
      <c r="C111" t="inlineStr">
        <is>
          <t>חטיפים</t>
        </is>
      </c>
      <c r="D111" t="inlineStr">
        <is>
          <t>12466622</t>
        </is>
      </c>
      <c r="E111" t="inlineStr">
        <is>
          <t>2026-06</t>
        </is>
      </c>
      <c r="F111" t="n">
        <v>41.46</v>
      </c>
      <c r="G111" t="n">
        <v>48.92</v>
      </c>
      <c r="H111">
        <f>הגדרות!B8</f>
        <v/>
      </c>
      <c r="I111">
        <f>F111*(1-H111/100)*1.18</f>
        <v/>
      </c>
      <c r="J111">
        <f>הגדרות!C8</f>
        <v/>
      </c>
      <c r="K111">
        <f>הגדרות!D8</f>
        <v/>
      </c>
      <c r="L111">
        <f>I111*(1+J111/100)+K111</f>
        <v/>
      </c>
    </row>
    <row r="112">
      <c r="A112" t="inlineStr">
        <is>
          <t>פורינה (חנויות)</t>
        </is>
      </c>
      <c r="B112" t="inlineStr">
        <is>
          <t>דוגלי גזע קטן בקר</t>
        </is>
      </c>
      <c r="C112" t="inlineStr">
        <is>
          <t>חטיפים</t>
        </is>
      </c>
      <c r="D112" t="inlineStr">
        <is>
          <t>12613172</t>
        </is>
      </c>
      <c r="E112" t="inlineStr">
        <is>
          <t>2026-06</t>
        </is>
      </c>
      <c r="F112" t="n">
        <v>39.49</v>
      </c>
      <c r="G112" t="n">
        <v>46.6</v>
      </c>
      <c r="H112">
        <f>הגדרות!B8</f>
        <v/>
      </c>
      <c r="I112">
        <f>F112*(1-H112/100)*1.18</f>
        <v/>
      </c>
      <c r="J112">
        <f>הגדרות!C8</f>
        <v/>
      </c>
      <c r="K112">
        <f>הגדרות!D8</f>
        <v/>
      </c>
      <c r="L112">
        <f>I112*(1+J112/100)+K112</f>
        <v/>
      </c>
    </row>
    <row r="113">
      <c r="A113" t="inlineStr">
        <is>
          <t>פורינה (חנויות)</t>
        </is>
      </c>
      <c r="B113" t="inlineStr">
        <is>
          <t>דוגלי בוגר עוף</t>
        </is>
      </c>
      <c r="C113" t="inlineStr">
        <is>
          <t>חטיפים</t>
        </is>
      </c>
      <c r="D113" t="inlineStr">
        <is>
          <t>12368765</t>
        </is>
      </c>
      <c r="E113" t="inlineStr">
        <is>
          <t>2026-06</t>
        </is>
      </c>
      <c r="F113" t="n">
        <v>37.61</v>
      </c>
      <c r="G113" t="n">
        <v>44.38</v>
      </c>
      <c r="H113">
        <f>הגדרות!B8</f>
        <v/>
      </c>
      <c r="I113">
        <f>F113*(1-H113/100)*1.18</f>
        <v/>
      </c>
      <c r="J113">
        <f>הגדרות!C8</f>
        <v/>
      </c>
      <c r="K113">
        <f>הגדרות!D8</f>
        <v/>
      </c>
      <c r="L113">
        <f>I113*(1+J113/100)+K113</f>
        <v/>
      </c>
    </row>
    <row r="114">
      <c r="A114" t="inlineStr">
        <is>
          <t>פורינה (חנויות)</t>
        </is>
      </c>
      <c r="B114" t="inlineStr">
        <is>
          <t>דוגלי בוגר בקר</t>
        </is>
      </c>
      <c r="C114" t="inlineStr">
        <is>
          <t>חטיפים</t>
        </is>
      </c>
      <c r="D114" t="inlineStr">
        <is>
          <t>12368766</t>
        </is>
      </c>
      <c r="E114" t="inlineStr">
        <is>
          <t>2026-06</t>
        </is>
      </c>
      <c r="F114" t="n">
        <v>37.61</v>
      </c>
      <c r="G114" t="n">
        <v>44.38</v>
      </c>
      <c r="H114">
        <f>הגדרות!B8</f>
        <v/>
      </c>
      <c r="I114">
        <f>F114*(1-H114/100)*1.18</f>
        <v/>
      </c>
      <c r="J114">
        <f>הגדרות!C8</f>
        <v/>
      </c>
      <c r="K114">
        <f>הגדרות!D8</f>
        <v/>
      </c>
      <c r="L114">
        <f>I114*(1+J114/100)+K114</f>
        <v/>
      </c>
    </row>
    <row r="115">
      <c r="A115" t="inlineStr">
        <is>
          <t>פורינה (חנויות)</t>
        </is>
      </c>
      <c r="B115" t="inlineStr">
        <is>
          <t>דוגלי בוגר עוף</t>
        </is>
      </c>
      <c r="C115" t="inlineStr">
        <is>
          <t>חטיפים</t>
        </is>
      </c>
      <c r="D115" t="inlineStr">
        <is>
          <t>12368676</t>
        </is>
      </c>
      <c r="E115" t="inlineStr">
        <is>
          <t>2026-06</t>
        </is>
      </c>
      <c r="F115" t="n">
        <v>108.76</v>
      </c>
      <c r="G115" t="n">
        <v>128.34</v>
      </c>
      <c r="H115">
        <f>הגדרות!B8</f>
        <v/>
      </c>
      <c r="I115">
        <f>F115*(1-H115/100)*1.18</f>
        <v/>
      </c>
      <c r="J115">
        <f>הגדרות!C8</f>
        <v/>
      </c>
      <c r="K115">
        <f>הגדרות!D8</f>
        <v/>
      </c>
      <c r="L115">
        <f>I115*(1+J115/100)+K115</f>
        <v/>
      </c>
    </row>
    <row r="116">
      <c r="A116" t="inlineStr">
        <is>
          <t>פורינה (חנויות)</t>
        </is>
      </c>
      <c r="B116" t="inlineStr">
        <is>
          <t>דוגלי בוגר בקר</t>
        </is>
      </c>
      <c r="C116" t="inlineStr">
        <is>
          <t>חטיפים</t>
        </is>
      </c>
      <c r="D116" t="inlineStr">
        <is>
          <t>12368675</t>
        </is>
      </c>
      <c r="E116" t="inlineStr">
        <is>
          <t>2026-06</t>
        </is>
      </c>
      <c r="F116" t="n">
        <v>108.76</v>
      </c>
      <c r="G116" t="n">
        <v>128.34</v>
      </c>
      <c r="H116">
        <f>הגדרות!B8</f>
        <v/>
      </c>
      <c r="I116">
        <f>F116*(1-H116/100)*1.18</f>
        <v/>
      </c>
      <c r="J116">
        <f>הגדרות!C8</f>
        <v/>
      </c>
      <c r="K116">
        <f>הגדרות!D8</f>
        <v/>
      </c>
      <c r="L116">
        <f>I116*(1+J116/100)+K116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2026-08-26T09:54:01Z</dcterms:created>
  <dcterms:modified xmlns:dcterms="http://purl.org/dc/terms/" xmlns:xsi="http://www.w3.org/2001/XMLSchema-instance" xsi:type="dcterms:W3CDTF">2026-08-26T09:54:01Z</dcterms:modified>
</cp:coreProperties>
</file>