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הגדרות" sheetId="1" state="visible" r:id="rId1"/>
    <sheet xmlns:r="http://schemas.openxmlformats.org/officeDocument/2006/relationships" name="מוצרי חנויות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rightToLeft="1" workbookViewId="0">
      <selection activeCell="A1" sqref="A1"/>
    </sheetView>
  </sheetViews>
  <sheetFormatPr baseColWidth="8" defaultRowHeight="15"/>
  <sheetData>
    <row r="1">
      <c r="A1" s="1" t="inlineStr">
        <is>
          <t>ספק</t>
        </is>
      </c>
      <c r="B1" s="1" t="inlineStr">
        <is>
          <t>ההנחה שלי %</t>
        </is>
      </c>
      <c r="C1" s="1" t="inlineStr">
        <is>
          <t>מרווח %</t>
        </is>
      </c>
      <c r="D1" s="1" t="inlineStr">
        <is>
          <t>מרווח ₪ קבוע</t>
        </is>
      </c>
    </row>
    <row r="2">
      <c r="A2" t="inlineStr">
        <is>
          <t>בית ארז (מילטין)</t>
        </is>
      </c>
      <c r="B2" t="n">
        <v>0</v>
      </c>
      <c r="C2" t="n">
        <v>0</v>
      </c>
      <c r="D2" t="n">
        <v>0</v>
      </c>
    </row>
    <row r="3">
      <c r="A3" t="inlineStr">
        <is>
          <t>קונג (Kong)</t>
        </is>
      </c>
      <c r="B3" t="n">
        <v>0</v>
      </c>
      <c r="C3" t="n">
        <v>0</v>
      </c>
      <c r="D3" t="n">
        <v>0</v>
      </c>
    </row>
    <row r="4">
      <c r="A4" t="inlineStr">
        <is>
          <t>פרפלסט (Ferplast)</t>
        </is>
      </c>
      <c r="B4" t="n">
        <v>0</v>
      </c>
      <c r="C4" t="n">
        <v>0</v>
      </c>
      <c r="D4" t="n">
        <v>0</v>
      </c>
    </row>
    <row r="5">
      <c r="A5" t="inlineStr">
        <is>
          <t>וטמרקט</t>
        </is>
      </c>
      <c r="B5" t="n">
        <v>0</v>
      </c>
      <c r="C5" t="n">
        <v>0</v>
      </c>
      <c r="D5" t="n">
        <v>0</v>
      </c>
    </row>
    <row r="6">
      <c r="A6" t="inlineStr">
        <is>
          <t>מדי-מרקט</t>
        </is>
      </c>
      <c r="B6" t="n">
        <v>0</v>
      </c>
      <c r="C6" t="n">
        <v>0</v>
      </c>
      <c r="D6" t="n">
        <v>0</v>
      </c>
    </row>
    <row r="7">
      <c r="A7" t="inlineStr">
        <is>
          <t>פט-וט ביומד</t>
        </is>
      </c>
      <c r="B7" t="n">
        <v>0</v>
      </c>
      <c r="C7" t="n">
        <v>0</v>
      </c>
      <c r="D7" t="n">
        <v>0</v>
      </c>
    </row>
    <row r="8">
      <c r="A8" t="inlineStr">
        <is>
          <t>פורינה (חנויות)</t>
        </is>
      </c>
      <c r="B8" t="n">
        <v>0</v>
      </c>
      <c r="C8" t="n">
        <v>0</v>
      </c>
      <c r="D8" t="n">
        <v>0</v>
      </c>
    </row>
    <row r="10">
      <c r="A10" t="inlineStr">
        <is>
          <t>נוסחה: עלות = מחיר ללא מע"מ × (1 − הנחה) × 1.18 ; מחיר ללקוח = עלות × (1 + מרווח %) + מרווח ₪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76"/>
  <sheetViews>
    <sheetView rightToLeft="1"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20" customWidth="1" min="3" max="3"/>
    <col width="12" customWidth="1" min="4" max="4"/>
    <col width="12" customWidth="1" min="5" max="5"/>
    <col width="14" customWidth="1" min="6" max="6"/>
    <col width="14" customWidth="1" min="7" max="7"/>
    <col width="9" customWidth="1" min="8" max="8"/>
    <col width="18" customWidth="1" min="9" max="9"/>
    <col width="9" customWidth="1" min="10" max="10"/>
    <col width="9" customWidth="1" min="11" max="11"/>
    <col width="14" customWidth="1" min="12" max="12"/>
  </cols>
  <sheetData>
    <row r="1">
      <c r="A1" s="2" t="inlineStr">
        <is>
          <t>ספק</t>
        </is>
      </c>
      <c r="B1" s="2" t="inlineStr">
        <is>
          <t>פריט</t>
        </is>
      </c>
      <c r="C1" s="2" t="inlineStr">
        <is>
          <t>קטגוריה</t>
        </is>
      </c>
      <c r="D1" s="2" t="inlineStr">
        <is>
          <t>מק"ט</t>
        </is>
      </c>
      <c r="E1" s="2" t="inlineStr">
        <is>
          <t>תאריך מחירון</t>
        </is>
      </c>
      <c r="F1" s="2" t="inlineStr">
        <is>
          <t>מחיר ללא מע"מ</t>
        </is>
      </c>
      <c r="G1" s="2" t="inlineStr">
        <is>
          <t>מחיר כולל מע"מ</t>
        </is>
      </c>
      <c r="H1" s="2" t="inlineStr">
        <is>
          <t>הנחה %</t>
        </is>
      </c>
      <c r="I1" s="2" t="inlineStr">
        <is>
          <t>עלות אחרי הנחה (כולל מע"מ)</t>
        </is>
      </c>
      <c r="J1" s="2" t="inlineStr">
        <is>
          <t>מרווח %</t>
        </is>
      </c>
      <c r="K1" s="2" t="inlineStr">
        <is>
          <t>מרווח ₪</t>
        </is>
      </c>
      <c r="L1" s="2" t="inlineStr">
        <is>
          <t>מחיר ללקוח</t>
        </is>
      </c>
    </row>
    <row r="2">
      <c r="A2" t="inlineStr">
        <is>
          <t>בית ארז (מילטין)</t>
        </is>
      </c>
      <c r="B2" t="inlineStr">
        <is>
          <t>טריקי טריטס עוף 2X15 - חטיפים לכלב וחתול Tricky Treats</t>
        </is>
      </c>
      <c r="C2" t="inlineStr">
        <is>
          <t>חטיפים</t>
        </is>
      </c>
      <c r="E2" t="inlineStr">
        <is>
          <t>2026-07</t>
        </is>
      </c>
      <c r="F2" t="n">
        <v>44</v>
      </c>
      <c r="G2" t="n">
        <v>51.92</v>
      </c>
      <c r="H2">
        <f>הגדרות!B2</f>
        <v/>
      </c>
      <c r="I2">
        <f>F2*(1-H2/100)*1.18</f>
        <v/>
      </c>
      <c r="J2">
        <f>הגדרות!C2</f>
        <v/>
      </c>
      <c r="K2">
        <f>הגדרות!D2</f>
        <v/>
      </c>
      <c r="L2">
        <f>I2*(1+J2/100)+K2</f>
        <v/>
      </c>
    </row>
    <row r="3">
      <c r="A3" t="inlineStr">
        <is>
          <t>בית ארז (מילטין)</t>
        </is>
      </c>
      <c r="B3" t="inlineStr">
        <is>
          <t>טריקי טריטס עוף 2X200 - חטיפים לכלב וחתול Tricky Treats</t>
        </is>
      </c>
      <c r="C3" t="inlineStr">
        <is>
          <t>חטיפים</t>
        </is>
      </c>
      <c r="E3" t="inlineStr">
        <is>
          <t>2026-07</t>
        </is>
      </c>
      <c r="F3" t="n">
        <v>300</v>
      </c>
      <c r="G3" t="n">
        <v>354</v>
      </c>
      <c r="H3">
        <f>הגדרות!B2</f>
        <v/>
      </c>
      <c r="I3">
        <f>F3*(1-H3/100)*1.18</f>
        <v/>
      </c>
      <c r="J3">
        <f>הגדרות!C2</f>
        <v/>
      </c>
      <c r="K3">
        <f>הגדרות!D2</f>
        <v/>
      </c>
      <c r="L3">
        <f>I3*(1+J3/100)+K3</f>
        <v/>
      </c>
    </row>
    <row r="4">
      <c r="A4" t="inlineStr">
        <is>
          <t>בית ארז (מילטין)</t>
        </is>
      </c>
      <c r="B4" t="inlineStr">
        <is>
          <t>טריקי טריטס ברווז 2X15 - חטיפים לכלב וחתול Tricky Treats</t>
        </is>
      </c>
      <c r="C4" t="inlineStr">
        <is>
          <t>חטיפים</t>
        </is>
      </c>
      <c r="E4" t="inlineStr">
        <is>
          <t>2026-07</t>
        </is>
      </c>
      <c r="F4" t="n">
        <v>44</v>
      </c>
      <c r="G4" t="n">
        <v>51.92</v>
      </c>
      <c r="H4">
        <f>הגדרות!B2</f>
        <v/>
      </c>
      <c r="I4">
        <f>F4*(1-H4/100)*1.18</f>
        <v/>
      </c>
      <c r="J4">
        <f>הגדרות!C2</f>
        <v/>
      </c>
      <c r="K4">
        <f>הגדרות!D2</f>
        <v/>
      </c>
      <c r="L4">
        <f>I4*(1+J4/100)+K4</f>
        <v/>
      </c>
    </row>
    <row r="5">
      <c r="A5" t="inlineStr">
        <is>
          <t>בית ארז (מילטין)</t>
        </is>
      </c>
      <c r="B5" t="inlineStr">
        <is>
          <t>טריקי טריטס ברווז 2X200 - חטיפים לכלב וחתול Tricky Treats</t>
        </is>
      </c>
      <c r="C5" t="inlineStr">
        <is>
          <t>חטיפים</t>
        </is>
      </c>
      <c r="E5" t="inlineStr">
        <is>
          <t>2026-07</t>
        </is>
      </c>
      <c r="F5" t="n">
        <v>300</v>
      </c>
      <c r="G5" t="n">
        <v>354</v>
      </c>
      <c r="H5">
        <f>הגדרות!B2</f>
        <v/>
      </c>
      <c r="I5">
        <f>F5*(1-H5/100)*1.18</f>
        <v/>
      </c>
      <c r="J5">
        <f>הגדרות!C2</f>
        <v/>
      </c>
      <c r="K5">
        <f>הגדרות!D2</f>
        <v/>
      </c>
      <c r="L5">
        <f>I5*(1+J5/100)+K5</f>
        <v/>
      </c>
    </row>
    <row r="6">
      <c r="A6" t="inlineStr">
        <is>
          <t>בית ארז (מילטין)</t>
        </is>
      </c>
      <c r="B6" t="inlineStr">
        <is>
          <t>מקלון למד סוכר 50 יח' Accu-Chek Instant Roche</t>
        </is>
      </c>
      <c r="C6" t="inlineStr">
        <is>
          <t>חטיפים</t>
        </is>
      </c>
      <c r="E6" t="inlineStr">
        <is>
          <t>2026-07</t>
        </is>
      </c>
      <c r="F6" t="n">
        <v>75</v>
      </c>
      <c r="G6" t="n">
        <v>88.5</v>
      </c>
      <c r="H6">
        <f>הגדרות!B2</f>
        <v/>
      </c>
      <c r="I6">
        <f>F6*(1-H6/100)*1.18</f>
        <v/>
      </c>
      <c r="J6">
        <f>הגדרות!C2</f>
        <v/>
      </c>
      <c r="K6">
        <f>הגדרות!D2</f>
        <v/>
      </c>
      <c r="L6">
        <f>I6*(1+J6/100)+K6</f>
        <v/>
      </c>
    </row>
    <row r="7">
      <c r="A7" t="inlineStr">
        <is>
          <t>קונג (Kong)</t>
        </is>
      </c>
      <c r="B7" t="inlineStr">
        <is>
          <t>קונג סקראטלס פנדה 2 במארז (CA122)</t>
        </is>
      </c>
      <c r="C7" t="inlineStr">
        <is>
          <t>צעצועים</t>
        </is>
      </c>
      <c r="D7" t="inlineStr">
        <is>
          <t>376000590</t>
        </is>
      </c>
      <c r="E7" t="inlineStr">
        <is>
          <t>2026-08</t>
        </is>
      </c>
      <c r="F7" t="n">
        <v>31</v>
      </c>
      <c r="G7" t="n">
        <v>36.58</v>
      </c>
      <c r="H7">
        <f>הגדרות!B3</f>
        <v/>
      </c>
      <c r="I7">
        <f>F7*(1-H7/100)*1.18</f>
        <v/>
      </c>
      <c r="J7">
        <f>הגדרות!C3</f>
        <v/>
      </c>
      <c r="K7">
        <f>הגדרות!D3</f>
        <v/>
      </c>
      <c r="L7">
        <f>I7*(1+J7/100)+K7</f>
        <v/>
      </c>
    </row>
    <row r="8">
      <c r="A8" t="inlineStr">
        <is>
          <t>קונג (Kong)</t>
        </is>
      </c>
      <c r="B8" t="inlineStr">
        <is>
          <t>קונג סקראטלס עוף 2 במארז (CA123)</t>
        </is>
      </c>
      <c r="C8" t="inlineStr">
        <is>
          <t>צעצועים</t>
        </is>
      </c>
      <c r="D8" t="inlineStr">
        <is>
          <t>376000591</t>
        </is>
      </c>
      <c r="E8" t="inlineStr">
        <is>
          <t>2026-08</t>
        </is>
      </c>
      <c r="F8" t="n">
        <v>31</v>
      </c>
      <c r="G8" t="n">
        <v>36.58</v>
      </c>
      <c r="H8">
        <f>הגדרות!B3</f>
        <v/>
      </c>
      <c r="I8">
        <f>F8*(1-H8/100)*1.18</f>
        <v/>
      </c>
      <c r="J8">
        <f>הגדרות!C3</f>
        <v/>
      </c>
      <c r="K8">
        <f>הגדרות!D3</f>
        <v/>
      </c>
      <c r="L8">
        <f>I8*(1+J8/100)+K8</f>
        <v/>
      </c>
    </row>
    <row r="9">
      <c r="A9" t="inlineStr">
        <is>
          <t>קונג (Kong)</t>
        </is>
      </c>
      <c r="B9" t="inlineStr">
        <is>
          <t>קונג גחלילית זוהרת (CT65)</t>
        </is>
      </c>
      <c r="C9" t="inlineStr">
        <is>
          <t>צעצועים</t>
        </is>
      </c>
      <c r="D9" t="inlineStr">
        <is>
          <t>376000592</t>
        </is>
      </c>
      <c r="E9" t="inlineStr">
        <is>
          <t>2026-08</t>
        </is>
      </c>
      <c r="F9" t="n">
        <v>53</v>
      </c>
      <c r="G9" t="n">
        <v>62.54</v>
      </c>
      <c r="H9">
        <f>הגדרות!B3</f>
        <v/>
      </c>
      <c r="I9">
        <f>F9*(1-H9/100)*1.18</f>
        <v/>
      </c>
      <c r="J9">
        <f>הגדרות!C3</f>
        <v/>
      </c>
      <c r="K9">
        <f>הגדרות!D3</f>
        <v/>
      </c>
      <c r="L9">
        <f>I9*(1+J9/100)+K9</f>
        <v/>
      </c>
    </row>
    <row r="10">
      <c r="A10" t="inlineStr">
        <is>
          <t>קונג (Kong)</t>
        </is>
      </c>
      <c r="B10" t="inlineStr">
        <is>
          <t>קונג כדורגל ספורטיבי גמיש מדיום (FLBS2)</t>
        </is>
      </c>
      <c r="C10" t="inlineStr">
        <is>
          <t>צעצועים</t>
        </is>
      </c>
      <c r="D10" t="inlineStr">
        <is>
          <t>376000593</t>
        </is>
      </c>
      <c r="E10" t="inlineStr">
        <is>
          <t>2026-08</t>
        </is>
      </c>
      <c r="F10" t="n">
        <v>56</v>
      </c>
      <c r="G10" t="n">
        <v>66.08</v>
      </c>
      <c r="H10">
        <f>הגדרות!B3</f>
        <v/>
      </c>
      <c r="I10">
        <f>F10*(1-H10/100)*1.18</f>
        <v/>
      </c>
      <c r="J10">
        <f>הגדרות!C3</f>
        <v/>
      </c>
      <c r="K10">
        <f>הגדרות!D3</f>
        <v/>
      </c>
      <c r="L10">
        <f>I10*(1+J10/100)+K10</f>
        <v/>
      </c>
    </row>
    <row r="11">
      <c r="A11" t="inlineStr">
        <is>
          <t>קונג (Kong)</t>
        </is>
      </c>
      <c r="B11" t="inlineStr">
        <is>
          <t>קונג כדורגל ספורטיבי גמיש לארג (FLBSX)</t>
        </is>
      </c>
      <c r="C11" t="inlineStr">
        <is>
          <t>צעצועים</t>
        </is>
      </c>
      <c r="D11" t="inlineStr">
        <is>
          <t>376000594</t>
        </is>
      </c>
      <c r="E11" t="inlineStr">
        <is>
          <t>2026-08</t>
        </is>
      </c>
      <c r="F11" t="n">
        <v>93</v>
      </c>
      <c r="G11" t="n">
        <v>109.74</v>
      </c>
      <c r="H11">
        <f>הגדרות!B3</f>
        <v/>
      </c>
      <c r="I11">
        <f>F11*(1-H11/100)*1.18</f>
        <v/>
      </c>
      <c r="J11">
        <f>הגדרות!C3</f>
        <v/>
      </c>
      <c r="K11">
        <f>הגדרות!D3</f>
        <v/>
      </c>
      <c r="L11">
        <f>I11*(1+J11/100)+K11</f>
        <v/>
      </c>
    </row>
    <row r="12">
      <c r="A12" t="inlineStr">
        <is>
          <t>קונג (Kong)</t>
        </is>
      </c>
      <c r="B12" t="inlineStr">
        <is>
          <t>קונג בובת קשרים תרנגולת (NKC1)</t>
        </is>
      </c>
      <c r="C12" t="inlineStr">
        <is>
          <t>צעצועים</t>
        </is>
      </c>
      <c r="D12" t="inlineStr">
        <is>
          <t>376000595</t>
        </is>
      </c>
      <c r="E12" t="inlineStr">
        <is>
          <t>2026-08</t>
        </is>
      </c>
      <c r="F12" t="n">
        <v>56</v>
      </c>
      <c r="G12" t="n">
        <v>66.08</v>
      </c>
      <c r="H12">
        <f>הגדרות!B3</f>
        <v/>
      </c>
      <c r="I12">
        <f>F12*(1-H12/100)*1.18</f>
        <v/>
      </c>
      <c r="J12">
        <f>הגדרות!C3</f>
        <v/>
      </c>
      <c r="K12">
        <f>הגדרות!D3</f>
        <v/>
      </c>
      <c r="L12">
        <f>I12*(1+J12/100)+K12</f>
        <v/>
      </c>
    </row>
    <row r="13">
      <c r="A13" t="inlineStr">
        <is>
          <t>קונג (Kong)</t>
        </is>
      </c>
      <c r="B13" t="inlineStr">
        <is>
          <t>קונג בובת קשרים תרנגולת קטנה (NKC3)</t>
        </is>
      </c>
      <c r="C13" t="inlineStr">
        <is>
          <t>צעצועים</t>
        </is>
      </c>
      <c r="D13" t="inlineStr">
        <is>
          <t>376000596</t>
        </is>
      </c>
      <c r="E13" t="inlineStr">
        <is>
          <t>2026-08</t>
        </is>
      </c>
      <c r="F13" t="n">
        <v>38</v>
      </c>
      <c r="G13" t="n">
        <v>44.84</v>
      </c>
      <c r="H13">
        <f>הגדרות!B3</f>
        <v/>
      </c>
      <c r="I13">
        <f>F13*(1-H13/100)*1.18</f>
        <v/>
      </c>
      <c r="J13">
        <f>הגדרות!C3</f>
        <v/>
      </c>
      <c r="K13">
        <f>הגדרות!D3</f>
        <v/>
      </c>
      <c r="L13">
        <f>I13*(1+J13/100)+K13</f>
        <v/>
      </c>
    </row>
    <row r="14">
      <c r="A14" t="inlineStr">
        <is>
          <t>קונג (Kong)</t>
        </is>
      </c>
      <c r="B14" t="inlineStr">
        <is>
          <t>קונג בובת קשרים תרנגולת אקסטרה (NKCX)</t>
        </is>
      </c>
      <c r="C14" t="inlineStr">
        <is>
          <t>צעצועים</t>
        </is>
      </c>
      <c r="D14" t="inlineStr">
        <is>
          <t>376000597</t>
        </is>
      </c>
      <c r="E14" t="inlineStr">
        <is>
          <t>2026-08</t>
        </is>
      </c>
      <c r="F14" t="n">
        <v>83</v>
      </c>
      <c r="G14" t="n">
        <v>97.94</v>
      </c>
      <c r="H14">
        <f>הגדרות!B3</f>
        <v/>
      </c>
      <c r="I14">
        <f>F14*(1-H14/100)*1.18</f>
        <v/>
      </c>
      <c r="J14">
        <f>הגדרות!C3</f>
        <v/>
      </c>
      <c r="K14">
        <f>הגדרות!D3</f>
        <v/>
      </c>
      <c r="L14">
        <f>I14*(1+J14/100)+K14</f>
        <v/>
      </c>
    </row>
    <row r="15">
      <c r="A15" t="inlineStr">
        <is>
          <t>קונג (Kong)</t>
        </is>
      </c>
      <c r="B15" t="inlineStr">
        <is>
          <t>קונג לקקן לכלבים אקסטרה (PLPX)</t>
        </is>
      </c>
      <c r="C15" t="inlineStr">
        <is>
          <t>צעצועים</t>
        </is>
      </c>
      <c r="D15" t="inlineStr">
        <is>
          <t>376000598</t>
        </is>
      </c>
      <c r="E15" t="inlineStr">
        <is>
          <t>2026-08</t>
        </is>
      </c>
      <c r="F15" t="n">
        <v>49</v>
      </c>
      <c r="G15" t="n">
        <v>57.82</v>
      </c>
      <c r="H15">
        <f>הגדרות!B3</f>
        <v/>
      </c>
      <c r="I15">
        <f>F15*(1-H15/100)*1.18</f>
        <v/>
      </c>
      <c r="J15">
        <f>הגדרות!C3</f>
        <v/>
      </c>
      <c r="K15">
        <f>הגדרות!D3</f>
        <v/>
      </c>
      <c r="L15">
        <f>I15*(1+J15/100)+K15</f>
        <v/>
      </c>
    </row>
    <row r="16">
      <c r="A16" t="inlineStr">
        <is>
          <t>קונג (Kong)</t>
        </is>
      </c>
      <c r="B16" t="inlineStr">
        <is>
          <t>קונג משחק עכבר לחתול (CA118)</t>
        </is>
      </c>
      <c r="C16" t="inlineStr">
        <is>
          <t>צעצועים</t>
        </is>
      </c>
      <c r="D16" t="inlineStr">
        <is>
          <t>376000599</t>
        </is>
      </c>
      <c r="E16" t="inlineStr">
        <is>
          <t>2026-08</t>
        </is>
      </c>
      <c r="F16" t="n">
        <v>21</v>
      </c>
      <c r="G16" t="n">
        <v>24.78</v>
      </c>
      <c r="H16">
        <f>הגדרות!B3</f>
        <v/>
      </c>
      <c r="I16">
        <f>F16*(1-H16/100)*1.18</f>
        <v/>
      </c>
      <c r="J16">
        <f>הגדרות!C3</f>
        <v/>
      </c>
      <c r="K16">
        <f>הגדרות!D3</f>
        <v/>
      </c>
      <c r="L16">
        <f>I16*(1+J16/100)+K16</f>
        <v/>
      </c>
    </row>
    <row r="17">
      <c r="A17" t="inlineStr">
        <is>
          <t>קונג (Kong)</t>
        </is>
      </c>
      <c r="B17" t="inlineStr">
        <is>
          <t>קונג ביצת קאטניפ 2 במארז (CA121)</t>
        </is>
      </c>
      <c r="C17" t="inlineStr">
        <is>
          <t>צעצועים</t>
        </is>
      </c>
      <c r="D17" t="inlineStr">
        <is>
          <t>376000600</t>
        </is>
      </c>
      <c r="E17" t="inlineStr">
        <is>
          <t>2026-08</t>
        </is>
      </c>
      <c r="F17" t="n">
        <v>30</v>
      </c>
      <c r="G17" t="n">
        <v>35.4</v>
      </c>
      <c r="H17">
        <f>הגדרות!B3</f>
        <v/>
      </c>
      <c r="I17">
        <f>F17*(1-H17/100)*1.18</f>
        <v/>
      </c>
      <c r="J17">
        <f>הגדרות!C3</f>
        <v/>
      </c>
      <c r="K17">
        <f>הגדרות!D3</f>
        <v/>
      </c>
      <c r="L17">
        <f>I17*(1+J17/100)+K17</f>
        <v/>
      </c>
    </row>
    <row r="18">
      <c r="A18" t="inlineStr">
        <is>
          <t>קונג (Kong)</t>
        </is>
      </c>
      <c r="B18" t="inlineStr">
        <is>
          <t>קונג משחק דרקון לחתול (CA92)</t>
        </is>
      </c>
      <c r="C18" t="inlineStr">
        <is>
          <t>צעצועים</t>
        </is>
      </c>
      <c r="D18" t="inlineStr">
        <is>
          <t>376000601</t>
        </is>
      </c>
      <c r="E18" t="inlineStr">
        <is>
          <t>2026-08</t>
        </is>
      </c>
      <c r="F18" t="n">
        <v>26</v>
      </c>
      <c r="G18" t="n">
        <v>30.68</v>
      </c>
      <c r="H18">
        <f>הגדרות!B3</f>
        <v/>
      </c>
      <c r="I18">
        <f>F18*(1-H18/100)*1.18</f>
        <v/>
      </c>
      <c r="J18">
        <f>הגדרות!C3</f>
        <v/>
      </c>
      <c r="K18">
        <f>הגדרות!D3</f>
        <v/>
      </c>
      <c r="L18">
        <f>I18*(1+J18/100)+K18</f>
        <v/>
      </c>
    </row>
    <row r="19">
      <c r="A19" t="inlineStr">
        <is>
          <t>קונג (Kong)</t>
        </is>
      </c>
      <c r="B19" t="inlineStr">
        <is>
          <t>קונג בובת נוייזי הבונה (NQ3)</t>
        </is>
      </c>
      <c r="C19" t="inlineStr">
        <is>
          <t>צעצועים</t>
        </is>
      </c>
      <c r="D19" t="inlineStr">
        <is>
          <t>376000603</t>
        </is>
      </c>
      <c r="E19" t="inlineStr">
        <is>
          <t>2026-08</t>
        </is>
      </c>
      <c r="F19" t="n">
        <v>21</v>
      </c>
      <c r="G19" t="n">
        <v>24.78</v>
      </c>
      <c r="H19">
        <f>הגדרות!B3</f>
        <v/>
      </c>
      <c r="I19">
        <f>F19*(1-H19/100)*1.18</f>
        <v/>
      </c>
      <c r="J19">
        <f>הגדרות!C3</f>
        <v/>
      </c>
      <c r="K19">
        <f>הגדרות!D3</f>
        <v/>
      </c>
      <c r="L19">
        <f>I19*(1+J19/100)+K19</f>
        <v/>
      </c>
    </row>
    <row r="20">
      <c r="A20" t="inlineStr">
        <is>
          <t>קונג (Kong)</t>
        </is>
      </c>
      <c r="B20" t="inlineStr">
        <is>
          <t>קונג בובת נוייזי הברווז (NY5)</t>
        </is>
      </c>
      <c r="C20" t="inlineStr">
        <is>
          <t>צעצועים</t>
        </is>
      </c>
      <c r="D20" t="inlineStr">
        <is>
          <t>376000604</t>
        </is>
      </c>
      <c r="E20" t="inlineStr">
        <is>
          <t>2026-08</t>
        </is>
      </c>
      <c r="F20" t="n">
        <v>15</v>
      </c>
      <c r="G20" t="n">
        <v>17.7</v>
      </c>
      <c r="H20">
        <f>הגדרות!B3</f>
        <v/>
      </c>
      <c r="I20">
        <f>F20*(1-H20/100)*1.18</f>
        <v/>
      </c>
      <c r="J20">
        <f>הגדרות!C3</f>
        <v/>
      </c>
      <c r="K20">
        <f>הגדרות!D3</f>
        <v/>
      </c>
      <c r="L20">
        <f>I20*(1+J20/100)+K20</f>
        <v/>
      </c>
    </row>
    <row r="21">
      <c r="A21" t="inlineStr">
        <is>
          <t>קונג (Kong)</t>
        </is>
      </c>
      <c r="B21" t="inlineStr">
        <is>
          <t>קונג בובת צפרדע מיני (SNZM51)</t>
        </is>
      </c>
      <c r="C21" t="inlineStr">
        <is>
          <t>צעצועים</t>
        </is>
      </c>
      <c r="D21" t="inlineStr">
        <is>
          <t>376000605</t>
        </is>
      </c>
      <c r="E21" t="inlineStr">
        <is>
          <t>2026-08</t>
        </is>
      </c>
      <c r="F21" t="n">
        <v>26</v>
      </c>
      <c r="G21" t="n">
        <v>30.68</v>
      </c>
      <c r="H21">
        <f>הגדרות!B3</f>
        <v/>
      </c>
      <c r="I21">
        <f>F21*(1-H21/100)*1.18</f>
        <v/>
      </c>
      <c r="J21">
        <f>הגדרות!C3</f>
        <v/>
      </c>
      <c r="K21">
        <f>הגדרות!D3</f>
        <v/>
      </c>
      <c r="L21">
        <f>I21*(1+J21/100)+K21</f>
        <v/>
      </c>
    </row>
    <row r="22">
      <c r="A22" t="inlineStr">
        <is>
          <t>קונג (Kong)</t>
        </is>
      </c>
      <c r="B22" t="inlineStr">
        <is>
          <t>קונג בובת מיני חזיר (SNZM52)</t>
        </is>
      </c>
      <c r="C22" t="inlineStr">
        <is>
          <t>צעצועים</t>
        </is>
      </c>
      <c r="D22" t="inlineStr">
        <is>
          <t>376000606</t>
        </is>
      </c>
      <c r="E22" t="inlineStr">
        <is>
          <t>2026-08</t>
        </is>
      </c>
      <c r="F22" t="n">
        <v>26</v>
      </c>
      <c r="G22" t="n">
        <v>30.68</v>
      </c>
      <c r="H22">
        <f>הגדרות!B3</f>
        <v/>
      </c>
      <c r="I22">
        <f>F22*(1-H22/100)*1.18</f>
        <v/>
      </c>
      <c r="J22">
        <f>הגדרות!C3</f>
        <v/>
      </c>
      <c r="K22">
        <f>הגדרות!D3</f>
        <v/>
      </c>
      <c r="L22">
        <f>I22*(1+J22/100)+K22</f>
        <v/>
      </c>
    </row>
    <row r="23">
      <c r="A23" t="inlineStr">
        <is>
          <t>קונג (Kong)</t>
        </is>
      </c>
      <c r="B23" t="inlineStr">
        <is>
          <t>קונג מקל משחק בטיחותי בינוני (PF2)</t>
        </is>
      </c>
      <c r="C23" t="inlineStr">
        <is>
          <t>צעצועים</t>
        </is>
      </c>
      <c r="D23" t="inlineStr">
        <is>
          <t>376000017</t>
        </is>
      </c>
      <c r="E23" t="inlineStr">
        <is>
          <t>2026-08</t>
        </is>
      </c>
      <c r="F23" t="n">
        <v>57</v>
      </c>
      <c r="G23" t="n">
        <v>67.26000000000001</v>
      </c>
      <c r="H23">
        <f>הגדרות!B3</f>
        <v/>
      </c>
      <c r="I23">
        <f>F23*(1-H23/100)*1.18</f>
        <v/>
      </c>
      <c r="J23">
        <f>הגדרות!C3</f>
        <v/>
      </c>
      <c r="K23">
        <f>הגדרות!D3</f>
        <v/>
      </c>
      <c r="L23">
        <f>I23*(1+J23/100)+K23</f>
        <v/>
      </c>
    </row>
    <row r="24">
      <c r="A24" t="inlineStr">
        <is>
          <t>קונג (Kong)</t>
        </is>
      </c>
      <c r="B24" t="inlineStr">
        <is>
          <t>קונג מקל משחק בטיחותי קטן (PF3)</t>
        </is>
      </c>
      <c r="C24" t="inlineStr">
        <is>
          <t>צעצועים</t>
        </is>
      </c>
      <c r="D24" t="inlineStr">
        <is>
          <t>376000018</t>
        </is>
      </c>
      <c r="E24" t="inlineStr">
        <is>
          <t>2026-08</t>
        </is>
      </c>
      <c r="F24" t="n">
        <v>38</v>
      </c>
      <c r="G24" t="n">
        <v>44.84</v>
      </c>
      <c r="H24">
        <f>הגדרות!B3</f>
        <v/>
      </c>
      <c r="I24">
        <f>F24*(1-H24/100)*1.18</f>
        <v/>
      </c>
      <c r="J24">
        <f>הגדרות!C3</f>
        <v/>
      </c>
      <c r="K24">
        <f>הגדרות!D3</f>
        <v/>
      </c>
      <c r="L24">
        <f>I24*(1+J24/100)+K24</f>
        <v/>
      </c>
    </row>
    <row r="25">
      <c r="A25" t="inlineStr">
        <is>
          <t>קונג (Kong)</t>
        </is>
      </c>
      <c r="B25" t="inlineStr">
        <is>
          <t>קונג כדור KB1) M)</t>
        </is>
      </c>
      <c r="C25" t="inlineStr">
        <is>
          <t>צעצועים</t>
        </is>
      </c>
      <c r="D25" t="inlineStr">
        <is>
          <t>376000026</t>
        </is>
      </c>
      <c r="E25" t="inlineStr">
        <is>
          <t>2026-08</t>
        </is>
      </c>
      <c r="F25" t="n">
        <v>55</v>
      </c>
      <c r="G25" t="n">
        <v>64.90000000000001</v>
      </c>
      <c r="H25">
        <f>הגדרות!B3</f>
        <v/>
      </c>
      <c r="I25">
        <f>F25*(1-H25/100)*1.18</f>
        <v/>
      </c>
      <c r="J25">
        <f>הגדרות!C3</f>
        <v/>
      </c>
      <c r="K25">
        <f>הגדרות!D3</f>
        <v/>
      </c>
      <c r="L25">
        <f>I25*(1+J25/100)+K25</f>
        <v/>
      </c>
    </row>
    <row r="26">
      <c r="A26" t="inlineStr">
        <is>
          <t>קונג (Kong)</t>
        </is>
      </c>
      <c r="B26" t="inlineStr">
        <is>
          <t>קונג S לגורים KP3</t>
        </is>
      </c>
      <c r="C26" t="inlineStr">
        <is>
          <t>צעצועים</t>
        </is>
      </c>
      <c r="D26" t="inlineStr">
        <is>
          <t>376000029</t>
        </is>
      </c>
      <c r="E26" t="inlineStr">
        <is>
          <t>2026-08</t>
        </is>
      </c>
      <c r="F26" t="n">
        <v>33</v>
      </c>
      <c r="G26" t="n">
        <v>38.94</v>
      </c>
      <c r="H26">
        <f>הגדרות!B3</f>
        <v/>
      </c>
      <c r="I26">
        <f>F26*(1-H26/100)*1.18</f>
        <v/>
      </c>
      <c r="J26">
        <f>הגדרות!C3</f>
        <v/>
      </c>
      <c r="K26">
        <f>הגדרות!D3</f>
        <v/>
      </c>
      <c r="L26">
        <f>I26*(1+J26/100)+K26</f>
        <v/>
      </c>
    </row>
    <row r="27">
      <c r="A27" t="inlineStr">
        <is>
          <t>קונג (Kong)</t>
        </is>
      </c>
      <c r="B27" t="inlineStr">
        <is>
          <t>קונג כדור ספורט גדול ABS1</t>
        </is>
      </c>
      <c r="C27" t="inlineStr">
        <is>
          <t>צעצועים</t>
        </is>
      </c>
      <c r="D27" t="inlineStr">
        <is>
          <t>376000041</t>
        </is>
      </c>
      <c r="E27" t="inlineStr">
        <is>
          <t>2026-08</t>
        </is>
      </c>
      <c r="F27" t="n">
        <v>33</v>
      </c>
      <c r="G27" t="n">
        <v>38.94</v>
      </c>
      <c r="H27">
        <f>הגדרות!B3</f>
        <v/>
      </c>
      <c r="I27">
        <f>F27*(1-H27/100)*1.18</f>
        <v/>
      </c>
      <c r="J27">
        <f>הגדרות!C3</f>
        <v/>
      </c>
      <c r="K27">
        <f>הגדרות!D3</f>
        <v/>
      </c>
      <c r="L27">
        <f>I27*(1+J27/100)+K27</f>
        <v/>
      </c>
    </row>
    <row r="28">
      <c r="A28" t="inlineStr">
        <is>
          <t>קונג (Kong)</t>
        </is>
      </c>
      <c r="B28" t="inlineStr">
        <is>
          <t>קונג סקוויקר 3 כדורים AST3) S)</t>
        </is>
      </c>
      <c r="C28" t="inlineStr">
        <is>
          <t>צעצועים</t>
        </is>
      </c>
      <c r="D28" t="inlineStr">
        <is>
          <t>376000054</t>
        </is>
      </c>
      <c r="E28" t="inlineStr">
        <is>
          <t>2026-08</t>
        </is>
      </c>
      <c r="F28" t="n">
        <v>19</v>
      </c>
      <c r="G28" t="n">
        <v>22.42</v>
      </c>
      <c r="H28">
        <f>הגדרות!B3</f>
        <v/>
      </c>
      <c r="I28">
        <f>F28*(1-H28/100)*1.18</f>
        <v/>
      </c>
      <c r="J28">
        <f>הגדרות!C3</f>
        <v/>
      </c>
      <c r="K28">
        <f>הגדרות!D3</f>
        <v/>
      </c>
      <c r="L28">
        <f>I28*(1+J28/100)+K28</f>
        <v/>
      </c>
    </row>
    <row r="29">
      <c r="A29" t="inlineStr">
        <is>
          <t>קונג (Kong)</t>
        </is>
      </c>
      <c r="B29" t="inlineStr">
        <is>
          <t>קונג צעצוע צפרדע NK11) M/L)</t>
        </is>
      </c>
      <c r="C29" t="inlineStr">
        <is>
          <t>צעצועים</t>
        </is>
      </c>
      <c r="D29" t="inlineStr">
        <is>
          <t>376000077</t>
        </is>
      </c>
      <c r="E29" t="inlineStr">
        <is>
          <t>2026-08</t>
        </is>
      </c>
      <c r="F29" t="n">
        <v>63</v>
      </c>
      <c r="G29" t="n">
        <v>74.34</v>
      </c>
      <c r="H29">
        <f>הגדרות!B3</f>
        <v/>
      </c>
      <c r="I29">
        <f>F29*(1-H29/100)*1.18</f>
        <v/>
      </c>
      <c r="J29">
        <f>הגדרות!C3</f>
        <v/>
      </c>
      <c r="K29">
        <f>הגדרות!D3</f>
        <v/>
      </c>
      <c r="L29">
        <f>I29*(1+J29/100)+K29</f>
        <v/>
      </c>
    </row>
    <row r="30">
      <c r="A30" t="inlineStr">
        <is>
          <t>קונג (Kong)</t>
        </is>
      </c>
      <c r="B30" t="inlineStr">
        <is>
          <t>קונג צעצוע אייל (M/L NK14)</t>
        </is>
      </c>
      <c r="C30" t="inlineStr">
        <is>
          <t>צעצועים</t>
        </is>
      </c>
      <c r="D30" t="inlineStr">
        <is>
          <t>376000083</t>
        </is>
      </c>
      <c r="E30" t="inlineStr">
        <is>
          <t>2026-08</t>
        </is>
      </c>
      <c r="F30" t="n">
        <v>63</v>
      </c>
      <c r="G30" t="n">
        <v>74.34</v>
      </c>
      <c r="H30">
        <f>הגדרות!B3</f>
        <v/>
      </c>
      <c r="I30">
        <f>F30*(1-H30/100)*1.18</f>
        <v/>
      </c>
      <c r="J30">
        <f>הגדרות!C3</f>
        <v/>
      </c>
      <c r="K30">
        <f>הגדרות!D3</f>
        <v/>
      </c>
      <c r="L30">
        <f>I30*(1+J30/100)+K30</f>
        <v/>
      </c>
    </row>
    <row r="31">
      <c r="A31" t="inlineStr">
        <is>
          <t>קונג (Kong)</t>
        </is>
      </c>
      <c r="B31" t="inlineStr">
        <is>
          <t>קונג צווארון אליזבת רך EL2) M)</t>
        </is>
      </c>
      <c r="C31" t="inlineStr">
        <is>
          <t>צעצועים</t>
        </is>
      </c>
      <c r="D31" t="inlineStr">
        <is>
          <t>376000097</t>
        </is>
      </c>
      <c r="E31" t="inlineStr">
        <is>
          <t>2026-08</t>
        </is>
      </c>
      <c r="F31" t="n">
        <v>100</v>
      </c>
      <c r="G31" t="n">
        <v>118</v>
      </c>
      <c r="H31">
        <f>הגדרות!B3</f>
        <v/>
      </c>
      <c r="I31">
        <f>F31*(1-H31/100)*1.18</f>
        <v/>
      </c>
      <c r="J31">
        <f>הגדרות!C3</f>
        <v/>
      </c>
      <c r="K31">
        <f>הגדרות!D3</f>
        <v/>
      </c>
      <c r="L31">
        <f>I31*(1+J31/100)+K31</f>
        <v/>
      </c>
    </row>
    <row r="32">
      <c r="A32" t="inlineStr">
        <is>
          <t>קונג (Kong)</t>
        </is>
      </c>
      <c r="B32" t="inlineStr">
        <is>
          <t>קונג צווארון אליזבת רך EL1) L)</t>
        </is>
      </c>
      <c r="C32" t="inlineStr">
        <is>
          <t>צעצועים</t>
        </is>
      </c>
      <c r="D32" t="inlineStr">
        <is>
          <t>376000098</t>
        </is>
      </c>
      <c r="E32" t="inlineStr">
        <is>
          <t>2026-08</t>
        </is>
      </c>
      <c r="F32" t="n">
        <v>124</v>
      </c>
      <c r="G32" t="n">
        <v>146.32</v>
      </c>
      <c r="H32">
        <f>הגדרות!B3</f>
        <v/>
      </c>
      <c r="I32">
        <f>F32*(1-H32/100)*1.18</f>
        <v/>
      </c>
      <c r="J32">
        <f>הגדרות!C3</f>
        <v/>
      </c>
      <c r="K32">
        <f>הגדרות!D3</f>
        <v/>
      </c>
      <c r="L32">
        <f>I32*(1+J32/100)+K32</f>
        <v/>
      </c>
    </row>
    <row r="33">
      <c r="A33" t="inlineStr">
        <is>
          <t>קונג (Kong)</t>
        </is>
      </c>
      <c r="B33" t="inlineStr">
        <is>
          <t>קונג צלחת מעופפת KF15) S)</t>
        </is>
      </c>
      <c r="C33" t="inlineStr">
        <is>
          <t>צעצועים</t>
        </is>
      </c>
      <c r="D33" t="inlineStr">
        <is>
          <t>376000100</t>
        </is>
      </c>
      <c r="E33" t="inlineStr">
        <is>
          <t>2026-08</t>
        </is>
      </c>
      <c r="F33" t="n">
        <v>54</v>
      </c>
      <c r="G33" t="n">
        <v>63.72</v>
      </c>
      <c r="H33">
        <f>הגדרות!B3</f>
        <v/>
      </c>
      <c r="I33">
        <f>F33*(1-H33/100)*1.18</f>
        <v/>
      </c>
      <c r="J33">
        <f>הגדרות!C3</f>
        <v/>
      </c>
      <c r="K33">
        <f>הגדרות!D3</f>
        <v/>
      </c>
      <c r="L33">
        <f>I33*(1+J33/100)+K33</f>
        <v/>
      </c>
    </row>
    <row r="34">
      <c r="A34" t="inlineStr">
        <is>
          <t>קונג (Kong)</t>
        </is>
      </c>
      <c r="B34" t="inlineStr">
        <is>
          <t>קונג צעצוע ראקון לעיס עם קשר NKS12, L/M לכלב</t>
        </is>
      </c>
      <c r="C34" t="inlineStr">
        <is>
          <t>צעצועים</t>
        </is>
      </c>
      <c r="D34" t="inlineStr">
        <is>
          <t>376000135</t>
        </is>
      </c>
      <c r="E34" t="inlineStr">
        <is>
          <t>2026-08</t>
        </is>
      </c>
      <c r="F34" t="n">
        <v>53</v>
      </c>
      <c r="G34" t="n">
        <v>62.54</v>
      </c>
      <c r="H34">
        <f>הגדרות!B3</f>
        <v/>
      </c>
      <c r="I34">
        <f>F34*(1-H34/100)*1.18</f>
        <v/>
      </c>
      <c r="J34">
        <f>הגדרות!C3</f>
        <v/>
      </c>
      <c r="K34">
        <f>הגדרות!D3</f>
        <v/>
      </c>
      <c r="L34">
        <f>I34*(1+J34/100)+K34</f>
        <v/>
      </c>
    </row>
    <row r="35">
      <c r="A35" t="inlineStr">
        <is>
          <t>קונג (Kong)</t>
        </is>
      </c>
      <c r="B35" t="inlineStr">
        <is>
          <t>קונג גירו SMALL, משחק לחטיפים, PGY3, לכלב</t>
        </is>
      </c>
      <c r="C35" t="inlineStr">
        <is>
          <t>צעצועים</t>
        </is>
      </c>
      <c r="D35" t="inlineStr">
        <is>
          <t>376000141</t>
        </is>
      </c>
      <c r="E35" t="inlineStr">
        <is>
          <t>2026-08</t>
        </is>
      </c>
      <c r="F35" t="n">
        <v>57</v>
      </c>
      <c r="G35" t="n">
        <v>67.26000000000001</v>
      </c>
      <c r="H35">
        <f>הגדרות!B3</f>
        <v/>
      </c>
      <c r="I35">
        <f>F35*(1-H35/100)*1.18</f>
        <v/>
      </c>
      <c r="J35">
        <f>הגדרות!C3</f>
        <v/>
      </c>
      <c r="K35">
        <f>הגדרות!D3</f>
        <v/>
      </c>
      <c r="L35">
        <f>I35*(1+J35/100)+K35</f>
        <v/>
      </c>
    </row>
    <row r="36">
      <c r="A36" t="inlineStr">
        <is>
          <t>קונג (Kong)</t>
        </is>
      </c>
      <c r="B36" t="inlineStr">
        <is>
          <t>קונג צלחת מעופפת אקסטרים UF3) L)</t>
        </is>
      </c>
      <c r="C36" t="inlineStr">
        <is>
          <t>צעצועים</t>
        </is>
      </c>
      <c r="D36" t="inlineStr">
        <is>
          <t>376000219</t>
        </is>
      </c>
      <c r="E36" t="inlineStr">
        <is>
          <t>2026-08</t>
        </is>
      </c>
      <c r="F36" t="n">
        <v>72</v>
      </c>
      <c r="G36" t="n">
        <v>84.95999999999999</v>
      </c>
      <c r="H36">
        <f>הגדרות!B3</f>
        <v/>
      </c>
      <c r="I36">
        <f>F36*(1-H36/100)*1.18</f>
        <v/>
      </c>
      <c r="J36">
        <f>הגדרות!C3</f>
        <v/>
      </c>
      <c r="K36">
        <f>הגדרות!D3</f>
        <v/>
      </c>
      <c r="L36">
        <f>I36*(1+J36/100)+K36</f>
        <v/>
      </c>
    </row>
    <row r="37">
      <c r="A37" t="inlineStr">
        <is>
          <t>קונג (Kong)</t>
        </is>
      </c>
      <c r="B37" t="inlineStr">
        <is>
          <t>קונג צלחת מעופפת לגורים KP15) S)</t>
        </is>
      </c>
      <c r="C37" t="inlineStr">
        <is>
          <t>צעצועים</t>
        </is>
      </c>
      <c r="D37" t="inlineStr">
        <is>
          <t>376000220</t>
        </is>
      </c>
      <c r="E37" t="inlineStr">
        <is>
          <t>2026-08</t>
        </is>
      </c>
      <c r="F37" t="n">
        <v>61</v>
      </c>
      <c r="G37" t="n">
        <v>71.98</v>
      </c>
      <c r="H37">
        <f>הגדרות!B3</f>
        <v/>
      </c>
      <c r="I37">
        <f>F37*(1-H37/100)*1.18</f>
        <v/>
      </c>
      <c r="J37">
        <f>הגדרות!C3</f>
        <v/>
      </c>
      <c r="K37">
        <f>הגדרות!D3</f>
        <v/>
      </c>
      <c r="L37">
        <f>I37*(1+J37/100)+K37</f>
        <v/>
      </c>
    </row>
    <row r="38">
      <c r="A38" t="inlineStr">
        <is>
          <t>קונג (Kong)</t>
        </is>
      </c>
      <c r="B38" t="inlineStr">
        <is>
          <t>קונג מנשא לבקבוק LF13) L)</t>
        </is>
      </c>
      <c r="C38" t="inlineStr">
        <is>
          <t>אביזרים</t>
        </is>
      </c>
      <c r="D38" t="inlineStr">
        <is>
          <t>376000225</t>
        </is>
      </c>
      <c r="E38" t="inlineStr">
        <is>
          <t>2026-08</t>
        </is>
      </c>
      <c r="F38" t="n">
        <v>64</v>
      </c>
      <c r="G38" t="n">
        <v>75.52</v>
      </c>
      <c r="H38">
        <f>הגדרות!B3</f>
        <v/>
      </c>
      <c r="I38">
        <f>F38*(1-H38/100)*1.18</f>
        <v/>
      </c>
      <c r="J38">
        <f>הגדרות!C3</f>
        <v/>
      </c>
      <c r="K38">
        <f>הגדרות!D3</f>
        <v/>
      </c>
      <c r="L38">
        <f>I38*(1+J38/100)+K38</f>
        <v/>
      </c>
    </row>
    <row r="39">
      <c r="A39" t="inlineStr">
        <is>
          <t>קונג (Kong)</t>
        </is>
      </c>
      <c r="B39" t="inlineStr">
        <is>
          <t>קונג קור כדור PFC13 L</t>
        </is>
      </c>
      <c r="C39" t="inlineStr">
        <is>
          <t>צעצועים</t>
        </is>
      </c>
      <c r="D39" t="inlineStr">
        <is>
          <t>376000283</t>
        </is>
      </c>
      <c r="E39" t="inlineStr">
        <is>
          <t>2026-08</t>
        </is>
      </c>
      <c r="F39" t="n">
        <v>40</v>
      </c>
      <c r="G39" t="n">
        <v>47.2</v>
      </c>
      <c r="H39">
        <f>הגדרות!B3</f>
        <v/>
      </c>
      <c r="I39">
        <f>F39*(1-H39/100)*1.18</f>
        <v/>
      </c>
      <c r="J39">
        <f>הגדרות!C3</f>
        <v/>
      </c>
      <c r="K39">
        <f>הגדרות!D3</f>
        <v/>
      </c>
      <c r="L39">
        <f>I39*(1+J39/100)+K39</f>
        <v/>
      </c>
    </row>
    <row r="40">
      <c r="A40" t="inlineStr">
        <is>
          <t>קונג (Kong)</t>
        </is>
      </c>
      <c r="B40" t="inlineStr">
        <is>
          <t>קונג ווילד דוב פנים עם חבל NKR5) XS)</t>
        </is>
      </c>
      <c r="C40" t="inlineStr">
        <is>
          <t>צעצועים</t>
        </is>
      </c>
      <c r="D40" t="inlineStr">
        <is>
          <t>376000314</t>
        </is>
      </c>
      <c r="E40" t="inlineStr">
        <is>
          <t>2026-08</t>
        </is>
      </c>
      <c r="F40" t="n">
        <v>28</v>
      </c>
      <c r="G40" t="n">
        <v>33.04</v>
      </c>
      <c r="H40">
        <f>הגדרות!B3</f>
        <v/>
      </c>
      <c r="I40">
        <f>F40*(1-H40/100)*1.18</f>
        <v/>
      </c>
      <c r="J40">
        <f>הגדרות!C3</f>
        <v/>
      </c>
      <c r="K40">
        <f>הגדרות!D3</f>
        <v/>
      </c>
      <c r="L40">
        <f>I40*(1+J40/100)+K40</f>
        <v/>
      </c>
    </row>
    <row r="41">
      <c r="A41" t="inlineStr">
        <is>
          <t>קונג (Kong)</t>
        </is>
      </c>
      <c r="B41" t="inlineStr">
        <is>
          <t>קונג מגרש משחקים לחתול בונגלו (CA78)</t>
        </is>
      </c>
      <c r="C41" t="inlineStr">
        <is>
          <t>צעצועים</t>
        </is>
      </c>
      <c r="D41" t="inlineStr">
        <is>
          <t>376000459</t>
        </is>
      </c>
      <c r="E41" t="inlineStr">
        <is>
          <t>2026-08</t>
        </is>
      </c>
      <c r="F41" t="n">
        <v>91</v>
      </c>
      <c r="G41" t="n">
        <v>107.38</v>
      </c>
      <c r="H41">
        <f>הגדרות!B3</f>
        <v/>
      </c>
      <c r="I41">
        <f>F41*(1-H41/100)*1.18</f>
        <v/>
      </c>
      <c r="J41">
        <f>הגדרות!C3</f>
        <v/>
      </c>
      <c r="K41">
        <f>הגדרות!D3</f>
        <v/>
      </c>
      <c r="L41">
        <f>I41*(1+J41/100)+K41</f>
        <v/>
      </c>
    </row>
    <row r="42">
      <c r="A42" t="inlineStr">
        <is>
          <t>קונג (Kong)</t>
        </is>
      </c>
      <c r="B42" t="inlineStr">
        <is>
          <t>קונג סקוויז מקל דנטלי PST23) M)</t>
        </is>
      </c>
      <c r="C42" t="inlineStr">
        <is>
          <t>צעצועים</t>
        </is>
      </c>
      <c r="D42" t="inlineStr">
        <is>
          <t>376000555</t>
        </is>
      </c>
      <c r="E42" t="inlineStr">
        <is>
          <t>2026-08</t>
        </is>
      </c>
      <c r="F42" t="n">
        <v>52</v>
      </c>
      <c r="G42" t="n">
        <v>61.36</v>
      </c>
      <c r="H42">
        <f>הגדרות!B3</f>
        <v/>
      </c>
      <c r="I42">
        <f>F42*(1-H42/100)*1.18</f>
        <v/>
      </c>
      <c r="J42">
        <f>הגדרות!C3</f>
        <v/>
      </c>
      <c r="K42">
        <f>הגדרות!D3</f>
        <v/>
      </c>
      <c r="L42">
        <f>I42*(1+J42/100)+K42</f>
        <v/>
      </c>
    </row>
    <row r="43">
      <c r="A43" t="inlineStr">
        <is>
          <t>קונג (Kong)</t>
        </is>
      </c>
      <c r="B43" t="inlineStr">
        <is>
          <t>קונג משחק לחיץ אקשן אדום PSA23) M)</t>
        </is>
      </c>
      <c r="C43" t="inlineStr">
        <is>
          <t>צעצועים</t>
        </is>
      </c>
      <c r="D43" t="inlineStr">
        <is>
          <t>376000558</t>
        </is>
      </c>
      <c r="E43" t="inlineStr">
        <is>
          <t>2026-08</t>
        </is>
      </c>
      <c r="F43" t="n">
        <v>53</v>
      </c>
      <c r="G43" t="n">
        <v>62.54</v>
      </c>
      <c r="H43">
        <f>הגדרות!B3</f>
        <v/>
      </c>
      <c r="I43">
        <f>F43*(1-H43/100)*1.18</f>
        <v/>
      </c>
      <c r="J43">
        <f>הגדרות!C3</f>
        <v/>
      </c>
      <c r="K43">
        <f>הגדרות!D3</f>
        <v/>
      </c>
      <c r="L43">
        <f>I43*(1+J43/100)+K43</f>
        <v/>
      </c>
    </row>
    <row r="44">
      <c r="A44" t="inlineStr">
        <is>
          <t>קונג (Kong)</t>
        </is>
      </c>
      <c r="B44" t="inlineStr">
        <is>
          <t>קונג ווילד משחק ארנב WILS21) M)</t>
        </is>
      </c>
      <c r="C44" t="inlineStr">
        <is>
          <t>צעצועים</t>
        </is>
      </c>
      <c r="D44" t="inlineStr">
        <is>
          <t>376000585</t>
        </is>
      </c>
      <c r="E44" t="inlineStr">
        <is>
          <t>2026-08</t>
        </is>
      </c>
      <c r="F44" t="n">
        <v>56</v>
      </c>
      <c r="G44" t="n">
        <v>66.08</v>
      </c>
      <c r="H44">
        <f>הגדרות!B3</f>
        <v/>
      </c>
      <c r="I44">
        <f>F44*(1-H44/100)*1.18</f>
        <v/>
      </c>
      <c r="J44">
        <f>הגדרות!C3</f>
        <v/>
      </c>
      <c r="K44">
        <f>הגדרות!D3</f>
        <v/>
      </c>
      <c r="L44">
        <f>I44*(1+J44/100)+K44</f>
        <v/>
      </c>
    </row>
    <row r="45">
      <c r="A45" t="inlineStr">
        <is>
          <t>קונג (Kong)</t>
        </is>
      </c>
      <c r="B45" t="inlineStr">
        <is>
          <t>קונג ווילד משחק פסיון WILS24) M)</t>
        </is>
      </c>
      <c r="C45" t="inlineStr">
        <is>
          <t>צעצועים</t>
        </is>
      </c>
      <c r="D45" t="inlineStr">
        <is>
          <t>376000588</t>
        </is>
      </c>
      <c r="E45" t="inlineStr">
        <is>
          <t>2026-08</t>
        </is>
      </c>
      <c r="F45" t="n">
        <v>56</v>
      </c>
      <c r="G45" t="n">
        <v>66.08</v>
      </c>
      <c r="H45">
        <f>הגדרות!B3</f>
        <v/>
      </c>
      <c r="I45">
        <f>F45*(1-H45/100)*1.18</f>
        <v/>
      </c>
      <c r="J45">
        <f>הגדרות!C3</f>
        <v/>
      </c>
      <c r="K45">
        <f>הגדרות!D3</f>
        <v/>
      </c>
      <c r="L45">
        <f>I45*(1+J45/100)+K45</f>
        <v/>
      </c>
    </row>
    <row r="46">
      <c r="A46" t="inlineStr">
        <is>
          <t>קונג (Kong)</t>
        </is>
      </c>
      <c r="B46" t="inlineStr">
        <is>
          <t>קונג L לגורים KP1</t>
        </is>
      </c>
      <c r="C46" t="inlineStr">
        <is>
          <t>צעצועים</t>
        </is>
      </c>
      <c r="D46" t="inlineStr">
        <is>
          <t>376000031</t>
        </is>
      </c>
      <c r="E46" t="inlineStr">
        <is>
          <t>2026-08</t>
        </is>
      </c>
      <c r="F46" t="n">
        <v>57</v>
      </c>
      <c r="G46" t="n">
        <v>67.26000000000001</v>
      </c>
      <c r="H46">
        <f>הגדרות!B3</f>
        <v/>
      </c>
      <c r="I46">
        <f>F46*(1-H46/100)*1.18</f>
        <v/>
      </c>
      <c r="J46">
        <f>הגדרות!C3</f>
        <v/>
      </c>
      <c r="K46">
        <f>הגדרות!D3</f>
        <v/>
      </c>
      <c r="L46">
        <f>I46*(1+J46/100)+K46</f>
        <v/>
      </c>
    </row>
    <row r="47">
      <c r="A47" t="inlineStr">
        <is>
          <t>קונג (Kong)</t>
        </is>
      </c>
      <c r="B47" t="inlineStr">
        <is>
          <t>קונג L סניור KN1</t>
        </is>
      </c>
      <c r="C47" t="inlineStr">
        <is>
          <t>צעצועים</t>
        </is>
      </c>
      <c r="D47" t="inlineStr">
        <is>
          <t>376000028</t>
        </is>
      </c>
      <c r="E47" t="inlineStr">
        <is>
          <t>2026-08</t>
        </is>
      </c>
      <c r="F47" t="n">
        <v>57</v>
      </c>
      <c r="G47" t="n">
        <v>67.26000000000001</v>
      </c>
      <c r="H47">
        <f>הגדרות!B3</f>
        <v/>
      </c>
      <c r="I47">
        <f>F47*(1-H47/100)*1.18</f>
        <v/>
      </c>
      <c r="J47">
        <f>הגדרות!C3</f>
        <v/>
      </c>
      <c r="K47">
        <f>הגדרות!D3</f>
        <v/>
      </c>
      <c r="L47">
        <f>I47*(1+J47/100)+K47</f>
        <v/>
      </c>
    </row>
    <row r="48">
      <c r="A48" t="inlineStr">
        <is>
          <t>קונג (Kong)</t>
        </is>
      </c>
      <c r="B48" t="inlineStr">
        <is>
          <t>קונג M אקסטרים K2</t>
        </is>
      </c>
      <c r="C48" t="inlineStr">
        <is>
          <t>צעצועים</t>
        </is>
      </c>
      <c r="D48" t="inlineStr">
        <is>
          <t>376000015</t>
        </is>
      </c>
      <c r="E48" t="inlineStr">
        <is>
          <t>2026-08</t>
        </is>
      </c>
      <c r="F48" t="n">
        <v>57</v>
      </c>
      <c r="G48" t="n">
        <v>67.26000000000001</v>
      </c>
      <c r="H48">
        <f>הגדרות!B3</f>
        <v/>
      </c>
      <c r="I48">
        <f>F48*(1-H48/100)*1.18</f>
        <v/>
      </c>
      <c r="J48">
        <f>הגדרות!C3</f>
        <v/>
      </c>
      <c r="K48">
        <f>הגדרות!D3</f>
        <v/>
      </c>
      <c r="L48">
        <f>I48*(1+J48/100)+K48</f>
        <v/>
      </c>
    </row>
    <row r="49">
      <c r="A49" t="inlineStr">
        <is>
          <t>קונג (Kong)</t>
        </is>
      </c>
      <c r="B49" t="inlineStr">
        <is>
          <t>קונג M לגורים KP2</t>
        </is>
      </c>
      <c r="C49" t="inlineStr">
        <is>
          <t>צעצועים</t>
        </is>
      </c>
      <c r="D49" t="inlineStr">
        <is>
          <t>376000030</t>
        </is>
      </c>
      <c r="E49" t="inlineStr">
        <is>
          <t>2026-08</t>
        </is>
      </c>
      <c r="F49" t="n">
        <v>46</v>
      </c>
      <c r="G49" t="n">
        <v>54.28</v>
      </c>
      <c r="H49">
        <f>הגדרות!B3</f>
        <v/>
      </c>
      <c r="I49">
        <f>F49*(1-H49/100)*1.18</f>
        <v/>
      </c>
      <c r="J49">
        <f>הגדרות!C3</f>
        <v/>
      </c>
      <c r="K49">
        <f>הגדרות!D3</f>
        <v/>
      </c>
      <c r="L49">
        <f>I49*(1+J49/100)+K49</f>
        <v/>
      </c>
    </row>
    <row r="50">
      <c r="A50" t="inlineStr">
        <is>
          <t>קונג (Kong)</t>
        </is>
      </c>
      <c r="B50" t="inlineStr">
        <is>
          <t>קונג M לגורים מוצץ KP27</t>
        </is>
      </c>
      <c r="C50" t="inlineStr">
        <is>
          <t>צעצועים</t>
        </is>
      </c>
      <c r="D50" t="inlineStr">
        <is>
          <t>376000034</t>
        </is>
      </c>
      <c r="E50" t="inlineStr">
        <is>
          <t>2026-08</t>
        </is>
      </c>
      <c r="F50" t="n">
        <v>38</v>
      </c>
      <c r="G50" t="n">
        <v>44.84</v>
      </c>
      <c r="H50">
        <f>הגדרות!B3</f>
        <v/>
      </c>
      <c r="I50">
        <f>F50*(1-H50/100)*1.18</f>
        <v/>
      </c>
      <c r="J50">
        <f>הגדרות!C3</f>
        <v/>
      </c>
      <c r="K50">
        <f>הגדרות!D3</f>
        <v/>
      </c>
      <c r="L50">
        <f>I50*(1+J50/100)+K50</f>
        <v/>
      </c>
    </row>
    <row r="51">
      <c r="A51" t="inlineStr">
        <is>
          <t>קונג (Kong)</t>
        </is>
      </c>
      <c r="B51" t="inlineStr">
        <is>
          <t>קונג M סניור KN2</t>
        </is>
      </c>
      <c r="C51" t="inlineStr">
        <is>
          <t>צעצועים</t>
        </is>
      </c>
      <c r="D51" t="inlineStr">
        <is>
          <t>376000027</t>
        </is>
      </c>
      <c r="E51" t="inlineStr">
        <is>
          <t>2026-08</t>
        </is>
      </c>
      <c r="F51" t="n">
        <v>46</v>
      </c>
      <c r="G51" t="n">
        <v>54.28</v>
      </c>
      <c r="H51">
        <f>הגדרות!B3</f>
        <v/>
      </c>
      <c r="I51">
        <f>F51*(1-H51/100)*1.18</f>
        <v/>
      </c>
      <c r="J51">
        <f>הגדרות!C3</f>
        <v/>
      </c>
      <c r="K51">
        <f>הגדרות!D3</f>
        <v/>
      </c>
      <c r="L51">
        <f>I51*(1+J51/100)+K51</f>
        <v/>
      </c>
    </row>
    <row r="52">
      <c r="A52" t="inlineStr">
        <is>
          <t>קונג (Kong)</t>
        </is>
      </c>
      <c r="B52" t="inlineStr">
        <is>
          <t>קונג S לגורים מוצץ KP37</t>
        </is>
      </c>
      <c r="C52" t="inlineStr">
        <is>
          <t>צעצועים</t>
        </is>
      </c>
      <c r="D52" t="inlineStr">
        <is>
          <t>376000033</t>
        </is>
      </c>
      <c r="E52" t="inlineStr">
        <is>
          <t>2026-08</t>
        </is>
      </c>
      <c r="F52" t="n">
        <v>37</v>
      </c>
      <c r="G52" t="n">
        <v>43.66</v>
      </c>
      <c r="H52">
        <f>הגדרות!B3</f>
        <v/>
      </c>
      <c r="I52">
        <f>F52*(1-H52/100)*1.18</f>
        <v/>
      </c>
      <c r="J52">
        <f>הגדרות!C3</f>
        <v/>
      </c>
      <c r="K52">
        <f>הגדרות!D3</f>
        <v/>
      </c>
      <c r="L52">
        <f>I52*(1+J52/100)+K52</f>
        <v/>
      </c>
    </row>
    <row r="53">
      <c r="A53" t="inlineStr">
        <is>
          <t>קונג (Kong)</t>
        </is>
      </c>
      <c r="B53" t="inlineStr">
        <is>
          <t>קונג XS לגורים KP4</t>
        </is>
      </c>
      <c r="C53" t="inlineStr">
        <is>
          <t>צעצועים</t>
        </is>
      </c>
      <c r="D53" t="inlineStr">
        <is>
          <t>376000032</t>
        </is>
      </c>
      <c r="E53" t="inlineStr">
        <is>
          <t>2026-08</t>
        </is>
      </c>
      <c r="F53" t="n">
        <v>26</v>
      </c>
      <c r="G53" t="n">
        <v>30.68</v>
      </c>
      <c r="H53">
        <f>הגדרות!B3</f>
        <v/>
      </c>
      <c r="I53">
        <f>F53*(1-H53/100)*1.18</f>
        <v/>
      </c>
      <c r="J53">
        <f>הגדרות!C3</f>
        <v/>
      </c>
      <c r="K53">
        <f>הגדרות!D3</f>
        <v/>
      </c>
      <c r="L53">
        <f>I53*(1+J53/100)+K53</f>
        <v/>
      </c>
    </row>
    <row r="54">
      <c r="A54" t="inlineStr">
        <is>
          <t>קונג (Kong)</t>
        </is>
      </c>
      <c r="B54" t="inlineStr">
        <is>
          <t>קונג אבוקאטו משחק חתול וראנגלר (CA462)</t>
        </is>
      </c>
      <c r="C54" t="inlineStr">
        <is>
          <t>צעצועים</t>
        </is>
      </c>
      <c r="D54" t="inlineStr">
        <is>
          <t>376000389</t>
        </is>
      </c>
      <c r="E54" t="inlineStr">
        <is>
          <t>2026-08</t>
        </is>
      </c>
      <c r="F54" t="n">
        <v>31</v>
      </c>
      <c r="G54" t="n">
        <v>36.58</v>
      </c>
      <c r="H54">
        <f>הגדרות!B3</f>
        <v/>
      </c>
      <c r="I54">
        <f>F54*(1-H54/100)*1.18</f>
        <v/>
      </c>
      <c r="J54">
        <f>הגדרות!C3</f>
        <v/>
      </c>
      <c r="K54">
        <f>הגדרות!D3</f>
        <v/>
      </c>
      <c r="L54">
        <f>I54*(1+J54/100)+K54</f>
        <v/>
      </c>
    </row>
    <row r="55">
      <c r="A55" t="inlineStr">
        <is>
          <t>קונג (Kong)</t>
        </is>
      </c>
      <c r="B55" t="inlineStr">
        <is>
          <t>קונג אוגי מקל משחק פלסטי סללום SG1)LG)</t>
        </is>
      </c>
      <c r="C55" t="inlineStr">
        <is>
          <t>צעצועים</t>
        </is>
      </c>
      <c r="D55" t="inlineStr">
        <is>
          <t>376000307</t>
        </is>
      </c>
      <c r="E55" t="inlineStr">
        <is>
          <t>2026-08</t>
        </is>
      </c>
      <c r="F55" t="n">
        <v>83</v>
      </c>
      <c r="G55" t="n">
        <v>97.94</v>
      </c>
      <c r="H55">
        <f>הגדרות!B3</f>
        <v/>
      </c>
      <c r="I55">
        <f>F55*(1-H55/100)*1.18</f>
        <v/>
      </c>
      <c r="J55">
        <f>הגדרות!C3</f>
        <v/>
      </c>
      <c r="K55">
        <f>הגדרות!D3</f>
        <v/>
      </c>
      <c r="L55">
        <f>I55*(1+J55/100)+K55</f>
        <v/>
      </c>
    </row>
    <row r="56">
      <c r="A56" t="inlineStr">
        <is>
          <t>קונג (Kong)</t>
        </is>
      </c>
      <c r="B56" t="inlineStr">
        <is>
          <t>קונג אוגי מקל משחק פלסטי סללום SG2)MD)</t>
        </is>
      </c>
      <c r="C56" t="inlineStr">
        <is>
          <t>צעצועים</t>
        </is>
      </c>
      <c r="D56" t="inlineStr">
        <is>
          <t>376000306</t>
        </is>
      </c>
      <c r="E56" t="inlineStr">
        <is>
          <t>2026-08</t>
        </is>
      </c>
      <c r="F56" t="n">
        <v>55</v>
      </c>
      <c r="G56" t="n">
        <v>64.90000000000001</v>
      </c>
      <c r="H56">
        <f>הגדרות!B3</f>
        <v/>
      </c>
      <c r="I56">
        <f>F56*(1-H56/100)*1.18</f>
        <v/>
      </c>
      <c r="J56">
        <f>הגדרות!C3</f>
        <v/>
      </c>
      <c r="K56">
        <f>הגדרות!D3</f>
        <v/>
      </c>
      <c r="L56">
        <f>I56*(1+J56/100)+K56</f>
        <v/>
      </c>
    </row>
    <row r="57">
      <c r="A57" t="inlineStr">
        <is>
          <t>קונג (Kong)</t>
        </is>
      </c>
      <c r="B57" t="inlineStr">
        <is>
          <t>קונג אינפיוזר מכשיר מפיץ ריח קטניפ לחתול (CCN5)</t>
        </is>
      </c>
      <c r="C57" t="inlineStr">
        <is>
          <t>הרגעה</t>
        </is>
      </c>
      <c r="D57" t="inlineStr">
        <is>
          <t>376000412</t>
        </is>
      </c>
      <c r="E57" t="inlineStr">
        <is>
          <t>2026-08</t>
        </is>
      </c>
      <c r="F57" t="n">
        <v>43</v>
      </c>
      <c r="G57" t="n">
        <v>50.74</v>
      </c>
      <c r="H57">
        <f>הגדרות!B3</f>
        <v/>
      </c>
      <c r="I57">
        <f>F57*(1-H57/100)*1.18</f>
        <v/>
      </c>
      <c r="J57">
        <f>הגדרות!C3</f>
        <v/>
      </c>
      <c r="K57">
        <f>הגדרות!D3</f>
        <v/>
      </c>
      <c r="L57">
        <f>I57*(1+J57/100)+K57</f>
        <v/>
      </c>
    </row>
    <row r="58">
      <c r="A58" t="inlineStr">
        <is>
          <t>קונג (Kong)</t>
        </is>
      </c>
      <c r="B58" t="inlineStr">
        <is>
          <t>קונג אקטיב חכה נחש בואה CT47</t>
        </is>
      </c>
      <c r="C58" t="inlineStr">
        <is>
          <t>צעצועים</t>
        </is>
      </c>
      <c r="D58" t="inlineStr">
        <is>
          <t>376000295</t>
        </is>
      </c>
      <c r="E58" t="inlineStr">
        <is>
          <t>2026-08</t>
        </is>
      </c>
      <c r="F58" t="n">
        <v>36</v>
      </c>
      <c r="G58" t="n">
        <v>42.48</v>
      </c>
      <c r="H58">
        <f>הגדרות!B3</f>
        <v/>
      </c>
      <c r="I58">
        <f>F58*(1-H58/100)*1.18</f>
        <v/>
      </c>
      <c r="J58">
        <f>הגדרות!C3</f>
        <v/>
      </c>
      <c r="K58">
        <f>הגדרות!D3</f>
        <v/>
      </c>
      <c r="L58">
        <f>I58*(1+J58/100)+K58</f>
        <v/>
      </c>
    </row>
    <row r="59">
      <c r="A59" t="inlineStr">
        <is>
          <t>קונג (Kong)</t>
        </is>
      </c>
      <c r="B59" t="inlineStr">
        <is>
          <t>קונג אקטיב משחק עם מילוי לקטניפ 2 יח' (CA64)</t>
        </is>
      </c>
      <c r="C59" t="inlineStr">
        <is>
          <t>צעצועים</t>
        </is>
      </c>
      <c r="D59" t="inlineStr">
        <is>
          <t>376000413</t>
        </is>
      </c>
      <c r="E59" t="inlineStr">
        <is>
          <t>2026-08</t>
        </is>
      </c>
      <c r="F59" t="n">
        <v>26</v>
      </c>
      <c r="G59" t="n">
        <v>30.68</v>
      </c>
      <c r="H59">
        <f>הגדרות!B3</f>
        <v/>
      </c>
      <c r="I59">
        <f>F59*(1-H59/100)*1.18</f>
        <v/>
      </c>
      <c r="J59">
        <f>הגדרות!C3</f>
        <v/>
      </c>
      <c r="K59">
        <f>הגדרות!D3</f>
        <v/>
      </c>
      <c r="L59">
        <f>I59*(1+J59/100)+K59</f>
        <v/>
      </c>
    </row>
    <row r="60">
      <c r="A60" t="inlineStr">
        <is>
          <t>קונג (Kong)</t>
        </is>
      </c>
      <c r="B60" t="inlineStr">
        <is>
          <t>קונג אקסטרים K3) S)</t>
        </is>
      </c>
      <c r="C60" t="inlineStr">
        <is>
          <t>צעצועים</t>
        </is>
      </c>
      <c r="D60" t="inlineStr">
        <is>
          <t>376000014</t>
        </is>
      </c>
      <c r="E60" t="inlineStr">
        <is>
          <t>2026-08</t>
        </is>
      </c>
      <c r="F60" t="n">
        <v>37</v>
      </c>
      <c r="G60" t="n">
        <v>43.66</v>
      </c>
      <c r="H60">
        <f>הגדרות!B3</f>
        <v/>
      </c>
      <c r="I60">
        <f>F60*(1-H60/100)*1.18</f>
        <v/>
      </c>
      <c r="J60">
        <f>הגדרות!C3</f>
        <v/>
      </c>
      <c r="K60">
        <f>הגדרות!D3</f>
        <v/>
      </c>
      <c r="L60">
        <f>I60*(1+J60/100)+K60</f>
        <v/>
      </c>
    </row>
    <row r="61">
      <c r="A61" t="inlineStr">
        <is>
          <t>קונג (Kong)</t>
        </is>
      </c>
      <c r="B61" t="inlineStr">
        <is>
          <t>קונג אקסטרים UKK) XXL)</t>
        </is>
      </c>
      <c r="C61" t="inlineStr">
        <is>
          <t>צעצועים</t>
        </is>
      </c>
      <c r="D61" t="inlineStr">
        <is>
          <t>376000021</t>
        </is>
      </c>
      <c r="E61" t="inlineStr">
        <is>
          <t>2026-08</t>
        </is>
      </c>
      <c r="F61" t="n">
        <v>107</v>
      </c>
      <c r="G61" t="n">
        <v>126.26</v>
      </c>
      <c r="H61">
        <f>הגדרות!B3</f>
        <v/>
      </c>
      <c r="I61">
        <f>F61*(1-H61/100)*1.18</f>
        <v/>
      </c>
      <c r="J61">
        <f>הגדרות!C3</f>
        <v/>
      </c>
      <c r="K61">
        <f>הגדרות!D3</f>
        <v/>
      </c>
      <c r="L61">
        <f>I61*(1+J61/100)+K61</f>
        <v/>
      </c>
    </row>
    <row r="62">
      <c r="A62" t="inlineStr">
        <is>
          <t>קונג (Kong)</t>
        </is>
      </c>
      <c r="B62" t="inlineStr">
        <is>
          <t>קונג אקסטרים גודי עצם L )10015)</t>
        </is>
      </c>
      <c r="C62" t="inlineStr">
        <is>
          <t>צעצועים</t>
        </is>
      </c>
      <c r="D62" t="inlineStr">
        <is>
          <t>376000538</t>
        </is>
      </c>
      <c r="E62" t="inlineStr">
        <is>
          <t>2026-08</t>
        </is>
      </c>
      <c r="F62" t="n">
        <v>83</v>
      </c>
      <c r="G62" t="n">
        <v>97.94</v>
      </c>
      <c r="H62">
        <f>הגדרות!B3</f>
        <v/>
      </c>
      <c r="I62">
        <f>F62*(1-H62/100)*1.18</f>
        <v/>
      </c>
      <c r="J62">
        <f>הגדרות!C3</f>
        <v/>
      </c>
      <c r="K62">
        <f>הגדרות!D3</f>
        <v/>
      </c>
      <c r="L62">
        <f>I62*(1+J62/100)+K62</f>
        <v/>
      </c>
    </row>
    <row r="63">
      <c r="A63" t="inlineStr">
        <is>
          <t>קונג (Kong)</t>
        </is>
      </c>
      <c r="B63" t="inlineStr">
        <is>
          <t>קונג אקסטרים חדש גודי ריבון EGS1) L)</t>
        </is>
      </c>
      <c r="C63" t="inlineStr">
        <is>
          <t>צעצועים</t>
        </is>
      </c>
      <c r="D63" t="inlineStr">
        <is>
          <t>376000335</t>
        </is>
      </c>
      <c r="E63" t="inlineStr">
        <is>
          <t>2026-08</t>
        </is>
      </c>
      <c r="F63" t="n">
        <v>94</v>
      </c>
      <c r="G63" t="n">
        <v>110.92</v>
      </c>
      <c r="H63">
        <f>הגדרות!B3</f>
        <v/>
      </c>
      <c r="I63">
        <f>F63*(1-H63/100)*1.18</f>
        <v/>
      </c>
      <c r="J63">
        <f>הגדרות!C3</f>
        <v/>
      </c>
      <c r="K63">
        <f>הגדרות!D3</f>
        <v/>
      </c>
      <c r="L63">
        <f>I63*(1+J63/100)+K63</f>
        <v/>
      </c>
    </row>
    <row r="64">
      <c r="A64" t="inlineStr">
        <is>
          <t>קונג (Kong)</t>
        </is>
      </c>
      <c r="B64" t="inlineStr">
        <is>
          <t>קונג אקסטרים חדש גודי ריבון EGS2) M)</t>
        </is>
      </c>
      <c r="C64" t="inlineStr">
        <is>
          <t>צעצועים</t>
        </is>
      </c>
      <c r="D64" t="inlineStr">
        <is>
          <t>376000336</t>
        </is>
      </c>
      <c r="E64" t="inlineStr">
        <is>
          <t>2026-08</t>
        </is>
      </c>
      <c r="F64" t="n">
        <v>83</v>
      </c>
      <c r="G64" t="n">
        <v>97.94</v>
      </c>
      <c r="H64">
        <f>הגדרות!B3</f>
        <v/>
      </c>
      <c r="I64">
        <f>F64*(1-H64/100)*1.18</f>
        <v/>
      </c>
      <c r="J64">
        <f>הגדרות!C3</f>
        <v/>
      </c>
      <c r="K64">
        <f>הגדרות!D3</f>
        <v/>
      </c>
      <c r="L64">
        <f>I64*(1+J64/100)+K64</f>
        <v/>
      </c>
    </row>
    <row r="65">
      <c r="A65" t="inlineStr">
        <is>
          <t>קונג (Kong)</t>
        </is>
      </c>
      <c r="B65" t="inlineStr">
        <is>
          <t>קונג אקסטרים חדש דנטל EK1) L)</t>
        </is>
      </c>
      <c r="C65" t="inlineStr">
        <is>
          <t>צעצועים</t>
        </is>
      </c>
      <c r="D65" t="inlineStr">
        <is>
          <t>376000339</t>
        </is>
      </c>
      <c r="E65" t="inlineStr">
        <is>
          <t>2026-08</t>
        </is>
      </c>
      <c r="F65" t="n">
        <v>88</v>
      </c>
      <c r="G65" t="n">
        <v>103.84</v>
      </c>
      <c r="H65">
        <f>הגדרות!B3</f>
        <v/>
      </c>
      <c r="I65">
        <f>F65*(1-H65/100)*1.18</f>
        <v/>
      </c>
      <c r="J65">
        <f>הגדרות!C3</f>
        <v/>
      </c>
      <c r="K65">
        <f>הגדרות!D3</f>
        <v/>
      </c>
      <c r="L65">
        <f>I65*(1+J65/100)+K65</f>
        <v/>
      </c>
    </row>
    <row r="66">
      <c r="A66" t="inlineStr">
        <is>
          <t>קונג (Kong)</t>
        </is>
      </c>
      <c r="B66" t="inlineStr">
        <is>
          <t>קונג אקסטרים חדש דנטל עם חבל EK2) M)</t>
        </is>
      </c>
      <c r="C66" t="inlineStr">
        <is>
          <t>צעצועים</t>
        </is>
      </c>
      <c r="D66" t="inlineStr">
        <is>
          <t>376000338</t>
        </is>
      </c>
      <c r="E66" t="inlineStr">
        <is>
          <t>2026-08</t>
        </is>
      </c>
      <c r="F66" t="n">
        <v>91</v>
      </c>
      <c r="G66" t="n">
        <v>107.38</v>
      </c>
      <c r="H66">
        <f>הגדרות!B3</f>
        <v/>
      </c>
      <c r="I66">
        <f>F66*(1-H66/100)*1.18</f>
        <v/>
      </c>
      <c r="J66">
        <f>הגדרות!C3</f>
        <v/>
      </c>
      <c r="K66">
        <f>הגדרות!D3</f>
        <v/>
      </c>
      <c r="L66">
        <f>I66*(1+J66/100)+K66</f>
        <v/>
      </c>
    </row>
    <row r="67">
      <c r="A67" t="inlineStr">
        <is>
          <t>קונג (Kong)</t>
        </is>
      </c>
      <c r="B67" t="inlineStr">
        <is>
          <t>קונג אקסטרים חדש טבעת EMX) XL)</t>
        </is>
      </c>
      <c r="C67" t="inlineStr">
        <is>
          <t>צעצועים</t>
        </is>
      </c>
      <c r="D67" t="inlineStr">
        <is>
          <t>376000337</t>
        </is>
      </c>
      <c r="E67" t="inlineStr">
        <is>
          <t>2026-08</t>
        </is>
      </c>
      <c r="F67" t="n">
        <v>83</v>
      </c>
      <c r="G67" t="n">
        <v>97.94</v>
      </c>
      <c r="H67">
        <f>הגדרות!B3</f>
        <v/>
      </c>
      <c r="I67">
        <f>F67*(1-H67/100)*1.18</f>
        <v/>
      </c>
      <c r="J67">
        <f>הגדרות!C3</f>
        <v/>
      </c>
      <c r="K67">
        <f>הגדרות!D3</f>
        <v/>
      </c>
      <c r="L67">
        <f>I67*(1+J67/100)+K67</f>
        <v/>
      </c>
    </row>
    <row r="68">
      <c r="A68" t="inlineStr">
        <is>
          <t>קונג (Kong)</t>
        </is>
      </c>
      <c r="B68" t="inlineStr">
        <is>
          <t>קונג אקסטרים חדש כדור עם חבל EB12) L)</t>
        </is>
      </c>
      <c r="C68" t="inlineStr">
        <is>
          <t>צעצועים</t>
        </is>
      </c>
      <c r="D68" t="inlineStr">
        <is>
          <t>376000334</t>
        </is>
      </c>
      <c r="E68" t="inlineStr">
        <is>
          <t>2026-08</t>
        </is>
      </c>
      <c r="F68" t="n">
        <v>70</v>
      </c>
      <c r="G68" t="n">
        <v>82.59999999999999</v>
      </c>
      <c r="H68">
        <f>הגדרות!B3</f>
        <v/>
      </c>
      <c r="I68">
        <f>F68*(1-H68/100)*1.18</f>
        <v/>
      </c>
      <c r="J68">
        <f>הגדרות!C3</f>
        <v/>
      </c>
      <c r="K68">
        <f>הגדרות!D3</f>
        <v/>
      </c>
      <c r="L68">
        <f>I68*(1+J68/100)+K68</f>
        <v/>
      </c>
    </row>
    <row r="69">
      <c r="A69" t="inlineStr">
        <is>
          <t>קונג (Kong)</t>
        </is>
      </c>
      <c r="B69" t="inlineStr">
        <is>
          <t>קונג בובת וובה וחברים WFX) XL)</t>
        </is>
      </c>
      <c r="C69" t="inlineStr">
        <is>
          <t>צעצועים</t>
        </is>
      </c>
      <c r="D69" t="inlineStr">
        <is>
          <t>376000241</t>
        </is>
      </c>
      <c r="E69" t="inlineStr">
        <is>
          <t>2026-08</t>
        </is>
      </c>
      <c r="F69" t="n">
        <v>76</v>
      </c>
      <c r="G69" t="n">
        <v>89.68000000000001</v>
      </c>
      <c r="H69">
        <f>הגדרות!B3</f>
        <v/>
      </c>
      <c r="I69">
        <f>F69*(1-H69/100)*1.18</f>
        <v/>
      </c>
      <c r="J69">
        <f>הגדרות!C3</f>
        <v/>
      </c>
      <c r="K69">
        <f>הגדרות!D3</f>
        <v/>
      </c>
      <c r="L69">
        <f>I69*(1+J69/100)+K69</f>
        <v/>
      </c>
    </row>
    <row r="70">
      <c r="A70" t="inlineStr">
        <is>
          <t>קונג (Kong)</t>
        </is>
      </c>
      <c r="B70" t="inlineStr">
        <is>
          <t>קונג בובת וובה לגורים (WP3)</t>
        </is>
      </c>
      <c r="C70" t="inlineStr">
        <is>
          <t>צעצועים</t>
        </is>
      </c>
      <c r="D70" t="inlineStr">
        <is>
          <t>376000047</t>
        </is>
      </c>
      <c r="E70" t="inlineStr">
        <is>
          <t>2026-08</t>
        </is>
      </c>
      <c r="F70" t="n">
        <v>33</v>
      </c>
      <c r="G70" t="n">
        <v>38.94</v>
      </c>
      <c r="H70">
        <f>הגדרות!B3</f>
        <v/>
      </c>
      <c r="I70">
        <f>F70*(1-H70/100)*1.18</f>
        <v/>
      </c>
      <c r="J70">
        <f>הגדרות!C3</f>
        <v/>
      </c>
      <c r="K70">
        <f>הגדרות!D3</f>
        <v/>
      </c>
      <c r="L70">
        <f>I70*(1+J70/100)+K70</f>
        <v/>
      </c>
    </row>
    <row r="71">
      <c r="A71" t="inlineStr">
        <is>
          <t>קונג (Kong)</t>
        </is>
      </c>
      <c r="B71" t="inlineStr">
        <is>
          <t>קונג בובת וובה מגה (WBM)</t>
        </is>
      </c>
      <c r="C71" t="inlineStr">
        <is>
          <t>צעצועים</t>
        </is>
      </c>
      <c r="D71" t="inlineStr">
        <is>
          <t>376000238</t>
        </is>
      </c>
      <c r="E71" t="inlineStr">
        <is>
          <t>2026-08</t>
        </is>
      </c>
      <c r="F71" t="n">
        <v>162</v>
      </c>
      <c r="G71" t="n">
        <v>191.16</v>
      </c>
      <c r="H71">
        <f>הגדרות!B3</f>
        <v/>
      </c>
      <c r="I71">
        <f>F71*(1-H71/100)*1.18</f>
        <v/>
      </c>
      <c r="J71">
        <f>הגדרות!C3</f>
        <v/>
      </c>
      <c r="K71">
        <f>הגדרות!D3</f>
        <v/>
      </c>
      <c r="L71">
        <f>I71*(1+J71/100)+K71</f>
        <v/>
      </c>
    </row>
    <row r="72">
      <c r="A72" t="inlineStr">
        <is>
          <t>קונג (Kong)</t>
        </is>
      </c>
      <c r="B72" t="inlineStr">
        <is>
          <t>קונג בובת שייקר דרקון גדול SKR11</t>
        </is>
      </c>
      <c r="C72" t="inlineStr">
        <is>
          <t>צעצועים</t>
        </is>
      </c>
      <c r="D72" t="inlineStr">
        <is>
          <t>376000166</t>
        </is>
      </c>
      <c r="E72" t="inlineStr">
        <is>
          <t>2026-08</t>
        </is>
      </c>
      <c r="F72" t="n">
        <v>80</v>
      </c>
      <c r="G72" t="n">
        <v>94.40000000000001</v>
      </c>
      <c r="H72">
        <f>הגדרות!B3</f>
        <v/>
      </c>
      <c r="I72">
        <f>F72*(1-H72/100)*1.18</f>
        <v/>
      </c>
      <c r="J72">
        <f>הגדרות!C3</f>
        <v/>
      </c>
      <c r="K72">
        <f>הגדרות!D3</f>
        <v/>
      </c>
      <c r="L72">
        <f>I72*(1+J72/100)+K72</f>
        <v/>
      </c>
    </row>
    <row r="73">
      <c r="A73" t="inlineStr">
        <is>
          <t>קונג (Kong)</t>
        </is>
      </c>
      <c r="B73" t="inlineStr">
        <is>
          <t>קונג ביזלס משחק מקל BZS2) M)</t>
        </is>
      </c>
      <c r="C73" t="inlineStr">
        <is>
          <t>צעצועים</t>
        </is>
      </c>
      <c r="D73" t="inlineStr">
        <is>
          <t>376000406</t>
        </is>
      </c>
      <c r="E73" t="inlineStr">
        <is>
          <t>2026-08</t>
        </is>
      </c>
      <c r="F73" t="n">
        <v>52</v>
      </c>
      <c r="G73" t="n">
        <v>61.36</v>
      </c>
      <c r="H73">
        <f>הגדרות!B3</f>
        <v/>
      </c>
      <c r="I73">
        <f>F73*(1-H73/100)*1.18</f>
        <v/>
      </c>
      <c r="J73">
        <f>הגדרות!C3</f>
        <v/>
      </c>
      <c r="K73">
        <f>הגדרות!D3</f>
        <v/>
      </c>
      <c r="L73">
        <f>I73*(1+J73/100)+K73</f>
        <v/>
      </c>
    </row>
    <row r="74">
      <c r="A74" t="inlineStr">
        <is>
          <t>קונג (Kong)</t>
        </is>
      </c>
      <c r="B74" t="inlineStr">
        <is>
          <t>קונג ביזלס משחק עצם BZN2) M)</t>
        </is>
      </c>
      <c r="C74" t="inlineStr">
        <is>
          <t>צעצועים</t>
        </is>
      </c>
      <c r="D74" t="inlineStr">
        <is>
          <t>376000407</t>
        </is>
      </c>
      <c r="E74" t="inlineStr">
        <is>
          <t>2026-08</t>
        </is>
      </c>
      <c r="F74" t="n">
        <v>52</v>
      </c>
      <c r="G74" t="n">
        <v>61.36</v>
      </c>
      <c r="H74">
        <f>הגדרות!B3</f>
        <v/>
      </c>
      <c r="I74">
        <f>F74*(1-H74/100)*1.18</f>
        <v/>
      </c>
      <c r="J74">
        <f>הגדרות!C3</f>
        <v/>
      </c>
      <c r="K74">
        <f>הגדרות!D3</f>
        <v/>
      </c>
      <c r="L74">
        <f>I74*(1+J74/100)+K74</f>
        <v/>
      </c>
    </row>
    <row r="75">
      <c r="A75" t="inlineStr">
        <is>
          <t>קונג (Kong)</t>
        </is>
      </c>
      <c r="B75" t="inlineStr">
        <is>
          <t>קונג ג'אמפן ג'אק משחק חטיפים כלב KJ1) L)</t>
        </is>
      </c>
      <c r="C75" t="inlineStr">
        <is>
          <t>צעצועים</t>
        </is>
      </c>
      <c r="D75" t="inlineStr">
        <is>
          <t>376000510</t>
        </is>
      </c>
      <c r="E75" t="inlineStr">
        <is>
          <t>2026-08</t>
        </is>
      </c>
      <c r="F75" t="n">
        <v>80</v>
      </c>
      <c r="G75" t="n">
        <v>94.40000000000001</v>
      </c>
      <c r="H75">
        <f>הגדרות!B3</f>
        <v/>
      </c>
      <c r="I75">
        <f>F75*(1-H75/100)*1.18</f>
        <v/>
      </c>
      <c r="J75">
        <f>הגדרות!C3</f>
        <v/>
      </c>
      <c r="K75">
        <f>הגדרות!D3</f>
        <v/>
      </c>
      <c r="L75">
        <f>I75*(1+J75/100)+K75</f>
        <v/>
      </c>
    </row>
    <row r="76">
      <c r="A76" t="inlineStr">
        <is>
          <t>קונג (Kong)</t>
        </is>
      </c>
      <c r="B76" t="inlineStr">
        <is>
          <t>קונג ג'אמפן ג'אק משחק חטיפים כלב KJ2) M)</t>
        </is>
      </c>
      <c r="C76" t="inlineStr">
        <is>
          <t>צעצועים</t>
        </is>
      </c>
      <c r="D76" t="inlineStr">
        <is>
          <t>376000511</t>
        </is>
      </c>
      <c r="E76" t="inlineStr">
        <is>
          <t>2026-08</t>
        </is>
      </c>
      <c r="F76" t="n">
        <v>65</v>
      </c>
      <c r="G76" t="n">
        <v>76.7</v>
      </c>
      <c r="H76">
        <f>הגדרות!B3</f>
        <v/>
      </c>
      <c r="I76">
        <f>F76*(1-H76/100)*1.18</f>
        <v/>
      </c>
      <c r="J76">
        <f>הגדרות!C3</f>
        <v/>
      </c>
      <c r="K76">
        <f>הגדרות!D3</f>
        <v/>
      </c>
      <c r="L76">
        <f>I76*(1+J76/100)+K76</f>
        <v/>
      </c>
    </row>
    <row r="77">
      <c r="A77" t="inlineStr">
        <is>
          <t>קונג (Kong)</t>
        </is>
      </c>
      <c r="B77" t="inlineStr">
        <is>
          <t>קונג גאקס משחק כדור וחבל 4 קשרים PJB22) M)</t>
        </is>
      </c>
      <c r="C77" t="inlineStr">
        <is>
          <t>צעצועים</t>
        </is>
      </c>
      <c r="D77" t="inlineStr">
        <is>
          <t>376000464</t>
        </is>
      </c>
      <c r="E77" t="inlineStr">
        <is>
          <t>2026-08</t>
        </is>
      </c>
      <c r="F77" t="n">
        <v>47</v>
      </c>
      <c r="G77" t="n">
        <v>55.46</v>
      </c>
      <c r="H77">
        <f>הגדרות!B3</f>
        <v/>
      </c>
      <c r="I77">
        <f>F77*(1-H77/100)*1.18</f>
        <v/>
      </c>
      <c r="J77">
        <f>הגדרות!C3</f>
        <v/>
      </c>
      <c r="K77">
        <f>הגדרות!D3</f>
        <v/>
      </c>
      <c r="L77">
        <f>I77*(1+J77/100)+K77</f>
        <v/>
      </c>
    </row>
    <row r="78">
      <c r="A78" t="inlineStr">
        <is>
          <t>קונג (Kong)</t>
        </is>
      </c>
      <c r="B78" t="inlineStr">
        <is>
          <t>קונג גאקס משחק משיכה עם כדור PJB23) M)</t>
        </is>
      </c>
      <c r="C78" t="inlineStr">
        <is>
          <t>צעצועים</t>
        </is>
      </c>
      <c r="D78" t="inlineStr">
        <is>
          <t>376000463</t>
        </is>
      </c>
      <c r="E78" t="inlineStr">
        <is>
          <t>2026-08</t>
        </is>
      </c>
      <c r="F78" t="n">
        <v>47</v>
      </c>
      <c r="G78" t="n">
        <v>55.46</v>
      </c>
      <c r="H78">
        <f>הגדרות!B3</f>
        <v/>
      </c>
      <c r="I78">
        <f>F78*(1-H78/100)*1.18</f>
        <v/>
      </c>
      <c r="J78">
        <f>הגדרות!C3</f>
        <v/>
      </c>
      <c r="K78">
        <f>הגדרות!D3</f>
        <v/>
      </c>
      <c r="L78">
        <f>I78*(1+J78/100)+K78</f>
        <v/>
      </c>
    </row>
    <row r="79">
      <c r="A79" t="inlineStr">
        <is>
          <t>קונג (Kong)</t>
        </is>
      </c>
      <c r="B79" t="inlineStr">
        <is>
          <t>קונג גודי עצם לכלב KB31) S)</t>
        </is>
      </c>
      <c r="C79" t="inlineStr">
        <is>
          <t>צעצועים</t>
        </is>
      </c>
      <c r="D79" t="inlineStr">
        <is>
          <t>376000537</t>
        </is>
      </c>
      <c r="E79" t="inlineStr">
        <is>
          <t>2026-08</t>
        </is>
      </c>
      <c r="F79" t="n">
        <v>42</v>
      </c>
      <c r="G79" t="n">
        <v>49.56</v>
      </c>
      <c r="H79">
        <f>הגדרות!B3</f>
        <v/>
      </c>
      <c r="I79">
        <f>F79*(1-H79/100)*1.18</f>
        <v/>
      </c>
      <c r="J79">
        <f>הגדרות!C3</f>
        <v/>
      </c>
      <c r="K79">
        <f>הגדרות!D3</f>
        <v/>
      </c>
      <c r="L79">
        <f>I79*(1+J79/100)+K79</f>
        <v/>
      </c>
    </row>
    <row r="80">
      <c r="A80" t="inlineStr">
        <is>
          <t>קונג (Kong)</t>
        </is>
      </c>
      <c r="B80" t="inlineStr">
        <is>
          <t>קונג גודי ריבון TGS1) LG)</t>
        </is>
      </c>
      <c r="C80" t="inlineStr">
        <is>
          <t>צעצועים</t>
        </is>
      </c>
      <c r="D80" t="inlineStr">
        <is>
          <t>376000332</t>
        </is>
      </c>
      <c r="E80" t="inlineStr">
        <is>
          <t>2026-08</t>
        </is>
      </c>
      <c r="F80" t="n">
        <v>88</v>
      </c>
      <c r="G80" t="n">
        <v>103.84</v>
      </c>
      <c r="H80">
        <f>הגדרות!B3</f>
        <v/>
      </c>
      <c r="I80">
        <f>F80*(1-H80/100)*1.18</f>
        <v/>
      </c>
      <c r="J80">
        <f>הגדרות!C3</f>
        <v/>
      </c>
      <c r="K80">
        <f>הגדרות!D3</f>
        <v/>
      </c>
      <c r="L80">
        <f>I80*(1+J80/100)+K80</f>
        <v/>
      </c>
    </row>
    <row r="81">
      <c r="A81" t="inlineStr">
        <is>
          <t>קונג (Kong)</t>
        </is>
      </c>
      <c r="B81" t="inlineStr">
        <is>
          <t>קונג גמבלר משחק צבעוני TRI וכדור TMT1) XL/L) ***</t>
        </is>
      </c>
      <c r="C81" t="inlineStr">
        <is>
          <t>צעצועים</t>
        </is>
      </c>
      <c r="D81" t="inlineStr">
        <is>
          <t>376000457</t>
        </is>
      </c>
      <c r="E81" t="inlineStr">
        <is>
          <t>2026-08</t>
        </is>
      </c>
      <c r="F81" t="n">
        <v>86</v>
      </c>
      <c r="G81" t="n">
        <v>101.48</v>
      </c>
      <c r="H81">
        <f>הגדרות!B3</f>
        <v/>
      </c>
      <c r="I81">
        <f>F81*(1-H81/100)*1.18</f>
        <v/>
      </c>
      <c r="J81">
        <f>הגדרות!C3</f>
        <v/>
      </c>
      <c r="K81">
        <f>הגדרות!D3</f>
        <v/>
      </c>
      <c r="L81">
        <f>I81*(1+J81/100)+K81</f>
        <v/>
      </c>
    </row>
    <row r="82">
      <c r="A82" t="inlineStr">
        <is>
          <t>קונג (Kong)</t>
        </is>
      </c>
      <c r="B82" t="inlineStr">
        <is>
          <t>קונג גמבלר משחק צבעוני בייסבול וכדור TMF1) XL/L)</t>
        </is>
      </c>
      <c r="C82" t="inlineStr">
        <is>
          <t>צעצועים</t>
        </is>
      </c>
      <c r="D82" t="inlineStr">
        <is>
          <t>376000455</t>
        </is>
      </c>
      <c r="E82" t="inlineStr">
        <is>
          <t>2026-08</t>
        </is>
      </c>
      <c r="F82" t="n">
        <v>89</v>
      </c>
      <c r="G82" t="n">
        <v>105.02</v>
      </c>
      <c r="H82">
        <f>הגדרות!B3</f>
        <v/>
      </c>
      <c r="I82">
        <f>F82*(1-H82/100)*1.18</f>
        <v/>
      </c>
      <c r="J82">
        <f>הגדרות!C3</f>
        <v/>
      </c>
      <c r="K82">
        <f>הגדרות!D3</f>
        <v/>
      </c>
      <c r="L82">
        <f>I82*(1+J82/100)+K82</f>
        <v/>
      </c>
    </row>
    <row r="83">
      <c r="A83" t="inlineStr">
        <is>
          <t>קונג (Kong)</t>
        </is>
      </c>
      <c r="B83" t="inlineStr">
        <is>
          <t>קונג גמבלר משחק צבעוני בייסבול וכדור TMF2) M/L)</t>
        </is>
      </c>
      <c r="C83" t="inlineStr">
        <is>
          <t>צעצועים</t>
        </is>
      </c>
      <c r="D83" t="inlineStr">
        <is>
          <t>376000454</t>
        </is>
      </c>
      <c r="E83" t="inlineStr">
        <is>
          <t>2026-08</t>
        </is>
      </c>
      <c r="F83" t="n">
        <v>67</v>
      </c>
      <c r="G83" t="n">
        <v>79.06</v>
      </c>
      <c r="H83">
        <f>הגדרות!B3</f>
        <v/>
      </c>
      <c r="I83">
        <f>F83*(1-H83/100)*1.18</f>
        <v/>
      </c>
      <c r="J83">
        <f>הגדרות!C3</f>
        <v/>
      </c>
      <c r="K83">
        <f>הגדרות!D3</f>
        <v/>
      </c>
      <c r="L83">
        <f>I83*(1+J83/100)+K83</f>
        <v/>
      </c>
    </row>
    <row r="84">
      <c r="A84" t="inlineStr">
        <is>
          <t>קונג (Kong)</t>
        </is>
      </c>
      <c r="B84" t="inlineStr">
        <is>
          <t>קונג גמבלר משחק צבעוני דיסקוס וכדור TMD1) LXL)</t>
        </is>
      </c>
      <c r="C84" t="inlineStr">
        <is>
          <t>צעצועים</t>
        </is>
      </c>
      <c r="D84" t="inlineStr">
        <is>
          <t>376000453</t>
        </is>
      </c>
      <c r="E84" t="inlineStr">
        <is>
          <t>2026-08</t>
        </is>
      </c>
      <c r="F84" t="n">
        <v>89</v>
      </c>
      <c r="G84" t="n">
        <v>105.02</v>
      </c>
      <c r="H84">
        <f>הגדרות!B3</f>
        <v/>
      </c>
      <c r="I84">
        <f>F84*(1-H84/100)*1.18</f>
        <v/>
      </c>
      <c r="J84">
        <f>הגדרות!C3</f>
        <v/>
      </c>
      <c r="K84">
        <f>הגדרות!D3</f>
        <v/>
      </c>
      <c r="L84">
        <f>I84*(1+J84/100)+K84</f>
        <v/>
      </c>
    </row>
    <row r="85">
      <c r="A85" t="inlineStr">
        <is>
          <t>קונג (Kong)</t>
        </is>
      </c>
      <c r="B85" t="inlineStr">
        <is>
          <t>קונג גמבלר משחק צבעוני כדור עם כדור TMB1) XL/L)</t>
        </is>
      </c>
      <c r="C85" t="inlineStr">
        <is>
          <t>צעצועים</t>
        </is>
      </c>
      <c r="D85" t="inlineStr">
        <is>
          <t>376000451</t>
        </is>
      </c>
      <c r="E85" t="inlineStr">
        <is>
          <t>2026-08</t>
        </is>
      </c>
      <c r="F85" t="n">
        <v>89</v>
      </c>
      <c r="G85" t="n">
        <v>105.02</v>
      </c>
      <c r="H85">
        <f>הגדרות!B3</f>
        <v/>
      </c>
      <c r="I85">
        <f>F85*(1-H85/100)*1.18</f>
        <v/>
      </c>
      <c r="J85">
        <f>הגדרות!C3</f>
        <v/>
      </c>
      <c r="K85">
        <f>הגדרות!D3</f>
        <v/>
      </c>
      <c r="L85">
        <f>I85*(1+J85/100)+K85</f>
        <v/>
      </c>
    </row>
    <row r="86">
      <c r="A86" t="inlineStr">
        <is>
          <t>קונג (Kong)</t>
        </is>
      </c>
      <c r="B86" t="inlineStr">
        <is>
          <t>קונג גמבלר משחק צבעוני כדור עם כדור TMB2) M/L)</t>
        </is>
      </c>
      <c r="C86" t="inlineStr">
        <is>
          <t>צעצועים</t>
        </is>
      </c>
      <c r="D86" t="inlineStr">
        <is>
          <t>376000450</t>
        </is>
      </c>
      <c r="E86" t="inlineStr">
        <is>
          <t>2026-08</t>
        </is>
      </c>
      <c r="F86" t="n">
        <v>67</v>
      </c>
      <c r="G86" t="n">
        <v>79.06</v>
      </c>
      <c r="H86">
        <f>הגדרות!B3</f>
        <v/>
      </c>
      <c r="I86">
        <f>F86*(1-H86/100)*1.18</f>
        <v/>
      </c>
      <c r="J86">
        <f>הגדרות!C3</f>
        <v/>
      </c>
      <c r="K86">
        <f>הגדרות!D3</f>
        <v/>
      </c>
      <c r="L86">
        <f>I86*(1+J86/100)+K86</f>
        <v/>
      </c>
    </row>
    <row r="87">
      <c r="A87" t="inlineStr">
        <is>
          <t>קונג (Kong)</t>
        </is>
      </c>
      <c r="B87" t="inlineStr">
        <is>
          <t>קונג וובה WBX) XL)</t>
        </is>
      </c>
      <c r="C87" t="inlineStr">
        <is>
          <t>צעצועים</t>
        </is>
      </c>
      <c r="D87" t="inlineStr">
        <is>
          <t>376000052</t>
        </is>
      </c>
      <c r="E87" t="inlineStr">
        <is>
          <t>2026-08</t>
        </is>
      </c>
      <c r="F87" t="n">
        <v>63</v>
      </c>
      <c r="G87" t="n">
        <v>74.34</v>
      </c>
      <c r="H87">
        <f>הגדרות!B3</f>
        <v/>
      </c>
      <c r="I87">
        <f>F87*(1-H87/100)*1.18</f>
        <v/>
      </c>
      <c r="J87">
        <f>הגדרות!C3</f>
        <v/>
      </c>
      <c r="K87">
        <f>הגדרות!D3</f>
        <v/>
      </c>
      <c r="L87">
        <f>I87*(1+J87/100)+K87</f>
        <v/>
      </c>
    </row>
    <row r="88">
      <c r="A88" t="inlineStr">
        <is>
          <t>קונג (Kong)</t>
        </is>
      </c>
      <c r="B88" t="inlineStr">
        <is>
          <t>קונג וובה WB1) L)</t>
        </is>
      </c>
      <c r="C88" t="inlineStr">
        <is>
          <t>צעצועים</t>
        </is>
      </c>
      <c r="D88" t="inlineStr">
        <is>
          <t>376000051</t>
        </is>
      </c>
      <c r="E88" t="inlineStr">
        <is>
          <t>2026-08</t>
        </is>
      </c>
      <c r="F88" t="n">
        <v>50</v>
      </c>
      <c r="G88" t="n">
        <v>59</v>
      </c>
      <c r="H88">
        <f>הגדרות!B3</f>
        <v/>
      </c>
      <c r="I88">
        <f>F88*(1-H88/100)*1.18</f>
        <v/>
      </c>
      <c r="J88">
        <f>הגדרות!C3</f>
        <v/>
      </c>
      <c r="K88">
        <f>הגדרות!D3</f>
        <v/>
      </c>
      <c r="L88">
        <f>I88*(1+J88/100)+K88</f>
        <v/>
      </c>
    </row>
    <row r="89">
      <c r="A89" t="inlineStr">
        <is>
          <t>קונג (Kong)</t>
        </is>
      </c>
      <c r="B89" t="inlineStr">
        <is>
          <t>קונג וובה WB3) S)</t>
        </is>
      </c>
      <c r="C89" t="inlineStr">
        <is>
          <t>צעצועים</t>
        </is>
      </c>
      <c r="D89" t="inlineStr">
        <is>
          <t>376000050</t>
        </is>
      </c>
      <c r="E89" t="inlineStr">
        <is>
          <t>2026-08</t>
        </is>
      </c>
      <c r="F89" t="n">
        <v>33</v>
      </c>
      <c r="G89" t="n">
        <v>38.94</v>
      </c>
      <c r="H89">
        <f>הגדרות!B3</f>
        <v/>
      </c>
      <c r="I89">
        <f>F89*(1-H89/100)*1.18</f>
        <v/>
      </c>
      <c r="J89">
        <f>הגדרות!C3</f>
        <v/>
      </c>
      <c r="K89">
        <f>הגדרות!D3</f>
        <v/>
      </c>
      <c r="L89">
        <f>I89*(1+J89/100)+K89</f>
        <v/>
      </c>
    </row>
    <row r="90">
      <c r="A90" t="inlineStr">
        <is>
          <t>קונג (Kong)</t>
        </is>
      </c>
      <c r="B90" t="inlineStr">
        <is>
          <t>קונג וובה בליסטי חברים מגוון WBF1) L)</t>
        </is>
      </c>
      <c r="C90" t="inlineStr">
        <is>
          <t>צעצועים</t>
        </is>
      </c>
      <c r="D90" t="inlineStr">
        <is>
          <t>376000566</t>
        </is>
      </c>
      <c r="E90" t="inlineStr">
        <is>
          <t>2026-08</t>
        </is>
      </c>
      <c r="F90" t="n">
        <v>57</v>
      </c>
      <c r="G90" t="n">
        <v>67.26000000000001</v>
      </c>
      <c r="H90">
        <f>הגדרות!B3</f>
        <v/>
      </c>
      <c r="I90">
        <f>F90*(1-H90/100)*1.18</f>
        <v/>
      </c>
      <c r="J90">
        <f>הגדרות!C3</f>
        <v/>
      </c>
      <c r="K90">
        <f>הגדרות!D3</f>
        <v/>
      </c>
      <c r="L90">
        <f>I90*(1+J90/100)+K90</f>
        <v/>
      </c>
    </row>
    <row r="91">
      <c r="A91" t="inlineStr">
        <is>
          <t>קונג (Kong)</t>
        </is>
      </c>
      <c r="B91" t="inlineStr">
        <is>
          <t>קונג וובה בליסטי חברים מגוון WBF3) S)</t>
        </is>
      </c>
      <c r="C91" t="inlineStr">
        <is>
          <t>צעצועים</t>
        </is>
      </c>
      <c r="D91" t="inlineStr">
        <is>
          <t>376000565</t>
        </is>
      </c>
      <c r="E91" t="inlineStr">
        <is>
          <t>2026-08</t>
        </is>
      </c>
      <c r="F91" t="n">
        <v>53</v>
      </c>
      <c r="G91" t="n">
        <v>62.54</v>
      </c>
      <c r="H91">
        <f>הגדרות!B3</f>
        <v/>
      </c>
      <c r="I91">
        <f>F91*(1-H91/100)*1.18</f>
        <v/>
      </c>
      <c r="J91">
        <f>הגדרות!C3</f>
        <v/>
      </c>
      <c r="K91">
        <f>הגדרות!D3</f>
        <v/>
      </c>
      <c r="L91">
        <f>I91*(1+J91/100)+K91</f>
        <v/>
      </c>
    </row>
    <row r="92">
      <c r="A92" t="inlineStr">
        <is>
          <t>קונג (Kong)</t>
        </is>
      </c>
      <c r="B92" t="inlineStr">
        <is>
          <t>קונג וובה בליסטי חברים מגוון WBFX) XL)</t>
        </is>
      </c>
      <c r="C92" t="inlineStr">
        <is>
          <t>צעצועים</t>
        </is>
      </c>
      <c r="D92" t="inlineStr">
        <is>
          <t>376000567</t>
        </is>
      </c>
      <c r="E92" t="inlineStr">
        <is>
          <t>2026-08</t>
        </is>
      </c>
      <c r="F92" t="n">
        <v>77</v>
      </c>
      <c r="G92" t="n">
        <v>90.86</v>
      </c>
      <c r="H92">
        <f>הגדרות!B3</f>
        <v/>
      </c>
      <c r="I92">
        <f>F92*(1-H92/100)*1.18</f>
        <v/>
      </c>
      <c r="J92">
        <f>הגדרות!C3</f>
        <v/>
      </c>
      <c r="K92">
        <f>הגדרות!D3</f>
        <v/>
      </c>
      <c r="L92">
        <f>I92*(1+J92/100)+K92</f>
        <v/>
      </c>
    </row>
    <row r="93">
      <c r="A93" t="inlineStr">
        <is>
          <t>קונג (Kong)</t>
        </is>
      </c>
      <c r="B93" t="inlineStr">
        <is>
          <t>קונג וובה וחברים WF1) L)</t>
        </is>
      </c>
      <c r="C93" t="inlineStr">
        <is>
          <t>צעצועים</t>
        </is>
      </c>
      <c r="D93" t="inlineStr">
        <is>
          <t>376000240</t>
        </is>
      </c>
      <c r="E93" t="inlineStr">
        <is>
          <t>2026-08</t>
        </is>
      </c>
      <c r="F93" t="n">
        <v>59</v>
      </c>
      <c r="G93" t="n">
        <v>69.62</v>
      </c>
      <c r="H93">
        <f>הגדרות!B3</f>
        <v/>
      </c>
      <c r="I93">
        <f>F93*(1-H93/100)*1.18</f>
        <v/>
      </c>
      <c r="J93">
        <f>הגדרות!C3</f>
        <v/>
      </c>
      <c r="K93">
        <f>הגדרות!D3</f>
        <v/>
      </c>
      <c r="L93">
        <f>I93*(1+J93/100)+K93</f>
        <v/>
      </c>
    </row>
    <row r="94">
      <c r="A94" t="inlineStr">
        <is>
          <t>קונג (Kong)</t>
        </is>
      </c>
      <c r="B94" t="inlineStr">
        <is>
          <t>קונג וובה מובחר WBTCX) XL)</t>
        </is>
      </c>
      <c r="C94" t="inlineStr">
        <is>
          <t>צעצועים</t>
        </is>
      </c>
      <c r="D94" t="inlineStr">
        <is>
          <t>376000215</t>
        </is>
      </c>
      <c r="E94" t="inlineStr">
        <is>
          <t>2026-08</t>
        </is>
      </c>
      <c r="F94" t="n">
        <v>72</v>
      </c>
      <c r="G94" t="n">
        <v>84.95999999999999</v>
      </c>
      <c r="H94">
        <f>הגדרות!B3</f>
        <v/>
      </c>
      <c r="I94">
        <f>F94*(1-H94/100)*1.18</f>
        <v/>
      </c>
      <c r="J94">
        <f>הגדרות!C3</f>
        <v/>
      </c>
      <c r="K94">
        <f>הגדרות!D3</f>
        <v/>
      </c>
      <c r="L94">
        <f>I94*(1+J94/100)+K94</f>
        <v/>
      </c>
    </row>
    <row r="95">
      <c r="A95" t="inlineStr">
        <is>
          <t>קונג (Kong)</t>
        </is>
      </c>
      <c r="B95" t="inlineStr">
        <is>
          <t>קונג וובה משחק חתול קטיקורן (WC65)</t>
        </is>
      </c>
      <c r="C95" t="inlineStr">
        <is>
          <t>צעצועים</t>
        </is>
      </c>
      <c r="D95" t="inlineStr">
        <is>
          <t>376000479</t>
        </is>
      </c>
      <c r="E95" t="inlineStr">
        <is>
          <t>2026-08</t>
        </is>
      </c>
      <c r="F95" t="n">
        <v>37</v>
      </c>
      <c r="G95" t="n">
        <v>43.66</v>
      </c>
      <c r="H95">
        <f>הגדרות!B3</f>
        <v/>
      </c>
      <c r="I95">
        <f>F95*(1-H95/100)*1.18</f>
        <v/>
      </c>
      <c r="J95">
        <f>הגדרות!C3</f>
        <v/>
      </c>
      <c r="K95">
        <f>הגדרות!D3</f>
        <v/>
      </c>
      <c r="L95">
        <f>I95*(1+J95/100)+K95</f>
        <v/>
      </c>
    </row>
    <row r="96">
      <c r="A96" t="inlineStr">
        <is>
          <t>קונג (Kong)</t>
        </is>
      </c>
      <c r="B96" t="inlineStr">
        <is>
          <t>קונג ווילד דוב פנים עם חבל NKR1) M/L)</t>
        </is>
      </c>
      <c r="C96" t="inlineStr">
        <is>
          <t>צעצועים</t>
        </is>
      </c>
      <c r="D96" t="inlineStr">
        <is>
          <t>376000316</t>
        </is>
      </c>
      <c r="E96" t="inlineStr">
        <is>
          <t>2026-08</t>
        </is>
      </c>
      <c r="F96" t="n">
        <v>65</v>
      </c>
      <c r="G96" t="n">
        <v>76.7</v>
      </c>
      <c r="H96">
        <f>הגדרות!B3</f>
        <v/>
      </c>
      <c r="I96">
        <f>F96*(1-H96/100)*1.18</f>
        <v/>
      </c>
      <c r="J96">
        <f>הגדרות!C3</f>
        <v/>
      </c>
      <c r="K96">
        <f>הגדרות!D3</f>
        <v/>
      </c>
      <c r="L96">
        <f>I96*(1+J96/100)+K96</f>
        <v/>
      </c>
    </row>
    <row r="97">
      <c r="A97" t="inlineStr">
        <is>
          <t>קונג (Kong)</t>
        </is>
      </c>
      <c r="B97" t="inlineStr">
        <is>
          <t>קונג ווילד דוב פנים עם חבל NKRX) XL)</t>
        </is>
      </c>
      <c r="C97" t="inlineStr">
        <is>
          <t>צעצועים</t>
        </is>
      </c>
      <c r="D97" t="inlineStr">
        <is>
          <t>376000317</t>
        </is>
      </c>
      <c r="E97" t="inlineStr">
        <is>
          <t>2026-08</t>
        </is>
      </c>
      <c r="F97" t="n">
        <v>78</v>
      </c>
      <c r="G97" t="n">
        <v>92.04000000000001</v>
      </c>
      <c r="H97">
        <f>הגדרות!B3</f>
        <v/>
      </c>
      <c r="I97">
        <f>F97*(1-H97/100)*1.18</f>
        <v/>
      </c>
      <c r="J97">
        <f>הגדרות!C3</f>
        <v/>
      </c>
      <c r="K97">
        <f>הגדרות!D3</f>
        <v/>
      </c>
      <c r="L97">
        <f>I97*(1+J97/100)+K97</f>
        <v/>
      </c>
    </row>
    <row r="98">
      <c r="A98" t="inlineStr">
        <is>
          <t>קונג (Kong)</t>
        </is>
      </c>
      <c r="B98" t="inlineStr">
        <is>
          <t>קונג וויפלס משחק לכלב פרצופים צבעוני WHSX) XL)</t>
        </is>
      </c>
      <c r="C98" t="inlineStr">
        <is>
          <t>צעצועים</t>
        </is>
      </c>
      <c r="D98" t="inlineStr">
        <is>
          <t>376000572</t>
        </is>
      </c>
      <c r="E98" t="inlineStr">
        <is>
          <t>2026-08</t>
        </is>
      </c>
      <c r="F98" t="n">
        <v>73</v>
      </c>
      <c r="G98" t="n">
        <v>86.14</v>
      </c>
      <c r="H98">
        <f>הגדרות!B3</f>
        <v/>
      </c>
      <c r="I98">
        <f>F98*(1-H98/100)*1.18</f>
        <v/>
      </c>
      <c r="J98">
        <f>הגדרות!C3</f>
        <v/>
      </c>
      <c r="K98">
        <f>הגדרות!D3</f>
        <v/>
      </c>
      <c r="L98">
        <f>I98*(1+J98/100)+K98</f>
        <v/>
      </c>
    </row>
    <row r="99">
      <c r="A99" t="inlineStr">
        <is>
          <t>קונג (Kong)</t>
        </is>
      </c>
      <c r="B99" t="inlineStr">
        <is>
          <t>קונג חכה גחלילית זוהרת לחתול (CAT62)</t>
        </is>
      </c>
      <c r="C99" t="inlineStr">
        <is>
          <t>צעצועים</t>
        </is>
      </c>
      <c r="D99" t="inlineStr">
        <is>
          <t>376000573</t>
        </is>
      </c>
      <c r="E99" t="inlineStr">
        <is>
          <t>2026-08</t>
        </is>
      </c>
      <c r="F99" t="n">
        <v>36</v>
      </c>
      <c r="G99" t="n">
        <v>42.48</v>
      </c>
      <c r="H99">
        <f>הגדרות!B3</f>
        <v/>
      </c>
      <c r="I99">
        <f>F99*(1-H99/100)*1.18</f>
        <v/>
      </c>
      <c r="J99">
        <f>הגדרות!C3</f>
        <v/>
      </c>
      <c r="K99">
        <f>הגדרות!D3</f>
        <v/>
      </c>
      <c r="L99">
        <f>I99*(1+J99/100)+K99</f>
        <v/>
      </c>
    </row>
    <row r="100">
      <c r="A100" t="inlineStr">
        <is>
          <t>קונג (Kong)</t>
        </is>
      </c>
      <c r="B100" t="inlineStr">
        <is>
          <t>קונג חתול אקטיב משחק מסלול צורת CA42) 8)</t>
        </is>
      </c>
      <c r="C100" t="inlineStr">
        <is>
          <t>צעצועים</t>
        </is>
      </c>
      <c r="D100" t="inlineStr">
        <is>
          <t>376000517</t>
        </is>
      </c>
      <c r="E100" t="inlineStr">
        <is>
          <t>2026-08</t>
        </is>
      </c>
      <c r="F100" t="n">
        <v>92</v>
      </c>
      <c r="G100" t="n">
        <v>108.56</v>
      </c>
      <c r="H100">
        <f>הגדרות!B3</f>
        <v/>
      </c>
      <c r="I100">
        <f>F100*(1-H100/100)*1.18</f>
        <v/>
      </c>
      <c r="J100">
        <f>הגדרות!C3</f>
        <v/>
      </c>
      <c r="K100">
        <f>הגדרות!D3</f>
        <v/>
      </c>
      <c r="L100">
        <f>I100*(1+J100/100)+K100</f>
        <v/>
      </c>
    </row>
    <row r="101">
      <c r="A101" t="inlineStr">
        <is>
          <t>קונג (Kong)</t>
        </is>
      </c>
      <c r="B101" t="inlineStr">
        <is>
          <t>קונג חתול משחק מחבואים חצי כדורי עם נוצות (CA48)</t>
        </is>
      </c>
      <c r="C101" t="inlineStr">
        <is>
          <t>צעצועים</t>
        </is>
      </c>
      <c r="D101" t="inlineStr">
        <is>
          <t>376000518</t>
        </is>
      </c>
      <c r="E101" t="inlineStr">
        <is>
          <t>2026-08</t>
        </is>
      </c>
      <c r="F101" t="n">
        <v>117</v>
      </c>
      <c r="G101" t="n">
        <v>138.06</v>
      </c>
      <c r="H101">
        <f>הגדרות!B3</f>
        <v/>
      </c>
      <c r="I101">
        <f>F101*(1-H101/100)*1.18</f>
        <v/>
      </c>
      <c r="J101">
        <f>הגדרות!C3</f>
        <v/>
      </c>
      <c r="K101">
        <f>הגדרות!D3</f>
        <v/>
      </c>
      <c r="L101">
        <f>I101*(1+J101/100)+K101</f>
        <v/>
      </c>
    </row>
    <row r="102">
      <c r="A102" t="inlineStr">
        <is>
          <t>קונג (Kong)</t>
        </is>
      </c>
      <c r="B102" t="inlineStr">
        <is>
          <t>קונג טיזר לחתול חכת מדוזה (CAT63)</t>
        </is>
      </c>
      <c r="C102" t="inlineStr">
        <is>
          <t>צעצועים</t>
        </is>
      </c>
      <c r="D102" t="inlineStr">
        <is>
          <t>376000534</t>
        </is>
      </c>
      <c r="E102" t="inlineStr">
        <is>
          <t>2026-08</t>
        </is>
      </c>
      <c r="F102" t="n">
        <v>30</v>
      </c>
      <c r="G102" t="n">
        <v>35.4</v>
      </c>
      <c r="H102">
        <f>הגדרות!B3</f>
        <v/>
      </c>
      <c r="I102">
        <f>F102*(1-H102/100)*1.18</f>
        <v/>
      </c>
      <c r="J102">
        <f>הגדרות!C3</f>
        <v/>
      </c>
      <c r="K102">
        <f>הגדרות!D3</f>
        <v/>
      </c>
      <c r="L102">
        <f>I102*(1+J102/100)+K102</f>
        <v/>
      </c>
    </row>
    <row r="103">
      <c r="A103" t="inlineStr">
        <is>
          <t>קונג (Kong)</t>
        </is>
      </c>
      <c r="B103" t="inlineStr">
        <is>
          <t>קונג טיקי מגרש משחקים לחתול (CA95)</t>
        </is>
      </c>
      <c r="C103" t="inlineStr">
        <is>
          <t>צעצועים</t>
        </is>
      </c>
      <c r="D103" t="inlineStr">
        <is>
          <t>376000578</t>
        </is>
      </c>
      <c r="E103" t="inlineStr">
        <is>
          <t>2026-08</t>
        </is>
      </c>
      <c r="F103" t="n">
        <v>113</v>
      </c>
      <c r="G103" t="n">
        <v>133.34</v>
      </c>
      <c r="H103">
        <f>הגדרות!B3</f>
        <v/>
      </c>
      <c r="I103">
        <f>F103*(1-H103/100)*1.18</f>
        <v/>
      </c>
      <c r="J103">
        <f>הגדרות!C3</f>
        <v/>
      </c>
      <c r="K103">
        <f>הגדרות!D3</f>
        <v/>
      </c>
      <c r="L103">
        <f>I103*(1+J103/100)+K103</f>
        <v/>
      </c>
    </row>
    <row r="104">
      <c r="A104" t="inlineStr">
        <is>
          <t>קונג (Kong)</t>
        </is>
      </c>
      <c r="B104" t="inlineStr">
        <is>
          <t>קונג כדור KB2) S)</t>
        </is>
      </c>
      <c r="C104" t="inlineStr">
        <is>
          <t>צעצועים</t>
        </is>
      </c>
      <c r="D104" t="inlineStr">
        <is>
          <t>376000025</t>
        </is>
      </c>
      <c r="E104" t="inlineStr">
        <is>
          <t>2026-08</t>
        </is>
      </c>
      <c r="F104" t="n">
        <v>35</v>
      </c>
      <c r="G104" t="n">
        <v>41.3</v>
      </c>
      <c r="H104">
        <f>הגדרות!B3</f>
        <v/>
      </c>
      <c r="I104">
        <f>F104*(1-H104/100)*1.18</f>
        <v/>
      </c>
      <c r="J104">
        <f>הגדרות!C3</f>
        <v/>
      </c>
      <c r="K104">
        <f>הגדרות!D3</f>
        <v/>
      </c>
      <c r="L104">
        <f>I104*(1+J104/100)+K104</f>
        <v/>
      </c>
    </row>
    <row r="105">
      <c r="A105" t="inlineStr">
        <is>
          <t>קונג (Kong)</t>
        </is>
      </c>
      <c r="B105" t="inlineStr">
        <is>
          <t>קונג כדור אקסטרים UB2) S)</t>
        </is>
      </c>
      <c r="C105" t="inlineStr">
        <is>
          <t>צעצועים</t>
        </is>
      </c>
      <c r="D105" t="inlineStr">
        <is>
          <t>376000210</t>
        </is>
      </c>
      <c r="E105" t="inlineStr">
        <is>
          <t>2026-08</t>
        </is>
      </c>
      <c r="F105" t="n">
        <v>46</v>
      </c>
      <c r="G105" t="n">
        <v>54.28</v>
      </c>
      <c r="H105">
        <f>הגדרות!B3</f>
        <v/>
      </c>
      <c r="I105">
        <f>F105*(1-H105/100)*1.18</f>
        <v/>
      </c>
      <c r="J105">
        <f>הגדרות!C3</f>
        <v/>
      </c>
      <c r="K105">
        <f>הגדרות!D3</f>
        <v/>
      </c>
      <c r="L105">
        <f>I105*(1+J105/100)+K105</f>
        <v/>
      </c>
    </row>
    <row r="106">
      <c r="A106" t="inlineStr">
        <is>
          <t>קונג (Kong)</t>
        </is>
      </c>
      <c r="B106" t="inlineStr">
        <is>
          <t>קונג כדור משחק כלב גאודז צבעוני * 2 יח' (PSZ1)</t>
        </is>
      </c>
      <c r="C106" t="inlineStr">
        <is>
          <t>צעצועים</t>
        </is>
      </c>
      <c r="D106" t="inlineStr">
        <is>
          <t>376000365</t>
        </is>
      </c>
      <c r="E106" t="inlineStr">
        <is>
          <t>2026-08</t>
        </is>
      </c>
      <c r="F106" t="n">
        <v>40</v>
      </c>
      <c r="G106" t="n">
        <v>47.2</v>
      </c>
      <c r="H106">
        <f>הגדרות!B3</f>
        <v/>
      </c>
      <c r="I106">
        <f>F106*(1-H106/100)*1.18</f>
        <v/>
      </c>
      <c r="J106">
        <f>הגדרות!C3</f>
        <v/>
      </c>
      <c r="K106">
        <f>הגדרות!D3</f>
        <v/>
      </c>
      <c r="L106">
        <f>I106*(1+J106/100)+K106</f>
        <v/>
      </c>
    </row>
    <row r="107">
      <c r="A107" t="inlineStr">
        <is>
          <t>קונג (Kong)</t>
        </is>
      </c>
      <c r="B107" t="inlineStr">
        <is>
          <t>קונג כדור משחק לחיץ PSB1) L) לכלב</t>
        </is>
      </c>
      <c r="C107" t="inlineStr">
        <is>
          <t>צעצועים</t>
        </is>
      </c>
      <c r="D107" t="inlineStr">
        <is>
          <t>376000138</t>
        </is>
      </c>
      <c r="E107" t="inlineStr">
        <is>
          <t>2026-08</t>
        </is>
      </c>
      <c r="F107" t="n">
        <v>29</v>
      </c>
      <c r="G107" t="n">
        <v>34.22</v>
      </c>
      <c r="H107">
        <f>הגדרות!B3</f>
        <v/>
      </c>
      <c r="I107">
        <f>F107*(1-H107/100)*1.18</f>
        <v/>
      </c>
      <c r="J107">
        <f>הגדרות!C3</f>
        <v/>
      </c>
      <c r="K107">
        <f>הגדרות!D3</f>
        <v/>
      </c>
      <c r="L107">
        <f>I107*(1+J107/100)+K107</f>
        <v/>
      </c>
    </row>
    <row r="108">
      <c r="A108" t="inlineStr">
        <is>
          <t>קונג (Kong)</t>
        </is>
      </c>
      <c r="B108" t="inlineStr">
        <is>
          <t>קונג כדור משחק לחיץ PSB2, M לכלב</t>
        </is>
      </c>
      <c r="C108" t="inlineStr">
        <is>
          <t>צעצועים</t>
        </is>
      </c>
      <c r="D108" t="inlineStr">
        <is>
          <t>376000137</t>
        </is>
      </c>
      <c r="E108" t="inlineStr">
        <is>
          <t>2026-08</t>
        </is>
      </c>
      <c r="F108" t="n">
        <v>23</v>
      </c>
      <c r="G108" t="n">
        <v>27.14</v>
      </c>
      <c r="H108">
        <f>הגדרות!B3</f>
        <v/>
      </c>
      <c r="I108">
        <f>F108*(1-H108/100)*1.18</f>
        <v/>
      </c>
      <c r="J108">
        <f>הגדרות!C3</f>
        <v/>
      </c>
      <c r="K108">
        <f>הגדרות!D3</f>
        <v/>
      </c>
      <c r="L108">
        <f>I108*(1+J108/100)+K108</f>
        <v/>
      </c>
    </row>
    <row r="109">
      <c r="A109" t="inlineStr">
        <is>
          <t>קונג (Kong)</t>
        </is>
      </c>
      <c r="B109" t="inlineStr">
        <is>
          <t>קונג כדור סיגנאצור 2 יח' L גדול SKB1</t>
        </is>
      </c>
      <c r="C109" t="inlineStr">
        <is>
          <t>צעצועים</t>
        </is>
      </c>
      <c r="D109" t="inlineStr">
        <is>
          <t>376000278</t>
        </is>
      </c>
      <c r="E109" t="inlineStr">
        <is>
          <t>2026-08</t>
        </is>
      </c>
      <c r="F109" t="n">
        <v>55</v>
      </c>
      <c r="G109" t="n">
        <v>64.90000000000001</v>
      </c>
      <c r="H109">
        <f>הגדרות!B3</f>
        <v/>
      </c>
      <c r="I109">
        <f>F109*(1-H109/100)*1.18</f>
        <v/>
      </c>
      <c r="J109">
        <f>הגדרות!C3</f>
        <v/>
      </c>
      <c r="K109">
        <f>הגדרות!D3</f>
        <v/>
      </c>
      <c r="L109">
        <f>I109*(1+J109/100)+K109</f>
        <v/>
      </c>
    </row>
    <row r="110">
      <c r="A110" t="inlineStr">
        <is>
          <t>קונג (Kong)</t>
        </is>
      </c>
      <c r="B110" t="inlineStr">
        <is>
          <t>קונג כדור סיגנאצור 2 יח' M בינוני SKB2</t>
        </is>
      </c>
      <c r="C110" t="inlineStr">
        <is>
          <t>צעצועים</t>
        </is>
      </c>
      <c r="D110" t="inlineStr">
        <is>
          <t>376000277</t>
        </is>
      </c>
      <c r="E110" t="inlineStr">
        <is>
          <t>2026-08</t>
        </is>
      </c>
      <c r="F110" t="n">
        <v>37</v>
      </c>
      <c r="G110" t="n">
        <v>43.66</v>
      </c>
      <c r="H110">
        <f>הגדרות!B3</f>
        <v/>
      </c>
      <c r="I110">
        <f>F110*(1-H110/100)*1.18</f>
        <v/>
      </c>
      <c r="J110">
        <f>הגדרות!C3</f>
        <v/>
      </c>
      <c r="K110">
        <f>הגדרות!D3</f>
        <v/>
      </c>
      <c r="L110">
        <f>I110*(1+J110/100)+K110</f>
        <v/>
      </c>
    </row>
    <row r="111">
      <c r="A111" t="inlineStr">
        <is>
          <t>קונג (Kong)</t>
        </is>
      </c>
      <c r="B111" t="inlineStr">
        <is>
          <t>קונג כדור ספורט בינוני ABS2</t>
        </is>
      </c>
      <c r="C111" t="inlineStr">
        <is>
          <t>צעצועים</t>
        </is>
      </c>
      <c r="D111" t="inlineStr">
        <is>
          <t>376000040</t>
        </is>
      </c>
      <c r="E111" t="inlineStr">
        <is>
          <t>2026-08</t>
        </is>
      </c>
      <c r="F111" t="n">
        <v>28</v>
      </c>
      <c r="G111" t="n">
        <v>33.04</v>
      </c>
      <c r="H111">
        <f>הגדרות!B3</f>
        <v/>
      </c>
      <c r="I111">
        <f>F111*(1-H111/100)*1.18</f>
        <v/>
      </c>
      <c r="J111">
        <f>הגדרות!C3</f>
        <v/>
      </c>
      <c r="K111">
        <f>הגדרות!D3</f>
        <v/>
      </c>
      <c r="L111">
        <f>I111*(1+J111/100)+K111</f>
        <v/>
      </c>
    </row>
    <row r="112">
      <c r="A112" t="inlineStr">
        <is>
          <t>קונג (Kong)</t>
        </is>
      </c>
      <c r="B112" t="inlineStr">
        <is>
          <t>קונג לגורים עצם גודי KP51) XS)</t>
        </is>
      </c>
      <c r="C112" t="inlineStr">
        <is>
          <t>צעצועים</t>
        </is>
      </c>
      <c r="D112" t="inlineStr">
        <is>
          <t>376000221</t>
        </is>
      </c>
      <c r="E112" t="inlineStr">
        <is>
          <t>2026-08</t>
        </is>
      </c>
      <c r="F112" t="n">
        <v>29</v>
      </c>
      <c r="G112" t="n">
        <v>34.22</v>
      </c>
      <c r="H112">
        <f>הגדרות!B3</f>
        <v/>
      </c>
      <c r="I112">
        <f>F112*(1-H112/100)*1.18</f>
        <v/>
      </c>
      <c r="J112">
        <f>הגדרות!C3</f>
        <v/>
      </c>
      <c r="K112">
        <f>הגדרות!D3</f>
        <v/>
      </c>
      <c r="L112">
        <f>I112*(1+J112/100)+K112</f>
        <v/>
      </c>
    </row>
    <row r="113">
      <c r="A113" t="inlineStr">
        <is>
          <t>קונג (Kong)</t>
        </is>
      </c>
      <c r="B113" t="inlineStr">
        <is>
          <t>קונג לחיות קטנות ותוכים FK3 S</t>
        </is>
      </c>
      <c r="C113" t="inlineStr">
        <is>
          <t>צעצועים</t>
        </is>
      </c>
      <c r="D113" t="inlineStr">
        <is>
          <t>376000349</t>
        </is>
      </c>
      <c r="E113" t="inlineStr">
        <is>
          <t>2026-08</t>
        </is>
      </c>
      <c r="F113" t="n">
        <v>38</v>
      </c>
      <c r="G113" t="n">
        <v>44.84</v>
      </c>
      <c r="H113">
        <f>הגדרות!B3</f>
        <v/>
      </c>
      <c r="I113">
        <f>F113*(1-H113/100)*1.18</f>
        <v/>
      </c>
      <c r="J113">
        <f>הגדרות!C3</f>
        <v/>
      </c>
      <c r="K113">
        <f>הגדרות!D3</f>
        <v/>
      </c>
      <c r="L113">
        <f>I113*(1+J113/100)+K113</f>
        <v/>
      </c>
    </row>
    <row r="114">
      <c r="A114" t="inlineStr">
        <is>
          <t>קונג (Kong)</t>
        </is>
      </c>
      <c r="B114" t="inlineStr">
        <is>
          <t>קונג לכלב כדור עם חבל KB21) S)</t>
        </is>
      </c>
      <c r="C114" t="inlineStr">
        <is>
          <t>צעצועים</t>
        </is>
      </c>
      <c r="D114" t="inlineStr">
        <is>
          <t>376000536</t>
        </is>
      </c>
      <c r="E114" t="inlineStr">
        <is>
          <t>2026-08</t>
        </is>
      </c>
      <c r="F114" t="n">
        <v>58</v>
      </c>
      <c r="G114" t="n">
        <v>68.44</v>
      </c>
      <c r="H114">
        <f>הגדרות!B3</f>
        <v/>
      </c>
      <c r="I114">
        <f>F114*(1-H114/100)*1.18</f>
        <v/>
      </c>
      <c r="J114">
        <f>הגדרות!C3</f>
        <v/>
      </c>
      <c r="K114">
        <f>הגדרות!D3</f>
        <v/>
      </c>
      <c r="L114">
        <f>I114*(1+J114/100)+K114</f>
        <v/>
      </c>
    </row>
    <row r="115">
      <c r="A115" t="inlineStr">
        <is>
          <t>קונג (Kong)</t>
        </is>
      </c>
      <c r="B115" t="inlineStr">
        <is>
          <t>קונג מברשת גומי זוםגרום L צבע פטל ZG1</t>
        </is>
      </c>
      <c r="C115" t="inlineStr">
        <is>
          <t>טיפוח והיגיינה</t>
        </is>
      </c>
      <c r="D115" t="inlineStr">
        <is>
          <t>376000345</t>
        </is>
      </c>
      <c r="E115" t="inlineStr">
        <is>
          <t>2026-08</t>
        </is>
      </c>
      <c r="F115" t="n">
        <v>50</v>
      </c>
      <c r="G115" t="n">
        <v>59</v>
      </c>
      <c r="H115">
        <f>הגדרות!B3</f>
        <v/>
      </c>
      <c r="I115">
        <f>F115*(1-H115/100)*1.18</f>
        <v/>
      </c>
      <c r="J115">
        <f>הגדרות!C3</f>
        <v/>
      </c>
      <c r="K115">
        <f>הגדרות!D3</f>
        <v/>
      </c>
      <c r="L115">
        <f>I115*(1+J115/100)+K115</f>
        <v/>
      </c>
    </row>
    <row r="116">
      <c r="A116" t="inlineStr">
        <is>
          <t>קונג (Kong)</t>
        </is>
      </c>
      <c r="B116" t="inlineStr">
        <is>
          <t>קונג מברשת גומי זוםגרום L צבע תכלת ZG2</t>
        </is>
      </c>
      <c r="C116" t="inlineStr">
        <is>
          <t>טיפוח והיגיינה</t>
        </is>
      </c>
      <c r="D116" t="inlineStr">
        <is>
          <t>376000346</t>
        </is>
      </c>
      <c r="E116" t="inlineStr">
        <is>
          <t>2026-08</t>
        </is>
      </c>
      <c r="F116" t="n">
        <v>50</v>
      </c>
      <c r="G116" t="n">
        <v>59</v>
      </c>
      <c r="H116">
        <f>הגדרות!B3</f>
        <v/>
      </c>
      <c r="I116">
        <f>F116*(1-H116/100)*1.18</f>
        <v/>
      </c>
      <c r="J116">
        <f>הגדרות!C3</f>
        <v/>
      </c>
      <c r="K116">
        <f>הגדרות!D3</f>
        <v/>
      </c>
      <c r="L116">
        <f>I116*(1+J116/100)+K116</f>
        <v/>
      </c>
    </row>
    <row r="117">
      <c r="A117" t="inlineStr">
        <is>
          <t>קונג (Kong)</t>
        </is>
      </c>
      <c r="B117" t="inlineStr">
        <is>
          <t>קונג מברשת גומי זוםגרום S צבע תכלת ZG21</t>
        </is>
      </c>
      <c r="C117" t="inlineStr">
        <is>
          <t>טיפוח והיגיינה</t>
        </is>
      </c>
      <c r="D117" t="inlineStr">
        <is>
          <t>376000348</t>
        </is>
      </c>
      <c r="E117" t="inlineStr">
        <is>
          <t>2026-08</t>
        </is>
      </c>
      <c r="F117" t="n">
        <v>35</v>
      </c>
      <c r="G117" t="n">
        <v>41.3</v>
      </c>
      <c r="H117">
        <f>הגדרות!B3</f>
        <v/>
      </c>
      <c r="I117">
        <f>F117*(1-H117/100)*1.18</f>
        <v/>
      </c>
      <c r="J117">
        <f>הגדרות!C3</f>
        <v/>
      </c>
      <c r="K117">
        <f>הגדרות!D3</f>
        <v/>
      </c>
      <c r="L117">
        <f>I117*(1+J117/100)+K117</f>
        <v/>
      </c>
    </row>
    <row r="118">
      <c r="A118" t="inlineStr">
        <is>
          <t>קונג (Kong)</t>
        </is>
      </c>
      <c r="B118" t="inlineStr">
        <is>
          <t>קונג מברשת גומי זוםגרום לחתול (CZG)</t>
        </is>
      </c>
      <c r="C118" t="inlineStr">
        <is>
          <t>טיפוח והיגיינה</t>
        </is>
      </c>
      <c r="D118" t="inlineStr">
        <is>
          <t>376000448</t>
        </is>
      </c>
      <c r="E118" t="inlineStr">
        <is>
          <t>2026-08</t>
        </is>
      </c>
      <c r="F118" t="n">
        <v>40</v>
      </c>
      <c r="G118" t="n">
        <v>47.2</v>
      </c>
      <c r="H118">
        <f>הגדרות!B3</f>
        <v/>
      </c>
      <c r="I118">
        <f>F118*(1-H118/100)*1.18</f>
        <v/>
      </c>
      <c r="J118">
        <f>הגדרות!C3</f>
        <v/>
      </c>
      <c r="K118">
        <f>הגדרות!D3</f>
        <v/>
      </c>
      <c r="L118">
        <f>I118*(1+J118/100)+K118</f>
        <v/>
      </c>
    </row>
    <row r="119">
      <c r="A119" t="inlineStr">
        <is>
          <t>קונג (Kong)</t>
        </is>
      </c>
      <c r="B119" t="inlineStr">
        <is>
          <t>קונג משחק אינטראקטיבי חתול פיקניק וחטיפים (CA98)</t>
        </is>
      </c>
      <c r="C119" t="inlineStr">
        <is>
          <t>צעצועים</t>
        </is>
      </c>
      <c r="D119" t="inlineStr">
        <is>
          <t>376000571</t>
        </is>
      </c>
      <c r="E119" t="inlineStr">
        <is>
          <t>2026-08</t>
        </is>
      </c>
      <c r="F119" t="n">
        <v>52</v>
      </c>
      <c r="G119" t="n">
        <v>61.36</v>
      </c>
      <c r="H119">
        <f>הגדרות!B3</f>
        <v/>
      </c>
      <c r="I119">
        <f>F119*(1-H119/100)*1.18</f>
        <v/>
      </c>
      <c r="J119">
        <f>הגדרות!C3</f>
        <v/>
      </c>
      <c r="K119">
        <f>הגדרות!D3</f>
        <v/>
      </c>
      <c r="L119">
        <f>I119*(1+J119/100)+K119</f>
        <v/>
      </c>
    </row>
    <row r="120">
      <c r="A120" t="inlineStr">
        <is>
          <t>קונג (Kong)</t>
        </is>
      </c>
      <c r="B120" t="inlineStr">
        <is>
          <t>קונג משחק חטיפים במבוק כדור PTB21) M)</t>
        </is>
      </c>
      <c r="C120" t="inlineStr">
        <is>
          <t>צעצועים</t>
        </is>
      </c>
      <c r="D120" t="inlineStr">
        <is>
          <t>376000395</t>
        </is>
      </c>
      <c r="E120" t="inlineStr">
        <is>
          <t>2026-08</t>
        </is>
      </c>
      <c r="F120" t="n">
        <v>62</v>
      </c>
      <c r="G120" t="n">
        <v>73.16</v>
      </c>
      <c r="H120">
        <f>הגדרות!B3</f>
        <v/>
      </c>
      <c r="I120">
        <f>F120*(1-H120/100)*1.18</f>
        <v/>
      </c>
      <c r="J120">
        <f>הגדרות!C3</f>
        <v/>
      </c>
      <c r="K120">
        <f>הגדרות!D3</f>
        <v/>
      </c>
      <c r="L120">
        <f>I120*(1+J120/100)+K120</f>
        <v/>
      </c>
    </row>
    <row r="121">
      <c r="A121" t="inlineStr">
        <is>
          <t>קונג (Kong)</t>
        </is>
      </c>
      <c r="B121" t="inlineStr">
        <is>
          <t>קונג משחק חטיפים ריוורד וולי PEPW2 L/M</t>
        </is>
      </c>
      <c r="C121" t="inlineStr">
        <is>
          <t>צעצועים</t>
        </is>
      </c>
      <c r="D121" t="inlineStr">
        <is>
          <t>376000422</t>
        </is>
      </c>
      <c r="E121" t="inlineStr">
        <is>
          <t>2026-08</t>
        </is>
      </c>
      <c r="F121" t="n">
        <v>63</v>
      </c>
      <c r="G121" t="n">
        <v>74.34</v>
      </c>
      <c r="H121">
        <f>הגדרות!B3</f>
        <v/>
      </c>
      <c r="I121">
        <f>F121*(1-H121/100)*1.18</f>
        <v/>
      </c>
      <c r="J121">
        <f>הגדרות!C3</f>
        <v/>
      </c>
      <c r="K121">
        <f>הגדרות!D3</f>
        <v/>
      </c>
      <c r="L121">
        <f>I121*(1+J121/100)+K121</f>
        <v/>
      </c>
    </row>
    <row r="122">
      <c r="A122" t="inlineStr">
        <is>
          <t>קונג (Kong)</t>
        </is>
      </c>
      <c r="B122" t="inlineStr">
        <is>
          <t>קונג משחק חיות קשר חבל NKW11 M/L</t>
        </is>
      </c>
      <c r="C122" t="inlineStr">
        <is>
          <t>צעצועים</t>
        </is>
      </c>
      <c r="D122" t="inlineStr">
        <is>
          <t>376000504</t>
        </is>
      </c>
      <c r="E122" t="inlineStr">
        <is>
          <t>2026-08</t>
        </is>
      </c>
      <c r="F122" t="n">
        <v>60</v>
      </c>
      <c r="G122" t="n">
        <v>70.8</v>
      </c>
      <c r="H122">
        <f>הגדרות!B3</f>
        <v/>
      </c>
      <c r="I122">
        <f>F122*(1-H122/100)*1.18</f>
        <v/>
      </c>
      <c r="J122">
        <f>הגדרות!C3</f>
        <v/>
      </c>
      <c r="K122">
        <f>הגדרות!D3</f>
        <v/>
      </c>
      <c r="L122">
        <f>I122*(1+J122/100)+K122</f>
        <v/>
      </c>
    </row>
    <row r="123">
      <c r="A123" t="inlineStr">
        <is>
          <t>קונג (Kong)</t>
        </is>
      </c>
      <c r="B123" t="inlineStr">
        <is>
          <t>קונג משחק חתול בובת וובה עכבר (WC55)</t>
        </is>
      </c>
      <c r="C123" t="inlineStr">
        <is>
          <t>צעצועים</t>
        </is>
      </c>
      <c r="D123" t="inlineStr">
        <is>
          <t>376000243</t>
        </is>
      </c>
      <c r="E123" t="inlineStr">
        <is>
          <t>2026-08</t>
        </is>
      </c>
      <c r="F123" t="n">
        <v>32</v>
      </c>
      <c r="G123" t="n">
        <v>37.76</v>
      </c>
      <c r="H123">
        <f>הגדרות!B3</f>
        <v/>
      </c>
      <c r="I123">
        <f>F123*(1-H123/100)*1.18</f>
        <v/>
      </c>
      <c r="J123">
        <f>הגדרות!C3</f>
        <v/>
      </c>
      <c r="K123">
        <f>הגדרות!D3</f>
        <v/>
      </c>
      <c r="L123">
        <f>I123*(1+J123/100)+K123</f>
        <v/>
      </c>
    </row>
    <row r="124">
      <c r="A124" t="inlineStr">
        <is>
          <t>קונג (Kong)</t>
        </is>
      </c>
      <c r="B124" t="inlineStr">
        <is>
          <t>קונג משחק חתול בטר בוז בננה (CA454)</t>
        </is>
      </c>
      <c r="C124" t="inlineStr">
        <is>
          <t>צעצועים</t>
        </is>
      </c>
      <c r="D124" t="inlineStr">
        <is>
          <t>376000331</t>
        </is>
      </c>
      <c r="E124" t="inlineStr">
        <is>
          <t>2026-08</t>
        </is>
      </c>
      <c r="F124" t="n">
        <v>24</v>
      </c>
      <c r="G124" t="n">
        <v>28.32</v>
      </c>
      <c r="H124">
        <f>הגדרות!B3</f>
        <v/>
      </c>
      <c r="I124">
        <f>F124*(1-H124/100)*1.18</f>
        <v/>
      </c>
      <c r="J124">
        <f>הגדרות!C3</f>
        <v/>
      </c>
      <c r="K124">
        <f>הגדרות!D3</f>
        <v/>
      </c>
      <c r="L124">
        <f>I124*(1+J124/100)+K124</f>
        <v/>
      </c>
    </row>
    <row r="125">
      <c r="A125" t="inlineStr">
        <is>
          <t>קונג (Kong)</t>
        </is>
      </c>
      <c r="B125" t="inlineStr">
        <is>
          <t>קונג משחק חתול בטר שמיכה CRCL46</t>
        </is>
      </c>
      <c r="C125" t="inlineStr">
        <is>
          <t>צעצועים</t>
        </is>
      </c>
      <c r="D125" t="inlineStr">
        <is>
          <t>376000421</t>
        </is>
      </c>
      <c r="E125" t="inlineStr">
        <is>
          <t>2026-08</t>
        </is>
      </c>
      <c r="F125" t="n">
        <v>30</v>
      </c>
      <c r="G125" t="n">
        <v>35.4</v>
      </c>
      <c r="H125">
        <f>הגדרות!B3</f>
        <v/>
      </c>
      <c r="I125">
        <f>F125*(1-H125/100)*1.18</f>
        <v/>
      </c>
      <c r="J125">
        <f>הגדרות!C3</f>
        <v/>
      </c>
      <c r="K125">
        <f>הגדרות!D3</f>
        <v/>
      </c>
      <c r="L125">
        <f>I125*(1+J125/100)+K125</f>
        <v/>
      </c>
    </row>
    <row r="126">
      <c r="A126" t="inlineStr">
        <is>
          <t>קונג (Kong)</t>
        </is>
      </c>
      <c r="B126" t="inlineStr">
        <is>
          <t>קונג משחק חתול חכה עם ציפור ונוצות (CAT41)</t>
        </is>
      </c>
      <c r="C126" t="inlineStr">
        <is>
          <t>צעצועים</t>
        </is>
      </c>
      <c r="D126" t="inlineStr">
        <is>
          <t>376000371</t>
        </is>
      </c>
      <c r="E126" t="inlineStr">
        <is>
          <t>2026-08</t>
        </is>
      </c>
      <c r="F126" t="n">
        <v>27</v>
      </c>
      <c r="G126" t="n">
        <v>31.86</v>
      </c>
      <c r="H126">
        <f>הגדרות!B3</f>
        <v/>
      </c>
      <c r="I126">
        <f>F126*(1-H126/100)*1.18</f>
        <v/>
      </c>
      <c r="J126">
        <f>הגדרות!C3</f>
        <v/>
      </c>
      <c r="K126">
        <f>הגדרות!D3</f>
        <v/>
      </c>
      <c r="L126">
        <f>I126*(1+J126/100)+K126</f>
        <v/>
      </c>
    </row>
    <row r="127">
      <c r="A127" t="inlineStr">
        <is>
          <t>קונג (Kong)</t>
        </is>
      </c>
      <c r="B127" t="inlineStr">
        <is>
          <t>קונג משחק חתול חכת ציפור (NZ1)</t>
        </is>
      </c>
      <c r="C127" t="inlineStr">
        <is>
          <t>צעצועים</t>
        </is>
      </c>
      <c r="D127" t="inlineStr">
        <is>
          <t>376000002</t>
        </is>
      </c>
      <c r="E127" t="inlineStr">
        <is>
          <t>2026-08</t>
        </is>
      </c>
      <c r="F127" t="n">
        <v>38</v>
      </c>
      <c r="G127" t="n">
        <v>44.84</v>
      </c>
      <c r="H127">
        <f>הגדרות!B3</f>
        <v/>
      </c>
      <c r="I127">
        <f>F127*(1-H127/100)*1.18</f>
        <v/>
      </c>
      <c r="J127">
        <f>הגדרות!C3</f>
        <v/>
      </c>
      <c r="K127">
        <f>הגדרות!D3</f>
        <v/>
      </c>
      <c r="L127">
        <f>I127*(1+J127/100)+K127</f>
        <v/>
      </c>
    </row>
    <row r="128">
      <c r="A128" t="inlineStr">
        <is>
          <t>קונג (Kong)</t>
        </is>
      </c>
      <c r="B128" t="inlineStr">
        <is>
          <t>קונג משחק חתול נדנדה CA425) Sway'n Play)</t>
        </is>
      </c>
      <c r="C128" t="inlineStr">
        <is>
          <t>צעצועים</t>
        </is>
      </c>
      <c r="D128" t="inlineStr">
        <is>
          <t>376000323</t>
        </is>
      </c>
      <c r="E128" t="inlineStr">
        <is>
          <t>2026-08</t>
        </is>
      </c>
      <c r="F128" t="n">
        <v>73</v>
      </c>
      <c r="G128" t="n">
        <v>86.14</v>
      </c>
      <c r="H128">
        <f>הגדרות!B3</f>
        <v/>
      </c>
      <c r="I128">
        <f>F128*(1-H128/100)*1.18</f>
        <v/>
      </c>
      <c r="J128">
        <f>הגדרות!C3</f>
        <v/>
      </c>
      <c r="K128">
        <f>הגדרות!D3</f>
        <v/>
      </c>
      <c r="L128">
        <f>I128*(1+J128/100)+K128</f>
        <v/>
      </c>
    </row>
    <row r="129">
      <c r="A129" t="inlineStr">
        <is>
          <t>קונג (Kong)</t>
        </is>
      </c>
      <c r="B129" t="inlineStr">
        <is>
          <t>קונג משחק חתול פורסוט אינטראקטיבי (CA455)</t>
        </is>
      </c>
      <c r="C129" t="inlineStr">
        <is>
          <t>צעצועים</t>
        </is>
      </c>
      <c r="D129" t="inlineStr">
        <is>
          <t>376000305</t>
        </is>
      </c>
      <c r="E129" t="inlineStr">
        <is>
          <t>2026-08</t>
        </is>
      </c>
      <c r="F129" t="n">
        <v>80</v>
      </c>
      <c r="G129" t="n">
        <v>94.40000000000001</v>
      </c>
      <c r="H129">
        <f>הגדרות!B3</f>
        <v/>
      </c>
      <c r="I129">
        <f>F129*(1-H129/100)*1.18</f>
        <v/>
      </c>
      <c r="J129">
        <f>הגדרות!C3</f>
        <v/>
      </c>
      <c r="K129">
        <f>הגדרות!D3</f>
        <v/>
      </c>
      <c r="L129">
        <f>I129*(1+J129/100)+K129</f>
        <v/>
      </c>
    </row>
    <row r="130">
      <c r="A130" t="inlineStr">
        <is>
          <t>קונג (Kong)</t>
        </is>
      </c>
      <c r="B130" t="inlineStr">
        <is>
          <t>קונג משחק לכלב ברז כיבוי PEN12) L)***</t>
        </is>
      </c>
      <c r="C130" t="inlineStr">
        <is>
          <t>צעצועים</t>
        </is>
      </c>
      <c r="D130" t="inlineStr">
        <is>
          <t>376000442</t>
        </is>
      </c>
      <c r="E130" t="inlineStr">
        <is>
          <t>2026-08</t>
        </is>
      </c>
      <c r="F130" t="n">
        <v>60</v>
      </c>
      <c r="G130" t="n">
        <v>70.8</v>
      </c>
      <c r="H130">
        <f>הגדרות!B3</f>
        <v/>
      </c>
      <c r="I130">
        <f>F130*(1-H130/100)*1.18</f>
        <v/>
      </c>
      <c r="J130">
        <f>הגדרות!C3</f>
        <v/>
      </c>
      <c r="K130">
        <f>הגדרות!D3</f>
        <v/>
      </c>
      <c r="L130">
        <f>I130*(1+J130/100)+K130</f>
        <v/>
      </c>
    </row>
    <row r="131">
      <c r="A131" t="inlineStr">
        <is>
          <t>קונג (Kong)</t>
        </is>
      </c>
      <c r="B131" t="inlineStr">
        <is>
          <t>קונג משחק מקל לחיץ PSS1) L)</t>
        </is>
      </c>
      <c r="C131" t="inlineStr">
        <is>
          <t>צעצועים</t>
        </is>
      </c>
      <c r="D131" t="inlineStr">
        <is>
          <t>376000194</t>
        </is>
      </c>
      <c r="E131" t="inlineStr">
        <is>
          <t>2026-08</t>
        </is>
      </c>
      <c r="F131" t="n">
        <v>79</v>
      </c>
      <c r="G131" t="n">
        <v>93.22</v>
      </c>
      <c r="H131">
        <f>הגדרות!B3</f>
        <v/>
      </c>
      <c r="I131">
        <f>F131*(1-H131/100)*1.18</f>
        <v/>
      </c>
      <c r="J131">
        <f>הגדרות!C3</f>
        <v/>
      </c>
      <c r="K131">
        <f>הגדרות!D3</f>
        <v/>
      </c>
      <c r="L131">
        <f>I131*(1+J131/100)+K131</f>
        <v/>
      </c>
    </row>
    <row r="132">
      <c r="A132" t="inlineStr">
        <is>
          <t>קונג (Kong)</t>
        </is>
      </c>
      <c r="B132" t="inlineStr">
        <is>
          <t>קונג משחק פיצוח לחיץ PCS1) L)</t>
        </is>
      </c>
      <c r="C132" t="inlineStr">
        <is>
          <t>צעצועים</t>
        </is>
      </c>
      <c r="D132" t="inlineStr">
        <is>
          <t>376000192</t>
        </is>
      </c>
      <c r="E132" t="inlineStr">
        <is>
          <t>2026-08</t>
        </is>
      </c>
      <c r="F132" t="n">
        <v>77</v>
      </c>
      <c r="G132" t="n">
        <v>90.86</v>
      </c>
      <c r="H132">
        <f>הגדרות!B3</f>
        <v/>
      </c>
      <c r="I132">
        <f>F132*(1-H132/100)*1.18</f>
        <v/>
      </c>
      <c r="J132">
        <f>הגדרות!C3</f>
        <v/>
      </c>
      <c r="K132">
        <f>הגדרות!D3</f>
        <v/>
      </c>
      <c r="L132">
        <f>I132*(1+J132/100)+K132</f>
        <v/>
      </c>
    </row>
    <row r="133">
      <c r="A133" t="inlineStr">
        <is>
          <t>קונג (Kong)</t>
        </is>
      </c>
      <c r="B133" t="inlineStr">
        <is>
          <t>קונג משחק פיצוח לחיץ PCS2) M)</t>
        </is>
      </c>
      <c r="C133" t="inlineStr">
        <is>
          <t>צעצועים</t>
        </is>
      </c>
      <c r="D133" t="inlineStr">
        <is>
          <t>376000191</t>
        </is>
      </c>
      <c r="E133" t="inlineStr">
        <is>
          <t>2026-08</t>
        </is>
      </c>
      <c r="F133" t="n">
        <v>58</v>
      </c>
      <c r="G133" t="n">
        <v>68.44</v>
      </c>
      <c r="H133">
        <f>הגדרות!B3</f>
        <v/>
      </c>
      <c r="I133">
        <f>F133*(1-H133/100)*1.18</f>
        <v/>
      </c>
      <c r="J133">
        <f>הגדרות!C3</f>
        <v/>
      </c>
      <c r="K133">
        <f>הגדרות!D3</f>
        <v/>
      </c>
      <c r="L133">
        <f>I133*(1+J133/100)+K133</f>
        <v/>
      </c>
    </row>
    <row r="134">
      <c r="A134" t="inlineStr">
        <is>
          <t>קונג (Kong)</t>
        </is>
      </c>
      <c r="B134" t="inlineStr">
        <is>
          <t>קונג משיכה KG1</t>
        </is>
      </c>
      <c r="C134" t="inlineStr">
        <is>
          <t>צעצועים</t>
        </is>
      </c>
      <c r="D134" t="inlineStr">
        <is>
          <t>376000084</t>
        </is>
      </c>
      <c r="E134" t="inlineStr">
        <is>
          <t>2026-08</t>
        </is>
      </c>
      <c r="F134" t="n">
        <v>65</v>
      </c>
      <c r="G134" t="n">
        <v>76.7</v>
      </c>
      <c r="H134">
        <f>הגדרות!B3</f>
        <v/>
      </c>
      <c r="I134">
        <f>F134*(1-H134/100)*1.18</f>
        <v/>
      </c>
      <c r="J134">
        <f>הגדרות!C3</f>
        <v/>
      </c>
      <c r="K134">
        <f>הגדרות!D3</f>
        <v/>
      </c>
      <c r="L134">
        <f>I134*(1+J134/100)+K134</f>
        <v/>
      </c>
    </row>
    <row r="135">
      <c r="A135" t="inlineStr">
        <is>
          <t>קונג (Kong)</t>
        </is>
      </c>
      <c r="B135" t="inlineStr">
        <is>
          <t>קונג משקולת סקוויקר לארג ASDB1</t>
        </is>
      </c>
      <c r="C135" t="inlineStr">
        <is>
          <t>צעצועים</t>
        </is>
      </c>
      <c r="D135" t="inlineStr">
        <is>
          <t>376000066</t>
        </is>
      </c>
      <c r="E135" t="inlineStr">
        <is>
          <t>2026-08</t>
        </is>
      </c>
      <c r="F135" t="n">
        <v>58</v>
      </c>
      <c r="G135" t="n">
        <v>68.44</v>
      </c>
      <c r="H135">
        <f>הגדרות!B3</f>
        <v/>
      </c>
      <c r="I135">
        <f>F135*(1-H135/100)*1.18</f>
        <v/>
      </c>
      <c r="J135">
        <f>הגדרות!C3</f>
        <v/>
      </c>
      <c r="K135">
        <f>הגדרות!D3</f>
        <v/>
      </c>
      <c r="L135">
        <f>I135*(1+J135/100)+K135</f>
        <v/>
      </c>
    </row>
    <row r="136">
      <c r="A136" t="inlineStr">
        <is>
          <t>קונג (Kong)</t>
        </is>
      </c>
      <c r="B136" t="inlineStr">
        <is>
          <t>קונג נחום תקום Webbler גדול (L (PW1</t>
        </is>
      </c>
      <c r="C136" t="inlineStr">
        <is>
          <t>צעצועים</t>
        </is>
      </c>
      <c r="D136" t="inlineStr">
        <is>
          <t>376000103</t>
        </is>
      </c>
      <c r="E136" t="inlineStr">
        <is>
          <t>2026-08</t>
        </is>
      </c>
      <c r="F136" t="n">
        <v>91</v>
      </c>
      <c r="G136" t="n">
        <v>107.38</v>
      </c>
      <c r="H136">
        <f>הגדרות!B3</f>
        <v/>
      </c>
      <c r="I136">
        <f>F136*(1-H136/100)*1.18</f>
        <v/>
      </c>
      <c r="J136">
        <f>הגדרות!C3</f>
        <v/>
      </c>
      <c r="K136">
        <f>הגדרות!D3</f>
        <v/>
      </c>
      <c r="L136">
        <f>I136*(1+J136/100)+K136</f>
        <v/>
      </c>
    </row>
    <row r="137">
      <c r="A137" t="inlineStr">
        <is>
          <t>קונג (Kong)</t>
        </is>
      </c>
      <c r="B137" t="inlineStr">
        <is>
          <t>קונג סטאף א בול לחטיפים KS1) L)***</t>
        </is>
      </c>
      <c r="C137" t="inlineStr">
        <is>
          <t>צעצועים</t>
        </is>
      </c>
      <c r="D137" t="inlineStr">
        <is>
          <t>376000508</t>
        </is>
      </c>
      <c r="E137" t="inlineStr">
        <is>
          <t>2026-08</t>
        </is>
      </c>
      <c r="F137" t="n">
        <v>77</v>
      </c>
      <c r="G137" t="n">
        <v>90.86</v>
      </c>
      <c r="H137">
        <f>הגדרות!B3</f>
        <v/>
      </c>
      <c r="I137">
        <f>F137*(1-H137/100)*1.18</f>
        <v/>
      </c>
      <c r="J137">
        <f>הגדרות!C3</f>
        <v/>
      </c>
      <c r="K137">
        <f>הגדרות!D3</f>
        <v/>
      </c>
      <c r="L137">
        <f>I137*(1+J137/100)+K137</f>
        <v/>
      </c>
    </row>
    <row r="138">
      <c r="A138" t="inlineStr">
        <is>
          <t>קונג (Kong)</t>
        </is>
      </c>
      <c r="B138" t="inlineStr">
        <is>
          <t>קונג סיגנאצור ידית זריקה לקונג SKF2) M/L)</t>
        </is>
      </c>
      <c r="C138" t="inlineStr">
        <is>
          <t>צעצועים</t>
        </is>
      </c>
      <c r="D138" t="inlineStr">
        <is>
          <t>376000577</t>
        </is>
      </c>
      <c r="E138" t="inlineStr">
        <is>
          <t>2026-08</t>
        </is>
      </c>
      <c r="F138" t="n">
        <v>36</v>
      </c>
      <c r="G138" t="n">
        <v>42.48</v>
      </c>
      <c r="H138">
        <f>הגדרות!B3</f>
        <v/>
      </c>
      <c r="I138">
        <f>F138*(1-H138/100)*1.18</f>
        <v/>
      </c>
      <c r="J138">
        <f>הגדרות!C3</f>
        <v/>
      </c>
      <c r="K138">
        <f>הגדרות!D3</f>
        <v/>
      </c>
      <c r="L138">
        <f>I138*(1+J138/100)+K138</f>
        <v/>
      </c>
    </row>
    <row r="139">
      <c r="A139" t="inlineStr">
        <is>
          <t>קונג (Kong)</t>
        </is>
      </c>
      <c r="B139" t="inlineStr">
        <is>
          <t>קונג סיגנאצור מקל סטיק SKS2) M)</t>
        </is>
      </c>
      <c r="C139" t="inlineStr">
        <is>
          <t>צעצועים</t>
        </is>
      </c>
      <c r="D139" t="inlineStr">
        <is>
          <t>376000550</t>
        </is>
      </c>
      <c r="E139" t="inlineStr">
        <is>
          <t>2026-08</t>
        </is>
      </c>
      <c r="F139" t="n">
        <v>47</v>
      </c>
      <c r="G139" t="n">
        <v>55.46</v>
      </c>
      <c r="H139">
        <f>הגדרות!B3</f>
        <v/>
      </c>
      <c r="I139">
        <f>F139*(1-H139/100)*1.18</f>
        <v/>
      </c>
      <c r="J139">
        <f>הגדרות!C3</f>
        <v/>
      </c>
      <c r="K139">
        <f>הגדרות!D3</f>
        <v/>
      </c>
      <c r="L139">
        <f>I139*(1+J139/100)+K139</f>
        <v/>
      </c>
    </row>
    <row r="140">
      <c r="A140" t="inlineStr">
        <is>
          <t>קונג (Kong)</t>
        </is>
      </c>
      <c r="B140" t="inlineStr">
        <is>
          <t>קונג סיגנאצור מקל סטיק עם SKSX) XL)</t>
        </is>
      </c>
      <c r="C140" t="inlineStr">
        <is>
          <t>צעצועים</t>
        </is>
      </c>
      <c r="D140" t="inlineStr">
        <is>
          <t>376000552</t>
        </is>
      </c>
      <c r="E140" t="inlineStr">
        <is>
          <t>2026-08</t>
        </is>
      </c>
      <c r="F140" t="n">
        <v>67</v>
      </c>
      <c r="G140" t="n">
        <v>79.06</v>
      </c>
      <c r="H140">
        <f>הגדרות!B3</f>
        <v/>
      </c>
      <c r="I140">
        <f>F140*(1-H140/100)*1.18</f>
        <v/>
      </c>
      <c r="J140">
        <f>הגדרות!C3</f>
        <v/>
      </c>
      <c r="K140">
        <f>הגדרות!D3</f>
        <v/>
      </c>
      <c r="L140">
        <f>I140*(1+J140/100)+K140</f>
        <v/>
      </c>
    </row>
    <row r="141">
      <c r="A141" t="inlineStr">
        <is>
          <t>קונג (Kong)</t>
        </is>
      </c>
      <c r="B141" t="inlineStr">
        <is>
          <t>קונג סיגנאצור מקל סטיק עם חבל SKSR2) M)</t>
        </is>
      </c>
      <c r="C141" t="inlineStr">
        <is>
          <t>צעצועים</t>
        </is>
      </c>
      <c r="D141" t="inlineStr">
        <is>
          <t>376000551</t>
        </is>
      </c>
      <c r="E141" t="inlineStr">
        <is>
          <t>2026-08</t>
        </is>
      </c>
      <c r="F141" t="n">
        <v>44</v>
      </c>
      <c r="G141" t="n">
        <v>51.92</v>
      </c>
      <c r="H141">
        <f>הגדרות!B3</f>
        <v/>
      </c>
      <c r="I141">
        <f>F141*(1-H141/100)*1.18</f>
        <v/>
      </c>
      <c r="J141">
        <f>הגדרות!C3</f>
        <v/>
      </c>
      <c r="K141">
        <f>הגדרות!D3</f>
        <v/>
      </c>
      <c r="L141">
        <f>I141*(1+J141/100)+K141</f>
        <v/>
      </c>
    </row>
    <row r="142">
      <c r="A142" t="inlineStr">
        <is>
          <t>קונג (Kong)</t>
        </is>
      </c>
      <c r="B142" t="inlineStr">
        <is>
          <t>קונג סיגנצור חבל מגה 1 מ' קשר כפול (SKT15)</t>
        </is>
      </c>
      <c r="C142" t="inlineStr">
        <is>
          <t>צעצועים</t>
        </is>
      </c>
      <c r="D142" t="inlineStr">
        <is>
          <t>376000400</t>
        </is>
      </c>
      <c r="E142" t="inlineStr">
        <is>
          <t>2026-08</t>
        </is>
      </c>
      <c r="F142" t="n">
        <v>67</v>
      </c>
      <c r="G142" t="n">
        <v>79.06</v>
      </c>
      <c r="H142">
        <f>הגדרות!B3</f>
        <v/>
      </c>
      <c r="I142">
        <f>F142*(1-H142/100)*1.18</f>
        <v/>
      </c>
      <c r="J142">
        <f>הגדרות!C3</f>
        <v/>
      </c>
      <c r="K142">
        <f>הגדרות!D3</f>
        <v/>
      </c>
      <c r="L142">
        <f>I142*(1+J142/100)+K142</f>
        <v/>
      </c>
    </row>
    <row r="143">
      <c r="A143" t="inlineStr">
        <is>
          <t>קונג (Kong)</t>
        </is>
      </c>
      <c r="B143" t="inlineStr">
        <is>
          <t>קונג סיגנצור משחק 2 טבעות (SKT11)</t>
        </is>
      </c>
      <c r="C143" t="inlineStr">
        <is>
          <t>צעצועים</t>
        </is>
      </c>
      <c r="D143" t="inlineStr">
        <is>
          <t>376000404</t>
        </is>
      </c>
      <c r="E143" t="inlineStr">
        <is>
          <t>2026-08</t>
        </is>
      </c>
      <c r="F143" t="n">
        <v>62</v>
      </c>
      <c r="G143" t="n">
        <v>73.16</v>
      </c>
      <c r="H143">
        <f>הגדרות!B3</f>
        <v/>
      </c>
      <c r="I143">
        <f>F143*(1-H143/100)*1.18</f>
        <v/>
      </c>
      <c r="J143">
        <f>הגדרות!C3</f>
        <v/>
      </c>
      <c r="K143">
        <f>הגדרות!D3</f>
        <v/>
      </c>
      <c r="L143">
        <f>I143*(1+J143/100)+K143</f>
        <v/>
      </c>
    </row>
    <row r="144">
      <c r="A144" t="inlineStr">
        <is>
          <t>קונג (Kong)</t>
        </is>
      </c>
      <c r="B144" t="inlineStr">
        <is>
          <t>קונג סיגנצור משחק חבל 50 ס"מ קשר כפול (SKT13)</t>
        </is>
      </c>
      <c r="C144" t="inlineStr">
        <is>
          <t>צעצועים</t>
        </is>
      </c>
      <c r="D144" t="inlineStr">
        <is>
          <t>376000402</t>
        </is>
      </c>
      <c r="E144" t="inlineStr">
        <is>
          <t>2026-08</t>
        </is>
      </c>
      <c r="F144" t="n">
        <v>35</v>
      </c>
      <c r="G144" t="n">
        <v>41.3</v>
      </c>
      <c r="H144">
        <f>הגדרות!B3</f>
        <v/>
      </c>
      <c r="I144">
        <f>F144*(1-H144/100)*1.18</f>
        <v/>
      </c>
      <c r="J144">
        <f>הגדרות!C3</f>
        <v/>
      </c>
      <c r="K144">
        <f>הגדרות!D3</f>
        <v/>
      </c>
      <c r="L144">
        <f>I144*(1+J144/100)+K144</f>
        <v/>
      </c>
    </row>
    <row r="145">
      <c r="A145" t="inlineStr">
        <is>
          <t>קונג (Kong)</t>
        </is>
      </c>
      <c r="B145" t="inlineStr">
        <is>
          <t>קונג סיגנצור משחק חבל 55 ס"מ טבעת בקצה (SKT12)</t>
        </is>
      </c>
      <c r="C145" t="inlineStr">
        <is>
          <t>צעצועים</t>
        </is>
      </c>
      <c r="D145" t="inlineStr">
        <is>
          <t>376000403</t>
        </is>
      </c>
      <c r="E145" t="inlineStr">
        <is>
          <t>2026-08</t>
        </is>
      </c>
      <c r="F145" t="n">
        <v>82</v>
      </c>
      <c r="G145" t="n">
        <v>96.76000000000001</v>
      </c>
      <c r="H145">
        <f>הגדרות!B3</f>
        <v/>
      </c>
      <c r="I145">
        <f>F145*(1-H145/100)*1.18</f>
        <v/>
      </c>
      <c r="J145">
        <f>הגדרות!C3</f>
        <v/>
      </c>
      <c r="K145">
        <f>הגדרות!D3</f>
        <v/>
      </c>
      <c r="L145">
        <f>I145*(1+J145/100)+K145</f>
        <v/>
      </c>
    </row>
    <row r="146">
      <c r="A146" t="inlineStr">
        <is>
          <t>קונג (Kong)</t>
        </is>
      </c>
      <c r="B146" t="inlineStr">
        <is>
          <t>קונג סיגנצור משחק חבל עם כדור קשר כפול (SKT14)</t>
        </is>
      </c>
      <c r="C146" t="inlineStr">
        <is>
          <t>צעצועים</t>
        </is>
      </c>
      <c r="D146" t="inlineStr">
        <is>
          <t>376000401</t>
        </is>
      </c>
      <c r="E146" t="inlineStr">
        <is>
          <t>2026-08</t>
        </is>
      </c>
      <c r="F146" t="n">
        <v>52</v>
      </c>
      <c r="G146" t="n">
        <v>61.36</v>
      </c>
      <c r="H146">
        <f>הגדרות!B3</f>
        <v/>
      </c>
      <c r="I146">
        <f>F146*(1-H146/100)*1.18</f>
        <v/>
      </c>
      <c r="J146">
        <f>הגדרות!C3</f>
        <v/>
      </c>
      <c r="K146">
        <f>הגדרות!D3</f>
        <v/>
      </c>
      <c r="L146">
        <f>I146*(1+J146/100)+K146</f>
        <v/>
      </c>
    </row>
    <row r="147">
      <c r="A147" t="inlineStr">
        <is>
          <t>קונג (Kong)</t>
        </is>
      </c>
      <c r="B147" t="inlineStr">
        <is>
          <t>קונג סיגנצור קראנץ *SKK11 L 3</t>
        </is>
      </c>
      <c r="C147" t="inlineStr">
        <is>
          <t>צעצועים</t>
        </is>
      </c>
      <c r="D147" t="inlineStr">
        <is>
          <t>376000497</t>
        </is>
      </c>
      <c r="E147" t="inlineStr">
        <is>
          <t>2026-08</t>
        </is>
      </c>
      <c r="F147" t="n">
        <v>60</v>
      </c>
      <c r="G147" t="n">
        <v>70.8</v>
      </c>
      <c r="H147">
        <f>הגדרות!B3</f>
        <v/>
      </c>
      <c r="I147">
        <f>F147*(1-H147/100)*1.18</f>
        <v/>
      </c>
      <c r="J147">
        <f>הגדרות!C3</f>
        <v/>
      </c>
      <c r="K147">
        <f>הגדרות!D3</f>
        <v/>
      </c>
      <c r="L147">
        <f>I147*(1+J147/100)+K147</f>
        <v/>
      </c>
    </row>
    <row r="148">
      <c r="A148" t="inlineStr">
        <is>
          <t>קונג (Kong)</t>
        </is>
      </c>
      <c r="B148" t="inlineStr">
        <is>
          <t>קונג סיגנצור קראנץ חבל כפול SKK21 M</t>
        </is>
      </c>
      <c r="C148" t="inlineStr">
        <is>
          <t>צעצועים</t>
        </is>
      </c>
      <c r="D148" t="inlineStr">
        <is>
          <t>376000496</t>
        </is>
      </c>
      <c r="E148" t="inlineStr">
        <is>
          <t>2026-08</t>
        </is>
      </c>
      <c r="F148" t="n">
        <v>48</v>
      </c>
      <c r="G148" t="n">
        <v>56.64</v>
      </c>
      <c r="H148">
        <f>הגדרות!B3</f>
        <v/>
      </c>
      <c r="I148">
        <f>F148*(1-H148/100)*1.18</f>
        <v/>
      </c>
      <c r="J148">
        <f>הגדרות!C3</f>
        <v/>
      </c>
      <c r="K148">
        <f>הגדרות!D3</f>
        <v/>
      </c>
      <c r="L148">
        <f>I148*(1+J148/100)+K148</f>
        <v/>
      </c>
    </row>
    <row r="149">
      <c r="A149" t="inlineStr">
        <is>
          <t>קונג (Kong)</t>
        </is>
      </c>
      <c r="B149" t="inlineStr">
        <is>
          <t>קונג סיגנצור קראנץ חבל כפול לגור SKK22 M/L</t>
        </is>
      </c>
      <c r="C149" t="inlineStr">
        <is>
          <t>צעצועים</t>
        </is>
      </c>
      <c r="D149" t="inlineStr">
        <is>
          <t>376000495</t>
        </is>
      </c>
      <c r="E149" t="inlineStr">
        <is>
          <t>2026-08</t>
        </is>
      </c>
      <c r="F149" t="n">
        <v>48</v>
      </c>
      <c r="G149" t="n">
        <v>56.64</v>
      </c>
      <c r="H149">
        <f>הגדרות!B3</f>
        <v/>
      </c>
      <c r="I149">
        <f>F149*(1-H149/100)*1.18</f>
        <v/>
      </c>
      <c r="J149">
        <f>הגדרות!C3</f>
        <v/>
      </c>
      <c r="K149">
        <f>הגדרות!D3</f>
        <v/>
      </c>
      <c r="L149">
        <f>I149*(1+J149/100)+K149</f>
        <v/>
      </c>
    </row>
    <row r="150">
      <c r="A150" t="inlineStr">
        <is>
          <t>קונג (Kong)</t>
        </is>
      </c>
      <c r="B150" t="inlineStr">
        <is>
          <t>קונג סיגנצור קראנץ חבל לגור SKK32 S/M</t>
        </is>
      </c>
      <c r="C150" t="inlineStr">
        <is>
          <t>צעצועים</t>
        </is>
      </c>
      <c r="D150" t="inlineStr">
        <is>
          <t>376000493</t>
        </is>
      </c>
      <c r="E150" t="inlineStr">
        <is>
          <t>2026-08</t>
        </is>
      </c>
      <c r="F150" t="n">
        <v>30</v>
      </c>
      <c r="G150" t="n">
        <v>35.4</v>
      </c>
      <c r="H150">
        <f>הגדרות!B3</f>
        <v/>
      </c>
      <c r="I150">
        <f>F150*(1-H150/100)*1.18</f>
        <v/>
      </c>
      <c r="J150">
        <f>הגדרות!C3</f>
        <v/>
      </c>
      <c r="K150">
        <f>הגדרות!D3</f>
        <v/>
      </c>
      <c r="L150">
        <f>I150*(1+J150/100)+K150</f>
        <v/>
      </c>
    </row>
    <row r="151">
      <c r="A151" t="inlineStr">
        <is>
          <t>קונג (Kong)</t>
        </is>
      </c>
      <c r="B151" t="inlineStr">
        <is>
          <t>קונג ספין איט לחטיפים L לארג PTS1</t>
        </is>
      </c>
      <c r="C151" t="inlineStr">
        <is>
          <t>צעצועים</t>
        </is>
      </c>
      <c r="D151" t="inlineStr">
        <is>
          <t>376000264</t>
        </is>
      </c>
      <c r="E151" t="inlineStr">
        <is>
          <t>2026-08</t>
        </is>
      </c>
      <c r="F151" t="n">
        <v>67</v>
      </c>
      <c r="G151" t="n">
        <v>79.06</v>
      </c>
      <c r="H151">
        <f>הגדרות!B3</f>
        <v/>
      </c>
      <c r="I151">
        <f>F151*(1-H151/100)*1.18</f>
        <v/>
      </c>
      <c r="J151">
        <f>הגדרות!C3</f>
        <v/>
      </c>
      <c r="K151">
        <f>הגדרות!D3</f>
        <v/>
      </c>
      <c r="L151">
        <f>I151*(1+J151/100)+K151</f>
        <v/>
      </c>
    </row>
    <row r="152">
      <c r="A152" t="inlineStr">
        <is>
          <t>קונג (Kong)</t>
        </is>
      </c>
      <c r="B152" t="inlineStr">
        <is>
          <t>קונג סקוויז גומי בייבסול ירוק PSG11) L)</t>
        </is>
      </c>
      <c r="C152" t="inlineStr">
        <is>
          <t>צעצועים</t>
        </is>
      </c>
      <c r="D152" t="inlineStr">
        <is>
          <t>376000377</t>
        </is>
      </c>
      <c r="E152" t="inlineStr">
        <is>
          <t>2026-08</t>
        </is>
      </c>
      <c r="F152" t="n">
        <v>60</v>
      </c>
      <c r="G152" t="n">
        <v>70.8</v>
      </c>
      <c r="H152">
        <f>הגדרות!B3</f>
        <v/>
      </c>
      <c r="I152">
        <f>F152*(1-H152/100)*1.18</f>
        <v/>
      </c>
      <c r="J152">
        <f>הגדרות!C3</f>
        <v/>
      </c>
      <c r="K152">
        <f>הגדרות!D3</f>
        <v/>
      </c>
      <c r="L152">
        <f>I152*(1+J152/100)+K152</f>
        <v/>
      </c>
    </row>
    <row r="153">
      <c r="A153" t="inlineStr">
        <is>
          <t>קונג (Kong)</t>
        </is>
      </c>
      <c r="B153" t="inlineStr">
        <is>
          <t>קונג סקוויז גומי כדור ירוק PSG12) L)</t>
        </is>
      </c>
      <c r="C153" t="inlineStr">
        <is>
          <t>צעצועים</t>
        </is>
      </c>
      <c r="D153" t="inlineStr">
        <is>
          <t>376000376</t>
        </is>
      </c>
      <c r="E153" t="inlineStr">
        <is>
          <t>2026-08</t>
        </is>
      </c>
      <c r="F153" t="n">
        <v>35</v>
      </c>
      <c r="G153" t="n">
        <v>41.3</v>
      </c>
      <c r="H153">
        <f>הגדרות!B3</f>
        <v/>
      </c>
      <c r="I153">
        <f>F153*(1-H153/100)*1.18</f>
        <v/>
      </c>
      <c r="J153">
        <f>הגדרות!C3</f>
        <v/>
      </c>
      <c r="K153">
        <f>הגדרות!D3</f>
        <v/>
      </c>
      <c r="L153">
        <f>I153*(1+J153/100)+K153</f>
        <v/>
      </c>
    </row>
    <row r="154">
      <c r="A154" t="inlineStr">
        <is>
          <t>קונג (Kong)</t>
        </is>
      </c>
      <c r="B154" t="inlineStr">
        <is>
          <t>קונג סקוויז כדור דנטלי PST21) M)</t>
        </is>
      </c>
      <c r="C154" t="inlineStr">
        <is>
          <t>צעצועים</t>
        </is>
      </c>
      <c r="D154" t="inlineStr">
        <is>
          <t>376000557</t>
        </is>
      </c>
      <c r="E154" t="inlineStr">
        <is>
          <t>2026-08</t>
        </is>
      </c>
      <c r="F154" t="n">
        <v>47</v>
      </c>
      <c r="G154" t="n">
        <v>55.46</v>
      </c>
      <c r="H154">
        <f>הגדרות!B3</f>
        <v/>
      </c>
      <c r="I154">
        <f>F154*(1-H154/100)*1.18</f>
        <v/>
      </c>
      <c r="J154">
        <f>הגדרות!C3</f>
        <v/>
      </c>
      <c r="K154">
        <f>הגדרות!D3</f>
        <v/>
      </c>
      <c r="L154">
        <f>I154*(1+J154/100)+K154</f>
        <v/>
      </c>
    </row>
    <row r="155">
      <c r="A155" t="inlineStr">
        <is>
          <t>קונג (Kong)</t>
        </is>
      </c>
      <c r="B155" t="inlineStr">
        <is>
          <t>קונג סקוויז מצוף טניס עם חבל PCT14 L ***</t>
        </is>
      </c>
      <c r="C155" t="inlineStr">
        <is>
          <t>צעצועים</t>
        </is>
      </c>
      <c r="D155" t="inlineStr">
        <is>
          <t>376000484</t>
        </is>
      </c>
      <c r="E155" t="inlineStr">
        <is>
          <t>2026-08</t>
        </is>
      </c>
      <c r="F155" t="n">
        <v>57</v>
      </c>
      <c r="G155" t="n">
        <v>67.26000000000001</v>
      </c>
      <c r="H155">
        <f>הגדרות!B3</f>
        <v/>
      </c>
      <c r="I155">
        <f>F155*(1-H155/100)*1.18</f>
        <v/>
      </c>
      <c r="J155">
        <f>הגדרות!C3</f>
        <v/>
      </c>
      <c r="K155">
        <f>הגדרות!D3</f>
        <v/>
      </c>
      <c r="L155">
        <f>I155*(1+J155/100)+K155</f>
        <v/>
      </c>
    </row>
    <row r="156">
      <c r="A156" t="inlineStr">
        <is>
          <t>קונג (Kong)</t>
        </is>
      </c>
      <c r="B156" t="inlineStr">
        <is>
          <t>קונג סקוויז מקל טניס PCT13 L ***</t>
        </is>
      </c>
      <c r="C156" t="inlineStr">
        <is>
          <t>צעצועים</t>
        </is>
      </c>
      <c r="D156" t="inlineStr">
        <is>
          <t>376000483</t>
        </is>
      </c>
      <c r="E156" t="inlineStr">
        <is>
          <t>2026-08</t>
        </is>
      </c>
      <c r="F156" t="n">
        <v>46</v>
      </c>
      <c r="G156" t="n">
        <v>54.28</v>
      </c>
      <c r="H156">
        <f>הגדרות!B3</f>
        <v/>
      </c>
      <c r="I156">
        <f>F156*(1-H156/100)*1.18</f>
        <v/>
      </c>
      <c r="J156">
        <f>הגדרות!C3</f>
        <v/>
      </c>
      <c r="K156">
        <f>הגדרות!D3</f>
        <v/>
      </c>
      <c r="L156">
        <f>I156*(1+J156/100)+K156</f>
        <v/>
      </c>
    </row>
    <row r="157">
      <c r="A157" t="inlineStr">
        <is>
          <t>קונג (Kong)</t>
        </is>
      </c>
      <c r="B157" t="inlineStr">
        <is>
          <t>קונג סקוויז מקל טניס PCT23 M ***</t>
        </is>
      </c>
      <c r="C157" t="inlineStr">
        <is>
          <t>צעצועים</t>
        </is>
      </c>
      <c r="D157" t="inlineStr">
        <is>
          <t>376000481</t>
        </is>
      </c>
      <c r="E157" t="inlineStr">
        <is>
          <t>2026-08</t>
        </is>
      </c>
      <c r="F157" t="n">
        <v>34</v>
      </c>
      <c r="G157" t="n">
        <v>40.12</v>
      </c>
      <c r="H157">
        <f>הגדרות!B3</f>
        <v/>
      </c>
      <c r="I157">
        <f>F157*(1-H157/100)*1.18</f>
        <v/>
      </c>
      <c r="J157">
        <f>הגדרות!C3</f>
        <v/>
      </c>
      <c r="K157">
        <f>הגדרות!D3</f>
        <v/>
      </c>
      <c r="L157">
        <f>I157*(1+J157/100)+K157</f>
        <v/>
      </c>
    </row>
    <row r="158">
      <c r="A158" t="inlineStr">
        <is>
          <t>קונג (Kong)</t>
        </is>
      </c>
      <c r="B158" t="inlineStr">
        <is>
          <t>קונג סקוויז עצם דנטלי PST22) M)</t>
        </is>
      </c>
      <c r="C158" t="inlineStr">
        <is>
          <t>צעצועים</t>
        </is>
      </c>
      <c r="D158" t="inlineStr">
        <is>
          <t>376000556</t>
        </is>
      </c>
      <c r="E158" t="inlineStr">
        <is>
          <t>2026-08</t>
        </is>
      </c>
      <c r="F158" t="n">
        <v>47</v>
      </c>
      <c r="G158" t="n">
        <v>55.46</v>
      </c>
      <c r="H158">
        <f>הגדרות!B3</f>
        <v/>
      </c>
      <c r="I158">
        <f>F158*(1-H158/100)*1.18</f>
        <v/>
      </c>
      <c r="J158">
        <f>הגדרות!C3</f>
        <v/>
      </c>
      <c r="K158">
        <f>הגדרות!D3</f>
        <v/>
      </c>
      <c r="L158">
        <f>I158*(1+J158/100)+K158</f>
        <v/>
      </c>
    </row>
    <row r="159">
      <c r="A159" t="inlineStr">
        <is>
          <t>קונג (Kong)</t>
        </is>
      </c>
      <c r="B159" t="inlineStr">
        <is>
          <t>קונג סקוויקר 6 כדורים AST22) M)</t>
        </is>
      </c>
      <c r="C159" t="inlineStr">
        <is>
          <t>צעצועים</t>
        </is>
      </c>
      <c r="D159" t="inlineStr">
        <is>
          <t>376000554</t>
        </is>
      </c>
      <c r="E159" t="inlineStr">
        <is>
          <t>2026-08</t>
        </is>
      </c>
      <c r="F159" t="n">
        <v>57</v>
      </c>
      <c r="G159" t="n">
        <v>67.26000000000001</v>
      </c>
      <c r="H159">
        <f>הגדרות!B3</f>
        <v/>
      </c>
      <c r="I159">
        <f>F159*(1-H159/100)*1.18</f>
        <v/>
      </c>
      <c r="J159">
        <f>הגדרות!C3</f>
        <v/>
      </c>
      <c r="K159">
        <f>הגדרות!D3</f>
        <v/>
      </c>
      <c r="L159">
        <f>I159*(1+J159/100)+K159</f>
        <v/>
      </c>
    </row>
    <row r="160">
      <c r="A160" t="inlineStr">
        <is>
          <t>קונג (Kong)</t>
        </is>
      </c>
      <c r="B160" t="inlineStr">
        <is>
          <t>קונג סקוויקר AST5) XS)</t>
        </is>
      </c>
      <c r="C160" t="inlineStr">
        <is>
          <t>צעצועים</t>
        </is>
      </c>
      <c r="D160" t="inlineStr">
        <is>
          <t>376000233</t>
        </is>
      </c>
      <c r="E160" t="inlineStr">
        <is>
          <t>2026-08</t>
        </is>
      </c>
      <c r="F160" t="n">
        <v>19</v>
      </c>
      <c r="G160" t="n">
        <v>22.42</v>
      </c>
      <c r="H160">
        <f>הגדרות!B3</f>
        <v/>
      </c>
      <c r="I160">
        <f>F160*(1-H160/100)*1.18</f>
        <v/>
      </c>
      <c r="J160">
        <f>הגדרות!C3</f>
        <v/>
      </c>
      <c r="K160">
        <f>הגדרות!D3</f>
        <v/>
      </c>
      <c r="L160">
        <f>I160*(1+J160/100)+K160</f>
        <v/>
      </c>
    </row>
    <row r="161">
      <c r="A161" t="inlineStr">
        <is>
          <t>קונג (Kong)</t>
        </is>
      </c>
      <c r="B161" t="inlineStr">
        <is>
          <t>קונג סקוויקר M עצם (ASB2)</t>
        </is>
      </c>
      <c r="C161" t="inlineStr">
        <is>
          <t>צעצועים</t>
        </is>
      </c>
      <c r="D161" t="inlineStr">
        <is>
          <t>376000059</t>
        </is>
      </c>
      <c r="E161" t="inlineStr">
        <is>
          <t>2026-08</t>
        </is>
      </c>
      <c r="F161" t="n">
        <v>46</v>
      </c>
      <c r="G161" t="n">
        <v>54.28</v>
      </c>
      <c r="H161">
        <f>הגדרות!B3</f>
        <v/>
      </c>
      <c r="I161">
        <f>F161*(1-H161/100)*1.18</f>
        <v/>
      </c>
      <c r="J161">
        <f>הגדרות!C3</f>
        <v/>
      </c>
      <c r="K161">
        <f>הגדרות!D3</f>
        <v/>
      </c>
      <c r="L161">
        <f>I161*(1+J161/100)+K161</f>
        <v/>
      </c>
    </row>
    <row r="162">
      <c r="A162" t="inlineStr">
        <is>
          <t>קונג (Kong)</t>
        </is>
      </c>
      <c r="B162" t="inlineStr">
        <is>
          <t>קונג סקוויקר S עצם (ASB3)</t>
        </is>
      </c>
      <c r="C162" t="inlineStr">
        <is>
          <t>צעצועים</t>
        </is>
      </c>
      <c r="D162" t="inlineStr">
        <is>
          <t>376000058</t>
        </is>
      </c>
      <c r="E162" t="inlineStr">
        <is>
          <t>2026-08</t>
        </is>
      </c>
      <c r="F162" t="n">
        <v>33</v>
      </c>
      <c r="G162" t="n">
        <v>38.94</v>
      </c>
      <c r="H162">
        <f>הגדרות!B3</f>
        <v/>
      </c>
      <c r="I162">
        <f>F162*(1-H162/100)*1.18</f>
        <v/>
      </c>
      <c r="J162">
        <f>הגדרות!C3</f>
        <v/>
      </c>
      <c r="K162">
        <f>הגדרות!D3</f>
        <v/>
      </c>
      <c r="L162">
        <f>I162*(1+J162/100)+K162</f>
        <v/>
      </c>
    </row>
    <row r="163">
      <c r="A163" t="inlineStr">
        <is>
          <t>קונג (Kong)</t>
        </is>
      </c>
      <c r="B163" t="inlineStr">
        <is>
          <t>קונג סקוויקר כדורים AST1B) L)</t>
        </is>
      </c>
      <c r="C163" t="inlineStr">
        <is>
          <t>צעצועים</t>
        </is>
      </c>
      <c r="D163" t="inlineStr">
        <is>
          <t>376000057</t>
        </is>
      </c>
      <c r="E163" t="inlineStr">
        <is>
          <t>2026-08</t>
        </is>
      </c>
      <c r="F163" t="n">
        <v>12</v>
      </c>
      <c r="G163" t="n">
        <v>14.16</v>
      </c>
      <c r="H163">
        <f>הגדרות!B3</f>
        <v/>
      </c>
      <c r="I163">
        <f>F163*(1-H163/100)*1.18</f>
        <v/>
      </c>
      <c r="J163">
        <f>הגדרות!C3</f>
        <v/>
      </c>
      <c r="K163">
        <f>הגדרות!D3</f>
        <v/>
      </c>
      <c r="L163">
        <f>I163*(1+J163/100)+K163</f>
        <v/>
      </c>
    </row>
    <row r="164">
      <c r="A164" t="inlineStr">
        <is>
          <t>קונג (Kong)</t>
        </is>
      </c>
      <c r="B164" t="inlineStr">
        <is>
          <t>קונג סקוויקר כדורים AST2B) M)</t>
        </is>
      </c>
      <c r="C164" t="inlineStr">
        <is>
          <t>צעצועים</t>
        </is>
      </c>
      <c r="D164" t="inlineStr">
        <is>
          <t>376000056</t>
        </is>
      </c>
      <c r="E164" t="inlineStr">
        <is>
          <t>2026-08</t>
        </is>
      </c>
      <c r="F164" t="n">
        <v>8</v>
      </c>
      <c r="G164" t="n">
        <v>9.44</v>
      </c>
      <c r="H164">
        <f>הגדרות!B3</f>
        <v/>
      </c>
      <c r="I164">
        <f>F164*(1-H164/100)*1.18</f>
        <v/>
      </c>
      <c r="J164">
        <f>הגדרות!C3</f>
        <v/>
      </c>
      <c r="K164">
        <f>הגדרות!D3</f>
        <v/>
      </c>
      <c r="L164">
        <f>I164*(1+J164/100)+K164</f>
        <v/>
      </c>
    </row>
    <row r="165">
      <c r="A165" t="inlineStr">
        <is>
          <t>קונג (Kong)</t>
        </is>
      </c>
      <c r="B165" t="inlineStr">
        <is>
          <t>קונג סקוויקר משקולות מדיום ASDB2</t>
        </is>
      </c>
      <c r="C165" t="inlineStr">
        <is>
          <t>צעצועים</t>
        </is>
      </c>
      <c r="D165" t="inlineStr">
        <is>
          <t>376000065</t>
        </is>
      </c>
      <c r="E165" t="inlineStr">
        <is>
          <t>2026-08</t>
        </is>
      </c>
      <c r="F165" t="n">
        <v>47</v>
      </c>
      <c r="G165" t="n">
        <v>55.46</v>
      </c>
      <c r="H165">
        <f>הגדרות!B3</f>
        <v/>
      </c>
      <c r="I165">
        <f>F165*(1-H165/100)*1.18</f>
        <v/>
      </c>
      <c r="J165">
        <f>הגדרות!C3</f>
        <v/>
      </c>
      <c r="K165">
        <f>הגדרות!D3</f>
        <v/>
      </c>
      <c r="L165">
        <f>I165*(1+J165/100)+K165</f>
        <v/>
      </c>
    </row>
    <row r="166">
      <c r="A166" t="inlineStr">
        <is>
          <t>קונג (Kong)</t>
        </is>
      </c>
      <c r="B166" t="inlineStr">
        <is>
          <t>קונג סקוויקר משקולת ASDB3) S)</t>
        </is>
      </c>
      <c r="C166" t="inlineStr">
        <is>
          <t>צעצועים</t>
        </is>
      </c>
      <c r="D166" t="inlineStr">
        <is>
          <t>376000064</t>
        </is>
      </c>
      <c r="E166" t="inlineStr">
        <is>
          <t>2026-08</t>
        </is>
      </c>
      <c r="F166" t="n">
        <v>28</v>
      </c>
      <c r="G166" t="n">
        <v>33.04</v>
      </c>
      <c r="H166">
        <f>הגדרות!B3</f>
        <v/>
      </c>
      <c r="I166">
        <f>F166*(1-H166/100)*1.18</f>
        <v/>
      </c>
      <c r="J166">
        <f>הגדרות!C3</f>
        <v/>
      </c>
      <c r="K166">
        <f>הגדרות!D3</f>
        <v/>
      </c>
      <c r="L166">
        <f>I166*(1+J166/100)+K166</f>
        <v/>
      </c>
    </row>
    <row r="167">
      <c r="A167" t="inlineStr">
        <is>
          <t>קונג (Kong)</t>
        </is>
      </c>
      <c r="B167" t="inlineStr">
        <is>
          <t>קונג סקוויקר עצם ASB1) L)</t>
        </is>
      </c>
      <c r="C167" t="inlineStr">
        <is>
          <t>צעצועים</t>
        </is>
      </c>
      <c r="D167" t="inlineStr">
        <is>
          <t>376000060</t>
        </is>
      </c>
      <c r="E167" t="inlineStr">
        <is>
          <t>2026-08</t>
        </is>
      </c>
      <c r="F167" t="n">
        <v>59</v>
      </c>
      <c r="G167" t="n">
        <v>69.62</v>
      </c>
      <c r="H167">
        <f>הגדרות!B3</f>
        <v/>
      </c>
      <c r="I167">
        <f>F167*(1-H167/100)*1.18</f>
        <v/>
      </c>
      <c r="J167">
        <f>הגדרות!C3</f>
        <v/>
      </c>
      <c r="K167">
        <f>הגדרות!D3</f>
        <v/>
      </c>
      <c r="L167">
        <f>I167*(1+J167/100)+K167</f>
        <v/>
      </c>
    </row>
    <row r="168">
      <c r="A168" t="inlineStr">
        <is>
          <t>קונג (Kong)</t>
        </is>
      </c>
      <c r="B168" t="inlineStr">
        <is>
          <t>קונג סקוויקר פוטבול ASFB1) L)</t>
        </is>
      </c>
      <c r="C168" t="inlineStr">
        <is>
          <t>צעצועים</t>
        </is>
      </c>
      <c r="D168" t="inlineStr">
        <is>
          <t>376000000</t>
        </is>
      </c>
      <c r="E168" t="inlineStr">
        <is>
          <t>2026-08</t>
        </is>
      </c>
      <c r="F168" t="n">
        <v>46</v>
      </c>
      <c r="G168" t="n">
        <v>54.28</v>
      </c>
      <c r="H168">
        <f>הגדרות!B3</f>
        <v/>
      </c>
      <c r="I168">
        <f>F168*(1-H168/100)*1.18</f>
        <v/>
      </c>
      <c r="J168">
        <f>הגדרות!C3</f>
        <v/>
      </c>
      <c r="K168">
        <f>הגדרות!D3</f>
        <v/>
      </c>
      <c r="L168">
        <f>I168*(1+J168/100)+K168</f>
        <v/>
      </c>
    </row>
    <row r="169">
      <c r="A169" t="inlineStr">
        <is>
          <t>קונג (Kong)</t>
        </is>
      </c>
      <c r="B169" t="inlineStr">
        <is>
          <t>קונג סקויקטיקס ויגלרז משחק מקל PSXW1) L)</t>
        </is>
      </c>
      <c r="C169" t="inlineStr">
        <is>
          <t>צעצועים</t>
        </is>
      </c>
      <c r="D169" t="inlineStr">
        <is>
          <t>376000473</t>
        </is>
      </c>
      <c r="E169" t="inlineStr">
        <is>
          <t>2026-08</t>
        </is>
      </c>
      <c r="F169" t="n">
        <v>47</v>
      </c>
      <c r="G169" t="n">
        <v>55.46</v>
      </c>
      <c r="H169">
        <f>הגדרות!B3</f>
        <v/>
      </c>
      <c r="I169">
        <f>F169*(1-H169/100)*1.18</f>
        <v/>
      </c>
      <c r="J169">
        <f>הגדרות!C3</f>
        <v/>
      </c>
      <c r="K169">
        <f>הגדרות!D3</f>
        <v/>
      </c>
      <c r="L169">
        <f>I169*(1+J169/100)+K169</f>
        <v/>
      </c>
    </row>
    <row r="170">
      <c r="A170" t="inlineStr">
        <is>
          <t>קונג (Kong)</t>
        </is>
      </c>
      <c r="B170" t="inlineStr">
        <is>
          <t>קונג סקויקטיקס ויגלרז משחק מקל PSXW2) M)</t>
        </is>
      </c>
      <c r="C170" t="inlineStr">
        <is>
          <t>צעצועים</t>
        </is>
      </c>
      <c r="D170" t="inlineStr">
        <is>
          <t>376000472</t>
        </is>
      </c>
      <c r="E170" t="inlineStr">
        <is>
          <t>2026-08</t>
        </is>
      </c>
      <c r="F170" t="n">
        <v>37</v>
      </c>
      <c r="G170" t="n">
        <v>43.66</v>
      </c>
      <c r="H170">
        <f>הגדרות!B3</f>
        <v/>
      </c>
      <c r="I170">
        <f>F170*(1-H170/100)*1.18</f>
        <v/>
      </c>
      <c r="J170">
        <f>הגדרות!C3</f>
        <v/>
      </c>
      <c r="K170">
        <f>הגדרות!D3</f>
        <v/>
      </c>
      <c r="L170">
        <f>I170*(1+J170/100)+K170</f>
        <v/>
      </c>
    </row>
    <row r="171">
      <c r="A171" t="inlineStr">
        <is>
          <t>קונג (Kong)</t>
        </is>
      </c>
      <c r="B171" t="inlineStr">
        <is>
          <t>קונג סקרצר טבעי סינגל (CS1)</t>
        </is>
      </c>
      <c r="C171" t="inlineStr">
        <is>
          <t>צעצועים</t>
        </is>
      </c>
      <c r="D171" t="inlineStr">
        <is>
          <t>376000460</t>
        </is>
      </c>
      <c r="E171" t="inlineStr">
        <is>
          <t>2026-08</t>
        </is>
      </c>
      <c r="F171" t="n">
        <v>31</v>
      </c>
      <c r="G171" t="n">
        <v>36.58</v>
      </c>
      <c r="H171">
        <f>הגדרות!B3</f>
        <v/>
      </c>
      <c r="I171">
        <f>F171*(1-H171/100)*1.18</f>
        <v/>
      </c>
      <c r="J171">
        <f>הגדרות!C3</f>
        <v/>
      </c>
      <c r="K171">
        <f>הגדרות!D3</f>
        <v/>
      </c>
      <c r="L171">
        <f>I171*(1+J171/100)+K171</f>
        <v/>
      </c>
    </row>
    <row r="172">
      <c r="A172" t="inlineStr">
        <is>
          <t>קונג (Kong)</t>
        </is>
      </c>
      <c r="B172" t="inlineStr">
        <is>
          <t>קונג עצם 'גודי' אקסטרים (10012)</t>
        </is>
      </c>
      <c r="C172" t="inlineStr">
        <is>
          <t>צעצועים</t>
        </is>
      </c>
      <c r="D172" t="inlineStr">
        <is>
          <t>376000106</t>
        </is>
      </c>
      <c r="E172" t="inlineStr">
        <is>
          <t>2026-08</t>
        </is>
      </c>
      <c r="F172" t="n">
        <v>57</v>
      </c>
      <c r="G172" t="n">
        <v>67.26000000000001</v>
      </c>
      <c r="H172">
        <f>הגדרות!B3</f>
        <v/>
      </c>
      <c r="I172">
        <f>F172*(1-H172/100)*1.18</f>
        <v/>
      </c>
      <c r="J172">
        <f>הגדרות!C3</f>
        <v/>
      </c>
      <c r="K172">
        <f>הגדרות!D3</f>
        <v/>
      </c>
      <c r="L172">
        <f>I172*(1+J172/100)+K172</f>
        <v/>
      </c>
    </row>
    <row r="173">
      <c r="A173" t="inlineStr">
        <is>
          <t>קונג (Kong)</t>
        </is>
      </c>
      <c r="B173" t="inlineStr">
        <is>
          <t>קונג עצם +חבל KR1) M)</t>
        </is>
      </c>
      <c r="C173" t="inlineStr">
        <is>
          <t>צעצועים</t>
        </is>
      </c>
      <c r="D173" t="inlineStr">
        <is>
          <t>376000105</t>
        </is>
      </c>
      <c r="E173" t="inlineStr">
        <is>
          <t>2026-08</t>
        </is>
      </c>
      <c r="F173" t="n">
        <v>65</v>
      </c>
      <c r="G173" t="n">
        <v>76.7</v>
      </c>
      <c r="H173">
        <f>הגדרות!B3</f>
        <v/>
      </c>
      <c r="I173">
        <f>F173*(1-H173/100)*1.18</f>
        <v/>
      </c>
      <c r="J173">
        <f>הגדרות!C3</f>
        <v/>
      </c>
      <c r="K173">
        <f>הגדרות!D3</f>
        <v/>
      </c>
      <c r="L173">
        <f>I173*(1+J173/100)+K173</f>
        <v/>
      </c>
    </row>
    <row r="174">
      <c r="A174" t="inlineStr">
        <is>
          <t>קונג (Kong)</t>
        </is>
      </c>
      <c r="B174" t="inlineStr">
        <is>
          <t>קונג פאזל מחבוא משחק לחתול (CPZ5)</t>
        </is>
      </c>
      <c r="C174" t="inlineStr">
        <is>
          <t>צעצועים</t>
        </is>
      </c>
      <c r="D174" t="inlineStr">
        <is>
          <t>376000440</t>
        </is>
      </c>
      <c r="E174" t="inlineStr">
        <is>
          <t>2026-08</t>
        </is>
      </c>
      <c r="F174" t="n">
        <v>33</v>
      </c>
      <c r="G174" t="n">
        <v>38.94</v>
      </c>
      <c r="H174">
        <f>הגדרות!B3</f>
        <v/>
      </c>
      <c r="I174">
        <f>F174*(1-H174/100)*1.18</f>
        <v/>
      </c>
      <c r="J174">
        <f>הגדרות!C3</f>
        <v/>
      </c>
      <c r="K174">
        <f>הגדרות!D3</f>
        <v/>
      </c>
      <c r="L174">
        <f>I174*(1+J174/100)+K174</f>
        <v/>
      </c>
    </row>
    <row r="175">
      <c r="A175" t="inlineStr">
        <is>
          <t>קונג (Kong)</t>
        </is>
      </c>
      <c r="B175" t="inlineStr">
        <is>
          <t>קונג פול, משטח משחק 3 חלקים לחתול חרקים (CPP5)</t>
        </is>
      </c>
      <c r="C175" t="inlineStr">
        <is>
          <t>צעצועים</t>
        </is>
      </c>
      <c r="D175" t="inlineStr">
        <is>
          <t>376000310</t>
        </is>
      </c>
      <c r="E175" t="inlineStr">
        <is>
          <t>2026-08</t>
        </is>
      </c>
      <c r="F175" t="n">
        <v>60</v>
      </c>
      <c r="G175" t="n">
        <v>70.8</v>
      </c>
      <c r="H175">
        <f>הגדרות!B3</f>
        <v/>
      </c>
      <c r="I175">
        <f>F175*(1-H175/100)*1.18</f>
        <v/>
      </c>
      <c r="J175">
        <f>הגדרות!C3</f>
        <v/>
      </c>
      <c r="K175">
        <f>הגדרות!D3</f>
        <v/>
      </c>
      <c r="L175">
        <f>I175*(1+J175/100)+K175</f>
        <v/>
      </c>
    </row>
    <row r="176">
      <c r="A176" t="inlineStr">
        <is>
          <t>קונג (Kong)</t>
        </is>
      </c>
      <c r="B176" t="inlineStr">
        <is>
          <t>קונג פוריטו משחק חתול חלקים (CPP6)</t>
        </is>
      </c>
      <c r="C176" t="inlineStr">
        <is>
          <t>צעצועים</t>
        </is>
      </c>
      <c r="D176" t="inlineStr">
        <is>
          <t>376000388</t>
        </is>
      </c>
      <c r="E176" t="inlineStr">
        <is>
          <t>2026-08</t>
        </is>
      </c>
      <c r="F176" t="n">
        <v>31</v>
      </c>
      <c r="G176" t="n">
        <v>36.58</v>
      </c>
      <c r="H176">
        <f>הגדרות!B3</f>
        <v/>
      </c>
      <c r="I176">
        <f>F176*(1-H176/100)*1.18</f>
        <v/>
      </c>
      <c r="J176">
        <f>הגדרות!C3</f>
        <v/>
      </c>
      <c r="K176">
        <f>הגדרות!D3</f>
        <v/>
      </c>
      <c r="L176">
        <f>I176*(1+J176/100)+K176</f>
        <v/>
      </c>
    </row>
    <row r="177">
      <c r="A177" t="inlineStr">
        <is>
          <t>קונג (Kong)</t>
        </is>
      </c>
      <c r="B177" t="inlineStr">
        <is>
          <t>קונג פליינגל משחק לכלב L כתום ותכלת (FA11)</t>
        </is>
      </c>
      <c r="C177" t="inlineStr">
        <is>
          <t>צעצועים</t>
        </is>
      </c>
      <c r="D177" t="inlineStr">
        <is>
          <t>376000427</t>
        </is>
      </c>
      <c r="E177" t="inlineStr">
        <is>
          <t>2026-08</t>
        </is>
      </c>
      <c r="F177" t="n">
        <v>63</v>
      </c>
      <c r="G177" t="n">
        <v>74.34</v>
      </c>
      <c r="H177">
        <f>הגדרות!B3</f>
        <v/>
      </c>
      <c r="I177">
        <f>F177*(1-H177/100)*1.18</f>
        <v/>
      </c>
      <c r="J177">
        <f>הגדרות!C3</f>
        <v/>
      </c>
      <c r="K177">
        <f>הגדרות!D3</f>
        <v/>
      </c>
      <c r="L177">
        <f>I177*(1+J177/100)+K177</f>
        <v/>
      </c>
    </row>
    <row r="178">
      <c r="A178" t="inlineStr">
        <is>
          <t>קונג (Kong)</t>
        </is>
      </c>
      <c r="B178" t="inlineStr">
        <is>
          <t>קונג צוארון אליזבט רך EZ3) S)</t>
        </is>
      </c>
      <c r="C178" t="inlineStr">
        <is>
          <t>צעצועים</t>
        </is>
      </c>
      <c r="D178" t="inlineStr">
        <is>
          <t>376000094</t>
        </is>
      </c>
      <c r="E178" t="inlineStr">
        <is>
          <t>2026-08</t>
        </is>
      </c>
      <c r="F178" t="n">
        <v>53</v>
      </c>
      <c r="G178" t="n">
        <v>62.54</v>
      </c>
      <c r="H178">
        <f>הגדרות!B3</f>
        <v/>
      </c>
      <c r="I178">
        <f>F178*(1-H178/100)*1.18</f>
        <v/>
      </c>
      <c r="J178">
        <f>הגדרות!C3</f>
        <v/>
      </c>
      <c r="K178">
        <f>הגדרות!D3</f>
        <v/>
      </c>
      <c r="L178">
        <f>I178*(1+J178/100)+K178</f>
        <v/>
      </c>
    </row>
    <row r="179">
      <c r="A179" t="inlineStr">
        <is>
          <t>קונג (Kong)</t>
        </is>
      </c>
      <c r="B179" t="inlineStr">
        <is>
          <t>קונג צוארון אליזבט רך EZ5) XS)</t>
        </is>
      </c>
      <c r="C179" t="inlineStr">
        <is>
          <t>צעצועים</t>
        </is>
      </c>
      <c r="D179" t="inlineStr">
        <is>
          <t>376000093</t>
        </is>
      </c>
      <c r="E179" t="inlineStr">
        <is>
          <t>2026-08</t>
        </is>
      </c>
      <c r="F179" t="n">
        <v>39</v>
      </c>
      <c r="G179" t="n">
        <v>46.02</v>
      </c>
      <c r="H179">
        <f>הגדרות!B3</f>
        <v/>
      </c>
      <c r="I179">
        <f>F179*(1-H179/100)*1.18</f>
        <v/>
      </c>
      <c r="J179">
        <f>הגדרות!C3</f>
        <v/>
      </c>
      <c r="K179">
        <f>הגדרות!D3</f>
        <v/>
      </c>
      <c r="L179">
        <f>I179*(1+J179/100)+K179</f>
        <v/>
      </c>
    </row>
    <row r="180">
      <c r="A180" t="inlineStr">
        <is>
          <t>קונג (Kong)</t>
        </is>
      </c>
      <c r="B180" t="inlineStr">
        <is>
          <t>קונג צווארון אליזבת ELX) XL)</t>
        </is>
      </c>
      <c r="C180" t="inlineStr">
        <is>
          <t>צעצועים</t>
        </is>
      </c>
      <c r="D180" t="inlineStr">
        <is>
          <t>376000099</t>
        </is>
      </c>
      <c r="E180" t="inlineStr">
        <is>
          <t>2026-08</t>
        </is>
      </c>
      <c r="F180" t="n">
        <v>136</v>
      </c>
      <c r="G180" t="n">
        <v>160.48</v>
      </c>
      <c r="H180">
        <f>הגדרות!B3</f>
        <v/>
      </c>
      <c r="I180">
        <f>F180*(1-H180/100)*1.18</f>
        <v/>
      </c>
      <c r="J180">
        <f>הגדרות!C3</f>
        <v/>
      </c>
      <c r="K180">
        <f>הגדרות!D3</f>
        <v/>
      </c>
      <c r="L180">
        <f>I180*(1+J180/100)+K180</f>
        <v/>
      </c>
    </row>
    <row r="181">
      <c r="A181" t="inlineStr">
        <is>
          <t>קונג (Kong)</t>
        </is>
      </c>
      <c r="B181" t="inlineStr">
        <is>
          <t>קונג צווארון אליזבת רך EL3) S)</t>
        </is>
      </c>
      <c r="C181" t="inlineStr">
        <is>
          <t>צעצועים</t>
        </is>
      </c>
      <c r="D181" t="inlineStr">
        <is>
          <t>376000096</t>
        </is>
      </c>
      <c r="E181" t="inlineStr">
        <is>
          <t>2026-08</t>
        </is>
      </c>
      <c r="F181" t="n">
        <v>76</v>
      </c>
      <c r="G181" t="n">
        <v>89.68000000000001</v>
      </c>
      <c r="H181">
        <f>הגדרות!B3</f>
        <v/>
      </c>
      <c r="I181">
        <f>F181*(1-H181/100)*1.18</f>
        <v/>
      </c>
      <c r="J181">
        <f>הגדרות!C3</f>
        <v/>
      </c>
      <c r="K181">
        <f>הגדרות!D3</f>
        <v/>
      </c>
      <c r="L181">
        <f>I181*(1+J181/100)+K181</f>
        <v/>
      </c>
    </row>
    <row r="182">
      <c r="A182" t="inlineStr">
        <is>
          <t>קונג (Kong)</t>
        </is>
      </c>
      <c r="B182" t="inlineStr">
        <is>
          <t>קונג צווארון אליזבת רך EL5) XS)</t>
        </is>
      </c>
      <c r="C182" t="inlineStr">
        <is>
          <t>צעצועים</t>
        </is>
      </c>
      <c r="D182" t="inlineStr">
        <is>
          <t>376000095</t>
        </is>
      </c>
      <c r="E182" t="inlineStr">
        <is>
          <t>2026-08</t>
        </is>
      </c>
      <c r="F182" t="n">
        <v>56</v>
      </c>
      <c r="G182" t="n">
        <v>66.08</v>
      </c>
      <c r="H182">
        <f>הגדרות!B3</f>
        <v/>
      </c>
      <c r="I182">
        <f>F182*(1-H182/100)*1.18</f>
        <v/>
      </c>
      <c r="J182">
        <f>הגדרות!C3</f>
        <v/>
      </c>
      <c r="K182">
        <f>הגדרות!D3</f>
        <v/>
      </c>
      <c r="L182">
        <f>I182*(1+J182/100)+K182</f>
        <v/>
      </c>
    </row>
    <row r="183">
      <c r="A183" t="inlineStr">
        <is>
          <t>קונג (Kong)</t>
        </is>
      </c>
      <c r="B183" t="inlineStr">
        <is>
          <t>קונג צוסטיק אולטרא מקל PSW12) L)</t>
        </is>
      </c>
      <c r="C183" t="inlineStr">
        <is>
          <t>צעצועים</t>
        </is>
      </c>
      <c r="D183" t="inlineStr">
        <is>
          <t>376000393</t>
        </is>
      </c>
      <c r="E183" t="inlineStr">
        <is>
          <t>2026-08</t>
        </is>
      </c>
      <c r="F183" t="n">
        <v>62</v>
      </c>
      <c r="G183" t="n">
        <v>73.16</v>
      </c>
      <c r="H183">
        <f>הגדרות!B3</f>
        <v/>
      </c>
      <c r="I183">
        <f>F183*(1-H183/100)*1.18</f>
        <v/>
      </c>
      <c r="J183">
        <f>הגדרות!C3</f>
        <v/>
      </c>
      <c r="K183">
        <f>הגדרות!D3</f>
        <v/>
      </c>
      <c r="L183">
        <f>I183*(1+J183/100)+K183</f>
        <v/>
      </c>
    </row>
    <row r="184">
      <c r="A184" t="inlineStr">
        <is>
          <t>קונג (Kong)</t>
        </is>
      </c>
      <c r="B184" t="inlineStr">
        <is>
          <t>קונג צוסטיק עצם ירך קשיח PSW14) L)</t>
        </is>
      </c>
      <c r="C184" t="inlineStr">
        <is>
          <t>צעצועים</t>
        </is>
      </c>
      <c r="D184" t="inlineStr">
        <is>
          <t>376000425</t>
        </is>
      </c>
      <c r="E184" t="inlineStr">
        <is>
          <t>2026-08</t>
        </is>
      </c>
      <c r="F184" t="n">
        <v>63</v>
      </c>
      <c r="G184" t="n">
        <v>74.34</v>
      </c>
      <c r="H184">
        <f>הגדרות!B3</f>
        <v/>
      </c>
      <c r="I184">
        <f>F184*(1-H184/100)*1.18</f>
        <v/>
      </c>
      <c r="J184">
        <f>הגדרות!C3</f>
        <v/>
      </c>
      <c r="K184">
        <f>הגדרות!D3</f>
        <v/>
      </c>
      <c r="L184">
        <f>I184*(1+J184/100)+K184</f>
        <v/>
      </c>
    </row>
    <row r="185">
      <c r="A185" t="inlineStr">
        <is>
          <t>קונג (Kong)</t>
        </is>
      </c>
      <c r="B185" t="inlineStr">
        <is>
          <t>קונג צלחת מעופפת KF3) L)</t>
        </is>
      </c>
      <c r="C185" t="inlineStr">
        <is>
          <t>צעצועים</t>
        </is>
      </c>
      <c r="D185" t="inlineStr">
        <is>
          <t>376000101</t>
        </is>
      </c>
      <c r="E185" t="inlineStr">
        <is>
          <t>2026-08</t>
        </is>
      </c>
      <c r="F185" t="n">
        <v>59</v>
      </c>
      <c r="G185" t="n">
        <v>69.62</v>
      </c>
      <c r="H185">
        <f>הגדרות!B3</f>
        <v/>
      </c>
      <c r="I185">
        <f>F185*(1-H185/100)*1.18</f>
        <v/>
      </c>
      <c r="J185">
        <f>הגדרות!C3</f>
        <v/>
      </c>
      <c r="K185">
        <f>הגדרות!D3</f>
        <v/>
      </c>
      <c r="L185">
        <f>I185*(1+J185/100)+K185</f>
        <v/>
      </c>
    </row>
    <row r="186">
      <c r="A186" t="inlineStr">
        <is>
          <t>קונג (Kong)</t>
        </is>
      </c>
      <c r="B186" t="inlineStr">
        <is>
          <t>קונג צמיג אקסטרים KT11) M/L)</t>
        </is>
      </c>
      <c r="C186" t="inlineStr">
        <is>
          <t>צעצועים</t>
        </is>
      </c>
      <c r="D186" t="inlineStr">
        <is>
          <t>376000218</t>
        </is>
      </c>
      <c r="E186" t="inlineStr">
        <is>
          <t>2026-08</t>
        </is>
      </c>
      <c r="F186" t="n">
        <v>76</v>
      </c>
      <c r="G186" t="n">
        <v>89.68000000000001</v>
      </c>
      <c r="H186">
        <f>הגדרות!B3</f>
        <v/>
      </c>
      <c r="I186">
        <f>F186*(1-H186/100)*1.18</f>
        <v/>
      </c>
      <c r="J186">
        <f>הגדרות!C3</f>
        <v/>
      </c>
      <c r="K186">
        <f>הגדרות!D3</f>
        <v/>
      </c>
      <c r="L186">
        <f>I186*(1+J186/100)+K186</f>
        <v/>
      </c>
    </row>
    <row r="187">
      <c r="A187" t="inlineStr">
        <is>
          <t>קונג (Kong)</t>
        </is>
      </c>
      <c r="B187" t="inlineStr">
        <is>
          <t>קונג צמיג לגורים KPT11) M/L)</t>
        </is>
      </c>
      <c r="C187" t="inlineStr">
        <is>
          <t>צעצועים</t>
        </is>
      </c>
      <c r="D187" t="inlineStr">
        <is>
          <t>376000223</t>
        </is>
      </c>
      <c r="E187" t="inlineStr">
        <is>
          <t>2026-08</t>
        </is>
      </c>
      <c r="F187" t="n">
        <v>67</v>
      </c>
      <c r="G187" t="n">
        <v>79.06</v>
      </c>
      <c r="H187">
        <f>הגדרות!B3</f>
        <v/>
      </c>
      <c r="I187">
        <f>F187*(1-H187/100)*1.18</f>
        <v/>
      </c>
      <c r="J187">
        <f>הגדרות!C3</f>
        <v/>
      </c>
      <c r="K187">
        <f>הגדרות!D3</f>
        <v/>
      </c>
      <c r="L187">
        <f>I187*(1+J187/100)+K187</f>
        <v/>
      </c>
    </row>
    <row r="188">
      <c r="A188" t="inlineStr">
        <is>
          <t>קונג (Kong)</t>
        </is>
      </c>
      <c r="B188" t="inlineStr">
        <is>
          <t>קונג צמיג לגורים KPT21) S)</t>
        </is>
      </c>
      <c r="C188" t="inlineStr">
        <is>
          <t>צעצועים</t>
        </is>
      </c>
      <c r="D188" t="inlineStr">
        <is>
          <t>376000224</t>
        </is>
      </c>
      <c r="E188" t="inlineStr">
        <is>
          <t>2026-08</t>
        </is>
      </c>
      <c r="F188" t="n">
        <v>52</v>
      </c>
      <c r="G188" t="n">
        <v>61.36</v>
      </c>
      <c r="H188">
        <f>הגדרות!B3</f>
        <v/>
      </c>
      <c r="I188">
        <f>F188*(1-H188/100)*1.18</f>
        <v/>
      </c>
      <c r="J188">
        <f>הגדרות!C3</f>
        <v/>
      </c>
      <c r="K188">
        <f>הגדרות!D3</f>
        <v/>
      </c>
      <c r="L188">
        <f>I188*(1+J188/100)+K188</f>
        <v/>
      </c>
    </row>
    <row r="189">
      <c r="A189" t="inlineStr">
        <is>
          <t>קונג (Kong)</t>
        </is>
      </c>
      <c r="B189" t="inlineStr">
        <is>
          <t>קונג צעצוע אקווה CK1 L</t>
        </is>
      </c>
      <c r="C189" t="inlineStr">
        <is>
          <t>צעצועים</t>
        </is>
      </c>
      <c r="D189" t="inlineStr">
        <is>
          <t>376000045</t>
        </is>
      </c>
      <c r="E189" t="inlineStr">
        <is>
          <t>2026-08</t>
        </is>
      </c>
      <c r="F189" t="n">
        <v>73</v>
      </c>
      <c r="G189" t="n">
        <v>86.14</v>
      </c>
      <c r="H189">
        <f>הגדרות!B3</f>
        <v/>
      </c>
      <c r="I189">
        <f>F189*(1-H189/100)*1.18</f>
        <v/>
      </c>
      <c r="J189">
        <f>הגדרות!C3</f>
        <v/>
      </c>
      <c r="K189">
        <f>הגדרות!D3</f>
        <v/>
      </c>
      <c r="L189">
        <f>I189*(1+J189/100)+K189</f>
        <v/>
      </c>
    </row>
    <row r="190">
      <c r="A190" t="inlineStr">
        <is>
          <t>קונג (Kong)</t>
        </is>
      </c>
      <c r="B190" t="inlineStr">
        <is>
          <t>קונג צעצוע אקווה CK2 M</t>
        </is>
      </c>
      <c r="C190" t="inlineStr">
        <is>
          <t>צעצועים</t>
        </is>
      </c>
      <c r="D190" t="inlineStr">
        <is>
          <t>376000044</t>
        </is>
      </c>
      <c r="E190" t="inlineStr">
        <is>
          <t>2026-08</t>
        </is>
      </c>
      <c r="F190" t="n">
        <v>59</v>
      </c>
      <c r="G190" t="n">
        <v>69.62</v>
      </c>
      <c r="H190">
        <f>הגדרות!B3</f>
        <v/>
      </c>
      <c r="I190">
        <f>F190*(1-H190/100)*1.18</f>
        <v/>
      </c>
      <c r="J190">
        <f>הגדרות!C3</f>
        <v/>
      </c>
      <c r="K190">
        <f>הגדרות!D3</f>
        <v/>
      </c>
      <c r="L190">
        <f>I190*(1+J190/100)+K190</f>
        <v/>
      </c>
    </row>
    <row r="191">
      <c r="A191" t="inlineStr">
        <is>
          <t>קונג (Kong)</t>
        </is>
      </c>
      <c r="B191" t="inlineStr">
        <is>
          <t>קונג צעצוע דנטלי DK1 L</t>
        </is>
      </c>
      <c r="C191" t="inlineStr">
        <is>
          <t>צעצועים</t>
        </is>
      </c>
      <c r="D191" t="inlineStr">
        <is>
          <t>376000043</t>
        </is>
      </c>
      <c r="E191" t="inlineStr">
        <is>
          <t>2026-08</t>
        </is>
      </c>
      <c r="F191" t="n">
        <v>85</v>
      </c>
      <c r="G191" t="n">
        <v>100.3</v>
      </c>
      <c r="H191">
        <f>הגדרות!B3</f>
        <v/>
      </c>
      <c r="I191">
        <f>F191*(1-H191/100)*1.18</f>
        <v/>
      </c>
      <c r="J191">
        <f>הגדרות!C3</f>
        <v/>
      </c>
      <c r="K191">
        <f>הגדרות!D3</f>
        <v/>
      </c>
      <c r="L191">
        <f>I191*(1+J191/100)+K191</f>
        <v/>
      </c>
    </row>
    <row r="192">
      <c r="A192" t="inlineStr">
        <is>
          <t>קונג (Kong)</t>
        </is>
      </c>
      <c r="B192" t="inlineStr">
        <is>
          <t>קונג צעצוע סנאי לעיס עם קשר NKS33, M/S לכלב</t>
        </is>
      </c>
      <c r="C192" t="inlineStr">
        <is>
          <t>צעצועים</t>
        </is>
      </c>
      <c r="D192" t="inlineStr">
        <is>
          <t>376000133</t>
        </is>
      </c>
      <c r="E192" t="inlineStr">
        <is>
          <t>2026-08</t>
        </is>
      </c>
      <c r="F192" t="n">
        <v>37</v>
      </c>
      <c r="G192" t="n">
        <v>43.66</v>
      </c>
      <c r="H192">
        <f>הגדרות!B3</f>
        <v/>
      </c>
      <c r="I192">
        <f>F192*(1-H192/100)*1.18</f>
        <v/>
      </c>
      <c r="J192">
        <f>הגדרות!C3</f>
        <v/>
      </c>
      <c r="K192">
        <f>הגדרות!D3</f>
        <v/>
      </c>
      <c r="L192">
        <f>I192*(1+J192/100)+K192</f>
        <v/>
      </c>
    </row>
    <row r="193">
      <c r="A193" t="inlineStr">
        <is>
          <t>קונג (Kong)</t>
        </is>
      </c>
      <c r="B193" t="inlineStr">
        <is>
          <t>קונג קוזי לכלב מרווין ענק ZYJX2) XL)</t>
        </is>
      </c>
      <c r="C193" t="inlineStr">
        <is>
          <t>צעצועים</t>
        </is>
      </c>
      <c r="D193" t="inlineStr">
        <is>
          <t>376000533</t>
        </is>
      </c>
      <c r="E193" t="inlineStr">
        <is>
          <t>2026-08</t>
        </is>
      </c>
      <c r="F193" t="n">
        <v>99</v>
      </c>
      <c r="G193" t="n">
        <v>116.82</v>
      </c>
      <c r="H193">
        <f>הגדרות!B3</f>
        <v/>
      </c>
      <c r="I193">
        <f>F193*(1-H193/100)*1.18</f>
        <v/>
      </c>
      <c r="J193">
        <f>הגדרות!C3</f>
        <v/>
      </c>
      <c r="K193">
        <f>הגדרות!D3</f>
        <v/>
      </c>
      <c r="L193">
        <f>I193*(1+J193/100)+K193</f>
        <v/>
      </c>
    </row>
    <row r="194">
      <c r="A194" t="inlineStr">
        <is>
          <t>קונג (Kong)</t>
        </is>
      </c>
      <c r="B194" t="inlineStr">
        <is>
          <t>קונג קומפורט לכלב בובת קיפוד רכה RCD12) M)</t>
        </is>
      </c>
      <c r="C194" t="inlineStr">
        <is>
          <t>צעצועים</t>
        </is>
      </c>
      <c r="D194" t="inlineStr">
        <is>
          <t>376000524</t>
        </is>
      </c>
      <c r="E194" t="inlineStr">
        <is>
          <t>2026-08</t>
        </is>
      </c>
      <c r="F194" t="n">
        <v>43</v>
      </c>
      <c r="G194" t="n">
        <v>50.74</v>
      </c>
      <c r="H194">
        <f>הגדרות!B3</f>
        <v/>
      </c>
      <c r="I194">
        <f>F194*(1-H194/100)*1.18</f>
        <v/>
      </c>
      <c r="J194">
        <f>הגדרות!C3</f>
        <v/>
      </c>
      <c r="K194">
        <f>הגדרות!D3</f>
        <v/>
      </c>
      <c r="L194">
        <f>I194*(1+J194/100)+K194</f>
        <v/>
      </c>
    </row>
    <row r="195">
      <c r="A195" t="inlineStr">
        <is>
          <t>קונג (Kong)</t>
        </is>
      </c>
      <c r="B195" t="inlineStr">
        <is>
          <t>קונג קונקטס קיטי קומבר, הברשה עצמית לחתול CT51</t>
        </is>
      </c>
      <c r="C195" t="inlineStr">
        <is>
          <t>צעצועים</t>
        </is>
      </c>
      <c r="D195" t="inlineStr">
        <is>
          <t>376000275</t>
        </is>
      </c>
      <c r="E195" t="inlineStr">
        <is>
          <t>2026-08</t>
        </is>
      </c>
      <c r="F195" t="n">
        <v>57</v>
      </c>
      <c r="G195" t="n">
        <v>67.26000000000001</v>
      </c>
      <c r="H195">
        <f>הגדרות!B3</f>
        <v/>
      </c>
      <c r="I195">
        <f>F195*(1-H195/100)*1.18</f>
        <v/>
      </c>
      <c r="J195">
        <f>הגדרות!C3</f>
        <v/>
      </c>
      <c r="K195">
        <f>הגדרות!D3</f>
        <v/>
      </c>
      <c r="L195">
        <f>I195*(1+J195/100)+K195</f>
        <v/>
      </c>
    </row>
    <row r="196">
      <c r="A196" t="inlineStr">
        <is>
          <t>קונג (Kong)</t>
        </is>
      </c>
      <c r="B196" t="inlineStr">
        <is>
          <t>קונג קור מקל PFC12 M/L</t>
        </is>
      </c>
      <c r="C196" t="inlineStr">
        <is>
          <t>צעצועים</t>
        </is>
      </c>
      <c r="D196" t="inlineStr">
        <is>
          <t>376000281</t>
        </is>
      </c>
      <c r="E196" t="inlineStr">
        <is>
          <t>2026-08</t>
        </is>
      </c>
      <c r="F196" t="n">
        <v>55</v>
      </c>
      <c r="G196" t="n">
        <v>64.90000000000001</v>
      </c>
      <c r="H196">
        <f>הגדרות!B3</f>
        <v/>
      </c>
      <c r="I196">
        <f>F196*(1-H196/100)*1.18</f>
        <v/>
      </c>
      <c r="J196">
        <f>הגדרות!C3</f>
        <v/>
      </c>
      <c r="K196">
        <f>הגדרות!D3</f>
        <v/>
      </c>
      <c r="L196">
        <f>I196*(1+J196/100)+K196</f>
        <v/>
      </c>
    </row>
    <row r="197">
      <c r="A197" t="inlineStr">
        <is>
          <t>קונג (Kong)</t>
        </is>
      </c>
      <c r="B197" t="inlineStr">
        <is>
          <t>קונג קור עצם PFC11 L/M</t>
        </is>
      </c>
      <c r="C197" t="inlineStr">
        <is>
          <t>צעצועים</t>
        </is>
      </c>
      <c r="D197" t="inlineStr">
        <is>
          <t>376000279</t>
        </is>
      </c>
      <c r="E197" t="inlineStr">
        <is>
          <t>2026-08</t>
        </is>
      </c>
      <c r="F197" t="n">
        <v>55</v>
      </c>
      <c r="G197" t="n">
        <v>64.90000000000001</v>
      </c>
      <c r="H197">
        <f>הגדרות!B3</f>
        <v/>
      </c>
      <c r="I197">
        <f>F197*(1-H197/100)*1.18</f>
        <v/>
      </c>
      <c r="J197">
        <f>הגדרות!C3</f>
        <v/>
      </c>
      <c r="K197">
        <f>הגדרות!D3</f>
        <v/>
      </c>
      <c r="L197">
        <f>I197*(1+J197/100)+K197</f>
        <v/>
      </c>
    </row>
    <row r="198">
      <c r="A198" t="inlineStr">
        <is>
          <t>קונג (Kong)</t>
        </is>
      </c>
      <c r="B198" t="inlineStr">
        <is>
          <t>קונג קור עצם PFC31 M/S</t>
        </is>
      </c>
      <c r="C198" t="inlineStr">
        <is>
          <t>צעצועים</t>
        </is>
      </c>
      <c r="D198" t="inlineStr">
        <is>
          <t>376000280</t>
        </is>
      </c>
      <c r="E198" t="inlineStr">
        <is>
          <t>2026-08</t>
        </is>
      </c>
      <c r="F198" t="n">
        <v>36</v>
      </c>
      <c r="G198" t="n">
        <v>42.48</v>
      </c>
      <c r="H198">
        <f>הגדרות!B3</f>
        <v/>
      </c>
      <c r="I198">
        <f>F198*(1-H198/100)*1.18</f>
        <v/>
      </c>
      <c r="J198">
        <f>הגדרות!C3</f>
        <v/>
      </c>
      <c r="K198">
        <f>הגדרות!D3</f>
        <v/>
      </c>
      <c r="L198">
        <f>I198*(1+J198/100)+K198</f>
        <v/>
      </c>
    </row>
    <row r="199">
      <c r="A199" t="inlineStr">
        <is>
          <t>קונג (Kong)</t>
        </is>
      </c>
      <c r="B199" t="inlineStr">
        <is>
          <t>קונג קטבאנה מגרש משחקים לחתול מרהיב (CA91)</t>
        </is>
      </c>
      <c r="C199" t="inlineStr">
        <is>
          <t>צעצועים</t>
        </is>
      </c>
      <c r="D199" t="inlineStr">
        <is>
          <t>376000470</t>
        </is>
      </c>
      <c r="E199" t="inlineStr">
        <is>
          <t>2026-08</t>
        </is>
      </c>
      <c r="F199" t="n">
        <v>165</v>
      </c>
      <c r="G199" t="n">
        <v>194.7</v>
      </c>
      <c r="H199">
        <f>הגדרות!B3</f>
        <v/>
      </c>
      <c r="I199">
        <f>F199*(1-H199/100)*1.18</f>
        <v/>
      </c>
      <c r="J199">
        <f>הגדרות!C3</f>
        <v/>
      </c>
      <c r="K199">
        <f>הגדרות!D3</f>
        <v/>
      </c>
      <c r="L199">
        <f>I199*(1+J199/100)+K199</f>
        <v/>
      </c>
    </row>
    <row r="200">
      <c r="A200" t="inlineStr">
        <is>
          <t>קונג (Kong)</t>
        </is>
      </c>
      <c r="B200" t="inlineStr">
        <is>
          <t>קונג קיוטסיז לוויתן RL15) L)</t>
        </is>
      </c>
      <c r="C200" t="inlineStr">
        <is>
          <t>צעצועים</t>
        </is>
      </c>
      <c r="D200" t="inlineStr">
        <is>
          <t>376000548</t>
        </is>
      </c>
      <c r="E200" t="inlineStr">
        <is>
          <t>2026-08</t>
        </is>
      </c>
      <c r="F200" t="n">
        <v>52</v>
      </c>
      <c r="G200" t="n">
        <v>61.36</v>
      </c>
      <c r="H200">
        <f>הגדרות!B3</f>
        <v/>
      </c>
      <c r="I200">
        <f>F200*(1-H200/100)*1.18</f>
        <v/>
      </c>
      <c r="J200">
        <f>הגדרות!C3</f>
        <v/>
      </c>
      <c r="K200">
        <f>הגדרות!D3</f>
        <v/>
      </c>
      <c r="L200">
        <f>I200*(1+J200/100)+K200</f>
        <v/>
      </c>
    </row>
    <row r="201">
      <c r="A201" t="inlineStr">
        <is>
          <t>קונג (Kong)</t>
        </is>
      </c>
      <c r="B201" t="inlineStr">
        <is>
          <t>קונג קיוטסיז משחק כלב כריש RLR11) MD/LG)</t>
        </is>
      </c>
      <c r="C201" t="inlineStr">
        <is>
          <t>צעצועים</t>
        </is>
      </c>
      <c r="D201" t="inlineStr">
        <is>
          <t>376000580</t>
        </is>
      </c>
      <c r="E201" t="inlineStr">
        <is>
          <t>2026-08</t>
        </is>
      </c>
      <c r="F201" t="n">
        <v>53</v>
      </c>
      <c r="G201" t="n">
        <v>62.54</v>
      </c>
      <c r="H201">
        <f>הגדרות!B3</f>
        <v/>
      </c>
      <c r="I201">
        <f>F201*(1-H201/100)*1.18</f>
        <v/>
      </c>
      <c r="J201">
        <f>הגדרות!C3</f>
        <v/>
      </c>
      <c r="K201">
        <f>הגדרות!D3</f>
        <v/>
      </c>
      <c r="L201">
        <f>I201*(1+J201/100)+K201</f>
        <v/>
      </c>
    </row>
    <row r="202">
      <c r="A202" t="inlineStr">
        <is>
          <t>קונג (Kong)</t>
        </is>
      </c>
      <c r="B202" t="inlineStr">
        <is>
          <t>קונג קיוטסיז תמנון RL13) L)</t>
        </is>
      </c>
      <c r="C202" t="inlineStr">
        <is>
          <t>צעצועים</t>
        </is>
      </c>
      <c r="D202" t="inlineStr">
        <is>
          <t>376000546</t>
        </is>
      </c>
      <c r="E202" t="inlineStr">
        <is>
          <t>2026-08</t>
        </is>
      </c>
      <c r="F202" t="n">
        <v>52</v>
      </c>
      <c r="G202" t="n">
        <v>61.36</v>
      </c>
      <c r="H202">
        <f>הגדרות!B3</f>
        <v/>
      </c>
      <c r="I202">
        <f>F202*(1-H202/100)*1.18</f>
        <v/>
      </c>
      <c r="J202">
        <f>הגדרות!C3</f>
        <v/>
      </c>
      <c r="K202">
        <f>הגדרות!D3</f>
        <v/>
      </c>
      <c r="L202">
        <f>I202*(1+J202/100)+K202</f>
        <v/>
      </c>
    </row>
    <row r="203">
      <c r="A203" t="inlineStr">
        <is>
          <t>קונג (Kong)</t>
        </is>
      </c>
      <c r="B203" t="inlineStr">
        <is>
          <t>קונג קיטי (סגול) לחתולים C4</t>
        </is>
      </c>
      <c r="C203" t="inlineStr">
        <is>
          <t>צעצועים</t>
        </is>
      </c>
      <c r="D203" t="inlineStr">
        <is>
          <t>376000367</t>
        </is>
      </c>
      <c r="E203" t="inlineStr">
        <is>
          <t>2026-08</t>
        </is>
      </c>
      <c r="F203" t="n">
        <v>25</v>
      </c>
      <c r="G203" t="n">
        <v>29.5</v>
      </c>
      <c r="H203">
        <f>הגדרות!B3</f>
        <v/>
      </c>
      <c r="I203">
        <f>F203*(1-H203/100)*1.18</f>
        <v/>
      </c>
      <c r="J203">
        <f>הגדרות!C3</f>
        <v/>
      </c>
      <c r="K203">
        <f>הגדרות!D3</f>
        <v/>
      </c>
      <c r="L203">
        <f>I203*(1+J203/100)+K203</f>
        <v/>
      </c>
    </row>
    <row r="204">
      <c r="A204" t="inlineStr">
        <is>
          <t>קונג (Kong)</t>
        </is>
      </c>
      <c r="B204" t="inlineStr">
        <is>
          <t>קונג קלאסי XXL KK</t>
        </is>
      </c>
      <c r="C204" t="inlineStr">
        <is>
          <t>צעצועים</t>
        </is>
      </c>
      <c r="D204" t="inlineStr">
        <is>
          <t>376000012</t>
        </is>
      </c>
      <c r="E204" t="inlineStr">
        <is>
          <t>2026-08</t>
        </is>
      </c>
      <c r="F204" t="n">
        <v>101</v>
      </c>
      <c r="G204" t="n">
        <v>119.18</v>
      </c>
      <c r="H204">
        <f>הגדרות!B3</f>
        <v/>
      </c>
      <c r="I204">
        <f>F204*(1-H204/100)*1.18</f>
        <v/>
      </c>
      <c r="J204">
        <f>הגדרות!C3</f>
        <v/>
      </c>
      <c r="K204">
        <f>הגדרות!D3</f>
        <v/>
      </c>
      <c r="L204">
        <f>I204*(1+J204/100)+K204</f>
        <v/>
      </c>
    </row>
    <row r="205">
      <c r="A205" t="inlineStr">
        <is>
          <t>קונג (Kong)</t>
        </is>
      </c>
      <c r="B205" t="inlineStr">
        <is>
          <t>קונג קלאסי L T1</t>
        </is>
      </c>
      <c r="C205" t="inlineStr">
        <is>
          <t>צעצועים</t>
        </is>
      </c>
      <c r="D205" t="inlineStr">
        <is>
          <t>376000010</t>
        </is>
      </c>
      <c r="E205" t="inlineStr">
        <is>
          <t>2026-08</t>
        </is>
      </c>
      <c r="F205" t="n">
        <v>53</v>
      </c>
      <c r="G205" t="n">
        <v>62.54</v>
      </c>
      <c r="H205">
        <f>הגדרות!B3</f>
        <v/>
      </c>
      <c r="I205">
        <f>F205*(1-H205/100)*1.18</f>
        <v/>
      </c>
      <c r="J205">
        <f>הגדרות!C3</f>
        <v/>
      </c>
      <c r="K205">
        <f>הגדרות!D3</f>
        <v/>
      </c>
      <c r="L205">
        <f>I205*(1+J205/100)+K205</f>
        <v/>
      </c>
    </row>
    <row r="206">
      <c r="A206" t="inlineStr">
        <is>
          <t>קונג (Kong)</t>
        </is>
      </c>
      <c r="B206" t="inlineStr">
        <is>
          <t>קונג קלאסי M T2</t>
        </is>
      </c>
      <c r="C206" t="inlineStr">
        <is>
          <t>צעצועים</t>
        </is>
      </c>
      <c r="D206" t="inlineStr">
        <is>
          <t>376000009</t>
        </is>
      </c>
      <c r="E206" t="inlineStr">
        <is>
          <t>2026-08</t>
        </is>
      </c>
      <c r="F206" t="n">
        <v>50</v>
      </c>
      <c r="G206" t="n">
        <v>59</v>
      </c>
      <c r="H206">
        <f>הגדרות!B3</f>
        <v/>
      </c>
      <c r="I206">
        <f>F206*(1-H206/100)*1.18</f>
        <v/>
      </c>
      <c r="J206">
        <f>הגדרות!C3</f>
        <v/>
      </c>
      <c r="K206">
        <f>הגדרות!D3</f>
        <v/>
      </c>
      <c r="L206">
        <f>I206*(1+J206/100)+K206</f>
        <v/>
      </c>
    </row>
    <row r="207">
      <c r="A207" t="inlineStr">
        <is>
          <t>קונג (Kong)</t>
        </is>
      </c>
      <c r="B207" t="inlineStr">
        <is>
          <t>קונג קלאסי XS T4</t>
        </is>
      </c>
      <c r="C207" t="inlineStr">
        <is>
          <t>צעצועים</t>
        </is>
      </c>
      <c r="D207" t="inlineStr">
        <is>
          <t>376000013</t>
        </is>
      </c>
      <c r="E207" t="inlineStr">
        <is>
          <t>2026-08</t>
        </is>
      </c>
      <c r="F207" t="n">
        <v>28</v>
      </c>
      <c r="G207" t="n">
        <v>33.04</v>
      </c>
      <c r="H207">
        <f>הגדרות!B3</f>
        <v/>
      </c>
      <c r="I207">
        <f>F207*(1-H207/100)*1.18</f>
        <v/>
      </c>
      <c r="J207">
        <f>הגדרות!C3</f>
        <v/>
      </c>
      <c r="K207">
        <f>הגדרות!D3</f>
        <v/>
      </c>
      <c r="L207">
        <f>I207*(1+J207/100)+K207</f>
        <v/>
      </c>
    </row>
    <row r="208">
      <c r="A208" t="inlineStr">
        <is>
          <t>קונג (Kong)</t>
        </is>
      </c>
      <c r="B208" t="inlineStr">
        <is>
          <t>קונג ראפז כדור משחק PWZ11) L) ***</t>
        </is>
      </c>
      <c r="C208" t="inlineStr">
        <is>
          <t>צעצועים</t>
        </is>
      </c>
      <c r="D208" t="inlineStr">
        <is>
          <t>376000304</t>
        </is>
      </c>
      <c r="E208" t="inlineStr">
        <is>
          <t>2026-08</t>
        </is>
      </c>
      <c r="F208" t="n">
        <v>51</v>
      </c>
      <c r="G208" t="n">
        <v>60.18</v>
      </c>
      <c r="H208">
        <f>הגדרות!B3</f>
        <v/>
      </c>
      <c r="I208">
        <f>F208*(1-H208/100)*1.18</f>
        <v/>
      </c>
      <c r="J208">
        <f>הגדרות!C3</f>
        <v/>
      </c>
      <c r="K208">
        <f>הגדרות!D3</f>
        <v/>
      </c>
      <c r="L208">
        <f>I208*(1+J208/100)+K208</f>
        <v/>
      </c>
    </row>
    <row r="209">
      <c r="A209" t="inlineStr">
        <is>
          <t>קונג (Kong)</t>
        </is>
      </c>
      <c r="B209" t="inlineStr">
        <is>
          <t>קונג ראפז עצם משחק PWZ12) L)***</t>
        </is>
      </c>
      <c r="C209" t="inlineStr">
        <is>
          <t>צעצועים</t>
        </is>
      </c>
      <c r="D209" t="inlineStr">
        <is>
          <t>376000303</t>
        </is>
      </c>
      <c r="E209" t="inlineStr">
        <is>
          <t>2026-08</t>
        </is>
      </c>
      <c r="F209" t="n">
        <v>51</v>
      </c>
      <c r="G209" t="n">
        <v>60.18</v>
      </c>
      <c r="H209">
        <f>הגדרות!B3</f>
        <v/>
      </c>
      <c r="I209">
        <f>F209*(1-H209/100)*1.18</f>
        <v/>
      </c>
      <c r="J209">
        <f>הגדרות!C3</f>
        <v/>
      </c>
      <c r="K209">
        <f>הגדרות!D3</f>
        <v/>
      </c>
      <c r="L209">
        <f>I209*(1+J209/100)+K209</f>
        <v/>
      </c>
    </row>
    <row r="210">
      <c r="A210" t="inlineStr">
        <is>
          <t>קונג (Kong)</t>
        </is>
      </c>
      <c r="B210" t="inlineStr">
        <is>
          <t>קונג ריראן לכלב ווש כדורי PRW11) MD/LG)</t>
        </is>
      </c>
      <c r="C210" t="inlineStr">
        <is>
          <t>צעצועים</t>
        </is>
      </c>
      <c r="D210" t="inlineStr">
        <is>
          <t>376000529</t>
        </is>
      </c>
      <c r="E210" t="inlineStr">
        <is>
          <t>2026-08</t>
        </is>
      </c>
      <c r="F210" t="n">
        <v>59</v>
      </c>
      <c r="G210" t="n">
        <v>69.62</v>
      </c>
      <c r="H210">
        <f>הגדרות!B3</f>
        <v/>
      </c>
      <c r="I210">
        <f>F210*(1-H210/100)*1.18</f>
        <v/>
      </c>
      <c r="J210">
        <f>הגדרות!C3</f>
        <v/>
      </c>
      <c r="K210">
        <f>הגדרות!D3</f>
        <v/>
      </c>
      <c r="L210">
        <f>I210*(1+J210/100)+K210</f>
        <v/>
      </c>
    </row>
    <row r="211">
      <c r="A211" t="inlineStr">
        <is>
          <t>קונג (Kong)</t>
        </is>
      </c>
      <c r="B211" t="inlineStr">
        <is>
          <t>קונג ריראן לכלב ווש כדורי PRW31) SM/MD)</t>
        </is>
      </c>
      <c r="C211" t="inlineStr">
        <is>
          <t>צעצועים</t>
        </is>
      </c>
      <c r="D211" t="inlineStr">
        <is>
          <t>376000531</t>
        </is>
      </c>
      <c r="E211" t="inlineStr">
        <is>
          <t>2026-08</t>
        </is>
      </c>
      <c r="F211" t="n">
        <v>47</v>
      </c>
      <c r="G211" t="n">
        <v>55.46</v>
      </c>
      <c r="H211">
        <f>הגדרות!B3</f>
        <v/>
      </c>
      <c r="I211">
        <f>F211*(1-H211/100)*1.18</f>
        <v/>
      </c>
      <c r="J211">
        <f>הגדרות!C3</f>
        <v/>
      </c>
      <c r="K211">
        <f>הגדרות!D3</f>
        <v/>
      </c>
      <c r="L211">
        <f>I211*(1+J211/100)+K211</f>
        <v/>
      </c>
    </row>
    <row r="212">
      <c r="A212" t="inlineStr">
        <is>
          <t>קונג (Kong)</t>
        </is>
      </c>
      <c r="B212" t="inlineStr">
        <is>
          <t>קונג ריראן לכלב ווש עצם PRW12) MD/LG)</t>
        </is>
      </c>
      <c r="C212" t="inlineStr">
        <is>
          <t>צעצועים</t>
        </is>
      </c>
      <c r="D212" t="inlineStr">
        <is>
          <t>376000530</t>
        </is>
      </c>
      <c r="E212" t="inlineStr">
        <is>
          <t>2026-08</t>
        </is>
      </c>
      <c r="F212" t="n">
        <v>59</v>
      </c>
      <c r="G212" t="n">
        <v>69.62</v>
      </c>
      <c r="H212">
        <f>הגדרות!B3</f>
        <v/>
      </c>
      <c r="I212">
        <f>F212*(1-H212/100)*1.18</f>
        <v/>
      </c>
      <c r="J212">
        <f>הגדרות!C3</f>
        <v/>
      </c>
      <c r="K212">
        <f>הגדרות!D3</f>
        <v/>
      </c>
      <c r="L212">
        <f>I212*(1+J212/100)+K212</f>
        <v/>
      </c>
    </row>
    <row r="213">
      <c r="A213" t="inlineStr">
        <is>
          <t>קונג (Kong)</t>
        </is>
      </c>
      <c r="B213" t="inlineStr">
        <is>
          <t>קונג שילדז טרופיק משחק לכלב צפרדע RST21) M)</t>
        </is>
      </c>
      <c r="C213" t="inlineStr">
        <is>
          <t>צעצועים</t>
        </is>
      </c>
      <c r="D213" t="inlineStr">
        <is>
          <t>376000439</t>
        </is>
      </c>
      <c r="E213" t="inlineStr">
        <is>
          <t>2026-08</t>
        </is>
      </c>
      <c r="F213" t="n">
        <v>62</v>
      </c>
      <c r="G213" t="n">
        <v>73.16</v>
      </c>
      <c r="H213">
        <f>הגדרות!B3</f>
        <v/>
      </c>
      <c r="I213">
        <f>F213*(1-H213/100)*1.18</f>
        <v/>
      </c>
      <c r="J213">
        <f>הגדרות!C3</f>
        <v/>
      </c>
      <c r="K213">
        <f>הגדרות!D3</f>
        <v/>
      </c>
      <c r="L213">
        <f>I213*(1+J213/100)+K213</f>
        <v/>
      </c>
    </row>
    <row r="214">
      <c r="A214" t="inlineStr">
        <is>
          <t>קונג (Kong)</t>
        </is>
      </c>
      <c r="B214" t="inlineStr">
        <is>
          <t>קונג שילדז מקל אימון צף כתום לבן RSWD31) S/M)</t>
        </is>
      </c>
      <c r="C214" t="inlineStr">
        <is>
          <t>צעצועים</t>
        </is>
      </c>
      <c r="D214" t="inlineStr">
        <is>
          <t>376000570</t>
        </is>
      </c>
      <c r="E214" t="inlineStr">
        <is>
          <t>2026-08</t>
        </is>
      </c>
      <c r="F214" t="n">
        <v>73</v>
      </c>
      <c r="G214" t="n">
        <v>86.14</v>
      </c>
      <c r="H214">
        <f>הגדרות!B3</f>
        <v/>
      </c>
      <c r="I214">
        <f>F214*(1-H214/100)*1.18</f>
        <v/>
      </c>
      <c r="J214">
        <f>הגדרות!C3</f>
        <v/>
      </c>
      <c r="K214">
        <f>הגדרות!D3</f>
        <v/>
      </c>
      <c r="L214">
        <f>I214*(1+J214/100)+K214</f>
        <v/>
      </c>
    </row>
    <row r="215">
      <c r="A215" t="inlineStr">
        <is>
          <t>קונג (Kong)</t>
        </is>
      </c>
      <c r="B215" t="inlineStr">
        <is>
          <t>ונג שילדז מקל אימון צף מפותל שלל צבעים RSWD33) S/M</t>
        </is>
      </c>
      <c r="C215" t="inlineStr">
        <is>
          <t>צעצועים</t>
        </is>
      </c>
      <c r="D215" t="inlineStr">
        <is>
          <t>376000584</t>
        </is>
      </c>
      <c r="E215" t="inlineStr">
        <is>
          <t>2026-08</t>
        </is>
      </c>
      <c r="F215" t="n">
        <v>73</v>
      </c>
      <c r="G215" t="n">
        <v>86.14</v>
      </c>
      <c r="H215">
        <f>הגדרות!B3</f>
        <v/>
      </c>
      <c r="I215">
        <f>F215*(1-H215/100)*1.18</f>
        <v/>
      </c>
      <c r="J215">
        <f>הגדרות!C3</f>
        <v/>
      </c>
      <c r="K215">
        <f>הגדרות!D3</f>
        <v/>
      </c>
      <c r="L215">
        <f>I215*(1+J215/100)+K215</f>
        <v/>
      </c>
    </row>
    <row r="216">
      <c r="A216" t="inlineStr">
        <is>
          <t>קונג (Kong)</t>
        </is>
      </c>
      <c r="B216" t="inlineStr">
        <is>
          <t>קונג תנין קוזי ZY2) M)</t>
        </is>
      </c>
      <c r="C216" t="inlineStr">
        <is>
          <t>צעצועים</t>
        </is>
      </c>
      <c r="D216" t="inlineStr">
        <is>
          <t>376000227</t>
        </is>
      </c>
      <c r="E216" t="inlineStr">
        <is>
          <t>2026-08</t>
        </is>
      </c>
      <c r="F216" t="n">
        <v>43</v>
      </c>
      <c r="G216" t="n">
        <v>50.74</v>
      </c>
      <c r="H216">
        <f>הגדרות!B3</f>
        <v/>
      </c>
      <c r="I216">
        <f>F216*(1-H216/100)*1.18</f>
        <v/>
      </c>
      <c r="J216">
        <f>הגדרות!C3</f>
        <v/>
      </c>
      <c r="K216">
        <f>הגדרות!D3</f>
        <v/>
      </c>
      <c r="L216">
        <f>I216*(1+J216/100)+K216</f>
        <v/>
      </c>
    </row>
    <row r="217">
      <c r="A217" t="inlineStr">
        <is>
          <t>קונג (Kong)</t>
        </is>
      </c>
      <c r="B217" t="inlineStr">
        <is>
          <t>קונג מתקן פיל לחטיפים )M (PEPZ21</t>
        </is>
      </c>
      <c r="C217" t="inlineStr">
        <is>
          <t>צעצועים</t>
        </is>
      </c>
      <c r="D217" t="inlineStr">
        <is>
          <t>376000608</t>
        </is>
      </c>
      <c r="E217" t="inlineStr">
        <is>
          <t>2026-08</t>
        </is>
      </c>
      <c r="F217" t="n">
        <v>58</v>
      </c>
      <c r="G217" t="n">
        <v>68.44</v>
      </c>
      <c r="H217">
        <f>הגדרות!B3</f>
        <v/>
      </c>
      <c r="I217">
        <f>F217*(1-H217/100)*1.18</f>
        <v/>
      </c>
      <c r="J217">
        <f>הגדרות!C3</f>
        <v/>
      </c>
      <c r="K217">
        <f>הגדרות!D3</f>
        <v/>
      </c>
      <c r="L217">
        <f>I217*(1+J217/100)+K217</f>
        <v/>
      </c>
    </row>
    <row r="218">
      <c r="A218" t="inlineStr">
        <is>
          <t>קונג (Kong)</t>
        </is>
      </c>
      <c r="B218" t="inlineStr">
        <is>
          <t>קונג מתקן אריה לחטיפים )M (PEPZ22</t>
        </is>
      </c>
      <c r="C218" t="inlineStr">
        <is>
          <t>צעצועים</t>
        </is>
      </c>
      <c r="D218" t="inlineStr">
        <is>
          <t>376000609</t>
        </is>
      </c>
      <c r="E218" t="inlineStr">
        <is>
          <t>2026-08</t>
        </is>
      </c>
      <c r="F218" t="n">
        <v>58</v>
      </c>
      <c r="G218" t="n">
        <v>68.44</v>
      </c>
      <c r="H218">
        <f>הגדרות!B3</f>
        <v/>
      </c>
      <c r="I218">
        <f>F218*(1-H218/100)*1.18</f>
        <v/>
      </c>
      <c r="J218">
        <f>הגדרות!C3</f>
        <v/>
      </c>
      <c r="K218">
        <f>הגדרות!D3</f>
        <v/>
      </c>
      <c r="L218">
        <f>I218*(1+J218/100)+K218</f>
        <v/>
      </c>
    </row>
    <row r="219">
      <c r="A219" t="inlineStr">
        <is>
          <t>קונג (Kong)</t>
        </is>
      </c>
      <c r="B219" t="inlineStr">
        <is>
          <t>קונג מתקן קוף לחטיפים )M (PEPZ23</t>
        </is>
      </c>
      <c r="C219" t="inlineStr">
        <is>
          <t>צעצועים</t>
        </is>
      </c>
      <c r="D219" t="inlineStr">
        <is>
          <t>376000610</t>
        </is>
      </c>
      <c r="E219" t="inlineStr">
        <is>
          <t>2026-08</t>
        </is>
      </c>
      <c r="F219" t="n">
        <v>58</v>
      </c>
      <c r="G219" t="n">
        <v>68.44</v>
      </c>
      <c r="H219">
        <f>הגדרות!B3</f>
        <v/>
      </c>
      <c r="I219">
        <f>F219*(1-H219/100)*1.18</f>
        <v/>
      </c>
      <c r="J219">
        <f>הגדרות!C3</f>
        <v/>
      </c>
      <c r="K219">
        <f>הגדרות!D3</f>
        <v/>
      </c>
      <c r="L219">
        <f>I219*(1+J219/100)+K219</f>
        <v/>
      </c>
    </row>
    <row r="220">
      <c r="A220" t="inlineStr">
        <is>
          <t>קונג (Kong)</t>
        </is>
      </c>
      <c r="B220" t="inlineStr">
        <is>
          <t>קונג חתול וובה פרפר (WC66)</t>
        </is>
      </c>
      <c r="C220" t="inlineStr">
        <is>
          <t>צעצועים</t>
        </is>
      </c>
      <c r="D220" t="inlineStr">
        <is>
          <t>376000611</t>
        </is>
      </c>
      <c r="E220" t="inlineStr">
        <is>
          <t>2026-08</t>
        </is>
      </c>
      <c r="F220" t="n">
        <v>43</v>
      </c>
      <c r="G220" t="n">
        <v>50.74</v>
      </c>
      <c r="H220">
        <f>הגדרות!B3</f>
        <v/>
      </c>
      <c r="I220">
        <f>F220*(1-H220/100)*1.18</f>
        <v/>
      </c>
      <c r="J220">
        <f>הגדרות!C3</f>
        <v/>
      </c>
      <c r="K220">
        <f>הגדרות!D3</f>
        <v/>
      </c>
      <c r="L220">
        <f>I220*(1+J220/100)+K220</f>
        <v/>
      </c>
    </row>
    <row r="221">
      <c r="A221" t="inlineStr">
        <is>
          <t>קונג (Kong)</t>
        </is>
      </c>
      <c r="B221" t="inlineStr">
        <is>
          <t>קונג ווירלס (M (WHZ11</t>
        </is>
      </c>
      <c r="C221" t="inlineStr">
        <is>
          <t>צעצועים</t>
        </is>
      </c>
      <c r="D221" t="inlineStr">
        <is>
          <t>376000612</t>
        </is>
      </c>
      <c r="E221" t="inlineStr">
        <is>
          <t>2026-08</t>
        </is>
      </c>
      <c r="F221" t="n">
        <v>66</v>
      </c>
      <c r="G221" t="n">
        <v>77.88</v>
      </c>
      <c r="H221">
        <f>הגדרות!B3</f>
        <v/>
      </c>
      <c r="I221">
        <f>F221*(1-H221/100)*1.18</f>
        <v/>
      </c>
      <c r="J221">
        <f>הגדרות!C3</f>
        <v/>
      </c>
      <c r="K221">
        <f>הגדרות!D3</f>
        <v/>
      </c>
      <c r="L221">
        <f>I221*(1+J221/100)+K221</f>
        <v/>
      </c>
    </row>
    <row r="222">
      <c r="A222" t="inlineStr">
        <is>
          <t>קונג (Kong)</t>
        </is>
      </c>
      <c r="B222" t="inlineStr">
        <is>
          <t>קונג ווירלס חבל WHZ12) M(</t>
        </is>
      </c>
      <c r="C222" t="inlineStr">
        <is>
          <t>צעצועים</t>
        </is>
      </c>
      <c r="D222" t="inlineStr">
        <is>
          <t>376000613</t>
        </is>
      </c>
      <c r="E222" t="inlineStr">
        <is>
          <t>2026-08</t>
        </is>
      </c>
      <c r="F222" t="n">
        <v>66</v>
      </c>
      <c r="G222" t="n">
        <v>77.88</v>
      </c>
      <c r="H222">
        <f>הגדרות!B3</f>
        <v/>
      </c>
      <c r="I222">
        <f>F222*(1-H222/100)*1.18</f>
        <v/>
      </c>
      <c r="J222">
        <f>הגדרות!C3</f>
        <v/>
      </c>
      <c r="K222">
        <f>הגדרות!D3</f>
        <v/>
      </c>
      <c r="L222">
        <f>I222*(1+J222/100)+K222</f>
        <v/>
      </c>
    </row>
    <row r="223">
      <c r="A223" t="inlineStr">
        <is>
          <t>קונג (Kong)</t>
        </is>
      </c>
      <c r="B223" t="inlineStr">
        <is>
          <t>קונג דיספליי בובות פרות 12 במארז (521PDQ164)</t>
        </is>
      </c>
      <c r="C223" t="inlineStr">
        <is>
          <t>אביזרים</t>
        </is>
      </c>
      <c r="D223" t="inlineStr">
        <is>
          <t>376000614</t>
        </is>
      </c>
      <c r="E223" t="inlineStr">
        <is>
          <t>2026-08</t>
        </is>
      </c>
      <c r="F223" t="n">
        <v>179</v>
      </c>
      <c r="G223" t="n">
        <v>211.22</v>
      </c>
      <c r="H223">
        <f>הגדרות!B3</f>
        <v/>
      </c>
      <c r="I223">
        <f>F223*(1-H223/100)*1.18</f>
        <v/>
      </c>
      <c r="J223">
        <f>הגדרות!C3</f>
        <v/>
      </c>
      <c r="K223">
        <f>הגדרות!D3</f>
        <v/>
      </c>
      <c r="L223">
        <f>I223*(1+J223/100)+K223</f>
        <v/>
      </c>
    </row>
    <row r="224">
      <c r="A224" t="inlineStr">
        <is>
          <t>קונג (Kong)</t>
        </is>
      </c>
      <c r="B224" t="inlineStr">
        <is>
          <t>קונג כדורים גדולים רכים 2 במארז (ABSS1)</t>
        </is>
      </c>
      <c r="C224" t="inlineStr">
        <is>
          <t>צעצועים</t>
        </is>
      </c>
      <c r="D224" t="inlineStr">
        <is>
          <t>376000615</t>
        </is>
      </c>
      <c r="E224" t="inlineStr">
        <is>
          <t>2026-08</t>
        </is>
      </c>
      <c r="F224" t="n">
        <v>42</v>
      </c>
      <c r="G224" t="n">
        <v>49.56</v>
      </c>
      <c r="H224">
        <f>הגדרות!B3</f>
        <v/>
      </c>
      <c r="I224">
        <f>F224*(1-H224/100)*1.18</f>
        <v/>
      </c>
      <c r="J224">
        <f>הגדרות!C3</f>
        <v/>
      </c>
      <c r="K224">
        <f>הגדרות!D3</f>
        <v/>
      </c>
      <c r="L224">
        <f>I224*(1+J224/100)+K224</f>
        <v/>
      </c>
    </row>
    <row r="225">
      <c r="A225" t="inlineStr">
        <is>
          <t>קונג (Kong)</t>
        </is>
      </c>
      <c r="B225" t="inlineStr">
        <is>
          <t>קונג כדורים בינוניים רכים 3 במארז (ABSS2)</t>
        </is>
      </c>
      <c r="C225" t="inlineStr">
        <is>
          <t>צעצועים</t>
        </is>
      </c>
      <c r="D225" t="inlineStr">
        <is>
          <t>376000616</t>
        </is>
      </c>
      <c r="E225" t="inlineStr">
        <is>
          <t>2026-08</t>
        </is>
      </c>
      <c r="F225" t="n">
        <v>39</v>
      </c>
      <c r="G225" t="n">
        <v>46.02</v>
      </c>
      <c r="H225">
        <f>הגדרות!B3</f>
        <v/>
      </c>
      <c r="I225">
        <f>F225*(1-H225/100)*1.18</f>
        <v/>
      </c>
      <c r="J225">
        <f>הגדרות!C3</f>
        <v/>
      </c>
      <c r="K225">
        <f>הגדרות!D3</f>
        <v/>
      </c>
      <c r="L225">
        <f>I225*(1+J225/100)+K225</f>
        <v/>
      </c>
    </row>
    <row r="226">
      <c r="A226" t="inlineStr">
        <is>
          <t>קונג (Kong)</t>
        </is>
      </c>
      <c r="B226" t="inlineStr">
        <is>
          <t>קונג כדור סקוויז כדור גמיש (PCF21)</t>
        </is>
      </c>
      <c r="C226" t="inlineStr">
        <is>
          <t>צעצועים</t>
        </is>
      </c>
      <c r="D226" t="inlineStr">
        <is>
          <t>376000618</t>
        </is>
      </c>
      <c r="E226" t="inlineStr">
        <is>
          <t>2026-08</t>
        </is>
      </c>
      <c r="F226" t="n">
        <v>37</v>
      </c>
      <c r="G226" t="n">
        <v>43.66</v>
      </c>
      <c r="H226">
        <f>הגדרות!B3</f>
        <v/>
      </c>
      <c r="I226">
        <f>F226*(1-H226/100)*1.18</f>
        <v/>
      </c>
      <c r="J226">
        <f>הגדרות!C3</f>
        <v/>
      </c>
      <c r="K226">
        <f>הגדרות!D3</f>
        <v/>
      </c>
      <c r="L226">
        <f>I226*(1+J226/100)+K226</f>
        <v/>
      </c>
    </row>
    <row r="227">
      <c r="A227" t="inlineStr">
        <is>
          <t>קונג (Kong)</t>
        </is>
      </c>
      <c r="B227" t="inlineStr">
        <is>
          <t>קונג וואראפז משחק האכלה (PEPR1)</t>
        </is>
      </c>
      <c r="C227" t="inlineStr">
        <is>
          <t>צעצועים</t>
        </is>
      </c>
      <c r="D227" t="inlineStr">
        <is>
          <t>376000621</t>
        </is>
      </c>
      <c r="E227" t="inlineStr">
        <is>
          <t>2026-08</t>
        </is>
      </c>
      <c r="F227" t="n">
        <v>67</v>
      </c>
      <c r="G227" t="n">
        <v>79.06</v>
      </c>
      <c r="H227">
        <f>הגדרות!B3</f>
        <v/>
      </c>
      <c r="I227">
        <f>F227*(1-H227/100)*1.18</f>
        <v/>
      </c>
      <c r="J227">
        <f>הגדרות!C3</f>
        <v/>
      </c>
      <c r="K227">
        <f>הגדרות!D3</f>
        <v/>
      </c>
      <c r="L227">
        <f>I227*(1+J227/100)+K227</f>
        <v/>
      </c>
    </row>
    <row r="228">
      <c r="A228" t="inlineStr">
        <is>
          <t>קונג (Kong)</t>
        </is>
      </c>
      <c r="B228" t="inlineStr">
        <is>
          <t>קונג משחק רינגארו פיל מדיום (RGR21)</t>
        </is>
      </c>
      <c r="C228" t="inlineStr">
        <is>
          <t>צעצועים</t>
        </is>
      </c>
      <c r="D228" t="inlineStr">
        <is>
          <t>376000622</t>
        </is>
      </c>
      <c r="E228" t="inlineStr">
        <is>
          <t>2026-08</t>
        </is>
      </c>
      <c r="F228" t="n">
        <v>59</v>
      </c>
      <c r="G228" t="n">
        <v>69.62</v>
      </c>
      <c r="H228">
        <f>הגדרות!B3</f>
        <v/>
      </c>
      <c r="I228">
        <f>F228*(1-H228/100)*1.18</f>
        <v/>
      </c>
      <c r="J228">
        <f>הגדרות!C3</f>
        <v/>
      </c>
      <c r="K228">
        <f>הגדרות!D3</f>
        <v/>
      </c>
      <c r="L228">
        <f>I228*(1+J228/100)+K228</f>
        <v/>
      </c>
    </row>
    <row r="229">
      <c r="A229" t="inlineStr">
        <is>
          <t>קונג (Kong)</t>
        </is>
      </c>
      <c r="B229" t="inlineStr">
        <is>
          <t>קונג גרינז צפרדע גדולה (RZGRC11)</t>
        </is>
      </c>
      <c r="C229" t="inlineStr">
        <is>
          <t>צעצועים</t>
        </is>
      </c>
      <c r="D229" t="inlineStr">
        <is>
          <t>376000624</t>
        </is>
      </c>
      <c r="E229" t="inlineStr">
        <is>
          <t>2026-08</t>
        </is>
      </c>
      <c r="F229" t="n">
        <v>45</v>
      </c>
      <c r="G229" t="n">
        <v>53.1</v>
      </c>
      <c r="H229">
        <f>הגדרות!B3</f>
        <v/>
      </c>
      <c r="I229">
        <f>F229*(1-H229/100)*1.18</f>
        <v/>
      </c>
      <c r="J229">
        <f>הגדרות!C3</f>
        <v/>
      </c>
      <c r="K229">
        <f>הגדרות!D3</f>
        <v/>
      </c>
      <c r="L229">
        <f>I229*(1+J229/100)+K229</f>
        <v/>
      </c>
    </row>
    <row r="230">
      <c r="A230" t="inlineStr">
        <is>
          <t>קונג (Kong)</t>
        </is>
      </c>
      <c r="B230" t="inlineStr">
        <is>
          <t>קונג גרינז דג בינוני (RZGRC21)</t>
        </is>
      </c>
      <c r="C230" t="inlineStr">
        <is>
          <t>צעצועים</t>
        </is>
      </c>
      <c r="D230" t="inlineStr">
        <is>
          <t>376000625</t>
        </is>
      </c>
      <c r="E230" t="inlineStr">
        <is>
          <t>2026-08</t>
        </is>
      </c>
      <c r="F230" t="n">
        <v>33</v>
      </c>
      <c r="G230" t="n">
        <v>38.94</v>
      </c>
      <c r="H230">
        <f>הגדרות!B3</f>
        <v/>
      </c>
      <c r="I230">
        <f>F230*(1-H230/100)*1.18</f>
        <v/>
      </c>
      <c r="J230">
        <f>הגדרות!C3</f>
        <v/>
      </c>
      <c r="K230">
        <f>הגדרות!D3</f>
        <v/>
      </c>
      <c r="L230">
        <f>I230*(1+J230/100)+K230</f>
        <v/>
      </c>
    </row>
    <row r="231">
      <c r="A231" t="inlineStr">
        <is>
          <t>קונג (Kong)</t>
        </is>
      </c>
      <c r="B231" t="inlineStr">
        <is>
          <t>קונג גרינז צפרדע בינונית (RZGRC22)</t>
        </is>
      </c>
      <c r="C231" t="inlineStr">
        <is>
          <t>צעצועים</t>
        </is>
      </c>
      <c r="D231" t="inlineStr">
        <is>
          <t>376000626</t>
        </is>
      </c>
      <c r="E231" t="inlineStr">
        <is>
          <t>2026-08</t>
        </is>
      </c>
      <c r="F231" t="n">
        <v>33</v>
      </c>
      <c r="G231" t="n">
        <v>38.94</v>
      </c>
      <c r="H231">
        <f>הגדרות!B3</f>
        <v/>
      </c>
      <c r="I231">
        <f>F231*(1-H231/100)*1.18</f>
        <v/>
      </c>
      <c r="J231">
        <f>הגדרות!C3</f>
        <v/>
      </c>
      <c r="K231">
        <f>הגדרות!D3</f>
        <v/>
      </c>
      <c r="L231">
        <f>I231*(1+J231/100)+K231</f>
        <v/>
      </c>
    </row>
    <row r="232">
      <c r="A232" t="inlineStr">
        <is>
          <t>קונג (Kong)</t>
        </is>
      </c>
      <c r="B232" t="inlineStr">
        <is>
          <t>קונג גרינז דג קטן (RZGRC31)</t>
        </is>
      </c>
      <c r="C232" t="inlineStr">
        <is>
          <t>צעצועים</t>
        </is>
      </c>
      <c r="D232" t="inlineStr">
        <is>
          <t>376000627</t>
        </is>
      </c>
      <c r="E232" t="inlineStr">
        <is>
          <t>2026-08</t>
        </is>
      </c>
      <c r="F232" t="n">
        <v>25</v>
      </c>
      <c r="G232" t="n">
        <v>29.5</v>
      </c>
      <c r="H232">
        <f>הגדרות!B3</f>
        <v/>
      </c>
      <c r="I232">
        <f>F232*(1-H232/100)*1.18</f>
        <v/>
      </c>
      <c r="J232">
        <f>הגדרות!C3</f>
        <v/>
      </c>
      <c r="K232">
        <f>הגדרות!D3</f>
        <v/>
      </c>
      <c r="L232">
        <f>I232*(1+J232/100)+K232</f>
        <v/>
      </c>
    </row>
    <row r="233">
      <c r="A233" t="inlineStr">
        <is>
          <t>קונג (Kong)</t>
        </is>
      </c>
      <c r="B233" t="inlineStr">
        <is>
          <t>קונג בובת מיני ברווז (SNZM53)</t>
        </is>
      </c>
      <c r="C233" t="inlineStr">
        <is>
          <t>צעצועים</t>
        </is>
      </c>
      <c r="D233" t="inlineStr">
        <is>
          <t>376000607</t>
        </is>
      </c>
      <c r="E233" t="inlineStr">
        <is>
          <t>2026-08</t>
        </is>
      </c>
      <c r="F233" t="n">
        <v>30</v>
      </c>
      <c r="G233" t="n">
        <v>35.4</v>
      </c>
      <c r="H233">
        <f>הגדרות!B3</f>
        <v/>
      </c>
      <c r="I233">
        <f>F233*(1-H233/100)*1.18</f>
        <v/>
      </c>
      <c r="J233">
        <f>הגדרות!C3</f>
        <v/>
      </c>
      <c r="K233">
        <f>הגדרות!D3</f>
        <v/>
      </c>
      <c r="L233">
        <f>I233*(1+J233/100)+K233</f>
        <v/>
      </c>
    </row>
    <row r="234">
      <c r="A234" t="inlineStr">
        <is>
          <t>קונג (Kong)</t>
        </is>
      </c>
      <c r="B234" t="inlineStr">
        <is>
          <t>קונג עצם סקוויזית מדיום (PCF22)</t>
        </is>
      </c>
      <c r="C234" t="inlineStr">
        <is>
          <t>צעצועים</t>
        </is>
      </c>
      <c r="D234" t="inlineStr">
        <is>
          <t>376000619</t>
        </is>
      </c>
      <c r="E234" t="inlineStr">
        <is>
          <t>2026-08</t>
        </is>
      </c>
      <c r="F234" t="n">
        <v>37</v>
      </c>
      <c r="G234" t="n">
        <v>43.66</v>
      </c>
      <c r="H234">
        <f>הגדרות!B3</f>
        <v/>
      </c>
      <c r="I234">
        <f>F234*(1-H234/100)*1.18</f>
        <v/>
      </c>
      <c r="J234">
        <f>הגדרות!C3</f>
        <v/>
      </c>
      <c r="K234">
        <f>הגדרות!D3</f>
        <v/>
      </c>
      <c r="L234">
        <f>I234*(1+J234/100)+K234</f>
        <v/>
      </c>
    </row>
    <row r="235">
      <c r="A235" t="inlineStr">
        <is>
          <t>קונג (Kong)</t>
        </is>
      </c>
      <c r="B235" t="inlineStr">
        <is>
          <t>קונג משחק רינגארו חזיר בינוני מדיום (RGR22)</t>
        </is>
      </c>
      <c r="C235" t="inlineStr">
        <is>
          <t>צעצועים</t>
        </is>
      </c>
      <c r="D235" t="inlineStr">
        <is>
          <t>376000623</t>
        </is>
      </c>
      <c r="E235" t="inlineStr">
        <is>
          <t>2026-08</t>
        </is>
      </c>
      <c r="F235" t="n">
        <v>59</v>
      </c>
      <c r="G235" t="n">
        <v>69.62</v>
      </c>
      <c r="H235">
        <f>הגדרות!B3</f>
        <v/>
      </c>
      <c r="I235">
        <f>F235*(1-H235/100)*1.18</f>
        <v/>
      </c>
      <c r="J235">
        <f>הגדרות!C3</f>
        <v/>
      </c>
      <c r="K235">
        <f>הגדרות!D3</f>
        <v/>
      </c>
      <c r="L235">
        <f>I235*(1+J235/100)+K235</f>
        <v/>
      </c>
    </row>
    <row r="236">
      <c r="A236" t="inlineStr">
        <is>
          <t>קונג (Kong)</t>
        </is>
      </c>
      <c r="B236" t="inlineStr">
        <is>
          <t>קונג שילדז מקל אימון צף כתום לבן RSWD11) M/L)***</t>
        </is>
      </c>
      <c r="C236" t="inlineStr">
        <is>
          <t>צעצועים</t>
        </is>
      </c>
      <c r="D236" t="inlineStr">
        <is>
          <t>376000569</t>
        </is>
      </c>
      <c r="E236" t="inlineStr">
        <is>
          <t>2026-08</t>
        </is>
      </c>
      <c r="F236" t="n">
        <v>91</v>
      </c>
      <c r="G236" t="n">
        <v>107.38</v>
      </c>
      <c r="H236">
        <f>הגדרות!B3</f>
        <v/>
      </c>
      <c r="I236">
        <f>F236*(1-H236/100)*1.18</f>
        <v/>
      </c>
      <c r="J236">
        <f>הגדרות!C3</f>
        <v/>
      </c>
      <c r="K236">
        <f>הגדרות!D3</f>
        <v/>
      </c>
      <c r="L236">
        <f>I236*(1+J236/100)+K236</f>
        <v/>
      </c>
    </row>
    <row r="237">
      <c r="A237" t="inlineStr">
        <is>
          <t>קונג (Kong)</t>
        </is>
      </c>
      <c r="B237" t="inlineStr">
        <is>
          <t>קונג בנדיז פיל גדול (BCR11)</t>
        </is>
      </c>
      <c r="C237" t="inlineStr">
        <is>
          <t>צעצועים</t>
        </is>
      </c>
      <c r="D237" t="inlineStr">
        <is>
          <t>376000628</t>
        </is>
      </c>
      <c r="E237" t="inlineStr">
        <is>
          <t>2026-08</t>
        </is>
      </c>
      <c r="F237" t="n">
        <v>59</v>
      </c>
      <c r="G237" t="n">
        <v>69.62</v>
      </c>
      <c r="H237">
        <f>הגדרות!B3</f>
        <v/>
      </c>
      <c r="I237">
        <f>F237*(1-H237/100)*1.18</f>
        <v/>
      </c>
      <c r="J237">
        <f>הגדרות!C3</f>
        <v/>
      </c>
      <c r="K237">
        <f>הגדרות!D3</f>
        <v/>
      </c>
      <c r="L237">
        <f>I237*(1+J237/100)+K237</f>
        <v/>
      </c>
    </row>
    <row r="238">
      <c r="A238" t="inlineStr">
        <is>
          <t>קונג (Kong)</t>
        </is>
      </c>
      <c r="B238" t="inlineStr">
        <is>
          <t>קונג בנדיז ציפור גדולה (BCR2)</t>
        </is>
      </c>
      <c r="C238" t="inlineStr">
        <is>
          <t>צעצועים</t>
        </is>
      </c>
      <c r="D238" t="inlineStr">
        <is>
          <t>376000629</t>
        </is>
      </c>
      <c r="E238" t="inlineStr">
        <is>
          <t>2026-08</t>
        </is>
      </c>
      <c r="F238" t="n">
        <v>59</v>
      </c>
      <c r="G238" t="n">
        <v>69.62</v>
      </c>
      <c r="H238">
        <f>הגדרות!B3</f>
        <v/>
      </c>
      <c r="I238">
        <f>F238*(1-H238/100)*1.18</f>
        <v/>
      </c>
      <c r="J238">
        <f>הגדרות!C3</f>
        <v/>
      </c>
      <c r="K238">
        <f>הגדרות!D3</f>
        <v/>
      </c>
      <c r="L238">
        <f>I238*(1+J238/100)+K238</f>
        <v/>
      </c>
    </row>
    <row r="239">
      <c r="A239" t="inlineStr">
        <is>
          <t>קונג (Kong)</t>
        </is>
      </c>
      <c r="B239" t="inlineStr">
        <is>
          <t>קונג בנדיז חילזון גדול (BCR13</t>
        </is>
      </c>
      <c r="C239" t="inlineStr">
        <is>
          <t>צעצועים</t>
        </is>
      </c>
      <c r="D239" t="inlineStr">
        <is>
          <t>376000630</t>
        </is>
      </c>
      <c r="E239" t="inlineStr">
        <is>
          <t>2026-08</t>
        </is>
      </c>
      <c r="F239" t="n">
        <v>59</v>
      </c>
      <c r="G239" t="n">
        <v>69.62</v>
      </c>
      <c r="H239">
        <f>הגדרות!B3</f>
        <v/>
      </c>
      <c r="I239">
        <f>F239*(1-H239/100)*1.18</f>
        <v/>
      </c>
      <c r="J239">
        <f>הגדרות!C3</f>
        <v/>
      </c>
      <c r="K239">
        <f>הגדרות!D3</f>
        <v/>
      </c>
      <c r="L239">
        <f>I239*(1+J239/100)+K239</f>
        <v/>
      </c>
    </row>
    <row r="240">
      <c r="A240" t="inlineStr">
        <is>
          <t>קונג (Kong)</t>
        </is>
      </c>
      <c r="B240" t="inlineStr">
        <is>
          <t>קונג חכת חברות לחתול (CAT67)</t>
        </is>
      </c>
      <c r="C240" t="inlineStr">
        <is>
          <t>צעצועים</t>
        </is>
      </c>
      <c r="D240" t="inlineStr">
        <is>
          <t>376000631</t>
        </is>
      </c>
      <c r="E240" t="inlineStr">
        <is>
          <t>2026-08</t>
        </is>
      </c>
      <c r="F240" t="n">
        <v>37</v>
      </c>
      <c r="G240" t="n">
        <v>43.66</v>
      </c>
      <c r="H240">
        <f>הגדרות!B3</f>
        <v/>
      </c>
      <c r="I240">
        <f>F240*(1-H240/100)*1.18</f>
        <v/>
      </c>
      <c r="J240">
        <f>הגדרות!C3</f>
        <v/>
      </c>
      <c r="K240">
        <f>הגדרות!D3</f>
        <v/>
      </c>
      <c r="L240">
        <f>I240*(1+J240/100)+K240</f>
        <v/>
      </c>
    </row>
    <row r="241">
      <c r="A241" t="inlineStr">
        <is>
          <t>קונג (Kong)</t>
        </is>
      </c>
      <c r="B241" t="inlineStr">
        <is>
          <t>קונג קופסאת סרדינים (CRCL54)</t>
        </is>
      </c>
      <c r="C241" t="inlineStr">
        <is>
          <t>צעצועים</t>
        </is>
      </c>
      <c r="D241" t="inlineStr">
        <is>
          <t>376000632</t>
        </is>
      </c>
      <c r="E241" t="inlineStr">
        <is>
          <t>2026-08</t>
        </is>
      </c>
      <c r="F241" t="n">
        <v>26</v>
      </c>
      <c r="G241" t="n">
        <v>30.68</v>
      </c>
      <c r="H241">
        <f>הגדרות!B3</f>
        <v/>
      </c>
      <c r="I241">
        <f>F241*(1-H241/100)*1.18</f>
        <v/>
      </c>
      <c r="J241">
        <f>הגדרות!C3</f>
        <v/>
      </c>
      <c r="K241">
        <f>הגדרות!D3</f>
        <v/>
      </c>
      <c r="L241">
        <f>I241*(1+J241/100)+K241</f>
        <v/>
      </c>
    </row>
    <row r="242">
      <c r="A242" t="inlineStr">
        <is>
          <t>קונג (Kong)</t>
        </is>
      </c>
      <c r="B242" t="inlineStr">
        <is>
          <t>קונג קשרים קוף גדול (NKMX11)</t>
        </is>
      </c>
      <c r="C242" t="inlineStr">
        <is>
          <t>צעצועים</t>
        </is>
      </c>
      <c r="D242" t="inlineStr">
        <is>
          <t>376000633</t>
        </is>
      </c>
      <c r="E242" t="inlineStr">
        <is>
          <t>2026-08</t>
        </is>
      </c>
      <c r="F242" t="n">
        <v>72</v>
      </c>
      <c r="G242" t="n">
        <v>84.95999999999999</v>
      </c>
      <c r="H242">
        <f>הגדרות!B3</f>
        <v/>
      </c>
      <c r="I242">
        <f>F242*(1-H242/100)*1.18</f>
        <v/>
      </c>
      <c r="J242">
        <f>הגדרות!C3</f>
        <v/>
      </c>
      <c r="K242">
        <f>הגדרות!D3</f>
        <v/>
      </c>
      <c r="L242">
        <f>I242*(1+J242/100)+K242</f>
        <v/>
      </c>
    </row>
    <row r="243">
      <c r="A243" t="inlineStr">
        <is>
          <t>קונג (Kong)</t>
        </is>
      </c>
      <c r="B243" t="inlineStr">
        <is>
          <t>קונג בריכת משחקים (CA125)</t>
        </is>
      </c>
      <c r="C243" t="inlineStr">
        <is>
          <t>צעצועים</t>
        </is>
      </c>
      <c r="D243" t="inlineStr">
        <is>
          <t>376000635</t>
        </is>
      </c>
      <c r="E243" t="inlineStr">
        <is>
          <t>2026-08</t>
        </is>
      </c>
      <c r="F243" t="n">
        <v>64</v>
      </c>
      <c r="G243" t="n">
        <v>75.52</v>
      </c>
      <c r="H243">
        <f>הגדרות!B3</f>
        <v/>
      </c>
      <c r="I243">
        <f>F243*(1-H243/100)*1.18</f>
        <v/>
      </c>
      <c r="J243">
        <f>הגדרות!C3</f>
        <v/>
      </c>
      <c r="K243">
        <f>הגדרות!D3</f>
        <v/>
      </c>
      <c r="L243">
        <f>I243*(1+J243/100)+K243</f>
        <v/>
      </c>
    </row>
    <row r="244">
      <c r="A244" t="inlineStr">
        <is>
          <t>קונג (Kong)</t>
        </is>
      </c>
      <c r="B244" t="inlineStr">
        <is>
          <t>קונג קשרים שועל אקסטרה סמול (NKF51)</t>
        </is>
      </c>
      <c r="C244" t="inlineStr">
        <is>
          <t>צעצועים</t>
        </is>
      </c>
      <c r="D244" t="inlineStr">
        <is>
          <t>376000636</t>
        </is>
      </c>
      <c r="E244" t="inlineStr">
        <is>
          <t>2026-08</t>
        </is>
      </c>
      <c r="F244" t="n">
        <v>25</v>
      </c>
      <c r="G244" t="n">
        <v>29.5</v>
      </c>
      <c r="H244">
        <f>הגדרות!B3</f>
        <v/>
      </c>
      <c r="I244">
        <f>F244*(1-H244/100)*1.18</f>
        <v/>
      </c>
      <c r="J244">
        <f>הגדרות!C3</f>
        <v/>
      </c>
      <c r="K244">
        <f>הגדרות!D3</f>
        <v/>
      </c>
      <c r="L244">
        <f>I244*(1+J244/100)+K244</f>
        <v/>
      </c>
    </row>
    <row r="245">
      <c r="A245" t="inlineStr">
        <is>
          <t>קונג (Kong)</t>
        </is>
      </c>
      <c r="B245" t="inlineStr">
        <is>
          <t>קונג קשרים היפו אקסטרה סמול (NKF52)</t>
        </is>
      </c>
      <c r="C245" t="inlineStr">
        <is>
          <t>צעצועים</t>
        </is>
      </c>
      <c r="D245" t="inlineStr">
        <is>
          <t>376000637</t>
        </is>
      </c>
      <c r="E245" t="inlineStr">
        <is>
          <t>2026-08</t>
        </is>
      </c>
      <c r="F245" t="n">
        <v>25</v>
      </c>
      <c r="G245" t="n">
        <v>29.5</v>
      </c>
      <c r="H245">
        <f>הגדרות!B3</f>
        <v/>
      </c>
      <c r="I245">
        <f>F245*(1-H245/100)*1.18</f>
        <v/>
      </c>
      <c r="J245">
        <f>הגדרות!C3</f>
        <v/>
      </c>
      <c r="K245">
        <f>הגדרות!D3</f>
        <v/>
      </c>
      <c r="L245">
        <f>I245*(1+J245/100)+K245</f>
        <v/>
      </c>
    </row>
    <row r="246">
      <c r="A246" t="inlineStr">
        <is>
          <t>קונג (Kong)</t>
        </is>
      </c>
      <c r="B246" t="inlineStr">
        <is>
          <t>קונג גומז עצם דנטלית מדיום/לארג (PFD11)</t>
        </is>
      </c>
      <c r="C246" t="inlineStr">
        <is>
          <t>צעצועים</t>
        </is>
      </c>
      <c r="D246" t="inlineStr">
        <is>
          <t>376000638</t>
        </is>
      </c>
      <c r="E246" t="inlineStr">
        <is>
          <t>2026-08</t>
        </is>
      </c>
      <c r="F246" t="n">
        <v>38</v>
      </c>
      <c r="G246" t="n">
        <v>44.84</v>
      </c>
      <c r="H246">
        <f>הגדרות!B3</f>
        <v/>
      </c>
      <c r="I246">
        <f>F246*(1-H246/100)*1.18</f>
        <v/>
      </c>
      <c r="J246">
        <f>הגדרות!C3</f>
        <v/>
      </c>
      <c r="K246">
        <f>הגדרות!D3</f>
        <v/>
      </c>
      <c r="L246">
        <f>I246*(1+J246/100)+K246</f>
        <v/>
      </c>
    </row>
    <row r="247">
      <c r="A247" t="inlineStr">
        <is>
          <t>קונג (Kong)</t>
        </is>
      </c>
      <c r="B247" t="inlineStr">
        <is>
          <t>קונג גומז כדורגל דנטלי מדיום/לארג (PFD21)</t>
        </is>
      </c>
      <c r="C247" t="inlineStr">
        <is>
          <t>צעצועים</t>
        </is>
      </c>
      <c r="D247" t="inlineStr">
        <is>
          <t>376000639</t>
        </is>
      </c>
      <c r="E247" t="inlineStr">
        <is>
          <t>2026-08</t>
        </is>
      </c>
      <c r="F247" t="n">
        <v>39</v>
      </c>
      <c r="G247" t="n">
        <v>46.02</v>
      </c>
      <c r="H247">
        <f>הגדרות!B3</f>
        <v/>
      </c>
      <c r="I247">
        <f>F247*(1-H247/100)*1.18</f>
        <v/>
      </c>
      <c r="J247">
        <f>הגדרות!C3</f>
        <v/>
      </c>
      <c r="K247">
        <f>הגדרות!D3</f>
        <v/>
      </c>
      <c r="L247">
        <f>I247*(1+J247/100)+K247</f>
        <v/>
      </c>
    </row>
    <row r="248">
      <c r="A248" t="inlineStr">
        <is>
          <t>קונג (Kong)</t>
        </is>
      </c>
      <c r="B248" t="inlineStr">
        <is>
          <t>קונג גומז כדור דנטלי אקסטקה סמול/סמול (PFD51)</t>
        </is>
      </c>
      <c r="C248" t="inlineStr">
        <is>
          <t>צעצועים</t>
        </is>
      </c>
      <c r="D248" t="inlineStr">
        <is>
          <t>376000641</t>
        </is>
      </c>
      <c r="E248" t="inlineStr">
        <is>
          <t>2026-08</t>
        </is>
      </c>
      <c r="F248" t="n">
        <v>26</v>
      </c>
      <c r="G248" t="n">
        <v>30.68</v>
      </c>
      <c r="H248">
        <f>הגדרות!B3</f>
        <v/>
      </c>
      <c r="I248">
        <f>F248*(1-H248/100)*1.18</f>
        <v/>
      </c>
      <c r="J248">
        <f>הגדרות!C3</f>
        <v/>
      </c>
      <c r="K248">
        <f>הגדרות!D3</f>
        <v/>
      </c>
      <c r="L248">
        <f>I248*(1+J248/100)+K248</f>
        <v/>
      </c>
    </row>
    <row r="249">
      <c r="A249" t="inlineStr">
        <is>
          <t>קונג (Kong)</t>
        </is>
      </c>
      <c r="B249" t="inlineStr">
        <is>
          <t>קונג מקל מצפצף לארג (PSXZ11)</t>
        </is>
      </c>
      <c r="C249" t="inlineStr">
        <is>
          <t>צעצועים</t>
        </is>
      </c>
      <c r="D249" t="inlineStr">
        <is>
          <t>376000642</t>
        </is>
      </c>
      <c r="E249" t="inlineStr">
        <is>
          <t>2026-08</t>
        </is>
      </c>
      <c r="F249" t="n">
        <v>46</v>
      </c>
      <c r="G249" t="n">
        <v>54.28</v>
      </c>
      <c r="H249">
        <f>הגדרות!B3</f>
        <v/>
      </c>
      <c r="I249">
        <f>F249*(1-H249/100)*1.18</f>
        <v/>
      </c>
      <c r="J249">
        <f>הגדרות!C3</f>
        <v/>
      </c>
      <c r="K249">
        <f>הגדרות!D3</f>
        <v/>
      </c>
      <c r="L249">
        <f>I249*(1+J249/100)+K249</f>
        <v/>
      </c>
    </row>
    <row r="250">
      <c r="A250" t="inlineStr">
        <is>
          <t>קונג (Kong)</t>
        </is>
      </c>
      <c r="B250" t="inlineStr">
        <is>
          <t>קונג מקל מצפצף מדיום (PSXZ12)</t>
        </is>
      </c>
      <c r="C250" t="inlineStr">
        <is>
          <t>צעצועים</t>
        </is>
      </c>
      <c r="D250" t="inlineStr">
        <is>
          <t>376000643</t>
        </is>
      </c>
      <c r="E250" t="inlineStr">
        <is>
          <t>2026-08</t>
        </is>
      </c>
      <c r="F250" t="n">
        <v>33</v>
      </c>
      <c r="G250" t="n">
        <v>38.94</v>
      </c>
      <c r="H250">
        <f>הגדרות!B3</f>
        <v/>
      </c>
      <c r="I250">
        <f>F250*(1-H250/100)*1.18</f>
        <v/>
      </c>
      <c r="J250">
        <f>הגדרות!C3</f>
        <v/>
      </c>
      <c r="K250">
        <f>הגדרות!D3</f>
        <v/>
      </c>
      <c r="L250">
        <f>I250*(1+J250/100)+K250</f>
        <v/>
      </c>
    </row>
    <row r="251">
      <c r="A251" t="inlineStr">
        <is>
          <t>קונג (Kong)</t>
        </is>
      </c>
      <c r="B251" t="inlineStr">
        <is>
          <t>קונג כוכב מצפצף לארג (PSXZ21)</t>
        </is>
      </c>
      <c r="C251" t="inlineStr">
        <is>
          <t>צעצועים</t>
        </is>
      </c>
      <c r="D251" t="inlineStr">
        <is>
          <t>376000644</t>
        </is>
      </c>
      <c r="E251" t="inlineStr">
        <is>
          <t>2026-08</t>
        </is>
      </c>
      <c r="F251" t="n">
        <v>46</v>
      </c>
      <c r="G251" t="n">
        <v>54.28</v>
      </c>
      <c r="H251">
        <f>הגדרות!B3</f>
        <v/>
      </c>
      <c r="I251">
        <f>F251*(1-H251/100)*1.18</f>
        <v/>
      </c>
      <c r="J251">
        <f>הגדרות!C3</f>
        <v/>
      </c>
      <c r="K251">
        <f>הגדרות!D3</f>
        <v/>
      </c>
      <c r="L251">
        <f>I251*(1+J251/100)+K251</f>
        <v/>
      </c>
    </row>
    <row r="252">
      <c r="A252" t="inlineStr">
        <is>
          <t>קונג (Kong)</t>
        </is>
      </c>
      <c r="B252" t="inlineStr">
        <is>
          <t>קונג כוכב מצפצף מדיום (PSXZ22)</t>
        </is>
      </c>
      <c r="C252" t="inlineStr">
        <is>
          <t>צעצועים</t>
        </is>
      </c>
      <c r="D252" t="inlineStr">
        <is>
          <t>376000645</t>
        </is>
      </c>
      <c r="E252" t="inlineStr">
        <is>
          <t>2026-08</t>
        </is>
      </c>
      <c r="F252" t="n">
        <v>33</v>
      </c>
      <c r="G252" t="n">
        <v>38.94</v>
      </c>
      <c r="H252">
        <f>הגדרות!B3</f>
        <v/>
      </c>
      <c r="I252">
        <f>F252*(1-H252/100)*1.18</f>
        <v/>
      </c>
      <c r="J252">
        <f>הגדרות!C3</f>
        <v/>
      </c>
      <c r="K252">
        <f>הגדרות!D3</f>
        <v/>
      </c>
      <c r="L252">
        <f>I252*(1+J252/100)+K252</f>
        <v/>
      </c>
    </row>
    <row r="253">
      <c r="A253" t="inlineStr">
        <is>
          <t>קונג (Kong)</t>
        </is>
      </c>
      <c r="B253" t="inlineStr">
        <is>
          <t>קונג גלגל מצפצף לארג (PSXZ31)</t>
        </is>
      </c>
      <c r="C253" t="inlineStr">
        <is>
          <t>צעצועים</t>
        </is>
      </c>
      <c r="D253" t="inlineStr">
        <is>
          <t>376000646</t>
        </is>
      </c>
      <c r="E253" t="inlineStr">
        <is>
          <t>2026-08</t>
        </is>
      </c>
      <c r="F253" t="n">
        <v>46</v>
      </c>
      <c r="G253" t="n">
        <v>54.28</v>
      </c>
      <c r="H253">
        <f>הגדרות!B3</f>
        <v/>
      </c>
      <c r="I253">
        <f>F253*(1-H253/100)*1.18</f>
        <v/>
      </c>
      <c r="J253">
        <f>הגדרות!C3</f>
        <v/>
      </c>
      <c r="K253">
        <f>הגדרות!D3</f>
        <v/>
      </c>
      <c r="L253">
        <f>I253*(1+J253/100)+K253</f>
        <v/>
      </c>
    </row>
    <row r="254">
      <c r="A254" t="inlineStr">
        <is>
          <t>קונג (Kong)</t>
        </is>
      </c>
      <c r="B254" t="inlineStr">
        <is>
          <t>קונג גלגל מצפצף מדיום (PSXZ32)</t>
        </is>
      </c>
      <c r="C254" t="inlineStr">
        <is>
          <t>צעצועים</t>
        </is>
      </c>
      <c r="D254" t="inlineStr">
        <is>
          <t>376000647</t>
        </is>
      </c>
      <c r="E254" t="inlineStr">
        <is>
          <t>2026-08</t>
        </is>
      </c>
      <c r="F254" t="n">
        <v>33</v>
      </c>
      <c r="G254" t="n">
        <v>38.94</v>
      </c>
      <c r="H254">
        <f>הגדרות!B3</f>
        <v/>
      </c>
      <c r="I254">
        <f>F254*(1-H254/100)*1.18</f>
        <v/>
      </c>
      <c r="J254">
        <f>הגדרות!C3</f>
        <v/>
      </c>
      <c r="K254">
        <f>הגדרות!D3</f>
        <v/>
      </c>
      <c r="L254">
        <f>I254*(1+J254/100)+K254</f>
        <v/>
      </c>
    </row>
    <row r="255">
      <c r="A255" t="inlineStr">
        <is>
          <t>קונג (Kong)</t>
        </is>
      </c>
      <c r="B255" t="inlineStr">
        <is>
          <t>קונג כדור רישתי מרשרש 2 יחידות (CRCL55)</t>
        </is>
      </c>
      <c r="C255" t="inlineStr">
        <is>
          <t>צעצועים</t>
        </is>
      </c>
      <c r="D255" t="inlineStr">
        <is>
          <t>376000648</t>
        </is>
      </c>
      <c r="E255" t="inlineStr">
        <is>
          <t>2026-08</t>
        </is>
      </c>
      <c r="F255" t="n">
        <v>16</v>
      </c>
      <c r="G255" t="n">
        <v>18.88</v>
      </c>
      <c r="H255">
        <f>הגדרות!B3</f>
        <v/>
      </c>
      <c r="I255">
        <f>F255*(1-H255/100)*1.18</f>
        <v/>
      </c>
      <c r="J255">
        <f>הגדרות!C3</f>
        <v/>
      </c>
      <c r="K255">
        <f>הגדרות!D3</f>
        <v/>
      </c>
      <c r="L255">
        <f>I255*(1+J255/100)+K255</f>
        <v/>
      </c>
    </row>
    <row r="256">
      <c r="A256" t="inlineStr">
        <is>
          <t>קונג (Kong)</t>
        </is>
      </c>
      <c r="B256" t="inlineStr">
        <is>
          <t>קונג כדור אימון בינוני/גדול (CRT21)</t>
        </is>
      </c>
      <c r="C256" t="inlineStr">
        <is>
          <t>צעצועים</t>
        </is>
      </c>
      <c r="D256" t="inlineStr">
        <is>
          <t>376000649</t>
        </is>
      </c>
      <c r="E256" t="inlineStr">
        <is>
          <t>2026-08</t>
        </is>
      </c>
      <c r="F256" t="n">
        <v>38</v>
      </c>
      <c r="G256" t="n">
        <v>44.84</v>
      </c>
      <c r="H256">
        <f>הגדרות!B3</f>
        <v/>
      </c>
      <c r="I256">
        <f>F256*(1-H256/100)*1.18</f>
        <v/>
      </c>
      <c r="J256">
        <f>הגדרות!C3</f>
        <v/>
      </c>
      <c r="K256">
        <f>הגדרות!D3</f>
        <v/>
      </c>
      <c r="L256">
        <f>I256*(1+J256/100)+K256</f>
        <v/>
      </c>
    </row>
    <row r="257">
      <c r="A257" t="inlineStr">
        <is>
          <t>קונג (Kong)</t>
        </is>
      </c>
      <c r="B257" t="inlineStr">
        <is>
          <t>קונג דאמבל אימון בינוני/גדול (CRT22)</t>
        </is>
      </c>
      <c r="C257" t="inlineStr">
        <is>
          <t>צעצועים</t>
        </is>
      </c>
      <c r="D257" t="inlineStr">
        <is>
          <t>376000651</t>
        </is>
      </c>
      <c r="E257" t="inlineStr">
        <is>
          <t>2026-08</t>
        </is>
      </c>
      <c r="F257" t="n">
        <v>48</v>
      </c>
      <c r="G257" t="n">
        <v>56.64</v>
      </c>
      <c r="H257">
        <f>הגדרות!B3</f>
        <v/>
      </c>
      <c r="I257">
        <f>F257*(1-H257/100)*1.18</f>
        <v/>
      </c>
      <c r="J257">
        <f>הגדרות!C3</f>
        <v/>
      </c>
      <c r="K257">
        <f>הגדרות!D3</f>
        <v/>
      </c>
      <c r="L257">
        <f>I257*(1+J257/100)+K257</f>
        <v/>
      </c>
    </row>
    <row r="258">
      <c r="A258" t="inlineStr">
        <is>
          <t>קונג (Kong)</t>
        </is>
      </c>
      <c r="B258" t="inlineStr">
        <is>
          <t>קונג חישוק אימון בינוני/גדול (CRT23)</t>
        </is>
      </c>
      <c r="C258" t="inlineStr">
        <is>
          <t>צעצועים</t>
        </is>
      </c>
      <c r="D258" t="inlineStr">
        <is>
          <t>376000650</t>
        </is>
      </c>
      <c r="E258" t="inlineStr">
        <is>
          <t>2026-08</t>
        </is>
      </c>
      <c r="F258" t="n">
        <v>51</v>
      </c>
      <c r="G258" t="n">
        <v>60.18</v>
      </c>
      <c r="H258">
        <f>הגדרות!B3</f>
        <v/>
      </c>
      <c r="I258">
        <f>F258*(1-H258/100)*1.18</f>
        <v/>
      </c>
      <c r="J258">
        <f>הגדרות!C3</f>
        <v/>
      </c>
      <c r="K258">
        <f>הגדרות!D3</f>
        <v/>
      </c>
      <c r="L258">
        <f>I258*(1+J258/100)+K258</f>
        <v/>
      </c>
    </row>
    <row r="259">
      <c r="A259" t="inlineStr">
        <is>
          <t>קונג (Kong)</t>
        </is>
      </c>
      <c r="B259" t="inlineStr">
        <is>
          <t>קונג סטיק אימון בינוני/גדול (CRT24)</t>
        </is>
      </c>
      <c r="C259" t="inlineStr">
        <is>
          <t>צעצועים</t>
        </is>
      </c>
      <c r="D259" t="inlineStr">
        <is>
          <t>376000652</t>
        </is>
      </c>
      <c r="E259" t="inlineStr">
        <is>
          <t>2026-08</t>
        </is>
      </c>
      <c r="F259" t="n">
        <v>48</v>
      </c>
      <c r="G259" t="n">
        <v>56.64</v>
      </c>
      <c r="H259">
        <f>הגדרות!B3</f>
        <v/>
      </c>
      <c r="I259">
        <f>F259*(1-H259/100)*1.18</f>
        <v/>
      </c>
      <c r="J259">
        <f>הגדרות!C3</f>
        <v/>
      </c>
      <c r="K259">
        <f>הגדרות!D3</f>
        <v/>
      </c>
      <c r="L259">
        <f>I259*(1+J259/100)+K259</f>
        <v/>
      </c>
    </row>
    <row r="260">
      <c r="A260" t="inlineStr">
        <is>
          <t>קונג (Kong)</t>
        </is>
      </c>
      <c r="B260" t="inlineStr">
        <is>
          <t>קונג סטיק מתגלגל בינוני/גדול (PEPU1)</t>
        </is>
      </c>
      <c r="C260" t="inlineStr">
        <is>
          <t>צעצועים</t>
        </is>
      </c>
      <c r="D260" t="inlineStr">
        <is>
          <t>376000653</t>
        </is>
      </c>
      <c r="E260" t="inlineStr">
        <is>
          <t>2026-08</t>
        </is>
      </c>
      <c r="F260" t="n">
        <v>41</v>
      </c>
      <c r="G260" t="n">
        <v>48.38</v>
      </c>
      <c r="H260">
        <f>הגדרות!B3</f>
        <v/>
      </c>
      <c r="I260">
        <f>F260*(1-H260/100)*1.18</f>
        <v/>
      </c>
      <c r="J260">
        <f>הגדרות!C3</f>
        <v/>
      </c>
      <c r="K260">
        <f>הגדרות!D3</f>
        <v/>
      </c>
      <c r="L260">
        <f>I260*(1+J260/100)+K260</f>
        <v/>
      </c>
    </row>
    <row r="261">
      <c r="A261" t="inlineStr">
        <is>
          <t>קונג (Kong)</t>
        </is>
      </c>
      <c r="B261" t="inlineStr">
        <is>
          <t>קונג כדור מתגלגל בינוני/גדול (PEPU2)</t>
        </is>
      </c>
      <c r="C261" t="inlineStr">
        <is>
          <t>צעצועים</t>
        </is>
      </c>
      <c r="D261" t="inlineStr">
        <is>
          <t>376000654</t>
        </is>
      </c>
      <c r="E261" t="inlineStr">
        <is>
          <t>2026-08</t>
        </is>
      </c>
      <c r="F261" t="n">
        <v>32</v>
      </c>
      <c r="G261" t="n">
        <v>37.76</v>
      </c>
      <c r="H261">
        <f>הגדרות!B3</f>
        <v/>
      </c>
      <c r="I261">
        <f>F261*(1-H261/100)*1.18</f>
        <v/>
      </c>
      <c r="J261">
        <f>הגדרות!C3</f>
        <v/>
      </c>
      <c r="K261">
        <f>הגדרות!D3</f>
        <v/>
      </c>
      <c r="L261">
        <f>I261*(1+J261/100)+K261</f>
        <v/>
      </c>
    </row>
    <row r="262">
      <c r="A262" t="inlineStr">
        <is>
          <t>קונג (Kong)</t>
        </is>
      </c>
      <c r="B262" t="inlineStr">
        <is>
          <t>קונג צפרדע טרופית בינוני/גדול (RTR11)</t>
        </is>
      </c>
      <c r="C262" t="inlineStr">
        <is>
          <t>צעצועים</t>
        </is>
      </c>
      <c r="D262" t="inlineStr">
        <is>
          <t>376000655</t>
        </is>
      </c>
      <c r="E262" t="inlineStr">
        <is>
          <t>2026-08</t>
        </is>
      </c>
      <c r="F262" t="n">
        <v>41</v>
      </c>
      <c r="G262" t="n">
        <v>48.38</v>
      </c>
      <c r="H262">
        <f>הגדרות!B3</f>
        <v/>
      </c>
      <c r="I262">
        <f>F262*(1-H262/100)*1.18</f>
        <v/>
      </c>
      <c r="J262">
        <f>הגדרות!C3</f>
        <v/>
      </c>
      <c r="K262">
        <f>הגדרות!D3</f>
        <v/>
      </c>
      <c r="L262">
        <f>I262*(1+J262/100)+K262</f>
        <v/>
      </c>
    </row>
    <row r="263">
      <c r="A263" t="inlineStr">
        <is>
          <t>קונג (Kong)</t>
        </is>
      </c>
      <c r="B263" t="inlineStr">
        <is>
          <t>קונג איגואנה טרופית בינוני/גדול (RTR12)</t>
        </is>
      </c>
      <c r="C263" t="inlineStr">
        <is>
          <t>צעצועים</t>
        </is>
      </c>
      <c r="D263" t="inlineStr">
        <is>
          <t>376000656</t>
        </is>
      </c>
      <c r="E263" t="inlineStr">
        <is>
          <t>2026-08</t>
        </is>
      </c>
      <c r="F263" t="n">
        <v>41</v>
      </c>
      <c r="G263" t="n">
        <v>48.38</v>
      </c>
      <c r="H263">
        <f>הגדרות!B3</f>
        <v/>
      </c>
      <c r="I263">
        <f>F263*(1-H263/100)*1.18</f>
        <v/>
      </c>
      <c r="J263">
        <f>הגדרות!C3</f>
        <v/>
      </c>
      <c r="K263">
        <f>הגדרות!D3</f>
        <v/>
      </c>
      <c r="L263">
        <f>I263*(1+J263/100)+K263</f>
        <v/>
      </c>
    </row>
    <row r="264">
      <c r="A264" t="inlineStr">
        <is>
          <t>קונג (Kong)</t>
        </is>
      </c>
      <c r="B264" t="inlineStr">
        <is>
          <t>קונג חילזון טרופית בינוני/גדול (RTR13)</t>
        </is>
      </c>
      <c r="C264" t="inlineStr">
        <is>
          <t>צעצועים</t>
        </is>
      </c>
      <c r="D264" t="inlineStr">
        <is>
          <t>376000657</t>
        </is>
      </c>
      <c r="E264" t="inlineStr">
        <is>
          <t>2026-08</t>
        </is>
      </c>
      <c r="F264" t="n">
        <v>41</v>
      </c>
      <c r="G264" t="n">
        <v>48.38</v>
      </c>
      <c r="H264">
        <f>הגדרות!B3</f>
        <v/>
      </c>
      <c r="I264">
        <f>F264*(1-H264/100)*1.18</f>
        <v/>
      </c>
      <c r="J264">
        <f>הגדרות!C3</f>
        <v/>
      </c>
      <c r="K264">
        <f>הגדרות!D3</f>
        <v/>
      </c>
      <c r="L264">
        <f>I264*(1+J264/100)+K264</f>
        <v/>
      </c>
    </row>
    <row r="265">
      <c r="A265" t="inlineStr">
        <is>
          <t>קונג (Kong)</t>
        </is>
      </c>
      <c r="B265" t="inlineStr">
        <is>
          <t>קונג לגורים עצם גודי בינוני (KP21)</t>
        </is>
      </c>
      <c r="C265" t="inlineStr">
        <is>
          <t>צעצועים</t>
        </is>
      </c>
      <c r="D265" t="inlineStr">
        <is>
          <t>376000658</t>
        </is>
      </c>
      <c r="E265" t="inlineStr">
        <is>
          <t>2026-08</t>
        </is>
      </c>
      <c r="F265" t="n">
        <v>45</v>
      </c>
      <c r="G265" t="n">
        <v>53.1</v>
      </c>
      <c r="H265">
        <f>הגדרות!B3</f>
        <v/>
      </c>
      <c r="I265">
        <f>F265*(1-H265/100)*1.18</f>
        <v/>
      </c>
      <c r="J265">
        <f>הגדרות!C3</f>
        <v/>
      </c>
      <c r="K265">
        <f>הגדרות!D3</f>
        <v/>
      </c>
      <c r="L265">
        <f>I265*(1+J265/100)+K265</f>
        <v/>
      </c>
    </row>
    <row r="266">
      <c r="A266" t="inlineStr">
        <is>
          <t>קונג (Kong)</t>
        </is>
      </c>
      <c r="B266" t="inlineStr">
        <is>
          <t>קונג ממותה קשוחה בינוני (TGZ25)</t>
        </is>
      </c>
      <c r="C266" t="inlineStr">
        <is>
          <t>צעצועים</t>
        </is>
      </c>
      <c r="D266" t="inlineStr">
        <is>
          <t>376000659</t>
        </is>
      </c>
      <c r="E266" t="inlineStr">
        <is>
          <t>2026-08</t>
        </is>
      </c>
      <c r="F266" t="n">
        <v>57</v>
      </c>
      <c r="G266" t="n">
        <v>67.26000000000001</v>
      </c>
      <c r="H266">
        <f>הגדרות!B3</f>
        <v/>
      </c>
      <c r="I266">
        <f>F266*(1-H266/100)*1.18</f>
        <v/>
      </c>
      <c r="J266">
        <f>הגדרות!C3</f>
        <v/>
      </c>
      <c r="K266">
        <f>הגדרות!D3</f>
        <v/>
      </c>
      <c r="L266">
        <f>I266*(1+J266/100)+K266</f>
        <v/>
      </c>
    </row>
    <row r="267">
      <c r="A267" t="inlineStr">
        <is>
          <t>קונג (Kong)</t>
        </is>
      </c>
      <c r="B267" t="inlineStr">
        <is>
          <t>קונג פרת הרים קשוחה בינוני (TGZ26)</t>
        </is>
      </c>
      <c r="C267" t="inlineStr">
        <is>
          <t>צעצועים</t>
        </is>
      </c>
      <c r="D267" t="inlineStr">
        <is>
          <t>376000660</t>
        </is>
      </c>
      <c r="E267" t="inlineStr">
        <is>
          <t>2026-08</t>
        </is>
      </c>
      <c r="F267" t="n">
        <v>57</v>
      </c>
      <c r="G267" t="n">
        <v>67.26000000000001</v>
      </c>
      <c r="H267">
        <f>הגדרות!B3</f>
        <v/>
      </c>
      <c r="I267">
        <f>F267*(1-H267/100)*1.18</f>
        <v/>
      </c>
      <c r="J267">
        <f>הגדרות!C3</f>
        <v/>
      </c>
      <c r="K267">
        <f>הגדרות!D3</f>
        <v/>
      </c>
      <c r="L267">
        <f>I267*(1+J267/100)+K267</f>
        <v/>
      </c>
    </row>
    <row r="268">
      <c r="A268" t="inlineStr">
        <is>
          <t>קונג (Kong)</t>
        </is>
      </c>
      <c r="B268" t="inlineStr">
        <is>
          <t>קונג דודו קשוח בינוני (TGZ27)</t>
        </is>
      </c>
      <c r="C268" t="inlineStr">
        <is>
          <t>צעצועים</t>
        </is>
      </c>
      <c r="D268" t="inlineStr">
        <is>
          <t>376000661</t>
        </is>
      </c>
      <c r="E268" t="inlineStr">
        <is>
          <t>2026-08</t>
        </is>
      </c>
      <c r="F268" t="n">
        <v>57</v>
      </c>
      <c r="G268" t="n">
        <v>67.26000000000001</v>
      </c>
      <c r="H268">
        <f>הגדרות!B3</f>
        <v/>
      </c>
      <c r="I268">
        <f>F268*(1-H268/100)*1.18</f>
        <v/>
      </c>
      <c r="J268">
        <f>הגדרות!C3</f>
        <v/>
      </c>
      <c r="K268">
        <f>הגדרות!D3</f>
        <v/>
      </c>
      <c r="L268">
        <f>I268*(1+J268/100)+K268</f>
        <v/>
      </c>
    </row>
    <row r="269">
      <c r="A269" t="inlineStr">
        <is>
          <t>קונג (Kong)</t>
        </is>
      </c>
      <c r="B269" t="inlineStr">
        <is>
          <t>קונג וובה כדורסל לארג (WSB11)</t>
        </is>
      </c>
      <c r="C269" t="inlineStr">
        <is>
          <t>צעצועים</t>
        </is>
      </c>
      <c r="D269" t="inlineStr">
        <is>
          <t>376000662</t>
        </is>
      </c>
      <c r="E269" t="inlineStr">
        <is>
          <t>2026-08</t>
        </is>
      </c>
      <c r="F269" t="n">
        <v>47</v>
      </c>
      <c r="G269" t="n">
        <v>55.46</v>
      </c>
      <c r="H269">
        <f>הגדרות!B3</f>
        <v/>
      </c>
      <c r="I269">
        <f>F269*(1-H269/100)*1.18</f>
        <v/>
      </c>
      <c r="J269">
        <f>הגדרות!C3</f>
        <v/>
      </c>
      <c r="K269">
        <f>הגדרות!D3</f>
        <v/>
      </c>
      <c r="L269">
        <f>I269*(1+J269/100)+K269</f>
        <v/>
      </c>
    </row>
    <row r="270">
      <c r="A270" t="inlineStr">
        <is>
          <t>קונג (Kong)</t>
        </is>
      </c>
      <c r="B270" t="inlineStr">
        <is>
          <t>קונג וובה פוטבול לארג (WSB12)</t>
        </is>
      </c>
      <c r="C270" t="inlineStr">
        <is>
          <t>צעצועים</t>
        </is>
      </c>
      <c r="D270" t="inlineStr">
        <is>
          <t>376000663</t>
        </is>
      </c>
      <c r="E270" t="inlineStr">
        <is>
          <t>2026-08</t>
        </is>
      </c>
      <c r="F270" t="n">
        <v>47</v>
      </c>
      <c r="G270" t="n">
        <v>55.46</v>
      </c>
      <c r="H270">
        <f>הגדרות!B3</f>
        <v/>
      </c>
      <c r="I270">
        <f>F270*(1-H270/100)*1.18</f>
        <v/>
      </c>
      <c r="J270">
        <f>הגדרות!C3</f>
        <v/>
      </c>
      <c r="K270">
        <f>הגדרות!D3</f>
        <v/>
      </c>
      <c r="L270">
        <f>I270*(1+J270/100)+K270</f>
        <v/>
      </c>
    </row>
    <row r="271">
      <c r="A271" t="inlineStr">
        <is>
          <t>קונג (Kong)</t>
        </is>
      </c>
      <c r="B271" t="inlineStr">
        <is>
          <t>קונג וובה סופטבול קטן (WSB31)</t>
        </is>
      </c>
      <c r="C271" t="inlineStr">
        <is>
          <t>צעצועים</t>
        </is>
      </c>
      <c r="D271" t="inlineStr">
        <is>
          <t>376000664</t>
        </is>
      </c>
      <c r="E271" t="inlineStr">
        <is>
          <t>2026-08</t>
        </is>
      </c>
      <c r="F271" t="n">
        <v>33</v>
      </c>
      <c r="G271" t="n">
        <v>38.94</v>
      </c>
      <c r="H271">
        <f>הגדרות!B3</f>
        <v/>
      </c>
      <c r="I271">
        <f>F271*(1-H271/100)*1.18</f>
        <v/>
      </c>
      <c r="J271">
        <f>הגדרות!C3</f>
        <v/>
      </c>
      <c r="K271">
        <f>הגדרות!D3</f>
        <v/>
      </c>
      <c r="L271">
        <f>I271*(1+J271/100)+K271</f>
        <v/>
      </c>
    </row>
    <row r="272">
      <c r="A272" t="inlineStr">
        <is>
          <t>פרפלסט (Ferplast)</t>
        </is>
      </c>
      <c r="B272" t="inlineStr">
        <is>
          <t>פרפלסט גניקר ונטה מגנטית לשירותי חתול</t>
        </is>
      </c>
      <c r="C272" t="inlineStr">
        <is>
          <t>אביזרים</t>
        </is>
      </c>
      <c r="D272" t="inlineStr">
        <is>
          <t>5555870</t>
        </is>
      </c>
      <c r="E272" t="inlineStr">
        <is>
          <t>2026-02</t>
        </is>
      </c>
      <c r="F272" t="n">
        <v>170</v>
      </c>
      <c r="G272" t="n">
        <v>200.6</v>
      </c>
      <c r="H272">
        <f>הגדרות!B4</f>
        <v/>
      </c>
      <c r="I272">
        <f>F272*(1-H272/100)*1.18</f>
        <v/>
      </c>
      <c r="J272">
        <f>הגדרות!C4</f>
        <v/>
      </c>
      <c r="K272">
        <f>הגדרות!D4</f>
        <v/>
      </c>
      <c r="L272">
        <f>I272*(1+J272/100)+K272</f>
        <v/>
      </c>
    </row>
    <row r="273">
      <c r="A273" t="inlineStr">
        <is>
          <t>פרפלסט (Ferplast)</t>
        </is>
      </c>
      <c r="B273" t="inlineStr">
        <is>
          <t>פרפלסט פילטרים לונטה מגנטית</t>
        </is>
      </c>
      <c r="C273" t="inlineStr">
        <is>
          <t>אביזרים</t>
        </is>
      </c>
      <c r="D273" t="inlineStr">
        <is>
          <t>5555871</t>
        </is>
      </c>
      <c r="E273" t="inlineStr">
        <is>
          <t>2026-02</t>
        </is>
      </c>
      <c r="F273" t="n">
        <v>17.9</v>
      </c>
      <c r="G273" t="n">
        <v>21.12</v>
      </c>
      <c r="H273">
        <f>הגדרות!B4</f>
        <v/>
      </c>
      <c r="I273">
        <f>F273*(1-H273/100)*1.18</f>
        <v/>
      </c>
      <c r="J273">
        <f>הגדרות!C4</f>
        <v/>
      </c>
      <c r="K273">
        <f>הגדרות!D4</f>
        <v/>
      </c>
      <c r="L273">
        <f>I273*(1+J273/100)+K273</f>
        <v/>
      </c>
    </row>
    <row r="274">
      <c r="A274" t="inlineStr">
        <is>
          <t>פרפלסט (Ferplast)</t>
        </is>
      </c>
      <c r="B274" t="inlineStr">
        <is>
          <t>פרפלסט קיט גניקר לחנות - 6+6+דיספלי</t>
        </is>
      </c>
      <c r="C274" t="inlineStr">
        <is>
          <t>אביזרים</t>
        </is>
      </c>
      <c r="D274" t="inlineStr">
        <is>
          <t>5555872</t>
        </is>
      </c>
      <c r="E274" t="inlineStr">
        <is>
          <t>2026-02</t>
        </is>
      </c>
      <c r="F274" t="n">
        <v>912.2</v>
      </c>
      <c r="G274" t="n">
        <v>1076.4</v>
      </c>
      <c r="H274">
        <f>הגדרות!B4</f>
        <v/>
      </c>
      <c r="I274">
        <f>F274*(1-H274/100)*1.18</f>
        <v/>
      </c>
      <c r="J274">
        <f>הגדרות!C4</f>
        <v/>
      </c>
      <c r="K274">
        <f>הגדרות!D4</f>
        <v/>
      </c>
      <c r="L274">
        <f>I274*(1+J274/100)+K274</f>
        <v/>
      </c>
    </row>
    <row r="275">
      <c r="A275" t="inlineStr">
        <is>
          <t>פרפלסט (Ferplast)</t>
        </is>
      </c>
      <c r="B275" t="inlineStr">
        <is>
          <t>פרפלסט סהרה שירותים לחתול</t>
        </is>
      </c>
      <c r="C275" t="inlineStr">
        <is>
          <t>חול ושירותים</t>
        </is>
      </c>
      <c r="D275" t="inlineStr">
        <is>
          <t>5555879</t>
        </is>
      </c>
      <c r="E275" t="inlineStr">
        <is>
          <t>2026-02</t>
        </is>
      </c>
      <c r="F275" t="n">
        <v>221.9</v>
      </c>
      <c r="G275" t="n">
        <v>261.84</v>
      </c>
      <c r="H275">
        <f>הגדרות!B4</f>
        <v/>
      </c>
      <c r="I275">
        <f>F275*(1-H275/100)*1.18</f>
        <v/>
      </c>
      <c r="J275">
        <f>הגדרות!C4</f>
        <v/>
      </c>
      <c r="K275">
        <f>הגדרות!D4</f>
        <v/>
      </c>
      <c r="L275">
        <f>I275*(1+J275/100)+K275</f>
        <v/>
      </c>
    </row>
    <row r="276">
      <c r="A276" t="inlineStr">
        <is>
          <t>פרפלסט (Ferplast)</t>
        </is>
      </c>
      <c r="B276" t="inlineStr">
        <is>
          <t>פרפלסט פרימה XXL שירותים לחתול</t>
        </is>
      </c>
      <c r="C276" t="inlineStr">
        <is>
          <t>חול ושירותים</t>
        </is>
      </c>
      <c r="D276" t="inlineStr">
        <is>
          <t>5555880</t>
        </is>
      </c>
      <c r="E276" t="inlineStr">
        <is>
          <t>2026-02</t>
        </is>
      </c>
      <c r="F276" t="n">
        <v>141.45</v>
      </c>
      <c r="G276" t="n">
        <v>166.91</v>
      </c>
      <c r="H276">
        <f>הגדרות!B4</f>
        <v/>
      </c>
      <c r="I276">
        <f>F276*(1-H276/100)*1.18</f>
        <v/>
      </c>
      <c r="J276">
        <f>הגדרות!C4</f>
        <v/>
      </c>
      <c r="K276">
        <f>הגדרות!D4</f>
        <v/>
      </c>
      <c r="L276">
        <f>I276*(1+J276/100)+K276</f>
        <v/>
      </c>
    </row>
    <row r="277">
      <c r="A277" t="inlineStr">
        <is>
          <t>פרפלסט (Ferplast)</t>
        </is>
      </c>
      <c r="B277" t="inlineStr">
        <is>
          <t>פרפלסט מגבונים קמומיל 40</t>
        </is>
      </c>
      <c r="C277" t="inlineStr">
        <is>
          <t>טיפוח והיגיינה</t>
        </is>
      </c>
      <c r="D277" t="inlineStr">
        <is>
          <t>5555873</t>
        </is>
      </c>
      <c r="E277" t="inlineStr">
        <is>
          <t>2026-02</t>
        </is>
      </c>
      <c r="F277" t="n">
        <v>11.3</v>
      </c>
      <c r="G277" t="n">
        <v>13.33</v>
      </c>
      <c r="H277">
        <f>הגדרות!B4</f>
        <v/>
      </c>
      <c r="I277">
        <f>F277*(1-H277/100)*1.18</f>
        <v/>
      </c>
      <c r="J277">
        <f>הגדרות!C4</f>
        <v/>
      </c>
      <c r="K277">
        <f>הגדרות!D4</f>
        <v/>
      </c>
      <c r="L277">
        <f>I277*(1+J277/100)+K277</f>
        <v/>
      </c>
    </row>
    <row r="278">
      <c r="A278" t="inlineStr">
        <is>
          <t>פרפלסט (Ferplast)</t>
        </is>
      </c>
      <c r="B278" t="inlineStr">
        <is>
          <t>פרפלסט מגבונים גרין תה 40</t>
        </is>
      </c>
      <c r="C278" t="inlineStr">
        <is>
          <t>טיפוח והיגיינה</t>
        </is>
      </c>
      <c r="D278" t="inlineStr">
        <is>
          <t>5555874</t>
        </is>
      </c>
      <c r="E278" t="inlineStr">
        <is>
          <t>2026-02</t>
        </is>
      </c>
      <c r="F278" t="n">
        <v>11.3</v>
      </c>
      <c r="G278" t="n">
        <v>13.33</v>
      </c>
      <c r="H278">
        <f>הגדרות!B4</f>
        <v/>
      </c>
      <c r="I278">
        <f>F278*(1-H278/100)*1.18</f>
        <v/>
      </c>
      <c r="J278">
        <f>הגדרות!C4</f>
        <v/>
      </c>
      <c r="K278">
        <f>הגדרות!D4</f>
        <v/>
      </c>
      <c r="L278">
        <f>I278*(1+J278/100)+K278</f>
        <v/>
      </c>
    </row>
    <row r="279">
      <c r="A279" t="inlineStr">
        <is>
          <t>פרפלסט (Ferplast)</t>
        </is>
      </c>
      <c r="B279" t="inlineStr">
        <is>
          <t>פרפלסט מגבונים טלק 40</t>
        </is>
      </c>
      <c r="C279" t="inlineStr">
        <is>
          <t>טיפוח והיגיינה</t>
        </is>
      </c>
      <c r="D279" t="inlineStr">
        <is>
          <t>5555875</t>
        </is>
      </c>
      <c r="E279" t="inlineStr">
        <is>
          <t>2026-02</t>
        </is>
      </c>
      <c r="F279" t="n">
        <v>11.3</v>
      </c>
      <c r="G279" t="n">
        <v>13.33</v>
      </c>
      <c r="H279">
        <f>הגדרות!B4</f>
        <v/>
      </c>
      <c r="I279">
        <f>F279*(1-H279/100)*1.18</f>
        <v/>
      </c>
      <c r="J279">
        <f>הגדרות!C4</f>
        <v/>
      </c>
      <c r="K279">
        <f>הגדרות!D4</f>
        <v/>
      </c>
      <c r="L279">
        <f>I279*(1+J279/100)+K279</f>
        <v/>
      </c>
    </row>
    <row r="280">
      <c r="A280" t="inlineStr">
        <is>
          <t>פרפלסט (Ferplast)</t>
        </is>
      </c>
      <c r="B280" t="inlineStr">
        <is>
          <t>פרפלסט מגבונים לעיניים 120</t>
        </is>
      </c>
      <c r="C280" t="inlineStr">
        <is>
          <t>טיפוח והיגיינה</t>
        </is>
      </c>
      <c r="D280" t="inlineStr">
        <is>
          <t>5555876</t>
        </is>
      </c>
      <c r="E280" t="inlineStr">
        <is>
          <t>2026-02</t>
        </is>
      </c>
      <c r="F280" t="n">
        <v>14.2</v>
      </c>
      <c r="G280" t="n">
        <v>16.76</v>
      </c>
      <c r="H280">
        <f>הגדרות!B4</f>
        <v/>
      </c>
      <c r="I280">
        <f>F280*(1-H280/100)*1.18</f>
        <v/>
      </c>
      <c r="J280">
        <f>הגדרות!C4</f>
        <v/>
      </c>
      <c r="K280">
        <f>הגדרות!D4</f>
        <v/>
      </c>
      <c r="L280">
        <f>I280*(1+J280/100)+K280</f>
        <v/>
      </c>
    </row>
    <row r="281">
      <c r="A281" t="inlineStr">
        <is>
          <t>פרפלסט (Ferplast)</t>
        </is>
      </c>
      <c r="B281" t="inlineStr">
        <is>
          <t>פרפלסט מגבונים לאוזניים 50</t>
        </is>
      </c>
      <c r="C281" t="inlineStr">
        <is>
          <t>טיפוח והיגיינה</t>
        </is>
      </c>
      <c r="D281" t="inlineStr">
        <is>
          <t>5555877</t>
        </is>
      </c>
      <c r="E281" t="inlineStr">
        <is>
          <t>2026-02</t>
        </is>
      </c>
      <c r="F281" t="n">
        <v>18.45</v>
      </c>
      <c r="G281" t="n">
        <v>21.77</v>
      </c>
      <c r="H281">
        <f>הגדרות!B4</f>
        <v/>
      </c>
      <c r="I281">
        <f>F281*(1-H281/100)*1.18</f>
        <v/>
      </c>
      <c r="J281">
        <f>הגדרות!C4</f>
        <v/>
      </c>
      <c r="K281">
        <f>הגדרות!D4</f>
        <v/>
      </c>
      <c r="L281">
        <f>I281*(1+J281/100)+K281</f>
        <v/>
      </c>
    </row>
    <row r="282">
      <c r="A282" t="inlineStr">
        <is>
          <t>פרפלסט (Ferplast)</t>
        </is>
      </c>
      <c r="B282" t="inlineStr">
        <is>
          <t>פרפלסט מגבונים כפפה 8</t>
        </is>
      </c>
      <c r="C282" t="inlineStr">
        <is>
          <t>טיפוח והיגיינה</t>
        </is>
      </c>
      <c r="D282" t="inlineStr">
        <is>
          <t>5555878</t>
        </is>
      </c>
      <c r="E282" t="inlineStr">
        <is>
          <t>2026-02</t>
        </is>
      </c>
      <c r="F282" t="n">
        <v>11.3</v>
      </c>
      <c r="G282" t="n">
        <v>13.33</v>
      </c>
      <c r="H282">
        <f>הגדרות!B4</f>
        <v/>
      </c>
      <c r="I282">
        <f>F282*(1-H282/100)*1.18</f>
        <v/>
      </c>
      <c r="J282">
        <f>הגדרות!C4</f>
        <v/>
      </c>
      <c r="K282">
        <f>הגדרות!D4</f>
        <v/>
      </c>
      <c r="L282">
        <f>I282*(1+J282/100)+K282</f>
        <v/>
      </c>
    </row>
    <row r="283">
      <c r="A283" t="inlineStr">
        <is>
          <t>פרפלסט (Ferplast)</t>
        </is>
      </c>
      <c r="B283" t="inlineStr">
        <is>
          <t>פרפלסט שמפו לגורים</t>
        </is>
      </c>
      <c r="C283" t="inlineStr">
        <is>
          <t>טיפוח והיגיינה</t>
        </is>
      </c>
      <c r="D283" t="inlineStr">
        <is>
          <t>5555881</t>
        </is>
      </c>
      <c r="E283" t="inlineStr">
        <is>
          <t>2026-02</t>
        </is>
      </c>
      <c r="F283" t="n">
        <v>21.3</v>
      </c>
      <c r="G283" t="n">
        <v>25.13</v>
      </c>
      <c r="H283">
        <f>הגדרות!B4</f>
        <v/>
      </c>
      <c r="I283">
        <f>F283*(1-H283/100)*1.18</f>
        <v/>
      </c>
      <c r="J283">
        <f>הגדרות!C4</f>
        <v/>
      </c>
      <c r="K283">
        <f>הגדרות!D4</f>
        <v/>
      </c>
      <c r="L283">
        <f>I283*(1+J283/100)+K283</f>
        <v/>
      </c>
    </row>
    <row r="284">
      <c r="A284" t="inlineStr">
        <is>
          <t>פרפלסט (Ferplast)</t>
        </is>
      </c>
      <c r="B284" t="inlineStr">
        <is>
          <t>פרפלסט שמפו חימר</t>
        </is>
      </c>
      <c r="C284" t="inlineStr">
        <is>
          <t>טיפוח והיגיינה</t>
        </is>
      </c>
      <c r="D284" t="inlineStr">
        <is>
          <t>5555882</t>
        </is>
      </c>
      <c r="E284" t="inlineStr">
        <is>
          <t>2026-02</t>
        </is>
      </c>
      <c r="F284" t="n">
        <v>21.3</v>
      </c>
      <c r="G284" t="n">
        <v>25.13</v>
      </c>
      <c r="H284">
        <f>הגדרות!B4</f>
        <v/>
      </c>
      <c r="I284">
        <f>F284*(1-H284/100)*1.18</f>
        <v/>
      </c>
      <c r="J284">
        <f>הגדרות!C4</f>
        <v/>
      </c>
      <c r="K284">
        <f>הגדרות!D4</f>
        <v/>
      </c>
      <c r="L284">
        <f>I284*(1+J284/100)+K284</f>
        <v/>
      </c>
    </row>
    <row r="285">
      <c r="A285" t="inlineStr">
        <is>
          <t>פרפלסט (Ferplast)</t>
        </is>
      </c>
      <c r="B285" t="inlineStr">
        <is>
          <t>פרפלסט שמפו לשיער ארוך</t>
        </is>
      </c>
      <c r="C285" t="inlineStr">
        <is>
          <t>טיפוח והיגיינה</t>
        </is>
      </c>
      <c r="D285" t="inlineStr">
        <is>
          <t>5555883</t>
        </is>
      </c>
      <c r="E285" t="inlineStr">
        <is>
          <t>2026-02</t>
        </is>
      </c>
      <c r="F285" t="n">
        <v>21.3</v>
      </c>
      <c r="G285" t="n">
        <v>25.13</v>
      </c>
      <c r="H285">
        <f>הגדרות!B4</f>
        <v/>
      </c>
      <c r="I285">
        <f>F285*(1-H285/100)*1.18</f>
        <v/>
      </c>
      <c r="J285">
        <f>הגדרות!C4</f>
        <v/>
      </c>
      <c r="K285">
        <f>הגדרות!D4</f>
        <v/>
      </c>
      <c r="L285">
        <f>I285*(1+J285/100)+K285</f>
        <v/>
      </c>
    </row>
    <row r="286">
      <c r="A286" t="inlineStr">
        <is>
          <t>פרפלסט (Ferplast)</t>
        </is>
      </c>
      <c r="B286" t="inlineStr">
        <is>
          <t>פרפלסט שמפו לפרווה לבנה</t>
        </is>
      </c>
      <c r="C286" t="inlineStr">
        <is>
          <t>טיפוח והיגיינה</t>
        </is>
      </c>
      <c r="D286" t="inlineStr">
        <is>
          <t>5555884</t>
        </is>
      </c>
      <c r="E286" t="inlineStr">
        <is>
          <t>2026-02</t>
        </is>
      </c>
      <c r="F286" t="n">
        <v>21.3</v>
      </c>
      <c r="G286" t="n">
        <v>25.13</v>
      </c>
      <c r="H286">
        <f>הגדרות!B4</f>
        <v/>
      </c>
      <c r="I286">
        <f>F286*(1-H286/100)*1.18</f>
        <v/>
      </c>
      <c r="J286">
        <f>הגדרות!C4</f>
        <v/>
      </c>
      <c r="K286">
        <f>הגדרות!D4</f>
        <v/>
      </c>
      <c r="L286">
        <f>I286*(1+J286/100)+K286</f>
        <v/>
      </c>
    </row>
    <row r="287">
      <c r="A287" t="inlineStr">
        <is>
          <t>וטמרקט</t>
        </is>
      </c>
      <c r="B287" t="inlineStr">
        <is>
          <t>תוסף מפרקים  DASUQUIN Nutramax חטיפים לכלב בינוני/קטן, 84 יח'</t>
        </is>
      </c>
      <c r="C287" t="inlineStr">
        <is>
          <t>חטיפים</t>
        </is>
      </c>
      <c r="D287" t="inlineStr">
        <is>
          <t>181525</t>
        </is>
      </c>
      <c r="E287" t="inlineStr">
        <is>
          <t>2026-08</t>
        </is>
      </c>
      <c r="F287" t="n">
        <v>156</v>
      </c>
      <c r="G287" t="n">
        <v>184.08</v>
      </c>
      <c r="H287">
        <f>הגדרות!B5</f>
        <v/>
      </c>
      <c r="I287">
        <f>F287*(1-H287/100)*1.18</f>
        <v/>
      </c>
      <c r="J287">
        <f>הגדרות!C5</f>
        <v/>
      </c>
      <c r="K287">
        <f>הגדרות!D5</f>
        <v/>
      </c>
      <c r="L287">
        <f>I287*(1+J287/100)+K287</f>
        <v/>
      </c>
    </row>
    <row r="288">
      <c r="A288" t="inlineStr">
        <is>
          <t>וטמרקט</t>
        </is>
      </c>
      <c r="B288" t="inlineStr">
        <is>
          <t>תוסף מפרקים  DASUQUIN Nutramax חטיפים לכלב גדול, 84 יח'</t>
        </is>
      </c>
      <c r="C288" t="inlineStr">
        <is>
          <t>חטיפים</t>
        </is>
      </c>
      <c r="D288" t="inlineStr">
        <is>
          <t>181526</t>
        </is>
      </c>
      <c r="E288" t="inlineStr">
        <is>
          <t>2026-08</t>
        </is>
      </c>
      <c r="F288" t="n">
        <v>190</v>
      </c>
      <c r="G288" t="n">
        <v>224.2</v>
      </c>
      <c r="H288">
        <f>הגדרות!B5</f>
        <v/>
      </c>
      <c r="I288">
        <f>F288*(1-H288/100)*1.18</f>
        <v/>
      </c>
      <c r="J288">
        <f>הגדרות!C5</f>
        <v/>
      </c>
      <c r="K288">
        <f>הגדרות!D5</f>
        <v/>
      </c>
      <c r="L288">
        <f>I288*(1+J288/100)+K288</f>
        <v/>
      </c>
    </row>
    <row r="289">
      <c r="A289" t="inlineStr">
        <is>
          <t>וטמרקט</t>
        </is>
      </c>
      <c r="B289" t="inlineStr">
        <is>
          <t>חטיף FOODIES רצועות עוף רכות, 100 גרם</t>
        </is>
      </c>
      <c r="C289" t="inlineStr">
        <is>
          <t>חטיפים</t>
        </is>
      </c>
      <c r="D289" t="inlineStr">
        <is>
          <t>48000000</t>
        </is>
      </c>
      <c r="E289" t="inlineStr">
        <is>
          <t>2026-08</t>
        </is>
      </c>
      <c r="F289" t="n">
        <v>6</v>
      </c>
      <c r="G289" t="n">
        <v>7.08</v>
      </c>
      <c r="H289">
        <f>הגדרות!B5</f>
        <v/>
      </c>
      <c r="I289">
        <f>F289*(1-H289/100)*1.18</f>
        <v/>
      </c>
      <c r="J289">
        <f>הגדרות!C5</f>
        <v/>
      </c>
      <c r="K289">
        <f>הגדרות!D5</f>
        <v/>
      </c>
      <c r="L289">
        <f>I289*(1+J289/100)+K289</f>
        <v/>
      </c>
    </row>
    <row r="290">
      <c r="A290" t="inlineStr">
        <is>
          <t>וטמרקט</t>
        </is>
      </c>
      <c r="B290" t="inlineStr">
        <is>
          <t>חטיף FOODIES נגיסי סלמון, 100 גרם</t>
        </is>
      </c>
      <c r="C290" t="inlineStr">
        <is>
          <t>חטיפים</t>
        </is>
      </c>
      <c r="D290" t="inlineStr">
        <is>
          <t>48000004</t>
        </is>
      </c>
      <c r="E290" t="inlineStr">
        <is>
          <t>2026-08</t>
        </is>
      </c>
      <c r="F290" t="n">
        <v>6</v>
      </c>
      <c r="G290" t="n">
        <v>7.08</v>
      </c>
      <c r="H290">
        <f>הגדרות!B5</f>
        <v/>
      </c>
      <c r="I290">
        <f>F290*(1-H290/100)*1.18</f>
        <v/>
      </c>
      <c r="J290">
        <f>הגדרות!C5</f>
        <v/>
      </c>
      <c r="K290">
        <f>הגדרות!D5</f>
        <v/>
      </c>
      <c r="L290">
        <f>I290*(1+J290/100)+K290</f>
        <v/>
      </c>
    </row>
    <row r="291">
      <c r="A291" t="inlineStr">
        <is>
          <t>וטמרקט</t>
        </is>
      </c>
      <c r="B291" t="inlineStr">
        <is>
          <t>חטיף FOODIES נגיסי ברווז, 100 גרם</t>
        </is>
      </c>
      <c r="C291" t="inlineStr">
        <is>
          <t>חטיפים</t>
        </is>
      </c>
      <c r="D291" t="inlineStr">
        <is>
          <t>48000005</t>
        </is>
      </c>
      <c r="E291" t="inlineStr">
        <is>
          <t>2026-08</t>
        </is>
      </c>
      <c r="F291" t="n">
        <v>6</v>
      </c>
      <c r="G291" t="n">
        <v>7.08</v>
      </c>
      <c r="H291">
        <f>הגדרות!B5</f>
        <v/>
      </c>
      <c r="I291">
        <f>F291*(1-H291/100)*1.18</f>
        <v/>
      </c>
      <c r="J291">
        <f>הגדרות!C5</f>
        <v/>
      </c>
      <c r="K291">
        <f>הגדרות!D5</f>
        <v/>
      </c>
      <c r="L291">
        <f>I291*(1+J291/100)+K291</f>
        <v/>
      </c>
    </row>
    <row r="292">
      <c r="A292" t="inlineStr">
        <is>
          <t>וטמרקט</t>
        </is>
      </c>
      <c r="B292" t="inlineStr">
        <is>
          <t>חטיף FOODIES גלילת ברווז עם עצם דנטלית 100 גרם</t>
        </is>
      </c>
      <c r="C292" t="inlineStr">
        <is>
          <t>חטיפים</t>
        </is>
      </c>
      <c r="D292" t="inlineStr">
        <is>
          <t>48000013</t>
        </is>
      </c>
      <c r="E292" t="inlineStr">
        <is>
          <t>2026-08</t>
        </is>
      </c>
      <c r="F292" t="n">
        <v>6</v>
      </c>
      <c r="G292" t="n">
        <v>7.08</v>
      </c>
      <c r="H292">
        <f>הגדרות!B5</f>
        <v/>
      </c>
      <c r="I292">
        <f>F292*(1-H292/100)*1.18</f>
        <v/>
      </c>
      <c r="J292">
        <f>הגדרות!C5</f>
        <v/>
      </c>
      <c r="K292">
        <f>הגדרות!D5</f>
        <v/>
      </c>
      <c r="L292">
        <f>I292*(1+J292/100)+K292</f>
        <v/>
      </c>
    </row>
    <row r="293">
      <c r="A293" t="inlineStr">
        <is>
          <t>וטמרקט</t>
        </is>
      </c>
      <c r="B293" t="inlineStr">
        <is>
          <t>חטיף FOODIES גלילת כבש, אורז ועור בקר, 100 גרם</t>
        </is>
      </c>
      <c r="C293" t="inlineStr">
        <is>
          <t>חטיפים</t>
        </is>
      </c>
      <c r="D293" t="inlineStr">
        <is>
          <t>48000015</t>
        </is>
      </c>
      <c r="E293" t="inlineStr">
        <is>
          <t>2026-08</t>
        </is>
      </c>
      <c r="F293" t="n">
        <v>6</v>
      </c>
      <c r="G293" t="n">
        <v>7.08</v>
      </c>
      <c r="H293">
        <f>הגדרות!B5</f>
        <v/>
      </c>
      <c r="I293">
        <f>F293*(1-H293/100)*1.18</f>
        <v/>
      </c>
      <c r="J293">
        <f>הגדרות!C5</f>
        <v/>
      </c>
      <c r="K293">
        <f>הגדרות!D5</f>
        <v/>
      </c>
      <c r="L293">
        <f>I293*(1+J293/100)+K293</f>
        <v/>
      </c>
    </row>
    <row r="294">
      <c r="A294" t="inlineStr">
        <is>
          <t>וטמרקט</t>
        </is>
      </c>
      <c r="B294" t="inlineStr">
        <is>
          <t>חטיף FOODIES מקלות לעיסה עוף ועור בקר 1 ק"ג</t>
        </is>
      </c>
      <c r="C294" t="inlineStr">
        <is>
          <t>חטיפים</t>
        </is>
      </c>
      <c r="D294" t="inlineStr">
        <is>
          <t>48000025</t>
        </is>
      </c>
      <c r="E294" t="inlineStr">
        <is>
          <t>2026-08</t>
        </is>
      </c>
      <c r="F294" t="n">
        <v>53</v>
      </c>
      <c r="G294" t="n">
        <v>62.54</v>
      </c>
      <c r="H294">
        <f>הגדרות!B5</f>
        <v/>
      </c>
      <c r="I294">
        <f>F294*(1-H294/100)*1.18</f>
        <v/>
      </c>
      <c r="J294">
        <f>הגדרות!C5</f>
        <v/>
      </c>
      <c r="K294">
        <f>הגדרות!D5</f>
        <v/>
      </c>
      <c r="L294">
        <f>I294*(1+J294/100)+K294</f>
        <v/>
      </c>
    </row>
    <row r="295">
      <c r="A295" t="inlineStr">
        <is>
          <t>וטמרקט</t>
        </is>
      </c>
      <c r="B295" t="inlineStr">
        <is>
          <t>חטיף FOODIES גלילת עוף ועור בקר ג'מבו 1 ק"ג</t>
        </is>
      </c>
      <c r="C295" t="inlineStr">
        <is>
          <t>חטיפים</t>
        </is>
      </c>
      <c r="D295" t="inlineStr">
        <is>
          <t>48000027</t>
        </is>
      </c>
      <c r="E295" t="inlineStr">
        <is>
          <t>2026-08</t>
        </is>
      </c>
      <c r="F295" t="n">
        <v>53</v>
      </c>
      <c r="G295" t="n">
        <v>62.54</v>
      </c>
      <c r="H295">
        <f>הגדרות!B5</f>
        <v/>
      </c>
      <c r="I295">
        <f>F295*(1-H295/100)*1.18</f>
        <v/>
      </c>
      <c r="J295">
        <f>הגדרות!C5</f>
        <v/>
      </c>
      <c r="K295">
        <f>הגדרות!D5</f>
        <v/>
      </c>
      <c r="L295">
        <f>I295*(1+J295/100)+K295</f>
        <v/>
      </c>
    </row>
    <row r="296">
      <c r="A296" t="inlineStr">
        <is>
          <t>וטמרקט</t>
        </is>
      </c>
      <c r="B296" t="inlineStr">
        <is>
          <t>חטיף FOODIES גלילת ברווז עם עצם סידן 1 ק"ג</t>
        </is>
      </c>
      <c r="C296" t="inlineStr">
        <is>
          <t>חטיפים</t>
        </is>
      </c>
      <c r="D296" t="inlineStr">
        <is>
          <t>48000028</t>
        </is>
      </c>
      <c r="E296" t="inlineStr">
        <is>
          <t>2026-08</t>
        </is>
      </c>
      <c r="F296" t="n">
        <v>53</v>
      </c>
      <c r="G296" t="n">
        <v>62.54</v>
      </c>
      <c r="H296">
        <f>הגדרות!B5</f>
        <v/>
      </c>
      <c r="I296">
        <f>F296*(1-H296/100)*1.18</f>
        <v/>
      </c>
      <c r="J296">
        <f>הגדרות!C5</f>
        <v/>
      </c>
      <c r="K296">
        <f>הגדרות!D5</f>
        <v/>
      </c>
      <c r="L296">
        <f>I296*(1+J296/100)+K296</f>
        <v/>
      </c>
    </row>
    <row r="297">
      <c r="A297" t="inlineStr">
        <is>
          <t>וטמרקט</t>
        </is>
      </c>
      <c r="B297" t="inlineStr">
        <is>
          <t>חטיף FOODIES פילה חזה עוף 1 ק"ג</t>
        </is>
      </c>
      <c r="C297" t="inlineStr">
        <is>
          <t>חטיפים</t>
        </is>
      </c>
      <c r="D297" t="inlineStr">
        <is>
          <t>48000029</t>
        </is>
      </c>
      <c r="E297" t="inlineStr">
        <is>
          <t>2026-08</t>
        </is>
      </c>
      <c r="F297" t="n">
        <v>53</v>
      </c>
      <c r="G297" t="n">
        <v>62.54</v>
      </c>
      <c r="H297">
        <f>הגדרות!B5</f>
        <v/>
      </c>
      <c r="I297">
        <f>F297*(1-H297/100)*1.18</f>
        <v/>
      </c>
      <c r="J297">
        <f>הגדרות!C5</f>
        <v/>
      </c>
      <c r="K297">
        <f>הגדרות!D5</f>
        <v/>
      </c>
      <c r="L297">
        <f>I297*(1+J297/100)+K297</f>
        <v/>
      </c>
    </row>
    <row r="298">
      <c r="A298" t="inlineStr">
        <is>
          <t>וטמרקט</t>
        </is>
      </c>
      <c r="B298" t="inlineStr">
        <is>
          <t>ק"ג 1 חטיף פודיס ברווז על מקלוני עור בקר,</t>
        </is>
      </c>
      <c r="C298" t="inlineStr">
        <is>
          <t>חטיפים</t>
        </is>
      </c>
      <c r="D298" t="inlineStr">
        <is>
          <t>48000030</t>
        </is>
      </c>
      <c r="E298" t="inlineStr">
        <is>
          <t>2026-08</t>
        </is>
      </c>
      <c r="F298" t="n">
        <v>53</v>
      </c>
      <c r="G298" t="n">
        <v>62.54</v>
      </c>
      <c r="H298">
        <f>הגדרות!B5</f>
        <v/>
      </c>
      <c r="I298">
        <f>F298*(1-H298/100)*1.18</f>
        <v/>
      </c>
      <c r="J298">
        <f>הגדרות!C5</f>
        <v/>
      </c>
      <c r="K298">
        <f>הגדרות!D5</f>
        <v/>
      </c>
      <c r="L298">
        <f>I298*(1+J298/100)+K298</f>
        <v/>
      </c>
    </row>
    <row r="299">
      <c r="A299" t="inlineStr">
        <is>
          <t>וטמרקט</t>
        </is>
      </c>
      <c r="B299" t="inlineStr">
        <is>
          <t>חטיף FOODIES גלילת כבש ועור בקר, 1 ק"ג</t>
        </is>
      </c>
      <c r="C299" t="inlineStr">
        <is>
          <t>חטיפים</t>
        </is>
      </c>
      <c r="D299" t="inlineStr">
        <is>
          <t>48000031</t>
        </is>
      </c>
      <c r="E299" t="inlineStr">
        <is>
          <t>2026-08</t>
        </is>
      </c>
      <c r="F299" t="n">
        <v>53</v>
      </c>
      <c r="G299" t="n">
        <v>62.54</v>
      </c>
      <c r="H299">
        <f>הגדרות!B5</f>
        <v/>
      </c>
      <c r="I299">
        <f>F299*(1-H299/100)*1.18</f>
        <v/>
      </c>
      <c r="J299">
        <f>הגדרות!C5</f>
        <v/>
      </c>
      <c r="K299">
        <f>הגדרות!D5</f>
        <v/>
      </c>
      <c r="L299">
        <f>I299*(1+J299/100)+K299</f>
        <v/>
      </c>
    </row>
    <row r="300">
      <c r="A300" t="inlineStr">
        <is>
          <t>וטמרקט</t>
        </is>
      </c>
      <c r="B300" t="inlineStr">
        <is>
          <t>ק"ג 1 חטיף פודיס מקלות לעיסה כבש ועור בקר,</t>
        </is>
      </c>
      <c r="C300" t="inlineStr">
        <is>
          <t>חטיפים</t>
        </is>
      </c>
      <c r="D300" t="inlineStr">
        <is>
          <t>48000032</t>
        </is>
      </c>
      <c r="E300" t="inlineStr">
        <is>
          <t>2026-08</t>
        </is>
      </c>
      <c r="F300" t="n">
        <v>53</v>
      </c>
      <c r="G300" t="n">
        <v>62.54</v>
      </c>
      <c r="H300">
        <f>הגדרות!B5</f>
        <v/>
      </c>
      <c r="I300">
        <f>F300*(1-H300/100)*1.18</f>
        <v/>
      </c>
      <c r="J300">
        <f>הגדרות!C5</f>
        <v/>
      </c>
      <c r="K300">
        <f>הגדרות!D5</f>
        <v/>
      </c>
      <c r="L300">
        <f>I300*(1+J300/100)+K300</f>
        <v/>
      </c>
    </row>
    <row r="301">
      <c r="A301" t="inlineStr">
        <is>
          <t>וטמרקט</t>
        </is>
      </c>
      <c r="B301" t="inlineStr">
        <is>
          <t>חטיף FOODIES מקלות לעיסה סלמון ועור בקר, 1 ק"ג</t>
        </is>
      </c>
      <c r="C301" t="inlineStr">
        <is>
          <t>חטיפים</t>
        </is>
      </c>
      <c r="D301" t="inlineStr">
        <is>
          <t>48000033</t>
        </is>
      </c>
      <c r="E301" t="inlineStr">
        <is>
          <t>2026-08</t>
        </is>
      </c>
      <c r="F301" t="n">
        <v>53</v>
      </c>
      <c r="G301" t="n">
        <v>62.54</v>
      </c>
      <c r="H301">
        <f>הגדרות!B5</f>
        <v/>
      </c>
      <c r="I301">
        <f>F301*(1-H301/100)*1.18</f>
        <v/>
      </c>
      <c r="J301">
        <f>הגדרות!C5</f>
        <v/>
      </c>
      <c r="K301">
        <f>הגדרות!D5</f>
        <v/>
      </c>
      <c r="L301">
        <f>I301*(1+J301/100)+K301</f>
        <v/>
      </c>
    </row>
    <row r="302">
      <c r="A302" t="inlineStr">
        <is>
          <t>מדי-מרקט</t>
        </is>
      </c>
      <c r="B302" t="inlineStr">
        <is>
          <t>@ סדיניה 35 60X90 יח' TENA BED @</t>
        </is>
      </c>
      <c r="C302" t="inlineStr">
        <is>
          <t>אביזרים</t>
        </is>
      </c>
      <c r="D302" t="inlineStr">
        <is>
          <t>33262-1</t>
        </is>
      </c>
      <c r="E302" t="inlineStr">
        <is>
          <t>2026-06</t>
        </is>
      </c>
      <c r="F302" t="n">
        <v>31.36</v>
      </c>
      <c r="G302" t="n">
        <v>37</v>
      </c>
      <c r="H302">
        <f>הגדרות!B6</f>
        <v/>
      </c>
      <c r="I302">
        <f>F302*(1-H302/100)*1.18</f>
        <v/>
      </c>
      <c r="J302">
        <f>הגדרות!C6</f>
        <v/>
      </c>
      <c r="K302">
        <f>הגדרות!D6</f>
        <v/>
      </c>
      <c r="L302">
        <f>I302*(1+J302/100)+K302</f>
        <v/>
      </c>
    </row>
    <row r="303">
      <c r="A303" t="inlineStr">
        <is>
          <t>מדי-מרקט</t>
        </is>
      </c>
      <c r="B303" t="inlineStr">
        <is>
          <t>ANTIGONE WIPES 19*20 500</t>
        </is>
      </c>
      <c r="C303" t="inlineStr">
        <is>
          <t>טיפוח והיגיינה</t>
        </is>
      </c>
      <c r="D303" t="inlineStr">
        <is>
          <t>M0002020</t>
        </is>
      </c>
      <c r="E303" t="inlineStr">
        <is>
          <t>2026-06</t>
        </is>
      </c>
      <c r="F303" t="n">
        <v>71.42</v>
      </c>
      <c r="G303" t="n">
        <v>84.27</v>
      </c>
      <c r="H303">
        <f>הגדרות!B6</f>
        <v/>
      </c>
      <c r="I303">
        <f>F303*(1-H303/100)*1.18</f>
        <v/>
      </c>
      <c r="J303">
        <f>הגדרות!C6</f>
        <v/>
      </c>
      <c r="K303">
        <f>הגדרות!D6</f>
        <v/>
      </c>
      <c r="L303">
        <f>I303*(1+J303/100)+K303</f>
        <v/>
      </c>
    </row>
    <row r="304">
      <c r="A304" t="inlineStr">
        <is>
          <t>מדי-מרקט</t>
        </is>
      </c>
      <c r="B304" t="inlineStr">
        <is>
          <t>ANTIGONE WIPES 20*20 200</t>
        </is>
      </c>
      <c r="C304" t="inlineStr">
        <is>
          <t>טיפוח והיגיינה</t>
        </is>
      </c>
      <c r="D304" t="inlineStr">
        <is>
          <t>100003</t>
        </is>
      </c>
      <c r="E304" t="inlineStr">
        <is>
          <t>2026-06</t>
        </is>
      </c>
      <c r="F304" t="n">
        <v>30.32</v>
      </c>
      <c r="G304" t="n">
        <v>35.78</v>
      </c>
      <c r="H304">
        <f>הגדרות!B6</f>
        <v/>
      </c>
      <c r="I304">
        <f>F304*(1-H304/100)*1.18</f>
        <v/>
      </c>
      <c r="J304">
        <f>הגדרות!C6</f>
        <v/>
      </c>
      <c r="K304">
        <f>הגדרות!D6</f>
        <v/>
      </c>
      <c r="L304">
        <f>I304*(1+J304/100)+K304</f>
        <v/>
      </c>
    </row>
    <row r="305">
      <c r="A305" t="inlineStr">
        <is>
          <t>מדי-מרקט</t>
        </is>
      </c>
      <c r="B305" t="inlineStr">
        <is>
          <t>CETRIN 1 LITTER SOL</t>
        </is>
      </c>
      <c r="C305" t="inlineStr">
        <is>
          <t>חול ושירותים</t>
        </is>
      </c>
      <c r="D305" t="inlineStr">
        <is>
          <t>33365</t>
        </is>
      </c>
      <c r="E305" t="inlineStr">
        <is>
          <t>2026-06</t>
        </is>
      </c>
      <c r="F305" t="n">
        <v>30.84</v>
      </c>
      <c r="G305" t="n">
        <v>36.39</v>
      </c>
      <c r="H305">
        <f>הגדרות!B6</f>
        <v/>
      </c>
      <c r="I305">
        <f>F305*(1-H305/100)*1.18</f>
        <v/>
      </c>
      <c r="J305">
        <f>הגדרות!C6</f>
        <v/>
      </c>
      <c r="K305">
        <f>הגדרות!D6</f>
        <v/>
      </c>
      <c r="L305">
        <f>I305*(1+J305/100)+K305</f>
        <v/>
      </c>
    </row>
    <row r="306">
      <c r="A306" t="inlineStr">
        <is>
          <t>מדי-מרקט</t>
        </is>
      </c>
      <c r="B306" t="inlineStr">
        <is>
          <t>DOUXO S3 CALM MOUSSE 150 ML</t>
        </is>
      </c>
      <c r="C306" t="inlineStr">
        <is>
          <t>טיפוח והיגיינה</t>
        </is>
      </c>
      <c r="D306" t="inlineStr">
        <is>
          <t>81-105</t>
        </is>
      </c>
      <c r="E306" t="inlineStr">
        <is>
          <t>2026-06</t>
        </is>
      </c>
      <c r="F306" t="n">
        <v>58.47</v>
      </c>
      <c r="G306" t="n">
        <v>69</v>
      </c>
      <c r="H306">
        <f>הגדרות!B6</f>
        <v/>
      </c>
      <c r="I306">
        <f>F306*(1-H306/100)*1.18</f>
        <v/>
      </c>
      <c r="J306">
        <f>הגדרות!C6</f>
        <v/>
      </c>
      <c r="K306">
        <f>הגדרות!D6</f>
        <v/>
      </c>
      <c r="L306">
        <f>I306*(1+J306/100)+K306</f>
        <v/>
      </c>
    </row>
    <row r="307">
      <c r="A307" t="inlineStr">
        <is>
          <t>מדי-מרקט</t>
        </is>
      </c>
      <c r="B307" t="inlineStr">
        <is>
          <t>DOUXO S3 PYO MOUSSE 150 ML</t>
        </is>
      </c>
      <c r="C307" t="inlineStr">
        <is>
          <t>טיפוח והיגיינה</t>
        </is>
      </c>
      <c r="D307" t="inlineStr">
        <is>
          <t>81-101</t>
        </is>
      </c>
      <c r="E307" t="inlineStr">
        <is>
          <t>2026-06</t>
        </is>
      </c>
      <c r="F307" t="n">
        <v>58.47</v>
      </c>
      <c r="G307" t="n">
        <v>69</v>
      </c>
      <c r="H307">
        <f>הגדרות!B6</f>
        <v/>
      </c>
      <c r="I307">
        <f>F307*(1-H307/100)*1.18</f>
        <v/>
      </c>
      <c r="J307">
        <f>הגדרות!C6</f>
        <v/>
      </c>
      <c r="K307">
        <f>הגדרות!D6</f>
        <v/>
      </c>
      <c r="L307">
        <f>I307*(1+J307/100)+K307</f>
        <v/>
      </c>
    </row>
    <row r="308">
      <c r="A308" t="inlineStr">
        <is>
          <t>מדי-מרקט</t>
        </is>
      </c>
      <c r="B308" t="inlineStr">
        <is>
          <t>DOUXO S3 PYO PADS</t>
        </is>
      </c>
      <c r="C308" t="inlineStr">
        <is>
          <t>טיפוח והיגיינה</t>
        </is>
      </c>
      <c r="D308" t="inlineStr">
        <is>
          <t>81-107</t>
        </is>
      </c>
      <c r="E308" t="inlineStr">
        <is>
          <t>2026-06</t>
        </is>
      </c>
      <c r="F308" t="n">
        <v>36.44</v>
      </c>
      <c r="G308" t="n">
        <v>43</v>
      </c>
      <c r="H308">
        <f>הגדרות!B6</f>
        <v/>
      </c>
      <c r="I308">
        <f>F308*(1-H308/100)*1.18</f>
        <v/>
      </c>
      <c r="J308">
        <f>הגדרות!C6</f>
        <v/>
      </c>
      <c r="K308">
        <f>הגדרות!D6</f>
        <v/>
      </c>
      <c r="L308">
        <f>I308*(1+J308/100)+K308</f>
        <v/>
      </c>
    </row>
    <row r="309">
      <c r="A309" t="inlineStr">
        <is>
          <t>מדי-מרקט</t>
        </is>
      </c>
      <c r="B309" t="inlineStr">
        <is>
          <t>DOUXO S3 SEB MOUSSE 150 ML</t>
        </is>
      </c>
      <c r="C309" t="inlineStr">
        <is>
          <t>טיפוח והיגיינה</t>
        </is>
      </c>
      <c r="D309" t="inlineStr">
        <is>
          <t>81-103</t>
        </is>
      </c>
      <c r="E309" t="inlineStr">
        <is>
          <t>2026-06</t>
        </is>
      </c>
      <c r="F309" t="n">
        <v>58.47</v>
      </c>
      <c r="G309" t="n">
        <v>69</v>
      </c>
      <c r="H309">
        <f>הגדרות!B6</f>
        <v/>
      </c>
      <c r="I309">
        <f>F309*(1-H309/100)*1.18</f>
        <v/>
      </c>
      <c r="J309">
        <f>הגדרות!C6</f>
        <v/>
      </c>
      <c r="K309">
        <f>הגדרות!D6</f>
        <v/>
      </c>
      <c r="L309">
        <f>I309*(1+J309/100)+K309</f>
        <v/>
      </c>
    </row>
    <row r="310">
      <c r="A310" t="inlineStr">
        <is>
          <t>מדי-מרקט</t>
        </is>
      </c>
      <c r="B310" t="inlineStr">
        <is>
          <t>Easy Go 500 Litter - איזי גו</t>
        </is>
      </c>
      <c r="C310" t="inlineStr">
        <is>
          <t>חול ושירותים</t>
        </is>
      </c>
      <c r="D310" t="inlineStr">
        <is>
          <t>18033-1</t>
        </is>
      </c>
      <c r="E310" t="inlineStr">
        <is>
          <t>2026-06</t>
        </is>
      </c>
      <c r="F310" t="n">
        <v>14.32</v>
      </c>
      <c r="G310" t="n">
        <v>16.9</v>
      </c>
      <c r="H310">
        <f>הגדרות!B6</f>
        <v/>
      </c>
      <c r="I310">
        <f>F310*(1-H310/100)*1.18</f>
        <v/>
      </c>
      <c r="J310">
        <f>הגדרות!C6</f>
        <v/>
      </c>
      <c r="K310">
        <f>הגדרות!D6</f>
        <v/>
      </c>
      <c r="L310">
        <f>I310*(1+J310/100)+K310</f>
        <v/>
      </c>
    </row>
    <row r="311">
      <c r="A311" t="inlineStr">
        <is>
          <t>מדי-מרקט</t>
        </is>
      </c>
      <c r="B311" t="inlineStr">
        <is>
          <t>Pinchers 45chews peanut butter pill hiding treat</t>
        </is>
      </c>
      <c r="C311" t="inlineStr">
        <is>
          <t>חטיפים</t>
        </is>
      </c>
      <c r="D311" t="inlineStr">
        <is>
          <t>090062J.045</t>
        </is>
      </c>
      <c r="E311" t="inlineStr">
        <is>
          <t>2026-06</t>
        </is>
      </c>
      <c r="F311" t="n">
        <v>22.3</v>
      </c>
      <c r="G311" t="n">
        <v>26.31</v>
      </c>
      <c r="H311">
        <f>הגדרות!B6</f>
        <v/>
      </c>
      <c r="I311">
        <f>F311*(1-H311/100)*1.18</f>
        <v/>
      </c>
      <c r="J311">
        <f>הגדרות!C6</f>
        <v/>
      </c>
      <c r="K311">
        <f>הגדרות!D6</f>
        <v/>
      </c>
      <c r="L311">
        <f>I311*(1+J311/100)+K311</f>
        <v/>
      </c>
    </row>
    <row r="312">
      <c r="A312" t="inlineStr">
        <is>
          <t>מדי-מרקט</t>
        </is>
      </c>
      <c r="B312" t="inlineStr">
        <is>
          <t>אלונקה רכה מתקפלת NAR QuikLitter</t>
        </is>
      </c>
      <c r="C312" t="inlineStr">
        <is>
          <t>חול ושירותים</t>
        </is>
      </c>
      <c r="D312" t="inlineStr">
        <is>
          <t>4105</t>
        </is>
      </c>
      <c r="E312" t="inlineStr">
        <is>
          <t>2026-06</t>
        </is>
      </c>
      <c r="F312" t="n">
        <v>194.49</v>
      </c>
      <c r="G312" t="n">
        <v>229.5</v>
      </c>
      <c r="H312">
        <f>הגדרות!B6</f>
        <v/>
      </c>
      <c r="I312">
        <f>F312*(1-H312/100)*1.18</f>
        <v/>
      </c>
      <c r="J312">
        <f>הגדרות!C6</f>
        <v/>
      </c>
      <c r="K312">
        <f>הגדרות!D6</f>
        <v/>
      </c>
      <c r="L312">
        <f>I312*(1+J312/100)+K312</f>
        <v/>
      </c>
    </row>
    <row r="313">
      <c r="A313" t="inlineStr">
        <is>
          <t>מדי-מרקט</t>
        </is>
      </c>
      <c r="B313" t="inlineStr">
        <is>
          <t>כלוב נשיאה אטלס 10 ללא מזרון Ferplast</t>
        </is>
      </c>
      <c r="C313" t="inlineStr">
        <is>
          <t>טיפוח והיגיינה</t>
        </is>
      </c>
      <c r="D313" t="inlineStr">
        <is>
          <t>5550279</t>
        </is>
      </c>
      <c r="E313" t="inlineStr">
        <is>
          <t>2026-06</t>
        </is>
      </c>
      <c r="F313" t="n">
        <v>50.85</v>
      </c>
      <c r="G313" t="n">
        <v>60</v>
      </c>
      <c r="H313">
        <f>הגדרות!B6</f>
        <v/>
      </c>
      <c r="I313">
        <f>F313*(1-H313/100)*1.18</f>
        <v/>
      </c>
      <c r="J313">
        <f>הגדרות!C6</f>
        <v/>
      </c>
      <c r="K313">
        <f>הגדרות!D6</f>
        <v/>
      </c>
      <c r="L313">
        <f>I313*(1+J313/100)+K313</f>
        <v/>
      </c>
    </row>
    <row r="314">
      <c r="A314" t="inlineStr">
        <is>
          <t>מדי-מרקט</t>
        </is>
      </c>
      <c r="B314" t="inlineStr">
        <is>
          <t>כלוב נשיאה אטלס 20 ללא מזרון Ferplast</t>
        </is>
      </c>
      <c r="C314" t="inlineStr">
        <is>
          <t>טיפוח והיגיינה</t>
        </is>
      </c>
      <c r="D314" t="inlineStr">
        <is>
          <t>5550280</t>
        </is>
      </c>
      <c r="E314" t="inlineStr">
        <is>
          <t>2026-06</t>
        </is>
      </c>
      <c r="F314" t="n">
        <v>88.14</v>
      </c>
      <c r="G314" t="n">
        <v>104</v>
      </c>
      <c r="H314">
        <f>הגדרות!B6</f>
        <v/>
      </c>
      <c r="I314">
        <f>F314*(1-H314/100)*1.18</f>
        <v/>
      </c>
      <c r="J314">
        <f>הגדרות!C6</f>
        <v/>
      </c>
      <c r="K314">
        <f>הגדרות!D6</f>
        <v/>
      </c>
      <c r="L314">
        <f>I314*(1+J314/100)+K314</f>
        <v/>
      </c>
    </row>
    <row r="315">
      <c r="A315" t="inlineStr">
        <is>
          <t>מדי-מרקט</t>
        </is>
      </c>
      <c r="B315" t="inlineStr">
        <is>
          <t>מברשת רחצת ידיים לפני ניתוח, סטר', מדיקפרו</t>
        </is>
      </c>
      <c r="C315" t="inlineStr">
        <is>
          <t>טיפוח והיגיינה</t>
        </is>
      </c>
      <c r="D315" t="inlineStr">
        <is>
          <t>3694</t>
        </is>
      </c>
      <c r="E315" t="inlineStr">
        <is>
          <t>2026-06</t>
        </is>
      </c>
      <c r="F315" t="n">
        <v>0.87</v>
      </c>
      <c r="G315" t="n">
        <v>1.03</v>
      </c>
      <c r="H315">
        <f>הגדרות!B6</f>
        <v/>
      </c>
      <c r="I315">
        <f>F315*(1-H315/100)*1.18</f>
        <v/>
      </c>
      <c r="J315">
        <f>הגדרות!C6</f>
        <v/>
      </c>
      <c r="K315">
        <f>הגדרות!D6</f>
        <v/>
      </c>
      <c r="L315">
        <f>I315*(1+J315/100)+K315</f>
        <v/>
      </c>
    </row>
    <row r="316">
      <c r="A316" t="inlineStr">
        <is>
          <t>מדי-מרקט</t>
        </is>
      </c>
      <c r="B316" t="inlineStr">
        <is>
          <t>מגבונים - Clinell sporicidal wipesn 1/6</t>
        </is>
      </c>
      <c r="C316" t="inlineStr">
        <is>
          <t>טיפוח והיגיינה</t>
        </is>
      </c>
      <c r="D316" t="inlineStr">
        <is>
          <t>CS25</t>
        </is>
      </c>
      <c r="E316" t="inlineStr">
        <is>
          <t>2026-06</t>
        </is>
      </c>
      <c r="F316" t="n">
        <v>156.78</v>
      </c>
      <c r="G316" t="n">
        <v>185</v>
      </c>
      <c r="H316">
        <f>הגדרות!B6</f>
        <v/>
      </c>
      <c r="I316">
        <f>F316*(1-H316/100)*1.18</f>
        <v/>
      </c>
      <c r="J316">
        <f>הגדרות!C6</f>
        <v/>
      </c>
      <c r="K316">
        <f>הגדרות!D6</f>
        <v/>
      </c>
      <c r="L316">
        <f>I316*(1+J316/100)+K316</f>
        <v/>
      </c>
    </row>
    <row r="317">
      <c r="A317" t="inlineStr">
        <is>
          <t>מדי-מרקט</t>
        </is>
      </c>
      <c r="B317" t="inlineStr">
        <is>
          <t>מגבונים - Clinell Universal wipes clip pack 50</t>
        </is>
      </c>
      <c r="C317" t="inlineStr">
        <is>
          <t>טיפוח והיגיינה</t>
        </is>
      </c>
      <c r="D317" t="inlineStr">
        <is>
          <t>11050</t>
        </is>
      </c>
      <c r="E317" t="inlineStr">
        <is>
          <t>2026-06</t>
        </is>
      </c>
      <c r="F317" t="n">
        <v>9.25</v>
      </c>
      <c r="G317" t="n">
        <v>10.92</v>
      </c>
      <c r="H317">
        <f>הגדרות!B6</f>
        <v/>
      </c>
      <c r="I317">
        <f>F317*(1-H317/100)*1.18</f>
        <v/>
      </c>
      <c r="J317">
        <f>הגדרות!C6</f>
        <v/>
      </c>
      <c r="K317">
        <f>הגדרות!D6</f>
        <v/>
      </c>
      <c r="L317">
        <f>I317*(1+J317/100)+K317</f>
        <v/>
      </c>
    </row>
    <row r="318">
      <c r="A318" t="inlineStr">
        <is>
          <t>מדי-מרקט</t>
        </is>
      </c>
      <c r="B318" t="inlineStr">
        <is>
          <t>מגבונים - Clinell Universal Wipes pack of 200</t>
        </is>
      </c>
      <c r="C318" t="inlineStr">
        <is>
          <t>טיפוח והיגיינה</t>
        </is>
      </c>
      <c r="D318" t="inlineStr">
        <is>
          <t>11200</t>
        </is>
      </c>
      <c r="E318" t="inlineStr">
        <is>
          <t>2026-06</t>
        </is>
      </c>
      <c r="F318" t="n">
        <v>19.92</v>
      </c>
      <c r="G318" t="n">
        <v>23.5</v>
      </c>
      <c r="H318">
        <f>הגדרות!B6</f>
        <v/>
      </c>
      <c r="I318">
        <f>F318*(1-H318/100)*1.18</f>
        <v/>
      </c>
      <c r="J318">
        <f>הגדרות!C6</f>
        <v/>
      </c>
      <c r="K318">
        <f>הגדרות!D6</f>
        <v/>
      </c>
      <c r="L318">
        <f>I318*(1+J318/100)+K318</f>
        <v/>
      </c>
    </row>
    <row r="319">
      <c r="A319" t="inlineStr">
        <is>
          <t>מדי-מרקט</t>
        </is>
      </c>
      <c r="B319" t="inlineStr">
        <is>
          <t>מגבונים מדי-קלין אקסטרה עבים מועשר באלוורה 500 יח 20X16 ס"מ</t>
        </is>
      </c>
      <c r="C319" t="inlineStr">
        <is>
          <t>טיפוח והיגיינה</t>
        </is>
      </c>
      <c r="D319" t="inlineStr">
        <is>
          <t>128697</t>
        </is>
      </c>
      <c r="E319" t="inlineStr">
        <is>
          <t>2026-06</t>
        </is>
      </c>
      <c r="F319" t="n">
        <v>22.88</v>
      </c>
      <c r="G319" t="n">
        <v>27</v>
      </c>
      <c r="H319">
        <f>הגדרות!B6</f>
        <v/>
      </c>
      <c r="I319">
        <f>F319*(1-H319/100)*1.18</f>
        <v/>
      </c>
      <c r="J319">
        <f>הגדרות!C6</f>
        <v/>
      </c>
      <c r="K319">
        <f>הגדרות!D6</f>
        <v/>
      </c>
      <c r="L319">
        <f>I319*(1+J319/100)+K319</f>
        <v/>
      </c>
    </row>
    <row r="320">
      <c r="A320" t="inlineStr">
        <is>
          <t>מדי-מרקט</t>
        </is>
      </c>
      <c r="B320" t="inlineStr">
        <is>
          <t>מגבונים מדי-קלין מועשרים באלוורה 500 יח' 28X20 ס"מ</t>
        </is>
      </c>
      <c r="C320" t="inlineStr">
        <is>
          <t>טיפוח והיגיינה</t>
        </is>
      </c>
      <c r="D320" t="inlineStr">
        <is>
          <t>128695</t>
        </is>
      </c>
      <c r="E320" t="inlineStr">
        <is>
          <t>2026-06</t>
        </is>
      </c>
      <c r="F320" t="n">
        <v>22.88</v>
      </c>
      <c r="G320" t="n">
        <v>27</v>
      </c>
      <c r="H320">
        <f>הגדרות!B6</f>
        <v/>
      </c>
      <c r="I320">
        <f>F320*(1-H320/100)*1.18</f>
        <v/>
      </c>
      <c r="J320">
        <f>הגדרות!C6</f>
        <v/>
      </c>
      <c r="K320">
        <f>הגדרות!D6</f>
        <v/>
      </c>
      <c r="L320">
        <f>I320*(1+J320/100)+K320</f>
        <v/>
      </c>
    </row>
    <row r="321">
      <c r="A321" t="inlineStr">
        <is>
          <t>מדי-מרקט</t>
        </is>
      </c>
      <c r="B321" t="inlineStr">
        <is>
          <t>מיטה חשמלית דגם GUESS 402 מעקה מגלוון</t>
        </is>
      </c>
      <c r="C321" t="inlineStr">
        <is>
          <t>אביזרים</t>
        </is>
      </c>
      <c r="D321" t="inlineStr">
        <is>
          <t>883135</t>
        </is>
      </c>
      <c r="E321" t="inlineStr">
        <is>
          <t>2026-06</t>
        </is>
      </c>
      <c r="F321" t="n">
        <v>6288.14</v>
      </c>
      <c r="G321" t="n">
        <v>7420</v>
      </c>
      <c r="H321">
        <f>הגדרות!B6</f>
        <v/>
      </c>
      <c r="I321">
        <f>F321*(1-H321/100)*1.18</f>
        <v/>
      </c>
      <c r="J321">
        <f>הגדרות!C6</f>
        <v/>
      </c>
      <c r="K321">
        <f>הגדרות!D6</f>
        <v/>
      </c>
      <c r="L321">
        <f>I321*(1+J321/100)+K321</f>
        <v/>
      </c>
    </row>
    <row r="322">
      <c r="A322" t="inlineStr">
        <is>
          <t>מדי-מרקט</t>
        </is>
      </c>
      <c r="B322" t="inlineStr">
        <is>
          <t>מספריים אל חלד לציפורניים REISZ</t>
        </is>
      </c>
      <c r="C322" t="inlineStr">
        <is>
          <t>טיפוח והיגיינה</t>
        </is>
      </c>
      <c r="D322" t="inlineStr">
        <is>
          <t>434457</t>
        </is>
      </c>
      <c r="E322" t="inlineStr">
        <is>
          <t>2026-06</t>
        </is>
      </c>
      <c r="F322" t="n">
        <v>21.17</v>
      </c>
      <c r="G322" t="n">
        <v>24.98</v>
      </c>
      <c r="H322">
        <f>הגדרות!B6</f>
        <v/>
      </c>
      <c r="I322">
        <f>F322*(1-H322/100)*1.18</f>
        <v/>
      </c>
      <c r="J322">
        <f>הגדרות!C6</f>
        <v/>
      </c>
      <c r="K322">
        <f>הגדרות!D6</f>
        <v/>
      </c>
      <c r="L322">
        <f>I322*(1+J322/100)+K322</f>
        <v/>
      </c>
    </row>
    <row r="323">
      <c r="A323" t="inlineStr">
        <is>
          <t>מדי-מרקט</t>
        </is>
      </c>
      <c r="B323" t="inlineStr">
        <is>
          <t>משושת ג'ל 500 מ"ל פוליגונום רב תכליתי Herbaderm</t>
        </is>
      </c>
      <c r="C323" t="inlineStr">
        <is>
          <t>טיפוח והיגיינה</t>
        </is>
      </c>
      <c r="D323" t="inlineStr">
        <is>
          <t>67-105</t>
        </is>
      </c>
      <c r="E323" t="inlineStr">
        <is>
          <t>2026-06</t>
        </is>
      </c>
      <c r="F323" t="n">
        <v>157.63</v>
      </c>
      <c r="G323" t="n">
        <v>186</v>
      </c>
      <c r="H323">
        <f>הגדרות!B6</f>
        <v/>
      </c>
      <c r="I323">
        <f>F323*(1-H323/100)*1.18</f>
        <v/>
      </c>
      <c r="J323">
        <f>הגדרות!C6</f>
        <v/>
      </c>
      <c r="K323">
        <f>הגדרות!D6</f>
        <v/>
      </c>
      <c r="L323">
        <f>I323*(1+J323/100)+K323</f>
        <v/>
      </c>
    </row>
    <row r="324">
      <c r="A324" t="inlineStr">
        <is>
          <t>מדי-מרקט</t>
        </is>
      </c>
      <c r="B324" t="inlineStr">
        <is>
          <t>משושת קרם 500 מ"ל פוליגונום רב תכליתי Herbaderm</t>
        </is>
      </c>
      <c r="C324" t="inlineStr">
        <is>
          <t>טיפוח והיגיינה</t>
        </is>
      </c>
      <c r="D324" t="inlineStr">
        <is>
          <t>67-103</t>
        </is>
      </c>
      <c r="E324" t="inlineStr">
        <is>
          <t>2026-06</t>
        </is>
      </c>
      <c r="F324" t="n">
        <v>157.63</v>
      </c>
      <c r="G324" t="n">
        <v>186</v>
      </c>
      <c r="H324">
        <f>הגדרות!B6</f>
        <v/>
      </c>
      <c r="I324">
        <f>F324*(1-H324/100)*1.18</f>
        <v/>
      </c>
      <c r="J324">
        <f>הגדרות!C6</f>
        <v/>
      </c>
      <c r="K324">
        <f>הגדרות!D6</f>
        <v/>
      </c>
      <c r="L324">
        <f>I324*(1+J324/100)+K324</f>
        <v/>
      </c>
    </row>
    <row r="325">
      <c r="A325" t="inlineStr">
        <is>
          <t>מדי-מרקט</t>
        </is>
      </c>
      <c r="B325" t="inlineStr">
        <is>
          <t>נייר לניגוב עדשות מיקרוסקופ 1159 1/280 Kimwipes</t>
        </is>
      </c>
      <c r="C325" t="inlineStr">
        <is>
          <t>טיפוח והיגיינה</t>
        </is>
      </c>
      <c r="D325" t="inlineStr">
        <is>
          <t>3422</t>
        </is>
      </c>
      <c r="E325" t="inlineStr">
        <is>
          <t>2026-06</t>
        </is>
      </c>
      <c r="F325" t="n">
        <v>26.44</v>
      </c>
      <c r="G325" t="n">
        <v>31.2</v>
      </c>
      <c r="H325">
        <f>הגדרות!B6</f>
        <v/>
      </c>
      <c r="I325">
        <f>F325*(1-H325/100)*1.18</f>
        <v/>
      </c>
      <c r="J325">
        <f>הגדרות!C6</f>
        <v/>
      </c>
      <c r="K325">
        <f>הגדרות!D6</f>
        <v/>
      </c>
      <c r="L325">
        <f>I325*(1+J325/100)+K325</f>
        <v/>
      </c>
    </row>
    <row r="326">
      <c r="A326" t="inlineStr">
        <is>
          <t>מדי-מרקט</t>
        </is>
      </c>
      <c r="B326" t="inlineStr">
        <is>
          <t>סיר לילה פלסטיק/ מיטה גדול עם ידית, מדיקפרו</t>
        </is>
      </c>
      <c r="C326" t="inlineStr">
        <is>
          <t>אביזרים</t>
        </is>
      </c>
      <c r="D326" t="inlineStr">
        <is>
          <t>4055</t>
        </is>
      </c>
      <c r="E326" t="inlineStr">
        <is>
          <t>2026-06</t>
        </is>
      </c>
      <c r="F326" t="n">
        <v>11.86</v>
      </c>
      <c r="G326" t="n">
        <v>14</v>
      </c>
      <c r="H326">
        <f>הגדרות!B6</f>
        <v/>
      </c>
      <c r="I326">
        <f>F326*(1-H326/100)*1.18</f>
        <v/>
      </c>
      <c r="J326">
        <f>הגדרות!C6</f>
        <v/>
      </c>
      <c r="K326">
        <f>הגדרות!D6</f>
        <v/>
      </c>
      <c r="L326">
        <f>I326*(1+J326/100)+K326</f>
        <v/>
      </c>
    </row>
    <row r="327">
      <c r="A327" t="inlineStr">
        <is>
          <t>מדי-מרקט</t>
        </is>
      </c>
      <c r="B327" t="inlineStr">
        <is>
          <t>קוצץ ציפורניים, מדיקפרו</t>
        </is>
      </c>
      <c r="C327" t="inlineStr">
        <is>
          <t>טיפוח והיגיינה</t>
        </is>
      </c>
      <c r="D327" t="inlineStr">
        <is>
          <t>17709</t>
        </is>
      </c>
      <c r="E327" t="inlineStr">
        <is>
          <t>2026-06</t>
        </is>
      </c>
      <c r="F327" t="n">
        <v>3.32</v>
      </c>
      <c r="G327" t="n">
        <v>3.92</v>
      </c>
      <c r="H327">
        <f>הגדרות!B6</f>
        <v/>
      </c>
      <c r="I327">
        <f>F327*(1-H327/100)*1.18</f>
        <v/>
      </c>
      <c r="J327">
        <f>הגדרות!C6</f>
        <v/>
      </c>
      <c r="K327">
        <f>הגדרות!D6</f>
        <v/>
      </c>
      <c r="L327">
        <f>I327*(1+J327/100)+K327</f>
        <v/>
      </c>
    </row>
    <row r="328">
      <c r="A328" t="inlineStr">
        <is>
          <t>מדי-מרקט</t>
        </is>
      </c>
      <c r="B328" t="inlineStr">
        <is>
          <t>ראש למכונת תספורת (סכין) 40 - 0.25 מ"מ LAUBE</t>
        </is>
      </c>
      <c r="C328" t="inlineStr">
        <is>
          <t>טיפוח והיגיינה</t>
        </is>
      </c>
      <c r="D328" t="inlineStr">
        <is>
          <t>80662</t>
        </is>
      </c>
      <c r="E328" t="inlineStr">
        <is>
          <t>2026-06</t>
        </is>
      </c>
      <c r="F328" t="n">
        <v>120.13</v>
      </c>
      <c r="G328" t="n">
        <v>141.75</v>
      </c>
      <c r="H328">
        <f>הגדרות!B6</f>
        <v/>
      </c>
      <c r="I328">
        <f>F328*(1-H328/100)*1.18</f>
        <v/>
      </c>
      <c r="J328">
        <f>הגדרות!C6</f>
        <v/>
      </c>
      <c r="K328">
        <f>הגדרות!D6</f>
        <v/>
      </c>
      <c r="L328">
        <f>I328*(1+J328/100)+K328</f>
        <v/>
      </c>
    </row>
    <row r="329">
      <c r="A329" t="inlineStr">
        <is>
          <t>מדי-מרקט</t>
        </is>
      </c>
      <c r="B329" t="inlineStr">
        <is>
          <t>רצועה ללוח גב צבע כתום עם אבזם מתכת</t>
        </is>
      </c>
      <c r="C329" t="inlineStr">
        <is>
          <t>אביזרים</t>
        </is>
      </c>
      <c r="D329" t="inlineStr">
        <is>
          <t>16155</t>
        </is>
      </c>
      <c r="E329" t="inlineStr">
        <is>
          <t>2026-06</t>
        </is>
      </c>
      <c r="F329" t="n">
        <v>71.19</v>
      </c>
      <c r="G329" t="n">
        <v>84</v>
      </c>
      <c r="H329">
        <f>הגדרות!B6</f>
        <v/>
      </c>
      <c r="I329">
        <f>F329*(1-H329/100)*1.18</f>
        <v/>
      </c>
      <c r="J329">
        <f>הגדרות!C6</f>
        <v/>
      </c>
      <c r="K329">
        <f>הגדרות!D6</f>
        <v/>
      </c>
      <c r="L329">
        <f>I329*(1+J329/100)+K329</f>
        <v/>
      </c>
    </row>
    <row r="330">
      <c r="A330" t="inlineStr">
        <is>
          <t>מדי-מרקט</t>
        </is>
      </c>
      <c r="B330" t="inlineStr">
        <is>
          <t>רצועה לתמיכה למסכת טרכוסטומי L</t>
        </is>
      </c>
      <c r="C330" t="inlineStr">
        <is>
          <t>אביזרים</t>
        </is>
      </c>
      <c r="D330" t="inlineStr">
        <is>
          <t>7985</t>
        </is>
      </c>
      <c r="E330" t="inlineStr">
        <is>
          <t>2026-06</t>
        </is>
      </c>
      <c r="F330" t="n">
        <v>5.91</v>
      </c>
      <c r="G330" t="n">
        <v>6.97</v>
      </c>
      <c r="H330">
        <f>הגדרות!B6</f>
        <v/>
      </c>
      <c r="I330">
        <f>F330*(1-H330/100)*1.18</f>
        <v/>
      </c>
      <c r="J330">
        <f>הגדרות!C6</f>
        <v/>
      </c>
      <c r="K330">
        <f>הגדרות!D6</f>
        <v/>
      </c>
      <c r="L330">
        <f>I330*(1+J330/100)+K330</f>
        <v/>
      </c>
    </row>
    <row r="331">
      <c r="A331" t="inlineStr">
        <is>
          <t>מדי-מרקט</t>
        </is>
      </c>
      <c r="B331" t="inlineStr">
        <is>
          <t>רצועה לתמיכה למסכת טרכוסטומי M</t>
        </is>
      </c>
      <c r="C331" t="inlineStr">
        <is>
          <t>אביזרים</t>
        </is>
      </c>
      <c r="D331" t="inlineStr">
        <is>
          <t>7987</t>
        </is>
      </c>
      <c r="E331" t="inlineStr">
        <is>
          <t>2026-06</t>
        </is>
      </c>
      <c r="F331" t="n">
        <v>6.19</v>
      </c>
      <c r="G331" t="n">
        <v>7.3</v>
      </c>
      <c r="H331">
        <f>הגדרות!B6</f>
        <v/>
      </c>
      <c r="I331">
        <f>F331*(1-H331/100)*1.18</f>
        <v/>
      </c>
      <c r="J331">
        <f>הגדרות!C6</f>
        <v/>
      </c>
      <c r="K331">
        <f>הגדרות!D6</f>
        <v/>
      </c>
      <c r="L331">
        <f>I331*(1+J331/100)+K331</f>
        <v/>
      </c>
    </row>
    <row r="332">
      <c r="A332" t="inlineStr">
        <is>
          <t>מדי-מרקט</t>
        </is>
      </c>
      <c r="B332" t="inlineStr">
        <is>
          <t>רצועה לתמיכה למסכת טרכוסטומי XL</t>
        </is>
      </c>
      <c r="C332" t="inlineStr">
        <is>
          <t>אביזרים</t>
        </is>
      </c>
      <c r="D332" t="inlineStr">
        <is>
          <t>7986</t>
        </is>
      </c>
      <c r="E332" t="inlineStr">
        <is>
          <t>2026-06</t>
        </is>
      </c>
      <c r="F332" t="n">
        <v>6.36</v>
      </c>
      <c r="G332" t="n">
        <v>7.5</v>
      </c>
      <c r="H332">
        <f>הגדרות!B6</f>
        <v/>
      </c>
      <c r="I332">
        <f>F332*(1-H332/100)*1.18</f>
        <v/>
      </c>
      <c r="J332">
        <f>הגדרות!C6</f>
        <v/>
      </c>
      <c r="K332">
        <f>הגדרות!D6</f>
        <v/>
      </c>
      <c r="L332">
        <f>I332*(1+J332/100)+K332</f>
        <v/>
      </c>
    </row>
    <row r="333">
      <c r="A333" t="inlineStr">
        <is>
          <t>פט-וט ביומד</t>
        </is>
      </c>
      <c r="B333" t="inlineStr">
        <is>
          <t>Keto Tris Finger Wipes 50 units</t>
        </is>
      </c>
      <c r="C333" t="inlineStr">
        <is>
          <t>טיפוח והיגיינה</t>
        </is>
      </c>
      <c r="D333" t="inlineStr">
        <is>
          <t>DERMA-SP1330</t>
        </is>
      </c>
      <c r="E333" t="inlineStr">
        <is>
          <t>2026-05</t>
        </is>
      </c>
      <c r="F333" t="n">
        <v>59</v>
      </c>
      <c r="G333" t="n">
        <v>69.62</v>
      </c>
      <c r="H333">
        <f>הגדרות!B7</f>
        <v/>
      </c>
      <c r="I333">
        <f>F333*(1-H333/100)*1.18</f>
        <v/>
      </c>
      <c r="J333">
        <f>הגדרות!C7</f>
        <v/>
      </c>
      <c r="K333">
        <f>הגדרות!D7</f>
        <v/>
      </c>
      <c r="L333">
        <f>I333*(1+J333/100)+K333</f>
        <v/>
      </c>
    </row>
    <row r="334">
      <c r="A334" t="inlineStr">
        <is>
          <t>פט-וט ביומד</t>
        </is>
      </c>
      <c r="B334" t="inlineStr">
        <is>
          <t>Tris Ophto Wipes 50ct</t>
        </is>
      </c>
      <c r="C334" t="inlineStr">
        <is>
          <t>טיפוח והיגיינה</t>
        </is>
      </c>
      <c r="D334" t="inlineStr">
        <is>
          <t>DZOO-TWX</t>
        </is>
      </c>
      <c r="E334" t="inlineStr">
        <is>
          <t>2026-05</t>
        </is>
      </c>
      <c r="F334" t="n">
        <v>58</v>
      </c>
      <c r="G334" t="n">
        <v>68.44</v>
      </c>
      <c r="H334">
        <f>הגדרות!B7</f>
        <v/>
      </c>
      <c r="I334">
        <f>F334*(1-H334/100)*1.18</f>
        <v/>
      </c>
      <c r="J334">
        <f>הגדרות!C7</f>
        <v/>
      </c>
      <c r="K334">
        <f>הגדרות!D7</f>
        <v/>
      </c>
      <c r="L334">
        <f>I334*(1+J334/100)+K334</f>
        <v/>
      </c>
    </row>
    <row r="335">
      <c r="A335" t="inlineStr">
        <is>
          <t>פט-וט ביומד</t>
        </is>
      </c>
      <c r="B335" t="inlineStr">
        <is>
          <t>Pill Splitter</t>
        </is>
      </c>
      <c r="C335" t="inlineStr">
        <is>
          <t>חול ושירותים</t>
        </is>
      </c>
      <c r="D335" t="inlineStr">
        <is>
          <t>FIONA-821070-1</t>
        </is>
      </c>
      <c r="E335" t="inlineStr">
        <is>
          <t>2026-05</t>
        </is>
      </c>
      <c r="F335" t="n">
        <v>7</v>
      </c>
      <c r="G335" t="n">
        <v>8.26</v>
      </c>
      <c r="H335">
        <f>הגדרות!B7</f>
        <v/>
      </c>
      <c r="I335">
        <f>F335*(1-H335/100)*1.18</f>
        <v/>
      </c>
      <c r="J335">
        <f>הגדרות!C7</f>
        <v/>
      </c>
      <c r="K335">
        <f>הגדרות!D7</f>
        <v/>
      </c>
      <c r="L335">
        <f>I335*(1+J335/100)+K335</f>
        <v/>
      </c>
    </row>
    <row r="336">
      <c r="A336" t="inlineStr">
        <is>
          <t>פט-וט ביומד</t>
        </is>
      </c>
      <c r="B336" t="inlineStr">
        <is>
          <t>Calming Spray 200ml</t>
        </is>
      </c>
      <c r="C336" t="inlineStr">
        <is>
          <t>הרגעה</t>
        </is>
      </c>
      <c r="D336" t="inlineStr">
        <is>
          <t>PR-79583</t>
        </is>
      </c>
      <c r="E336" t="inlineStr">
        <is>
          <t>2026-05</t>
        </is>
      </c>
      <c r="F336" t="n">
        <v>46</v>
      </c>
      <c r="G336" t="n">
        <v>54.28</v>
      </c>
      <c r="H336">
        <f>הגדרות!B7</f>
        <v/>
      </c>
      <c r="I336">
        <f>F336*(1-H336/100)*1.18</f>
        <v/>
      </c>
      <c r="J336">
        <f>הגדרות!C7</f>
        <v/>
      </c>
      <c r="K336">
        <f>הגדרות!D7</f>
        <v/>
      </c>
      <c r="L336">
        <f>I336*(1+J336/100)+K336</f>
        <v/>
      </c>
    </row>
    <row r="337">
      <c r="A337" t="inlineStr">
        <is>
          <t>פט-וט ביומד</t>
        </is>
      </c>
      <c r="B337" t="inlineStr">
        <is>
          <t>Mini Calming Spray 15ml</t>
        </is>
      </c>
      <c r="C337" t="inlineStr">
        <is>
          <t>הרגעה</t>
        </is>
      </c>
      <c r="D337" t="inlineStr">
        <is>
          <t>PR-79664</t>
        </is>
      </c>
      <c r="E337" t="inlineStr">
        <is>
          <t>2026-05</t>
        </is>
      </c>
      <c r="F337" t="n">
        <v>18</v>
      </c>
      <c r="G337" t="n">
        <v>21.24</v>
      </c>
      <c r="H337">
        <f>הגדרות!B7</f>
        <v/>
      </c>
      <c r="I337">
        <f>F337*(1-H337/100)*1.18</f>
        <v/>
      </c>
      <c r="J337">
        <f>הגדרות!C7</f>
        <v/>
      </c>
      <c r="K337">
        <f>הגדרות!D7</f>
        <v/>
      </c>
      <c r="L337">
        <f>I337*(1+J337/100)+K337</f>
        <v/>
      </c>
    </row>
    <row r="338">
      <c r="A338" t="inlineStr">
        <is>
          <t>פט-וט ביומד</t>
        </is>
      </c>
      <c r="B338" t="inlineStr">
        <is>
          <t>Battery Atomizer Refill 300ml</t>
        </is>
      </c>
      <c r="C338" t="inlineStr">
        <is>
          <t>הרגעה</t>
        </is>
      </c>
      <c r="D338" t="inlineStr">
        <is>
          <t>PR-79744</t>
        </is>
      </c>
      <c r="E338" t="inlineStr">
        <is>
          <t>2026-05</t>
        </is>
      </c>
      <c r="F338" t="n">
        <v>56</v>
      </c>
      <c r="G338" t="n">
        <v>66.08</v>
      </c>
      <c r="H338">
        <f>הגדרות!B7</f>
        <v/>
      </c>
      <c r="I338">
        <f>F338*(1-H338/100)*1.18</f>
        <v/>
      </c>
      <c r="J338">
        <f>הגדרות!C7</f>
        <v/>
      </c>
      <c r="K338">
        <f>הגדרות!D7</f>
        <v/>
      </c>
      <c r="L338">
        <f>I338*(1+J338/100)+K338</f>
        <v/>
      </c>
    </row>
    <row r="339">
      <c r="A339" t="inlineStr">
        <is>
          <t>פט-וט ביומד</t>
        </is>
      </c>
      <c r="B339" t="inlineStr">
        <is>
          <t>Battery Atomizer</t>
        </is>
      </c>
      <c r="C339" t="inlineStr">
        <is>
          <t>הרגעה</t>
        </is>
      </c>
      <c r="D339" t="inlineStr">
        <is>
          <t>PR-79745</t>
        </is>
      </c>
      <c r="E339" t="inlineStr">
        <is>
          <t>2026-05</t>
        </is>
      </c>
      <c r="F339" t="n">
        <v>185</v>
      </c>
      <c r="G339" t="n">
        <v>218.3</v>
      </c>
      <c r="H339">
        <f>הגדרות!B7</f>
        <v/>
      </c>
      <c r="I339">
        <f>F339*(1-H339/100)*1.18</f>
        <v/>
      </c>
      <c r="J339">
        <f>הגדרות!C7</f>
        <v/>
      </c>
      <c r="K339">
        <f>הגדרות!D7</f>
        <v/>
      </c>
      <c r="L339">
        <f>I339*(1+J339/100)+K339</f>
        <v/>
      </c>
    </row>
    <row r="340">
      <c r="A340" t="inlineStr">
        <is>
          <t>פט-וט ביומד</t>
        </is>
      </c>
      <c r="B340" t="inlineStr">
        <is>
          <t>Calming Wipe Sachet (12)</t>
        </is>
      </c>
      <c r="C340" t="inlineStr">
        <is>
          <t>הרגעה</t>
        </is>
      </c>
      <c r="D340" t="inlineStr">
        <is>
          <t>PR-79881</t>
        </is>
      </c>
      <c r="E340" t="inlineStr">
        <is>
          <t>2026-05</t>
        </is>
      </c>
      <c r="F340" t="n">
        <v>18</v>
      </c>
      <c r="G340" t="n">
        <v>21.24</v>
      </c>
      <c r="H340">
        <f>הגדרות!B7</f>
        <v/>
      </c>
      <c r="I340">
        <f>F340*(1-H340/100)*1.18</f>
        <v/>
      </c>
      <c r="J340">
        <f>הגדרות!C7</f>
        <v/>
      </c>
      <c r="K340">
        <f>הגדרות!D7</f>
        <v/>
      </c>
      <c r="L340">
        <f>I340*(1+J340/100)+K340</f>
        <v/>
      </c>
    </row>
    <row r="341">
      <c r="A341" t="inlineStr">
        <is>
          <t>פט-וט ביומד</t>
        </is>
      </c>
      <c r="B341" t="inlineStr">
        <is>
          <t>Boredom Buster forager kit</t>
        </is>
      </c>
      <c r="C341" t="inlineStr">
        <is>
          <t>צעצועים</t>
        </is>
      </c>
      <c r="D341" t="inlineStr">
        <is>
          <t>PR-80128</t>
        </is>
      </c>
      <c r="E341" t="inlineStr">
        <is>
          <t>2026-05</t>
        </is>
      </c>
      <c r="F341" t="n">
        <v>105</v>
      </c>
      <c r="G341" t="n">
        <v>123.9</v>
      </c>
      <c r="H341">
        <f>הגדרות!B7</f>
        <v/>
      </c>
      <c r="I341">
        <f>F341*(1-H341/100)*1.18</f>
        <v/>
      </c>
      <c r="J341">
        <f>הגדרות!C7</f>
        <v/>
      </c>
      <c r="K341">
        <f>הגדרות!D7</f>
        <v/>
      </c>
      <c r="L341">
        <f>I341*(1+J341/100)+K341</f>
        <v/>
      </c>
    </row>
    <row r="342">
      <c r="A342" t="inlineStr">
        <is>
          <t>פט-וט ביומד</t>
        </is>
      </c>
      <c r="B342" t="inlineStr">
        <is>
          <t>Calming Bandana Kit EXTRA SMALL</t>
        </is>
      </c>
      <c r="C342" t="inlineStr">
        <is>
          <t>הרגעה</t>
        </is>
      </c>
      <c r="D342" t="inlineStr">
        <is>
          <t>PR-79959</t>
        </is>
      </c>
      <c r="E342" t="inlineStr">
        <is>
          <t>2026-05</t>
        </is>
      </c>
      <c r="F342" t="n">
        <v>44</v>
      </c>
      <c r="G342" t="n">
        <v>51.92</v>
      </c>
      <c r="H342">
        <f>הגדרות!B7</f>
        <v/>
      </c>
      <c r="I342">
        <f>F342*(1-H342/100)*1.18</f>
        <v/>
      </c>
      <c r="J342">
        <f>הגדרות!C7</f>
        <v/>
      </c>
      <c r="K342">
        <f>הגדרות!D7</f>
        <v/>
      </c>
      <c r="L342">
        <f>I342*(1+J342/100)+K342</f>
        <v/>
      </c>
    </row>
    <row r="343">
      <c r="A343" t="inlineStr">
        <is>
          <t>פט-וט ביומד</t>
        </is>
      </c>
      <c r="B343" t="inlineStr">
        <is>
          <t>Calming Bandana Kit SMALL</t>
        </is>
      </c>
      <c r="C343" t="inlineStr">
        <is>
          <t>הרגעה</t>
        </is>
      </c>
      <c r="D343" t="inlineStr">
        <is>
          <t>PR-79960</t>
        </is>
      </c>
      <c r="E343" t="inlineStr">
        <is>
          <t>2026-05</t>
        </is>
      </c>
      <c r="F343" t="n">
        <v>44</v>
      </c>
      <c r="G343" t="n">
        <v>51.92</v>
      </c>
      <c r="H343">
        <f>הגדרות!B7</f>
        <v/>
      </c>
      <c r="I343">
        <f>F343*(1-H343/100)*1.18</f>
        <v/>
      </c>
      <c r="J343">
        <f>הגדרות!C7</f>
        <v/>
      </c>
      <c r="K343">
        <f>הגדרות!D7</f>
        <v/>
      </c>
      <c r="L343">
        <f>I343*(1+J343/100)+K343</f>
        <v/>
      </c>
    </row>
    <row r="344">
      <c r="A344" t="inlineStr">
        <is>
          <t>פט-וט ביומד</t>
        </is>
      </c>
      <c r="B344" t="inlineStr">
        <is>
          <t>Calming Bandana Kit MEDIUM</t>
        </is>
      </c>
      <c r="C344" t="inlineStr">
        <is>
          <t>הרגעה</t>
        </is>
      </c>
      <c r="D344" t="inlineStr">
        <is>
          <t>PR-79961</t>
        </is>
      </c>
      <c r="E344" t="inlineStr">
        <is>
          <t>2026-05</t>
        </is>
      </c>
      <c r="F344" t="n">
        <v>44</v>
      </c>
      <c r="G344" t="n">
        <v>51.92</v>
      </c>
      <c r="H344">
        <f>הגדרות!B7</f>
        <v/>
      </c>
      <c r="I344">
        <f>F344*(1-H344/100)*1.18</f>
        <v/>
      </c>
      <c r="J344">
        <f>הגדרות!C7</f>
        <v/>
      </c>
      <c r="K344">
        <f>הגדרות!D7</f>
        <v/>
      </c>
      <c r="L344">
        <f>I344*(1+J344/100)+K344</f>
        <v/>
      </c>
    </row>
    <row r="345">
      <c r="A345" t="inlineStr">
        <is>
          <t>פט-וט ביומד</t>
        </is>
      </c>
      <c r="B345" t="inlineStr">
        <is>
          <t>Calming Bandana Kit LARGE</t>
        </is>
      </c>
      <c r="C345" t="inlineStr">
        <is>
          <t>הרגעה</t>
        </is>
      </c>
      <c r="D345" t="inlineStr">
        <is>
          <t>PR-79962</t>
        </is>
      </c>
      <c r="E345" t="inlineStr">
        <is>
          <t>2026-05</t>
        </is>
      </c>
      <c r="F345" t="n">
        <v>44</v>
      </c>
      <c r="G345" t="n">
        <v>51.92</v>
      </c>
      <c r="H345">
        <f>הגדרות!B7</f>
        <v/>
      </c>
      <c r="I345">
        <f>F345*(1-H345/100)*1.18</f>
        <v/>
      </c>
      <c r="J345">
        <f>הגדרות!C7</f>
        <v/>
      </c>
      <c r="K345">
        <f>הגדרות!D7</f>
        <v/>
      </c>
      <c r="L345">
        <f>I345*(1+J345/100)+K345</f>
        <v/>
      </c>
    </row>
    <row r="346">
      <c r="A346" t="inlineStr">
        <is>
          <t>פט-וט ביומד</t>
        </is>
      </c>
      <c r="B346" t="inlineStr">
        <is>
          <t>Calming Spray 400ml – PROF. PACK</t>
        </is>
      </c>
      <c r="C346" t="inlineStr">
        <is>
          <t>הרגעה</t>
        </is>
      </c>
      <c r="D346" t="inlineStr">
        <is>
          <t>PR-79983</t>
        </is>
      </c>
      <c r="E346" t="inlineStr">
        <is>
          <t>2026-05</t>
        </is>
      </c>
      <c r="F346" t="n">
        <v>61</v>
      </c>
      <c r="G346" t="n">
        <v>71.98</v>
      </c>
      <c r="H346">
        <f>הגדרות!B7</f>
        <v/>
      </c>
      <c r="I346">
        <f>F346*(1-H346/100)*1.18</f>
        <v/>
      </c>
      <c r="J346">
        <f>הגדרות!C7</f>
        <v/>
      </c>
      <c r="K346">
        <f>הגדרות!D7</f>
        <v/>
      </c>
      <c r="L346">
        <f>I346*(1+J346/100)+K346</f>
        <v/>
      </c>
    </row>
    <row r="347">
      <c r="A347" t="inlineStr">
        <is>
          <t>פורינה (חנויות)</t>
        </is>
      </c>
      <c r="B347" t="inlineStr">
        <is>
          <t>פריסקיז פארטי מיקס אוריגי'נל קראנץ</t>
        </is>
      </c>
      <c r="C347" t="inlineStr">
        <is>
          <t>חטיפים</t>
        </is>
      </c>
      <c r="D347" t="inlineStr">
        <is>
          <t>12348261</t>
        </is>
      </c>
      <c r="E347" t="inlineStr">
        <is>
          <t>2026-06</t>
        </is>
      </c>
      <c r="F347" t="n">
        <v>8.18</v>
      </c>
      <c r="G347" t="n">
        <v>9.65</v>
      </c>
      <c r="H347">
        <f>הגדרות!B8</f>
        <v/>
      </c>
      <c r="I347">
        <f>F347*(1-H347/100)*1.18</f>
        <v/>
      </c>
      <c r="J347">
        <f>הגדרות!C8</f>
        <v/>
      </c>
      <c r="K347">
        <f>הגדרות!D8</f>
        <v/>
      </c>
      <c r="L347">
        <f>I347*(1+J347/100)+K347</f>
        <v/>
      </c>
    </row>
    <row r="348">
      <c r="A348" t="inlineStr">
        <is>
          <t>פורינה (חנויות)</t>
        </is>
      </c>
      <c r="B348" t="inlineStr">
        <is>
          <t>פריסקיז פארטי מיקס מיקס גריל קראנץ</t>
        </is>
      </c>
      <c r="C348" t="inlineStr">
        <is>
          <t>חטיפים</t>
        </is>
      </c>
      <c r="D348" t="inlineStr">
        <is>
          <t>12348037</t>
        </is>
      </c>
      <c r="E348" t="inlineStr">
        <is>
          <t>2026-06</t>
        </is>
      </c>
      <c r="F348" t="n">
        <v>8.18</v>
      </c>
      <c r="G348" t="n">
        <v>9.65</v>
      </c>
      <c r="H348">
        <f>הגדרות!B8</f>
        <v/>
      </c>
      <c r="I348">
        <f>F348*(1-H348/100)*1.18</f>
        <v/>
      </c>
      <c r="J348">
        <f>הגדרות!C8</f>
        <v/>
      </c>
      <c r="K348">
        <f>הגדרות!D8</f>
        <v/>
      </c>
      <c r="L348">
        <f>I348*(1+J348/100)+K348</f>
        <v/>
      </c>
    </row>
    <row r="349">
      <c r="A349" t="inlineStr">
        <is>
          <t>פורינה (חנויות)</t>
        </is>
      </c>
      <c r="B349" t="inlineStr">
        <is>
          <t>פריסקיז פארטי מיקס מעדני ים קראנץ</t>
        </is>
      </c>
      <c r="C349" t="inlineStr">
        <is>
          <t>חטיפים</t>
        </is>
      </c>
      <c r="D349" t="inlineStr">
        <is>
          <t>12364507</t>
        </is>
      </c>
      <c r="E349" t="inlineStr">
        <is>
          <t>2026-06</t>
        </is>
      </c>
      <c r="F349" t="n">
        <v>8.18</v>
      </c>
      <c r="G349" t="n">
        <v>9.65</v>
      </c>
      <c r="H349">
        <f>הגדרות!B8</f>
        <v/>
      </c>
      <c r="I349">
        <f>F349*(1-H349/100)*1.18</f>
        <v/>
      </c>
      <c r="J349">
        <f>הגדרות!C8</f>
        <v/>
      </c>
      <c r="K349">
        <f>הגדרות!D8</f>
        <v/>
      </c>
      <c r="L349">
        <f>I349*(1+J349/100)+K349</f>
        <v/>
      </c>
    </row>
    <row r="350">
      <c r="A350" t="inlineStr">
        <is>
          <t>פורינה (חנויות)</t>
        </is>
      </c>
      <c r="B350" t="inlineStr">
        <is>
          <t>פריסקיז פארטי מיקס פיקניק קרנץ</t>
        </is>
      </c>
      <c r="C350" t="inlineStr">
        <is>
          <t>חטיפים</t>
        </is>
      </c>
      <c r="D350" t="inlineStr">
        <is>
          <t>12368621</t>
        </is>
      </c>
      <c r="E350" t="inlineStr">
        <is>
          <t>2026-06</t>
        </is>
      </c>
      <c r="F350" t="n">
        <v>8.18</v>
      </c>
      <c r="G350" t="n">
        <v>9.65</v>
      </c>
      <c r="H350">
        <f>הגדרות!B8</f>
        <v/>
      </c>
      <c r="I350">
        <f>F350*(1-H350/100)*1.18</f>
        <v/>
      </c>
      <c r="J350">
        <f>הגדרות!C8</f>
        <v/>
      </c>
      <c r="K350">
        <f>הגדרות!D8</f>
        <v/>
      </c>
      <c r="L350">
        <f>I350*(1+J350/100)+K350</f>
        <v/>
      </c>
    </row>
    <row r="351">
      <c r="A351" t="inlineStr">
        <is>
          <t>פורינה (חנויות)</t>
        </is>
      </c>
      <c r="B351" t="inlineStr">
        <is>
          <t>פריסקיז פארטי מיקס קרייזי צ'יז</t>
        </is>
      </c>
      <c r="C351" t="inlineStr">
        <is>
          <t>חטיפים</t>
        </is>
      </c>
      <c r="D351" t="inlineStr">
        <is>
          <t>12528489</t>
        </is>
      </c>
      <c r="E351" t="inlineStr">
        <is>
          <t>2026-06</t>
        </is>
      </c>
      <c r="F351" t="n">
        <v>8.18</v>
      </c>
      <c r="G351" t="n">
        <v>9.65</v>
      </c>
      <c r="H351">
        <f>הגדרות!B8</f>
        <v/>
      </c>
      <c r="I351">
        <f>F351*(1-H351/100)*1.18</f>
        <v/>
      </c>
      <c r="J351">
        <f>הגדרות!C8</f>
        <v/>
      </c>
      <c r="K351">
        <f>הגדרות!D8</f>
        <v/>
      </c>
      <c r="L351">
        <f>I351*(1+J351/100)+K351</f>
        <v/>
      </c>
    </row>
    <row r="352">
      <c r="A352" t="inlineStr">
        <is>
          <t>פורינה (חנויות)</t>
        </is>
      </c>
      <c r="B352" t="inlineStr">
        <is>
          <t>פריסקיז פארטי מיקס מאנץ' בוקר</t>
        </is>
      </c>
      <c r="C352" t="inlineStr">
        <is>
          <t>חטיפים</t>
        </is>
      </c>
      <c r="D352" t="inlineStr">
        <is>
          <t>12280472</t>
        </is>
      </c>
      <c r="E352" t="inlineStr">
        <is>
          <t>2026-06</t>
        </is>
      </c>
      <c r="F352" t="n">
        <v>8.18</v>
      </c>
      <c r="G352" t="n">
        <v>9.65</v>
      </c>
      <c r="H352">
        <f>הגדרות!B8</f>
        <v/>
      </c>
      <c r="I352">
        <f>F352*(1-H352/100)*1.18</f>
        <v/>
      </c>
      <c r="J352">
        <f>הגדרות!C8</f>
        <v/>
      </c>
      <c r="K352">
        <f>הגדרות!D8</f>
        <v/>
      </c>
      <c r="L352">
        <f>I352*(1+J352/100)+K352</f>
        <v/>
      </c>
    </row>
    <row r="353">
      <c r="A353" t="inlineStr">
        <is>
          <t>פורינה (חנויות)</t>
        </is>
      </c>
      <c r="B353" t="inlineStr">
        <is>
          <t>פריסקיז פארטי מיקס הודו</t>
        </is>
      </c>
      <c r="C353" t="inlineStr">
        <is>
          <t>חטיפים</t>
        </is>
      </c>
      <c r="D353" t="inlineStr">
        <is>
          <t>12332654</t>
        </is>
      </c>
      <c r="E353" t="inlineStr">
        <is>
          <t>2026-06</t>
        </is>
      </c>
      <c r="F353" t="n">
        <v>8.18</v>
      </c>
      <c r="G353" t="n">
        <v>9.65</v>
      </c>
      <c r="H353">
        <f>הגדרות!B8</f>
        <v/>
      </c>
      <c r="I353">
        <f>F353*(1-H353/100)*1.18</f>
        <v/>
      </c>
      <c r="J353">
        <f>הגדרות!C8</f>
        <v/>
      </c>
      <c r="K353">
        <f>הגדרות!D8</f>
        <v/>
      </c>
      <c r="L353">
        <f>I353*(1+J353/100)+K353</f>
        <v/>
      </c>
    </row>
    <row r="354">
      <c r="A354" t="inlineStr">
        <is>
          <t>פורינה (חנויות)</t>
        </is>
      </c>
      <c r="B354" t="inlineStr">
        <is>
          <t>פריסקיז פארטי מיקס עוף</t>
        </is>
      </c>
      <c r="C354" t="inlineStr">
        <is>
          <t>חטיפים</t>
        </is>
      </c>
      <c r="D354" t="inlineStr">
        <is>
          <t>12332617</t>
        </is>
      </c>
      <c r="E354" t="inlineStr">
        <is>
          <t>2026-06</t>
        </is>
      </c>
      <c r="F354" t="n">
        <v>8.18</v>
      </c>
      <c r="G354" t="n">
        <v>9.65</v>
      </c>
      <c r="H354">
        <f>הגדרות!B8</f>
        <v/>
      </c>
      <c r="I354">
        <f>F354*(1-H354/100)*1.18</f>
        <v/>
      </c>
      <c r="J354">
        <f>הגדרות!C8</f>
        <v/>
      </c>
      <c r="K354">
        <f>הגדרות!D8</f>
        <v/>
      </c>
      <c r="L354">
        <f>I354*(1+J354/100)+K354</f>
        <v/>
      </c>
    </row>
    <row r="355">
      <c r="A355" t="inlineStr">
        <is>
          <t>פורינה (חנויות)</t>
        </is>
      </c>
      <c r="B355" t="inlineStr">
        <is>
          <t>פריסקיז פלייפולס סלמון ושרימפס</t>
        </is>
      </c>
      <c r="C355" t="inlineStr">
        <is>
          <t>חטיפים</t>
        </is>
      </c>
      <c r="D355" t="inlineStr">
        <is>
          <t>12534203</t>
        </is>
      </c>
      <c r="E355" t="inlineStr">
        <is>
          <t>2026-06</t>
        </is>
      </c>
      <c r="F355" t="n">
        <v>8.18</v>
      </c>
      <c r="G355" t="n">
        <v>9.65</v>
      </c>
      <c r="H355">
        <f>הגדרות!B8</f>
        <v/>
      </c>
      <c r="I355">
        <f>F355*(1-H355/100)*1.18</f>
        <v/>
      </c>
      <c r="J355">
        <f>הגדרות!C8</f>
        <v/>
      </c>
      <c r="K355">
        <f>הגדרות!D8</f>
        <v/>
      </c>
      <c r="L355">
        <f>I355*(1+J355/100)+K355</f>
        <v/>
      </c>
    </row>
    <row r="356">
      <c r="A356" t="inlineStr">
        <is>
          <t>פורינה (חנויות)</t>
        </is>
      </c>
      <c r="B356" t="inlineStr">
        <is>
          <t>פריסקיז פלייפולס עוף וכבד</t>
        </is>
      </c>
      <c r="C356" t="inlineStr">
        <is>
          <t>חטיפים</t>
        </is>
      </c>
      <c r="D356" t="inlineStr">
        <is>
          <t>12534194</t>
        </is>
      </c>
      <c r="E356" t="inlineStr">
        <is>
          <t>2026-06</t>
        </is>
      </c>
      <c r="F356" t="n">
        <v>8.18</v>
      </c>
      <c r="G356" t="n">
        <v>9.65</v>
      </c>
      <c r="H356">
        <f>הגדרות!B8</f>
        <v/>
      </c>
      <c r="I356">
        <f>F356*(1-H356/100)*1.18</f>
        <v/>
      </c>
      <c r="J356">
        <f>הגדרות!C8</f>
        <v/>
      </c>
      <c r="K356">
        <f>הגדרות!D8</f>
        <v/>
      </c>
      <c r="L356">
        <f>I356*(1+J356/100)+K356</f>
        <v/>
      </c>
    </row>
    <row r="357">
      <c r="A357" t="inlineStr">
        <is>
          <t>פורינה (חנויות)</t>
        </is>
      </c>
      <c r="B357" t="inlineStr">
        <is>
          <t>פריסקיז צנצנת פארטי מיקס מעדני ים קראנץ</t>
        </is>
      </c>
      <c r="C357" t="inlineStr">
        <is>
          <t>חטיפים</t>
        </is>
      </c>
      <c r="D357" t="inlineStr">
        <is>
          <t>12364794</t>
        </is>
      </c>
      <c r="E357" t="inlineStr">
        <is>
          <t>2026-06</t>
        </is>
      </c>
      <c r="F357" t="n">
        <v>50.67</v>
      </c>
      <c r="G357" t="n">
        <v>59.79</v>
      </c>
      <c r="H357">
        <f>הגדרות!B8</f>
        <v/>
      </c>
      <c r="I357">
        <f>F357*(1-H357/100)*1.18</f>
        <v/>
      </c>
      <c r="J357">
        <f>הגדרות!C8</f>
        <v/>
      </c>
      <c r="K357">
        <f>הגדרות!D8</f>
        <v/>
      </c>
      <c r="L357">
        <f>I357*(1+J357/100)+K357</f>
        <v/>
      </c>
    </row>
    <row r="358">
      <c r="A358" t="inlineStr">
        <is>
          <t>פורינה (חנויות)</t>
        </is>
      </c>
      <c r="B358" t="inlineStr">
        <is>
          <t>פריסקיז צנצנת פארטי מיקס אוריגי'נל קראנץ</t>
        </is>
      </c>
      <c r="C358" t="inlineStr">
        <is>
          <t>חטיפים</t>
        </is>
      </c>
      <c r="D358" t="inlineStr">
        <is>
          <t>12349730</t>
        </is>
      </c>
      <c r="E358" t="inlineStr">
        <is>
          <t>2026-06</t>
        </is>
      </c>
      <c r="F358" t="n">
        <v>50.67</v>
      </c>
      <c r="G358" t="n">
        <v>59.79</v>
      </c>
      <c r="H358">
        <f>הגדרות!B8</f>
        <v/>
      </c>
      <c r="I358">
        <f>F358*(1-H358/100)*1.18</f>
        <v/>
      </c>
      <c r="J358">
        <f>הגדרות!C8</f>
        <v/>
      </c>
      <c r="K358">
        <f>הגדרות!D8</f>
        <v/>
      </c>
      <c r="L358">
        <f>I358*(1+J358/100)+K358</f>
        <v/>
      </c>
    </row>
    <row r="359">
      <c r="A359" t="inlineStr">
        <is>
          <t>פורינה (חנויות)</t>
        </is>
      </c>
      <c r="B359" t="inlineStr">
        <is>
          <t>דנטלייף לכלב מגזע קטן</t>
        </is>
      </c>
      <c r="C359" t="inlineStr">
        <is>
          <t>חטיפים</t>
        </is>
      </c>
      <c r="D359" t="inlineStr">
        <is>
          <t>12606950</t>
        </is>
      </c>
      <c r="E359" t="inlineStr">
        <is>
          <t>2026-06</t>
        </is>
      </c>
      <c r="F359" t="n">
        <v>10.2</v>
      </c>
      <c r="G359" t="n">
        <v>12.04</v>
      </c>
      <c r="H359">
        <f>הגדרות!B8</f>
        <v/>
      </c>
      <c r="I359">
        <f>F359*(1-H359/100)*1.18</f>
        <v/>
      </c>
      <c r="J359">
        <f>הגדרות!C8</f>
        <v/>
      </c>
      <c r="K359">
        <f>הגדרות!D8</f>
        <v/>
      </c>
      <c r="L359">
        <f>I359*(1+J359/100)+K359</f>
        <v/>
      </c>
    </row>
    <row r="360">
      <c r="A360" t="inlineStr">
        <is>
          <t>פורינה (חנויות)</t>
        </is>
      </c>
      <c r="B360" t="inlineStr">
        <is>
          <t>דנטלייף לכלב מגזע בינוני</t>
        </is>
      </c>
      <c r="C360" t="inlineStr">
        <is>
          <t>חטיפים</t>
        </is>
      </c>
      <c r="D360" t="inlineStr">
        <is>
          <t>12606926</t>
        </is>
      </c>
      <c r="E360" t="inlineStr">
        <is>
          <t>2026-06</t>
        </is>
      </c>
      <c r="F360" t="n">
        <v>10.2</v>
      </c>
      <c r="G360" t="n">
        <v>12.04</v>
      </c>
      <c r="H360">
        <f>הגדרות!B8</f>
        <v/>
      </c>
      <c r="I360">
        <f>F360*(1-H360/100)*1.18</f>
        <v/>
      </c>
      <c r="J360">
        <f>הגדרות!C8</f>
        <v/>
      </c>
      <c r="K360">
        <f>הגדרות!D8</f>
        <v/>
      </c>
      <c r="L360">
        <f>I360*(1+J360/100)+K360</f>
        <v/>
      </c>
    </row>
    <row r="361">
      <c r="A361" t="inlineStr">
        <is>
          <t>פורינה (חנויות)</t>
        </is>
      </c>
      <c r="B361" t="inlineStr">
        <is>
          <t>דנטלייף לכלב מגזע גדול</t>
        </is>
      </c>
      <c r="C361" t="inlineStr">
        <is>
          <t>חטיפים</t>
        </is>
      </c>
      <c r="D361" t="inlineStr">
        <is>
          <t>12606948</t>
        </is>
      </c>
      <c r="E361" t="inlineStr">
        <is>
          <t>2026-06</t>
        </is>
      </c>
      <c r="F361" t="n">
        <v>10.2</v>
      </c>
      <c r="G361" t="n">
        <v>12.04</v>
      </c>
      <c r="H361">
        <f>הגדרות!B8</f>
        <v/>
      </c>
      <c r="I361">
        <f>F361*(1-H361/100)*1.18</f>
        <v/>
      </c>
      <c r="J361">
        <f>הגדרות!C8</f>
        <v/>
      </c>
      <c r="K361">
        <f>הגדרות!D8</f>
        <v/>
      </c>
      <c r="L361">
        <f>I361*(1+J361/100)+K361</f>
        <v/>
      </c>
    </row>
    <row r="362">
      <c r="A362" t="inlineStr">
        <is>
          <t>פורינה (חנויות)</t>
        </is>
      </c>
      <c r="B362" t="inlineStr">
        <is>
          <t>דנטלייף חתול עוף</t>
        </is>
      </c>
      <c r="C362" t="inlineStr">
        <is>
          <t>חטיפים</t>
        </is>
      </c>
      <c r="D362" t="inlineStr">
        <is>
          <t>12607325</t>
        </is>
      </c>
      <c r="E362" t="inlineStr">
        <is>
          <t>2026-06</t>
        </is>
      </c>
      <c r="F362" t="n">
        <v>6.5</v>
      </c>
      <c r="G362" t="n">
        <v>7.67</v>
      </c>
      <c r="H362">
        <f>הגדרות!B8</f>
        <v/>
      </c>
      <c r="I362">
        <f>F362*(1-H362/100)*1.18</f>
        <v/>
      </c>
      <c r="J362">
        <f>הגדרות!C8</f>
        <v/>
      </c>
      <c r="K362">
        <f>הגדרות!D8</f>
        <v/>
      </c>
      <c r="L362">
        <f>I362*(1+J362/100)+K362</f>
        <v/>
      </c>
    </row>
    <row r="363">
      <c r="A363" t="inlineStr">
        <is>
          <t>פורינה (חנויות)</t>
        </is>
      </c>
      <c r="B363" t="inlineStr">
        <is>
          <t>דנטלייף חתול סלמון</t>
        </is>
      </c>
      <c r="C363" t="inlineStr">
        <is>
          <t>חטיפים</t>
        </is>
      </c>
      <c r="D363" t="inlineStr">
        <is>
          <t>12607342</t>
        </is>
      </c>
      <c r="E363" t="inlineStr">
        <is>
          <t>2026-06</t>
        </is>
      </c>
      <c r="F363" t="n">
        <v>6.5</v>
      </c>
      <c r="G363" t="n">
        <v>7.67</v>
      </c>
      <c r="H363">
        <f>הגדרות!B8</f>
        <v/>
      </c>
      <c r="I363">
        <f>F363*(1-H363/100)*1.18</f>
        <v/>
      </c>
      <c r="J363">
        <f>הגדרות!C8</f>
        <v/>
      </c>
      <c r="K363">
        <f>הגדרות!D8</f>
        <v/>
      </c>
      <c r="L363">
        <f>I363*(1+J363/100)+K363</f>
        <v/>
      </c>
    </row>
    <row r="364">
      <c r="A364" t="inlineStr">
        <is>
          <t>פורינה (חנויות)</t>
        </is>
      </c>
      <c r="B364" t="inlineStr">
        <is>
          <t>פליקס שלוקים Joyables עוף</t>
        </is>
      </c>
      <c r="C364" t="inlineStr">
        <is>
          <t>חטיפים</t>
        </is>
      </c>
      <c r="D364" t="inlineStr">
        <is>
          <t>12620437</t>
        </is>
      </c>
      <c r="E364" t="inlineStr">
        <is>
          <t>2026-06</t>
        </is>
      </c>
      <c r="F364" t="n">
        <v>8.49</v>
      </c>
      <c r="G364" t="n">
        <v>10.02</v>
      </c>
      <c r="H364">
        <f>הגדרות!B8</f>
        <v/>
      </c>
      <c r="I364">
        <f>F364*(1-H364/100)*1.18</f>
        <v/>
      </c>
      <c r="J364">
        <f>הגדרות!C8</f>
        <v/>
      </c>
      <c r="K364">
        <f>הגדרות!D8</f>
        <v/>
      </c>
      <c r="L364">
        <f>I364*(1+J364/100)+K364</f>
        <v/>
      </c>
    </row>
    <row r="365">
      <c r="A365" t="inlineStr">
        <is>
          <t>פורינה (חנויות)</t>
        </is>
      </c>
      <c r="B365" t="inlineStr">
        <is>
          <t>פליקס שלוקים Joyables סלמון</t>
        </is>
      </c>
      <c r="C365" t="inlineStr">
        <is>
          <t>חטיפים</t>
        </is>
      </c>
      <c r="D365" t="inlineStr">
        <is>
          <t>12620438</t>
        </is>
      </c>
      <c r="E365" t="inlineStr">
        <is>
          <t>2026-06</t>
        </is>
      </c>
      <c r="F365" t="n">
        <v>8.49</v>
      </c>
      <c r="G365" t="n">
        <v>10.02</v>
      </c>
      <c r="H365">
        <f>הגדרות!B8</f>
        <v/>
      </c>
      <c r="I365">
        <f>F365*(1-H365/100)*1.18</f>
        <v/>
      </c>
      <c r="J365">
        <f>הגדרות!C8</f>
        <v/>
      </c>
      <c r="K365">
        <f>הגדרות!D8</f>
        <v/>
      </c>
      <c r="L365">
        <f>I365*(1+J365/100)+K365</f>
        <v/>
      </c>
    </row>
    <row r="366">
      <c r="A366" t="inlineStr">
        <is>
          <t>פורינה (חנויות)</t>
        </is>
      </c>
      <c r="B366" t="inlineStr">
        <is>
          <t>פליקס שלוקים Joyables ברווז</t>
        </is>
      </c>
      <c r="C366" t="inlineStr">
        <is>
          <t>חטיפים</t>
        </is>
      </c>
      <c r="D366" t="inlineStr">
        <is>
          <t>12620419</t>
        </is>
      </c>
      <c r="E366" t="inlineStr">
        <is>
          <t>2026-06</t>
        </is>
      </c>
      <c r="F366" t="n">
        <v>8.49</v>
      </c>
      <c r="G366" t="n">
        <v>10.02</v>
      </c>
      <c r="H366">
        <f>הגדרות!B8</f>
        <v/>
      </c>
      <c r="I366">
        <f>F366*(1-H366/100)*1.18</f>
        <v/>
      </c>
      <c r="J366">
        <f>הגדרות!C8</f>
        <v/>
      </c>
      <c r="K366">
        <f>הגדרות!D8</f>
        <v/>
      </c>
      <c r="L366">
        <f>I366*(1+J366/100)+K366</f>
        <v/>
      </c>
    </row>
    <row r="367">
      <c r="A367" t="inlineStr">
        <is>
          <t>פורינה (חנויות)</t>
        </is>
      </c>
      <c r="B367" t="inlineStr">
        <is>
          <t>פרו פלאן חטיפי DentalCare לכלב מגזע קטן</t>
        </is>
      </c>
      <c r="C367" t="inlineStr">
        <is>
          <t>חטיפים</t>
        </is>
      </c>
      <c r="D367" t="inlineStr">
        <is>
          <t>12604543</t>
        </is>
      </c>
      <c r="E367" t="inlineStr">
        <is>
          <t>2026-06</t>
        </is>
      </c>
      <c r="F367" t="n">
        <v>25.64</v>
      </c>
      <c r="G367" t="n">
        <v>30.26</v>
      </c>
      <c r="H367">
        <f>הגדרות!B8</f>
        <v/>
      </c>
      <c r="I367">
        <f>F367*(1-H367/100)*1.18</f>
        <v/>
      </c>
      <c r="J367">
        <f>הגדרות!C8</f>
        <v/>
      </c>
      <c r="K367">
        <f>הגדרות!D8</f>
        <v/>
      </c>
      <c r="L367">
        <f>I367*(1+J367/100)+K367</f>
        <v/>
      </c>
    </row>
    <row r="368">
      <c r="A368" t="inlineStr">
        <is>
          <t>פורינה (חנויות)</t>
        </is>
      </c>
      <c r="B368" t="inlineStr">
        <is>
          <t>פרו פלאן חטיפי DentalCare לכלב מגזע בינוני</t>
        </is>
      </c>
      <c r="C368" t="inlineStr">
        <is>
          <t>חטיפים</t>
        </is>
      </c>
      <c r="D368" t="inlineStr">
        <is>
          <t>12604772</t>
        </is>
      </c>
      <c r="E368" t="inlineStr">
        <is>
          <t>2026-06</t>
        </is>
      </c>
      <c r="F368" t="n">
        <v>25.64</v>
      </c>
      <c r="G368" t="n">
        <v>30.26</v>
      </c>
      <c r="H368">
        <f>הגדרות!B8</f>
        <v/>
      </c>
      <c r="I368">
        <f>F368*(1-H368/100)*1.18</f>
        <v/>
      </c>
      <c r="J368">
        <f>הגדרות!C8</f>
        <v/>
      </c>
      <c r="K368">
        <f>הגדרות!D8</f>
        <v/>
      </c>
      <c r="L368">
        <f>I368*(1+J368/100)+K368</f>
        <v/>
      </c>
    </row>
    <row r="369">
      <c r="A369" t="inlineStr">
        <is>
          <t>פורינה (חנויות)</t>
        </is>
      </c>
      <c r="B369" t="inlineStr">
        <is>
          <t>פרו פלאן חטיפי DentalCare לכלב מגזע גדול</t>
        </is>
      </c>
      <c r="C369" t="inlineStr">
        <is>
          <t>חטיפים</t>
        </is>
      </c>
      <c r="D369" t="inlineStr">
        <is>
          <t>12604733</t>
        </is>
      </c>
      <c r="E369" t="inlineStr">
        <is>
          <t>2026-06</t>
        </is>
      </c>
      <c r="F369" t="n">
        <v>25.64</v>
      </c>
      <c r="G369" t="n">
        <v>30.26</v>
      </c>
      <c r="H369">
        <f>הגדרות!B8</f>
        <v/>
      </c>
      <c r="I369">
        <f>F369*(1-H369/100)*1.18</f>
        <v/>
      </c>
      <c r="J369">
        <f>הגדרות!C8</f>
        <v/>
      </c>
      <c r="K369">
        <f>הגדרות!D8</f>
        <v/>
      </c>
      <c r="L369">
        <f>I369*(1+J369/100)+K369</f>
        <v/>
      </c>
    </row>
    <row r="370">
      <c r="A370" t="inlineStr">
        <is>
          <t>פורינה (חנויות)</t>
        </is>
      </c>
      <c r="B370" t="inlineStr">
        <is>
          <t>דוגלי אקטיב בקר</t>
        </is>
      </c>
      <c r="C370" t="inlineStr">
        <is>
          <t>חטיפים</t>
        </is>
      </c>
      <c r="D370" t="inlineStr">
        <is>
          <t>12466720</t>
        </is>
      </c>
      <c r="E370" t="inlineStr">
        <is>
          <t>2026-06</t>
        </is>
      </c>
      <c r="F370" t="n">
        <v>114.19</v>
      </c>
      <c r="G370" t="n">
        <v>134.74</v>
      </c>
      <c r="H370">
        <f>הגדרות!B8</f>
        <v/>
      </c>
      <c r="I370">
        <f>F370*(1-H370/100)*1.18</f>
        <v/>
      </c>
      <c r="J370">
        <f>הגדרות!C8</f>
        <v/>
      </c>
      <c r="K370">
        <f>הגדרות!D8</f>
        <v/>
      </c>
      <c r="L370">
        <f>I370*(1+J370/100)+K370</f>
        <v/>
      </c>
    </row>
    <row r="371">
      <c r="A371" t="inlineStr">
        <is>
          <t>פורינה (חנויות)</t>
        </is>
      </c>
      <c r="B371" t="inlineStr">
        <is>
          <t>דוגלי גורים עוף</t>
        </is>
      </c>
      <c r="C371" t="inlineStr">
        <is>
          <t>חטיפים</t>
        </is>
      </c>
      <c r="D371" t="inlineStr">
        <is>
          <t>12466622</t>
        </is>
      </c>
      <c r="E371" t="inlineStr">
        <is>
          <t>2026-06</t>
        </is>
      </c>
      <c r="F371" t="n">
        <v>41.46</v>
      </c>
      <c r="G371" t="n">
        <v>48.92</v>
      </c>
      <c r="H371">
        <f>הגדרות!B8</f>
        <v/>
      </c>
      <c r="I371">
        <f>F371*(1-H371/100)*1.18</f>
        <v/>
      </c>
      <c r="J371">
        <f>הגדרות!C8</f>
        <v/>
      </c>
      <c r="K371">
        <f>הגדרות!D8</f>
        <v/>
      </c>
      <c r="L371">
        <f>I371*(1+J371/100)+K371</f>
        <v/>
      </c>
    </row>
    <row r="372">
      <c r="A372" t="inlineStr">
        <is>
          <t>פורינה (חנויות)</t>
        </is>
      </c>
      <c r="B372" t="inlineStr">
        <is>
          <t>דוגלי גזע קטן בקר</t>
        </is>
      </c>
      <c r="C372" t="inlineStr">
        <is>
          <t>חטיפים</t>
        </is>
      </c>
      <c r="D372" t="inlineStr">
        <is>
          <t>12613172</t>
        </is>
      </c>
      <c r="E372" t="inlineStr">
        <is>
          <t>2026-06</t>
        </is>
      </c>
      <c r="F372" t="n">
        <v>39.49</v>
      </c>
      <c r="G372" t="n">
        <v>46.6</v>
      </c>
      <c r="H372">
        <f>הגדרות!B8</f>
        <v/>
      </c>
      <c r="I372">
        <f>F372*(1-H372/100)*1.18</f>
        <v/>
      </c>
      <c r="J372">
        <f>הגדרות!C8</f>
        <v/>
      </c>
      <c r="K372">
        <f>הגדרות!D8</f>
        <v/>
      </c>
      <c r="L372">
        <f>I372*(1+J372/100)+K372</f>
        <v/>
      </c>
    </row>
    <row r="373">
      <c r="A373" t="inlineStr">
        <is>
          <t>פורינה (חנויות)</t>
        </is>
      </c>
      <c r="B373" t="inlineStr">
        <is>
          <t>דוגלי בוגר עוף</t>
        </is>
      </c>
      <c r="C373" t="inlineStr">
        <is>
          <t>חטיפים</t>
        </is>
      </c>
      <c r="D373" t="inlineStr">
        <is>
          <t>12368765</t>
        </is>
      </c>
      <c r="E373" t="inlineStr">
        <is>
          <t>2026-06</t>
        </is>
      </c>
      <c r="F373" t="n">
        <v>37.61</v>
      </c>
      <c r="G373" t="n">
        <v>44.38</v>
      </c>
      <c r="H373">
        <f>הגדרות!B8</f>
        <v/>
      </c>
      <c r="I373">
        <f>F373*(1-H373/100)*1.18</f>
        <v/>
      </c>
      <c r="J373">
        <f>הגדרות!C8</f>
        <v/>
      </c>
      <c r="K373">
        <f>הגדרות!D8</f>
        <v/>
      </c>
      <c r="L373">
        <f>I373*(1+J373/100)+K373</f>
        <v/>
      </c>
    </row>
    <row r="374">
      <c r="A374" t="inlineStr">
        <is>
          <t>פורינה (חנויות)</t>
        </is>
      </c>
      <c r="B374" t="inlineStr">
        <is>
          <t>דוגלי בוגר בקר</t>
        </is>
      </c>
      <c r="C374" t="inlineStr">
        <is>
          <t>חטיפים</t>
        </is>
      </c>
      <c r="D374" t="inlineStr">
        <is>
          <t>12368766</t>
        </is>
      </c>
      <c r="E374" t="inlineStr">
        <is>
          <t>2026-06</t>
        </is>
      </c>
      <c r="F374" t="n">
        <v>37.61</v>
      </c>
      <c r="G374" t="n">
        <v>44.38</v>
      </c>
      <c r="H374">
        <f>הגדרות!B8</f>
        <v/>
      </c>
      <c r="I374">
        <f>F374*(1-H374/100)*1.18</f>
        <v/>
      </c>
      <c r="J374">
        <f>הגדרות!C8</f>
        <v/>
      </c>
      <c r="K374">
        <f>הגדרות!D8</f>
        <v/>
      </c>
      <c r="L374">
        <f>I374*(1+J374/100)+K374</f>
        <v/>
      </c>
    </row>
    <row r="375">
      <c r="A375" t="inlineStr">
        <is>
          <t>פורינה (חנויות)</t>
        </is>
      </c>
      <c r="B375" t="inlineStr">
        <is>
          <t>דוגלי בוגר עוף</t>
        </is>
      </c>
      <c r="C375" t="inlineStr">
        <is>
          <t>חטיפים</t>
        </is>
      </c>
      <c r="D375" t="inlineStr">
        <is>
          <t>12368676</t>
        </is>
      </c>
      <c r="E375" t="inlineStr">
        <is>
          <t>2026-06</t>
        </is>
      </c>
      <c r="F375" t="n">
        <v>108.76</v>
      </c>
      <c r="G375" t="n">
        <v>128.34</v>
      </c>
      <c r="H375">
        <f>הגדרות!B8</f>
        <v/>
      </c>
      <c r="I375">
        <f>F375*(1-H375/100)*1.18</f>
        <v/>
      </c>
      <c r="J375">
        <f>הגדרות!C8</f>
        <v/>
      </c>
      <c r="K375">
        <f>הגדרות!D8</f>
        <v/>
      </c>
      <c r="L375">
        <f>I375*(1+J375/100)+K375</f>
        <v/>
      </c>
    </row>
    <row r="376">
      <c r="A376" t="inlineStr">
        <is>
          <t>פורינה (חנויות)</t>
        </is>
      </c>
      <c r="B376" t="inlineStr">
        <is>
          <t>דוגלי בוגר בקר</t>
        </is>
      </c>
      <c r="C376" t="inlineStr">
        <is>
          <t>חטיפים</t>
        </is>
      </c>
      <c r="D376" t="inlineStr">
        <is>
          <t>12368675</t>
        </is>
      </c>
      <c r="E376" t="inlineStr">
        <is>
          <t>2026-06</t>
        </is>
      </c>
      <c r="F376" t="n">
        <v>108.76</v>
      </c>
      <c r="G376" t="n">
        <v>128.34</v>
      </c>
      <c r="H376">
        <f>הגדרות!B8</f>
        <v/>
      </c>
      <c r="I376">
        <f>F376*(1-H376/100)*1.18</f>
        <v/>
      </c>
      <c r="J376">
        <f>הגדרות!C8</f>
        <v/>
      </c>
      <c r="K376">
        <f>הגדרות!D8</f>
        <v/>
      </c>
      <c r="L376">
        <f>I376*(1+J376/100)+K376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2026-08-26T11:58:24Z</dcterms:created>
  <dcterms:modified xmlns:dcterms="http://purl.org/dc/terms/" xmlns:xsi="http://www.w3.org/2001/XMLSchema-instance" xsi:type="dcterms:W3CDTF">2026-08-26T11:58:24Z</dcterms:modified>
</cp:coreProperties>
</file>