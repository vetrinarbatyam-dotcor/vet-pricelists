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כלב</t>
        </is>
      </c>
      <c r="I529" t="inlineStr"/>
      <c r="J529" t="inlineStr">
        <is>
          <t>2025-02</t>
        </is>
      </c>
      <c r="K529" t="n">
        <v>539.74</v>
      </c>
      <c r="L529" t="n">
        <v>636.89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כלב</t>
        </is>
      </c>
      <c r="I530" t="inlineStr"/>
      <c r="J530" t="inlineStr">
        <is>
          <t>2025-02</t>
        </is>
      </c>
      <c r="K530" t="n">
        <v>539.74</v>
      </c>
      <c r="L530" t="n">
        <v>636.89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כלב</t>
        </is>
      </c>
      <c r="I531" t="inlineStr"/>
      <c r="J531" t="inlineStr">
        <is>
          <t>2025-02</t>
        </is>
      </c>
      <c r="K531" t="n">
        <v>583.08</v>
      </c>
      <c r="L531" t="n">
        <v>688.03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כלב</t>
        </is>
      </c>
      <c r="I532" t="inlineStr"/>
      <c r="J532" t="inlineStr">
        <is>
          <t>2025-02</t>
        </is>
      </c>
      <c r="K532" t="n">
        <v>539.74</v>
      </c>
      <c r="L532" t="n">
        <v>636.89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כלב</t>
        </is>
      </c>
      <c r="I533" t="inlineStr"/>
      <c r="J533" t="inlineStr">
        <is>
          <t>2025-02</t>
        </is>
      </c>
      <c r="K533" t="n">
        <v>135.19</v>
      </c>
      <c r="L533" t="n">
        <v>159.52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כלב</t>
        </is>
      </c>
      <c r="I534" t="inlineStr"/>
      <c r="J534" t="inlineStr">
        <is>
          <t>2025-02</t>
        </is>
      </c>
      <c r="K534" t="n">
        <v>518.0599999999999</v>
      </c>
      <c r="L534" t="n">
        <v>611.3099999999999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כלב</t>
        </is>
      </c>
      <c r="I535" t="inlineStr"/>
      <c r="J535" t="inlineStr">
        <is>
          <t>2025-02</t>
        </is>
      </c>
      <c r="K535" t="n">
        <v>539.74</v>
      </c>
      <c r="L535" t="n">
        <v>636.89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כלב</t>
        </is>
      </c>
      <c r="I536" t="inlineStr"/>
      <c r="J536" t="inlineStr">
        <is>
          <t>2025-02</t>
        </is>
      </c>
      <c r="K536" t="n">
        <v>539.74</v>
      </c>
      <c r="L536" t="n">
        <v>636.89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כלב</t>
        </is>
      </c>
      <c r="I537" t="inlineStr"/>
      <c r="J537" t="inlineStr">
        <is>
          <t>2025-02</t>
        </is>
      </c>
      <c r="K537" t="n">
        <v>135.19</v>
      </c>
      <c r="L537" t="n">
        <v>159.52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כלב</t>
        </is>
      </c>
      <c r="I538" t="inlineStr"/>
      <c r="J538" t="inlineStr">
        <is>
          <t>2025-02</t>
        </is>
      </c>
      <c r="K538" t="n">
        <v>160.99</v>
      </c>
      <c r="L538" t="n">
        <v>189.97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כלב</t>
        </is>
      </c>
      <c r="I539" t="inlineStr"/>
      <c r="J539" t="inlineStr">
        <is>
          <t>2025-02</t>
        </is>
      </c>
      <c r="K539" t="n">
        <v>139.32</v>
      </c>
      <c r="L539" t="n">
        <v>164.4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2025-02</t>
        </is>
      </c>
      <c r="K540" t="n">
        <v>298.25</v>
      </c>
      <c r="L540" t="n">
        <v>351.94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כלב</t>
        </is>
      </c>
      <c r="I541" t="inlineStr"/>
      <c r="J541" t="inlineStr">
        <is>
          <t>2025-02</t>
        </is>
      </c>
      <c r="K541" t="n">
        <v>539.74</v>
      </c>
      <c r="L541" t="n">
        <v>636.89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2025-02</t>
        </is>
      </c>
      <c r="K542" t="n">
        <v>323.02</v>
      </c>
      <c r="L542" t="n">
        <v>381.16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2025-02</t>
        </is>
      </c>
      <c r="K543" t="n">
        <v>323.02</v>
      </c>
      <c r="L543" t="n">
        <v>381.16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2025-02</t>
        </is>
      </c>
      <c r="K544" t="n">
        <v>323.02</v>
      </c>
      <c r="L544" t="n">
        <v>381.16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>
        <is>
          <t>כלב</t>
        </is>
      </c>
      <c r="I545" t="inlineStr"/>
      <c r="J545" t="inlineStr">
        <is>
          <t>2025-02</t>
        </is>
      </c>
      <c r="K545" t="n">
        <v>507.74</v>
      </c>
      <c r="L545" t="n">
        <v>599.13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חתול</t>
        </is>
      </c>
      <c r="I546" t="inlineStr"/>
      <c r="J546" t="inlineStr">
        <is>
          <t>2025-02</t>
        </is>
      </c>
      <c r="K546" t="n">
        <v>323.02</v>
      </c>
      <c r="L546" t="n">
        <v>381.16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2025-02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חתול</t>
        </is>
      </c>
      <c r="I548" t="inlineStr"/>
      <c r="J548" t="inlineStr">
        <is>
          <t>2025-02</t>
        </is>
      </c>
      <c r="K548" t="n">
        <v>323.02</v>
      </c>
      <c r="L548" t="n">
        <v>381.16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חתול</t>
        </is>
      </c>
      <c r="I549" t="inlineStr"/>
      <c r="J549" t="inlineStr">
        <is>
          <t>2025-02</t>
        </is>
      </c>
      <c r="K549" t="n">
        <v>146.54</v>
      </c>
      <c r="L549" t="n">
        <v>172.92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חתול</t>
        </is>
      </c>
      <c r="I550" t="inlineStr"/>
      <c r="J550" t="inlineStr">
        <is>
          <t>2025-02</t>
        </is>
      </c>
      <c r="K550" t="n">
        <v>146.54</v>
      </c>
      <c r="L550" t="n">
        <v>172.92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חתול</t>
        </is>
      </c>
      <c r="I551" t="inlineStr"/>
      <c r="J551" t="inlineStr">
        <is>
          <t>2025-02</t>
        </is>
      </c>
      <c r="K551" t="n">
        <v>146.54</v>
      </c>
      <c r="L551" t="n">
        <v>172.92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חתול</t>
        </is>
      </c>
      <c r="I552" t="inlineStr"/>
      <c r="J552" t="inlineStr">
        <is>
          <t>2025-02</t>
        </is>
      </c>
      <c r="K552" t="n">
        <v>146.54</v>
      </c>
      <c r="L552" t="n">
        <v>172.92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חתול</t>
        </is>
      </c>
      <c r="I553" t="inlineStr"/>
      <c r="J553" t="inlineStr">
        <is>
          <t>2025-02</t>
        </is>
      </c>
      <c r="K553" t="n">
        <v>146.54</v>
      </c>
      <c r="L553" t="n">
        <v>172.92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2025-02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2025-02</t>
        </is>
      </c>
      <c r="K555" t="n">
        <v>135.19</v>
      </c>
      <c r="L555" t="n">
        <v>159.52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חתול</t>
        </is>
      </c>
      <c r="I556" t="inlineStr"/>
      <c r="J556" t="inlineStr">
        <is>
          <t>2025-02</t>
        </is>
      </c>
      <c r="K556" t="n">
        <v>172.34</v>
      </c>
      <c r="L556" t="n">
        <v>203.36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חתול</t>
        </is>
      </c>
      <c r="I557" t="inlineStr"/>
      <c r="J557" t="inlineStr">
        <is>
          <t>2025-02</t>
        </is>
      </c>
      <c r="K557" t="n">
        <v>146.54</v>
      </c>
      <c r="L557" t="n">
        <v>172.92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2025-02</t>
        </is>
      </c>
      <c r="K558" t="n">
        <v>135.19</v>
      </c>
      <c r="L558" t="n">
        <v>159.52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חתול</t>
        </is>
      </c>
      <c r="I559" t="inlineStr"/>
      <c r="J559" t="inlineStr">
        <is>
          <t>2025-02</t>
        </is>
      </c>
      <c r="K559" t="n">
        <v>135.19</v>
      </c>
      <c r="L559" t="n">
        <v>159.52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חתול</t>
        </is>
      </c>
      <c r="I560" t="inlineStr"/>
      <c r="J560" t="inlineStr">
        <is>
          <t>2025-02</t>
        </is>
      </c>
      <c r="K560" t="n">
        <v>535.61</v>
      </c>
      <c r="L560" t="n">
        <v>632.02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2025-02</t>
        </is>
      </c>
      <c r="K561" t="n">
        <v>539.74</v>
      </c>
      <c r="L561" t="n">
        <v>636.89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2025-02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2025-02</t>
        </is>
      </c>
      <c r="K563" t="n">
        <v>146.54</v>
      </c>
      <c r="L563" t="n">
        <v>172.92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2025-02</t>
        </is>
      </c>
      <c r="K564" t="n">
        <v>139.32</v>
      </c>
      <c r="L564" t="n">
        <v>164.4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2025-02</t>
        </is>
      </c>
      <c r="K565" t="n">
        <v>124.87</v>
      </c>
      <c r="L565" t="n">
        <v>147.35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2025-02</t>
        </is>
      </c>
      <c r="K566" t="n">
        <v>539.74</v>
      </c>
      <c r="L566" t="n">
        <v>636.89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/>
      <c r="I567" t="inlineStr"/>
      <c r="J567" t="inlineStr">
        <is>
          <t>2025-02</t>
        </is>
      </c>
      <c r="K567" t="n">
        <v>135.19</v>
      </c>
      <c r="L567" t="n">
        <v>159.52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וטרינרי / רפואי</t>
        </is>
      </c>
      <c r="F568" t="inlineStr">
        <is>
          <t>יבש</t>
        </is>
      </c>
      <c r="G568" t="inlineStr">
        <is>
          <t>גורים</t>
        </is>
      </c>
      <c r="H568" t="inlineStr"/>
      <c r="I568" t="inlineStr"/>
      <c r="J568" t="inlineStr">
        <is>
          <t>2025-02</t>
        </is>
      </c>
      <c r="K568" t="n">
        <v>135.19</v>
      </c>
      <c r="L568" t="n">
        <v>159.52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וטרינרי / רפואי</t>
        </is>
      </c>
      <c r="F569" t="inlineStr">
        <is>
          <t>יבש</t>
        </is>
      </c>
      <c r="G569" t="inlineStr"/>
      <c r="H569" t="inlineStr">
        <is>
          <t>חתול</t>
        </is>
      </c>
      <c r="I569" t="inlineStr"/>
      <c r="J569" t="inlineStr">
        <is>
          <t>2025-02</t>
        </is>
      </c>
      <c r="K569" t="n">
        <v>122.81</v>
      </c>
      <c r="L569" t="n">
        <v>144.92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וטרינרי / רפואי</t>
        </is>
      </c>
      <c r="F570" t="inlineStr">
        <is>
          <t>יבש</t>
        </is>
      </c>
      <c r="G570" t="inlineStr"/>
      <c r="H570" t="inlineStr"/>
      <c r="I570" t="inlineStr"/>
      <c r="J570" t="inlineStr">
        <is>
          <t>2025-02</t>
        </is>
      </c>
      <c r="K570" t="n">
        <v>135.19</v>
      </c>
      <c r="L570" t="n">
        <v>159.52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2025-02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2025-02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2025-02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חתול</t>
        </is>
      </c>
      <c r="I574" t="inlineStr"/>
      <c r="J574" t="inlineStr">
        <is>
          <t>2025-02</t>
        </is>
      </c>
      <c r="K574" t="n">
        <v>9.289999999999999</v>
      </c>
      <c r="L574" t="n">
        <v>10.96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חתול</t>
        </is>
      </c>
      <c r="I575" t="inlineStr"/>
      <c r="J575" t="inlineStr">
        <is>
          <t>2025-02</t>
        </is>
      </c>
      <c r="K575" t="n">
        <v>9.289999999999999</v>
      </c>
      <c r="L575" t="n">
        <v>10.96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>
        <is>
          <t>חתול</t>
        </is>
      </c>
      <c r="I576" t="inlineStr"/>
      <c r="J576" t="inlineStr">
        <is>
          <t>2025-02</t>
        </is>
      </c>
      <c r="K576" t="n">
        <v>9.289999999999999</v>
      </c>
      <c r="L576" t="n">
        <v>10.96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חתול</t>
        </is>
      </c>
      <c r="I577" t="inlineStr"/>
      <c r="J577" t="inlineStr">
        <is>
          <t>2025-02</t>
        </is>
      </c>
      <c r="K577" t="n">
        <v>9.289999999999999</v>
      </c>
      <c r="L577" t="n">
        <v>10.96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2025-02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כלב</t>
        </is>
      </c>
      <c r="I579" t="inlineStr"/>
      <c r="J579" t="inlineStr">
        <is>
          <t>2025-02</t>
        </is>
      </c>
      <c r="K579" t="n">
        <v>17.54</v>
      </c>
      <c r="L579" t="n">
        <v>20.7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/>
      <c r="I580" t="inlineStr"/>
      <c r="J580" t="inlineStr">
        <is>
          <t>2025-02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>
        <is>
          <t>כלב</t>
        </is>
      </c>
      <c r="I581" t="inlineStr"/>
      <c r="J581" t="inlineStr">
        <is>
          <t>2025-02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>
        <is>
          <t>כלב</t>
        </is>
      </c>
      <c r="I582" t="inlineStr"/>
      <c r="J582" t="inlineStr">
        <is>
          <t>2025-02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כלב</t>
        </is>
      </c>
      <c r="I583" t="inlineStr"/>
      <c r="J583" t="inlineStr">
        <is>
          <t>2025-02</t>
        </is>
      </c>
      <c r="K583" t="n">
        <v>17.54</v>
      </c>
      <c r="L583" t="n">
        <v>20.7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/>
      <c r="I584" t="inlineStr"/>
      <c r="J584" t="inlineStr">
        <is>
          <t>2025-02</t>
        </is>
      </c>
      <c r="K584" t="n">
        <v>17.54</v>
      </c>
      <c r="L584" t="n">
        <v>20.7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וטרינרי / רפואי</t>
        </is>
      </c>
      <c r="F585" t="inlineStr">
        <is>
          <t>רטוב</t>
        </is>
      </c>
      <c r="G585" t="inlineStr"/>
      <c r="H585" t="inlineStr"/>
      <c r="I585" t="inlineStr"/>
      <c r="J585" t="inlineStr">
        <is>
          <t>2025-02</t>
        </is>
      </c>
      <c r="K585" t="n">
        <v>17.54</v>
      </c>
      <c r="L585" t="n">
        <v>20.7</v>
      </c>
      <c r="M585">
        <f>הגדרות!B7</f>
        <v/>
      </c>
      <c r="N585">
        <f>K585*(1-M585/100)*1.18</f>
        <v/>
      </c>
      <c r="O585">
        <f>הגדרות!C7</f>
        <v/>
      </c>
      <c r="P585">
        <f>הגדרות!D7</f>
        <v/>
      </c>
      <c r="Q585">
        <f>N585*(1+O585/100)+P585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וטרינרי / רפואי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2026-06</t>
        </is>
      </c>
      <c r="K586" t="n">
        <v>5.92</v>
      </c>
      <c r="L586" t="n">
        <v>6.99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וטרינרי / רפואי</t>
        </is>
      </c>
      <c r="F587" t="inlineStr">
        <is>
          <t>יבש</t>
        </is>
      </c>
      <c r="G587" t="inlineStr"/>
      <c r="H587" t="inlineStr">
        <is>
          <t>חתול</t>
        </is>
      </c>
      <c r="I587" t="inlineStr"/>
      <c r="J587" t="inlineStr">
        <is>
          <t>2026-06</t>
        </is>
      </c>
      <c r="K587" t="n">
        <v>76.06999999999999</v>
      </c>
      <c r="L587" t="n">
        <v>89.76000000000001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וטרינרי / רפואי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2026-06</t>
        </is>
      </c>
      <c r="K588" t="n">
        <v>241.53</v>
      </c>
      <c r="L588" t="n">
        <v>285.01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וטרינרי / רפואי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2026-06</t>
        </is>
      </c>
      <c r="K589" t="n">
        <v>89.95</v>
      </c>
      <c r="L589" t="n">
        <v>106.14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וטרינרי / רפואי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2026-06</t>
        </is>
      </c>
      <c r="K590" t="n">
        <v>187.43</v>
      </c>
      <c r="L590" t="n">
        <v>221.17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וטרינרי / רפואי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2026-06</t>
        </is>
      </c>
      <c r="K591" t="n">
        <v>104.48</v>
      </c>
      <c r="L591" t="n">
        <v>123.29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וטרינרי / רפואי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2026-06</t>
        </is>
      </c>
      <c r="K592" t="n">
        <v>247.74</v>
      </c>
      <c r="L592" t="n">
        <v>292.33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וטרינרי / רפואי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2026-06</t>
        </is>
      </c>
      <c r="K593" t="n">
        <v>79.08</v>
      </c>
      <c r="L593" t="n">
        <v>93.31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וטרינרי / רפואי</t>
        </is>
      </c>
      <c r="F594" t="inlineStr">
        <is>
          <t>יבש</t>
        </is>
      </c>
      <c r="G594" t="inlineStr"/>
      <c r="H594" t="inlineStr">
        <is>
          <t>חתול</t>
        </is>
      </c>
      <c r="I594" t="inlineStr"/>
      <c r="J594" t="inlineStr">
        <is>
          <t>2026-06</t>
        </is>
      </c>
      <c r="K594" t="n">
        <v>187.43</v>
      </c>
      <c r="L594" t="n">
        <v>221.17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וטרינרי / רפואי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2026-06</t>
        </is>
      </c>
      <c r="K595" t="n">
        <v>198.45</v>
      </c>
      <c r="L595" t="n">
        <v>234.17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וטרינרי / רפואי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2026-06</t>
        </is>
      </c>
      <c r="K596" t="n">
        <v>76.06999999999999</v>
      </c>
      <c r="L596" t="n">
        <v>89.76000000000001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וטרינרי / רפואי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2026-06</t>
        </is>
      </c>
      <c r="K597" t="n">
        <v>253.56</v>
      </c>
      <c r="L597" t="n">
        <v>299.2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וטרינרי / רפואי</t>
        </is>
      </c>
      <c r="F598" t="inlineStr">
        <is>
          <t>יבש</t>
        </is>
      </c>
      <c r="G598" t="inlineStr"/>
      <c r="H598" t="inlineStr">
        <is>
          <t>כלב</t>
        </is>
      </c>
      <c r="I598" t="inlineStr"/>
      <c r="J598" t="inlineStr">
        <is>
          <t>2026-06</t>
        </is>
      </c>
      <c r="K598" t="n">
        <v>407.12</v>
      </c>
      <c r="L598" t="n">
        <v>480.4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וטרינרי / רפואי</t>
        </is>
      </c>
      <c r="F599" t="inlineStr">
        <is>
          <t>יבש</t>
        </is>
      </c>
      <c r="G599" t="inlineStr"/>
      <c r="H599" t="inlineStr">
        <is>
          <t>כלב</t>
        </is>
      </c>
      <c r="I599" t="inlineStr"/>
      <c r="J599" t="inlineStr">
        <is>
          <t>2026-06</t>
        </is>
      </c>
      <c r="K599" t="n">
        <v>383.67</v>
      </c>
      <c r="L599" t="n">
        <v>452.73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וטרינרי / רפואי</t>
        </is>
      </c>
      <c r="F600" t="inlineStr">
        <is>
          <t>יבש</t>
        </is>
      </c>
      <c r="G600" t="inlineStr"/>
      <c r="H600" t="inlineStr">
        <is>
          <t>כלב</t>
        </is>
      </c>
      <c r="I600" t="inlineStr"/>
      <c r="J600" t="inlineStr">
        <is>
          <t>2026-06</t>
        </is>
      </c>
      <c r="K600" t="n">
        <v>407.12</v>
      </c>
      <c r="L600" t="n">
        <v>480.4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וטרינרי / רפואי</t>
        </is>
      </c>
      <c r="F601" t="inlineStr">
        <is>
          <t>יבש</t>
        </is>
      </c>
      <c r="G601" t="inlineStr"/>
      <c r="H601" t="inlineStr">
        <is>
          <t>כלב</t>
        </is>
      </c>
      <c r="I601" t="inlineStr"/>
      <c r="J601" t="inlineStr">
        <is>
          <t>2026-06</t>
        </is>
      </c>
      <c r="K601" t="n">
        <v>130.91</v>
      </c>
      <c r="L601" t="n">
        <v>154.47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וטרינרי / רפואי</t>
        </is>
      </c>
      <c r="F602" t="inlineStr">
        <is>
          <t>יבש</t>
        </is>
      </c>
      <c r="G602" t="inlineStr"/>
      <c r="H602" t="inlineStr">
        <is>
          <t>כלב</t>
        </is>
      </c>
      <c r="I602" t="inlineStr"/>
      <c r="J602" t="inlineStr">
        <is>
          <t>2026-06</t>
        </is>
      </c>
      <c r="K602" t="n">
        <v>361.62</v>
      </c>
      <c r="L602" t="n">
        <v>426.71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וטרינרי / רפואי</t>
        </is>
      </c>
      <c r="F603" t="inlineStr">
        <is>
          <t>יבש</t>
        </is>
      </c>
      <c r="G603" t="inlineStr"/>
      <c r="H603" t="inlineStr">
        <is>
          <t>כלב</t>
        </is>
      </c>
      <c r="I603" t="inlineStr"/>
      <c r="J603" t="inlineStr">
        <is>
          <t>2026-06</t>
        </is>
      </c>
      <c r="K603" t="n">
        <v>79.23</v>
      </c>
      <c r="L603" t="n">
        <v>93.48999999999999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וטרינרי / רפואי</t>
        </is>
      </c>
      <c r="F604" t="inlineStr">
        <is>
          <t>יבש</t>
        </is>
      </c>
      <c r="G604" t="inlineStr"/>
      <c r="H604" t="inlineStr">
        <is>
          <t>כלב</t>
        </is>
      </c>
      <c r="I604" t="inlineStr"/>
      <c r="J604" t="inlineStr">
        <is>
          <t>2026-06</t>
        </is>
      </c>
      <c r="K604" t="n">
        <v>152.25</v>
      </c>
      <c r="L604" t="n">
        <v>179.66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וטרינרי / רפואי</t>
        </is>
      </c>
      <c r="F605" t="inlineStr">
        <is>
          <t>יבש</t>
        </is>
      </c>
      <c r="G605" t="inlineStr"/>
      <c r="H605" t="inlineStr">
        <is>
          <t>כלב</t>
        </is>
      </c>
      <c r="I605" t="inlineStr"/>
      <c r="J605" t="inlineStr">
        <is>
          <t>2026-06</t>
        </is>
      </c>
      <c r="K605" t="n">
        <v>448.28</v>
      </c>
      <c r="L605" t="n">
        <v>528.97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וטרינרי / רפואי</t>
        </is>
      </c>
      <c r="F606" t="inlineStr">
        <is>
          <t>יבש</t>
        </is>
      </c>
      <c r="G606" t="inlineStr"/>
      <c r="H606" t="inlineStr">
        <is>
          <t>כלב</t>
        </is>
      </c>
      <c r="I606" t="inlineStr"/>
      <c r="J606" t="inlineStr">
        <is>
          <t>2026-06</t>
        </is>
      </c>
      <c r="K606" t="n">
        <v>81.89</v>
      </c>
      <c r="L606" t="n">
        <v>96.63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וטרינרי / רפואי</t>
        </is>
      </c>
      <c r="F607" t="inlineStr">
        <is>
          <t>יבש</t>
        </is>
      </c>
      <c r="G607" t="inlineStr"/>
      <c r="H607" t="inlineStr">
        <is>
          <t>כלב</t>
        </is>
      </c>
      <c r="I607" t="inlineStr"/>
      <c r="J607" t="inlineStr">
        <is>
          <t>2026-06</t>
        </is>
      </c>
      <c r="K607" t="n">
        <v>183.86</v>
      </c>
      <c r="L607" t="n">
        <v>216.95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וטרינרי / רפואי</t>
        </is>
      </c>
      <c r="F608" t="inlineStr">
        <is>
          <t>יבש</t>
        </is>
      </c>
      <c r="G608" t="inlineStr"/>
      <c r="H608" t="inlineStr">
        <is>
          <t>כלב</t>
        </is>
      </c>
      <c r="I608" t="inlineStr"/>
      <c r="J608" t="inlineStr">
        <is>
          <t>2026-06</t>
        </is>
      </c>
      <c r="K608" t="n">
        <v>383.67</v>
      </c>
      <c r="L608" t="n">
        <v>452.73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וטרינרי / רפואי</t>
        </is>
      </c>
      <c r="F609" t="inlineStr">
        <is>
          <t>יבש</t>
        </is>
      </c>
      <c r="G609" t="inlineStr"/>
      <c r="H609" t="inlineStr">
        <is>
          <t>כלב</t>
        </is>
      </c>
      <c r="I609" t="inlineStr"/>
      <c r="J609" t="inlineStr">
        <is>
          <t>2026-06</t>
        </is>
      </c>
      <c r="K609" t="n">
        <v>115.1</v>
      </c>
      <c r="L609" t="n">
        <v>135.82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וטרינרי / רפואי</t>
        </is>
      </c>
      <c r="F610" t="inlineStr">
        <is>
          <t>יבש</t>
        </is>
      </c>
      <c r="G610" t="inlineStr"/>
      <c r="H610" t="inlineStr">
        <is>
          <t>כלב</t>
        </is>
      </c>
      <c r="I610" t="inlineStr"/>
      <c r="J610" t="inlineStr">
        <is>
          <t>2026-06</t>
        </is>
      </c>
      <c r="K610" t="n">
        <v>383.67</v>
      </c>
      <c r="L610" t="n">
        <v>452.73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וטרינרי / רפואי</t>
        </is>
      </c>
      <c r="F611" t="inlineStr">
        <is>
          <t>יבש</t>
        </is>
      </c>
      <c r="G611" t="inlineStr"/>
      <c r="H611" t="inlineStr">
        <is>
          <t>כלב</t>
        </is>
      </c>
      <c r="I611" t="inlineStr"/>
      <c r="J611" t="inlineStr">
        <is>
          <t>2026-06</t>
        </is>
      </c>
      <c r="K611" t="n">
        <v>365.4</v>
      </c>
      <c r="L611" t="n">
        <v>431.17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וטרינרי / רפואי</t>
        </is>
      </c>
      <c r="F612" t="inlineStr">
        <is>
          <t>יבש</t>
        </is>
      </c>
      <c r="G612" t="inlineStr"/>
      <c r="H612" t="inlineStr">
        <is>
          <t>כלב</t>
        </is>
      </c>
      <c r="I612" t="inlineStr"/>
      <c r="J612" t="inlineStr">
        <is>
          <t>2026-06</t>
        </is>
      </c>
      <c r="K612" t="n">
        <v>118.89</v>
      </c>
      <c r="L612" t="n">
        <v>140.29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וטרינרי / רפואי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2026-06</t>
        </is>
      </c>
      <c r="K613" t="n">
        <v>9.130000000000001</v>
      </c>
      <c r="L613" t="n">
        <v>10.77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וטרינרי / רפואי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2026-06</t>
        </is>
      </c>
      <c r="K614" t="n">
        <v>8.039999999999999</v>
      </c>
      <c r="L614" t="n">
        <v>9.49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וטרינרי / רפואי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2026-06</t>
        </is>
      </c>
      <c r="K615" t="n">
        <v>9.130000000000001</v>
      </c>
      <c r="L615" t="n">
        <v>10.77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וטרינרי / רפואי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2026-06</t>
        </is>
      </c>
      <c r="K616" t="n">
        <v>8.039999999999999</v>
      </c>
      <c r="L616" t="n">
        <v>9.49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וטרינרי / רפואי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2026-06</t>
        </is>
      </c>
      <c r="K617" t="n">
        <v>9.130000000000001</v>
      </c>
      <c r="L617" t="n">
        <v>10.77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וטרינרי / רפואי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2026-06</t>
        </is>
      </c>
      <c r="K618" t="n">
        <v>8.039999999999999</v>
      </c>
      <c r="L618" t="n">
        <v>9.49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וטרינרי / רפואי</t>
        </is>
      </c>
      <c r="F619" t="inlineStr">
        <is>
          <t>יבש</t>
        </is>
      </c>
      <c r="G619" t="inlineStr"/>
      <c r="H619" t="inlineStr">
        <is>
          <t>חתול</t>
        </is>
      </c>
      <c r="I619" t="inlineStr"/>
      <c r="J619" t="inlineStr">
        <is>
          <t>2026-06</t>
        </is>
      </c>
      <c r="K619" t="n">
        <v>10.92</v>
      </c>
      <c r="L619" t="n">
        <v>12.89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וטרינרי / רפואי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/>
      <c r="J620" t="inlineStr">
        <is>
          <t>2026-06</t>
        </is>
      </c>
      <c r="K620" t="n">
        <v>17.69</v>
      </c>
      <c r="L620" t="n">
        <v>20.87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וטרינרי / רפואי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/>
      <c r="J621" t="inlineStr">
        <is>
          <t>2026-06</t>
        </is>
      </c>
      <c r="K621" t="n">
        <v>17.69</v>
      </c>
      <c r="L621" t="n">
        <v>20.87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וטרינרי / רפואי</t>
        </is>
      </c>
      <c r="F622" t="inlineStr">
        <is>
          <t>יבש</t>
        </is>
      </c>
      <c r="G622" t="inlineStr"/>
      <c r="H622" t="inlineStr">
        <is>
          <t>כלב</t>
        </is>
      </c>
      <c r="I622" t="inlineStr"/>
      <c r="J622" t="inlineStr">
        <is>
          <t>2026-06</t>
        </is>
      </c>
      <c r="K622" t="n">
        <v>18.57</v>
      </c>
      <c r="L622" t="n">
        <v>21.91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רגיל</t>
        </is>
      </c>
      <c r="F623" t="inlineStr">
        <is>
          <t>יבש</t>
        </is>
      </c>
      <c r="G623" t="inlineStr"/>
      <c r="H623" t="inlineStr">
        <is>
          <t>חתול</t>
        </is>
      </c>
      <c r="I623" t="inlineStr"/>
      <c r="J623" t="inlineStr">
        <is>
          <t>2026-06</t>
        </is>
      </c>
      <c r="K623" t="n">
        <v>28.68</v>
      </c>
      <c r="L623" t="n">
        <v>33.84</v>
      </c>
      <c r="M623">
        <f>הגדרות!B9</f>
        <v/>
      </c>
      <c r="N623">
        <f>K623*(1-M623/100)*1.18</f>
        <v/>
      </c>
      <c r="O623">
        <f>הגדרות!C9</f>
        <v/>
      </c>
      <c r="P623">
        <f>הגדרות!D9</f>
        <v/>
      </c>
      <c r="Q623">
        <f>N623*(1+O623/100)+P623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חתול</t>
        </is>
      </c>
      <c r="I624" t="inlineStr"/>
      <c r="J624" t="inlineStr">
        <is>
          <t>2026-06</t>
        </is>
      </c>
      <c r="K624" t="n">
        <v>28.68</v>
      </c>
      <c r="L624" t="n">
        <v>33.84</v>
      </c>
      <c r="M624">
        <f>הגדרות!B9</f>
        <v/>
      </c>
      <c r="N624">
        <f>K624*(1-M624/100)*1.18</f>
        <v/>
      </c>
      <c r="O624">
        <f>הגדרות!C9</f>
        <v/>
      </c>
      <c r="P624">
        <f>הגדרות!D9</f>
        <v/>
      </c>
      <c r="Q624">
        <f>N624*(1+O624/100)+P624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רגיל</t>
        </is>
      </c>
      <c r="F625" t="inlineStr">
        <is>
          <t>יבש</t>
        </is>
      </c>
      <c r="G625" t="inlineStr"/>
      <c r="H625" t="inlineStr">
        <is>
          <t>חתול</t>
        </is>
      </c>
      <c r="I625" t="inlineStr"/>
      <c r="J625" t="inlineStr">
        <is>
          <t>2026-06</t>
        </is>
      </c>
      <c r="K625" t="n">
        <v>28.68</v>
      </c>
      <c r="L625" t="n">
        <v>33.84</v>
      </c>
      <c r="M625">
        <f>הגדרות!B9</f>
        <v/>
      </c>
      <c r="N625">
        <f>K625*(1-M625/100)*1.18</f>
        <v/>
      </c>
      <c r="O625">
        <f>הגדרות!C9</f>
        <v/>
      </c>
      <c r="P625">
        <f>הגדרות!D9</f>
        <v/>
      </c>
      <c r="Q625">
        <f>N625*(1+O625/100)+P625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חתול</t>
        </is>
      </c>
      <c r="I626" t="inlineStr"/>
      <c r="J626" t="inlineStr">
        <is>
          <t>2026-06</t>
        </is>
      </c>
      <c r="K626" t="n">
        <v>28.68</v>
      </c>
      <c r="L626" t="n">
        <v>33.84</v>
      </c>
      <c r="M626">
        <f>הגדרות!B9</f>
        <v/>
      </c>
      <c r="N626">
        <f>K626*(1-M626/100)*1.18</f>
        <v/>
      </c>
      <c r="O626">
        <f>הגדרות!C9</f>
        <v/>
      </c>
      <c r="P626">
        <f>הגדרות!D9</f>
        <v/>
      </c>
      <c r="Q626">
        <f>N626*(1+O626/100)+P626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רגיל</t>
        </is>
      </c>
      <c r="F627" t="inlineStr">
        <is>
          <t>יבש</t>
        </is>
      </c>
      <c r="G627" t="inlineStr"/>
      <c r="H627" t="inlineStr">
        <is>
          <t>חתול</t>
        </is>
      </c>
      <c r="I627" t="inlineStr"/>
      <c r="J627" t="inlineStr">
        <is>
          <t>2026-06</t>
        </is>
      </c>
      <c r="K627" t="n">
        <v>28.68</v>
      </c>
      <c r="L627" t="n">
        <v>33.84</v>
      </c>
      <c r="M627">
        <f>הגדרות!B9</f>
        <v/>
      </c>
      <c r="N627">
        <f>K627*(1-M627/100)*1.18</f>
        <v/>
      </c>
      <c r="O627">
        <f>הגדרות!C9</f>
        <v/>
      </c>
      <c r="P627">
        <f>הגדרות!D9</f>
        <v/>
      </c>
      <c r="Q627">
        <f>N627*(1+O627/100)+P627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חתול</t>
        </is>
      </c>
      <c r="I628" t="inlineStr"/>
      <c r="J628" t="inlineStr">
        <is>
          <t>2026-06</t>
        </is>
      </c>
      <c r="K628" t="n">
        <v>132.01</v>
      </c>
      <c r="L628" t="n">
        <v>155.77</v>
      </c>
      <c r="M628">
        <f>הגדרות!B9</f>
        <v/>
      </c>
      <c r="N628">
        <f>K628*(1-M628/100)*1.18</f>
        <v/>
      </c>
      <c r="O628">
        <f>הגדרות!C9</f>
        <v/>
      </c>
      <c r="P628">
        <f>הגדרות!D9</f>
        <v/>
      </c>
      <c r="Q628">
        <f>N628*(1+O628/100)+P628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חתול</t>
        </is>
      </c>
      <c r="I629" t="inlineStr"/>
      <c r="J629" t="inlineStr">
        <is>
          <t>2026-06</t>
        </is>
      </c>
      <c r="K629" t="n">
        <v>132.01</v>
      </c>
      <c r="L629" t="n">
        <v>155.77</v>
      </c>
      <c r="M629">
        <f>הגדרות!B9</f>
        <v/>
      </c>
      <c r="N629">
        <f>K629*(1-M629/100)*1.18</f>
        <v/>
      </c>
      <c r="O629">
        <f>הגדרות!C9</f>
        <v/>
      </c>
      <c r="P629">
        <f>הגדרות!D9</f>
        <v/>
      </c>
      <c r="Q629">
        <f>N629*(1+O629/100)+P629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חתול</t>
        </is>
      </c>
      <c r="I630" t="inlineStr"/>
      <c r="J630" t="inlineStr">
        <is>
          <t>2026-06</t>
        </is>
      </c>
      <c r="K630" t="n">
        <v>132.01</v>
      </c>
      <c r="L630" t="n">
        <v>155.77</v>
      </c>
      <c r="M630">
        <f>הגדרות!B9</f>
        <v/>
      </c>
      <c r="N630">
        <f>K630*(1-M630/100)*1.18</f>
        <v/>
      </c>
      <c r="O630">
        <f>הגדרות!C9</f>
        <v/>
      </c>
      <c r="P630">
        <f>הגדרות!D9</f>
        <v/>
      </c>
      <c r="Q630">
        <f>N630*(1+O630/100)+P630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רגיל</t>
        </is>
      </c>
      <c r="F631" t="inlineStr">
        <is>
          <t>יבש</t>
        </is>
      </c>
      <c r="G631" t="inlineStr"/>
      <c r="H631" t="inlineStr">
        <is>
          <t>חתול</t>
        </is>
      </c>
      <c r="I631" t="inlineStr"/>
      <c r="J631" t="inlineStr">
        <is>
          <t>2026-06</t>
        </is>
      </c>
      <c r="K631" t="n">
        <v>132.01</v>
      </c>
      <c r="L631" t="n">
        <v>155.77</v>
      </c>
      <c r="M631">
        <f>הגדרות!B9</f>
        <v/>
      </c>
      <c r="N631">
        <f>K631*(1-M631/100)*1.18</f>
        <v/>
      </c>
      <c r="O631">
        <f>הגדרות!C9</f>
        <v/>
      </c>
      <c r="P631">
        <f>הגדרות!D9</f>
        <v/>
      </c>
      <c r="Q631">
        <f>N631*(1+O631/100)+P631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רגיל</t>
        </is>
      </c>
      <c r="F632" t="inlineStr">
        <is>
          <t>יבש</t>
        </is>
      </c>
      <c r="G632" t="inlineStr"/>
      <c r="H632" t="inlineStr">
        <is>
          <t>חתול</t>
        </is>
      </c>
      <c r="I632" t="inlineStr"/>
      <c r="J632" t="inlineStr">
        <is>
          <t>2026-06</t>
        </is>
      </c>
      <c r="K632" t="n">
        <v>132.01</v>
      </c>
      <c r="L632" t="n">
        <v>155.77</v>
      </c>
      <c r="M632">
        <f>הגדרות!B9</f>
        <v/>
      </c>
      <c r="N632">
        <f>K632*(1-M632/100)*1.18</f>
        <v/>
      </c>
      <c r="O632">
        <f>הגדרות!C9</f>
        <v/>
      </c>
      <c r="P632">
        <f>הגדרות!D9</f>
        <v/>
      </c>
      <c r="Q632">
        <f>N632*(1+O632/100)+P632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רגיל</t>
        </is>
      </c>
      <c r="F633" t="inlineStr">
        <is>
          <t>יבש</t>
        </is>
      </c>
      <c r="G633" t="inlineStr"/>
      <c r="H633" t="inlineStr">
        <is>
          <t>חתול</t>
        </is>
      </c>
      <c r="I633" t="inlineStr"/>
      <c r="J633" t="inlineStr">
        <is>
          <t>2026-06</t>
        </is>
      </c>
      <c r="K633" t="n">
        <v>174.2</v>
      </c>
      <c r="L633" t="n">
        <v>205.56</v>
      </c>
      <c r="M633">
        <f>הגדרות!B9</f>
        <v/>
      </c>
      <c r="N633">
        <f>K633*(1-M633/100)*1.18</f>
        <v/>
      </c>
      <c r="O633">
        <f>הגדרות!C9</f>
        <v/>
      </c>
      <c r="P633">
        <f>הגדרות!D9</f>
        <v/>
      </c>
      <c r="Q633">
        <f>N633*(1+O633/100)+P633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חתול</t>
        </is>
      </c>
      <c r="I634" t="inlineStr"/>
      <c r="J634" t="inlineStr">
        <is>
          <t>2026-06</t>
        </is>
      </c>
      <c r="K634" t="n">
        <v>174.2</v>
      </c>
      <c r="L634" t="n">
        <v>205.56</v>
      </c>
      <c r="M634">
        <f>הגדרות!B9</f>
        <v/>
      </c>
      <c r="N634">
        <f>K634*(1-M634/100)*1.18</f>
        <v/>
      </c>
      <c r="O634">
        <f>הגדרות!C9</f>
        <v/>
      </c>
      <c r="P634">
        <f>הגדרות!D9</f>
        <v/>
      </c>
      <c r="Q634">
        <f>N634*(1+O634/100)+P634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חתול</t>
        </is>
      </c>
      <c r="I635" t="inlineStr"/>
      <c r="J635" t="inlineStr">
        <is>
          <t>2026-06</t>
        </is>
      </c>
      <c r="K635" t="n">
        <v>174.2</v>
      </c>
      <c r="L635" t="n">
        <v>205.56</v>
      </c>
      <c r="M635">
        <f>הגדרות!B9</f>
        <v/>
      </c>
      <c r="N635">
        <f>K635*(1-M635/100)*1.18</f>
        <v/>
      </c>
      <c r="O635">
        <f>הגדרות!C9</f>
        <v/>
      </c>
      <c r="P635">
        <f>הגדרות!D9</f>
        <v/>
      </c>
      <c r="Q635">
        <f>N635*(1+O635/100)+P635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חתול</t>
        </is>
      </c>
      <c r="I636" t="inlineStr"/>
      <c r="J636" t="inlineStr">
        <is>
          <t>2026-06</t>
        </is>
      </c>
      <c r="K636" t="n">
        <v>227.5</v>
      </c>
      <c r="L636" t="n">
        <v>268.45</v>
      </c>
      <c r="M636">
        <f>הגדרות!B9</f>
        <v/>
      </c>
      <c r="N636">
        <f>K636*(1-M636/100)*1.18</f>
        <v/>
      </c>
      <c r="O636">
        <f>הגדרות!C9</f>
        <v/>
      </c>
      <c r="P636">
        <f>הגדרות!D9</f>
        <v/>
      </c>
      <c r="Q636">
        <f>N636*(1+O636/100)+P636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רגיל</t>
        </is>
      </c>
      <c r="F637" t="inlineStr">
        <is>
          <t>רטוב</t>
        </is>
      </c>
      <c r="G637" t="inlineStr"/>
      <c r="H637" t="inlineStr"/>
      <c r="I637" t="inlineStr"/>
      <c r="J637" t="inlineStr">
        <is>
          <t>2026-06</t>
        </is>
      </c>
      <c r="K637" t="n">
        <v>4.64</v>
      </c>
      <c r="L637" t="n">
        <v>5.48</v>
      </c>
      <c r="M637">
        <f>הגדרות!B9</f>
        <v/>
      </c>
      <c r="N637">
        <f>K637*(1-M637/100)*1.18</f>
        <v/>
      </c>
      <c r="O637">
        <f>הגדרות!C9</f>
        <v/>
      </c>
      <c r="P637">
        <f>הגדרות!D9</f>
        <v/>
      </c>
      <c r="Q637">
        <f>N637*(1+O637/100)+P637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רגיל</t>
        </is>
      </c>
      <c r="F638" t="inlineStr">
        <is>
          <t>רטוב</t>
        </is>
      </c>
      <c r="G638" t="inlineStr"/>
      <c r="H638" t="inlineStr"/>
      <c r="I638" t="inlineStr"/>
      <c r="J638" t="inlineStr">
        <is>
          <t>2026-06</t>
        </is>
      </c>
      <c r="K638" t="n">
        <v>4.64</v>
      </c>
      <c r="L638" t="n">
        <v>5.48</v>
      </c>
      <c r="M638">
        <f>הגדרות!B9</f>
        <v/>
      </c>
      <c r="N638">
        <f>K638*(1-M638/100)*1.18</f>
        <v/>
      </c>
      <c r="O638">
        <f>הגדרות!C9</f>
        <v/>
      </c>
      <c r="P638">
        <f>הגדרות!D9</f>
        <v/>
      </c>
      <c r="Q638">
        <f>N638*(1+O638/100)+P638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רגיל</t>
        </is>
      </c>
      <c r="F639" t="inlineStr">
        <is>
          <t>רטוב</t>
        </is>
      </c>
      <c r="G639" t="inlineStr"/>
      <c r="H639" t="inlineStr"/>
      <c r="I639" t="inlineStr"/>
      <c r="J639" t="inlineStr">
        <is>
          <t>2026-06</t>
        </is>
      </c>
      <c r="K639" t="n">
        <v>4.64</v>
      </c>
      <c r="L639" t="n">
        <v>5.48</v>
      </c>
      <c r="M639">
        <f>הגדרות!B9</f>
        <v/>
      </c>
      <c r="N639">
        <f>K639*(1-M639/100)*1.18</f>
        <v/>
      </c>
      <c r="O639">
        <f>הגדרות!C9</f>
        <v/>
      </c>
      <c r="P639">
        <f>הגדרות!D9</f>
        <v/>
      </c>
      <c r="Q639">
        <f>N639*(1+O639/100)+P639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רגיל</t>
        </is>
      </c>
      <c r="F640" t="inlineStr">
        <is>
          <t>רטוב</t>
        </is>
      </c>
      <c r="G640" t="inlineStr"/>
      <c r="H640" t="inlineStr"/>
      <c r="I640" t="inlineStr"/>
      <c r="J640" t="inlineStr">
        <is>
          <t>2026-06</t>
        </is>
      </c>
      <c r="K640" t="n">
        <v>4.64</v>
      </c>
      <c r="L640" t="n">
        <v>5.48</v>
      </c>
      <c r="M640">
        <f>הגדרות!B9</f>
        <v/>
      </c>
      <c r="N640">
        <f>K640*(1-M640/100)*1.18</f>
        <v/>
      </c>
      <c r="O640">
        <f>הגדרות!C9</f>
        <v/>
      </c>
      <c r="P640">
        <f>הגדרות!D9</f>
        <v/>
      </c>
      <c r="Q640">
        <f>N640*(1+O640/100)+P640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/>
      <c r="I641" t="inlineStr"/>
      <c r="J641" t="inlineStr">
        <is>
          <t>2026-06</t>
        </is>
      </c>
      <c r="K641" t="n">
        <v>4.64</v>
      </c>
      <c r="L641" t="n">
        <v>5.48</v>
      </c>
      <c r="M641">
        <f>הגדרות!B9</f>
        <v/>
      </c>
      <c r="N641">
        <f>K641*(1-M641/100)*1.18</f>
        <v/>
      </c>
      <c r="O641">
        <f>הגדרות!C9</f>
        <v/>
      </c>
      <c r="P641">
        <f>הגדרות!D9</f>
        <v/>
      </c>
      <c r="Q641">
        <f>N641*(1+O641/100)+P641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/>
      <c r="I642" t="inlineStr"/>
      <c r="J642" t="inlineStr">
        <is>
          <t>2026-06</t>
        </is>
      </c>
      <c r="K642" t="n">
        <v>4.64</v>
      </c>
      <c r="L642" t="n">
        <v>5.48</v>
      </c>
      <c r="M642">
        <f>הגדרות!B9</f>
        <v/>
      </c>
      <c r="N642">
        <f>K642*(1-M642/100)*1.18</f>
        <v/>
      </c>
      <c r="O642">
        <f>הגדרות!C9</f>
        <v/>
      </c>
      <c r="P642">
        <f>הגדרות!D9</f>
        <v/>
      </c>
      <c r="Q642">
        <f>N642*(1+O642/100)+P642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/>
      <c r="I643" t="inlineStr"/>
      <c r="J643" t="inlineStr">
        <is>
          <t>2026-06</t>
        </is>
      </c>
      <c r="K643" t="n">
        <v>4.64</v>
      </c>
      <c r="L643" t="n">
        <v>5.48</v>
      </c>
      <c r="M643">
        <f>הגדרות!B9</f>
        <v/>
      </c>
      <c r="N643">
        <f>K643*(1-M643/100)*1.18</f>
        <v/>
      </c>
      <c r="O643">
        <f>הגדרות!C9</f>
        <v/>
      </c>
      <c r="P643">
        <f>הגדרות!D9</f>
        <v/>
      </c>
      <c r="Q643">
        <f>N643*(1+O643/100)+P643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רגיל</t>
        </is>
      </c>
      <c r="F644" t="inlineStr">
        <is>
          <t>יבש</t>
        </is>
      </c>
      <c r="G644" t="inlineStr"/>
      <c r="H644" t="inlineStr"/>
      <c r="I644" t="inlineStr"/>
      <c r="J644" t="inlineStr">
        <is>
          <t>2026-06</t>
        </is>
      </c>
      <c r="K644" t="n">
        <v>4.64</v>
      </c>
      <c r="L644" t="n">
        <v>5.48</v>
      </c>
      <c r="M644">
        <f>הגדרות!B9</f>
        <v/>
      </c>
      <c r="N644">
        <f>K644*(1-M644/100)*1.18</f>
        <v/>
      </c>
      <c r="O644">
        <f>הגדרות!C9</f>
        <v/>
      </c>
      <c r="P644">
        <f>הגדרות!D9</f>
        <v/>
      </c>
      <c r="Q644">
        <f>N644*(1+O644/100)+P644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/>
      <c r="I645" t="inlineStr"/>
      <c r="J645" t="inlineStr">
        <is>
          <t>2026-06</t>
        </is>
      </c>
      <c r="K645" t="n">
        <v>4.64</v>
      </c>
      <c r="L645" t="n">
        <v>5.48</v>
      </c>
      <c r="M645">
        <f>הגדרות!B9</f>
        <v/>
      </c>
      <c r="N645">
        <f>K645*(1-M645/100)*1.18</f>
        <v/>
      </c>
      <c r="O645">
        <f>הגדרות!C9</f>
        <v/>
      </c>
      <c r="P645">
        <f>הגדרות!D9</f>
        <v/>
      </c>
      <c r="Q645">
        <f>N645*(1+O645/100)+P645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רגיל</t>
        </is>
      </c>
      <c r="F646" t="inlineStr">
        <is>
          <t>רטוב</t>
        </is>
      </c>
      <c r="G646" t="inlineStr"/>
      <c r="H646" t="inlineStr"/>
      <c r="I646" t="inlineStr"/>
      <c r="J646" t="inlineStr">
        <is>
          <t>2026-06</t>
        </is>
      </c>
      <c r="K646" t="n">
        <v>4.64</v>
      </c>
      <c r="L646" t="n">
        <v>5.48</v>
      </c>
      <c r="M646">
        <f>הגדרות!B9</f>
        <v/>
      </c>
      <c r="N646">
        <f>K646*(1-M646/100)*1.18</f>
        <v/>
      </c>
      <c r="O646">
        <f>הגדרות!C9</f>
        <v/>
      </c>
      <c r="P646">
        <f>הגדרות!D9</f>
        <v/>
      </c>
      <c r="Q646">
        <f>N646*(1+O646/100)+P646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רגיל</t>
        </is>
      </c>
      <c r="F647" t="inlineStr">
        <is>
          <t>רטוב</t>
        </is>
      </c>
      <c r="G647" t="inlineStr"/>
      <c r="H647" t="inlineStr"/>
      <c r="I647" t="inlineStr"/>
      <c r="J647" t="inlineStr">
        <is>
          <t>2026-06</t>
        </is>
      </c>
      <c r="K647" t="n">
        <v>4.64</v>
      </c>
      <c r="L647" t="n">
        <v>5.48</v>
      </c>
      <c r="M647">
        <f>הגדרות!B9</f>
        <v/>
      </c>
      <c r="N647">
        <f>K647*(1-M647/100)*1.18</f>
        <v/>
      </c>
      <c r="O647">
        <f>הגדרות!C9</f>
        <v/>
      </c>
      <c r="P647">
        <f>הגדרות!D9</f>
        <v/>
      </c>
      <c r="Q647">
        <f>N647*(1+O647/100)+P647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רגיל</t>
        </is>
      </c>
      <c r="F648" t="inlineStr">
        <is>
          <t>רטוב</t>
        </is>
      </c>
      <c r="G648" t="inlineStr"/>
      <c r="H648" t="inlineStr"/>
      <c r="I648" t="inlineStr"/>
      <c r="J648" t="inlineStr">
        <is>
          <t>2026-06</t>
        </is>
      </c>
      <c r="K648" t="n">
        <v>4.64</v>
      </c>
      <c r="L648" t="n">
        <v>5.48</v>
      </c>
      <c r="M648">
        <f>הגדרות!B9</f>
        <v/>
      </c>
      <c r="N648">
        <f>K648*(1-M648/100)*1.18</f>
        <v/>
      </c>
      <c r="O648">
        <f>הגדרות!C9</f>
        <v/>
      </c>
      <c r="P648">
        <f>הגדרות!D9</f>
        <v/>
      </c>
      <c r="Q648">
        <f>N648*(1+O648/100)+P648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רגיל</t>
        </is>
      </c>
      <c r="F649" t="inlineStr">
        <is>
          <t>רטוב</t>
        </is>
      </c>
      <c r="G649" t="inlineStr"/>
      <c r="H649" t="inlineStr"/>
      <c r="I649" t="inlineStr"/>
      <c r="J649" t="inlineStr">
        <is>
          <t>2026-06</t>
        </is>
      </c>
      <c r="K649" t="n">
        <v>4.64</v>
      </c>
      <c r="L649" t="n">
        <v>5.48</v>
      </c>
      <c r="M649">
        <f>הגדרות!B9</f>
        <v/>
      </c>
      <c r="N649">
        <f>K649*(1-M649/100)*1.18</f>
        <v/>
      </c>
      <c r="O649">
        <f>הגדרות!C9</f>
        <v/>
      </c>
      <c r="P649">
        <f>הגדרות!D9</f>
        <v/>
      </c>
      <c r="Q649">
        <f>N649*(1+O649/100)+P649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רגיל</t>
        </is>
      </c>
      <c r="F650" t="inlineStr">
        <is>
          <t>רטוב</t>
        </is>
      </c>
      <c r="G650" t="inlineStr"/>
      <c r="H650" t="inlineStr"/>
      <c r="I650" t="inlineStr"/>
      <c r="J650" t="inlineStr">
        <is>
          <t>2026-06</t>
        </is>
      </c>
      <c r="K650" t="n">
        <v>4.64</v>
      </c>
      <c r="L650" t="n">
        <v>5.48</v>
      </c>
      <c r="M650">
        <f>הגדרות!B9</f>
        <v/>
      </c>
      <c r="N650">
        <f>K650*(1-M650/100)*1.18</f>
        <v/>
      </c>
      <c r="O650">
        <f>הגדרות!C9</f>
        <v/>
      </c>
      <c r="P650">
        <f>הגדרות!D9</f>
        <v/>
      </c>
      <c r="Q650">
        <f>N650*(1+O650/100)+P650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רגיל</t>
        </is>
      </c>
      <c r="F651" t="inlineStr">
        <is>
          <t>רטוב</t>
        </is>
      </c>
      <c r="G651" t="inlineStr"/>
      <c r="H651" t="inlineStr"/>
      <c r="I651" t="inlineStr"/>
      <c r="J651" t="inlineStr">
        <is>
          <t>2026-06</t>
        </is>
      </c>
      <c r="K651" t="n">
        <v>4.64</v>
      </c>
      <c r="L651" t="n">
        <v>5.48</v>
      </c>
      <c r="M651">
        <f>הגדרות!B9</f>
        <v/>
      </c>
      <c r="N651">
        <f>K651*(1-M651/100)*1.18</f>
        <v/>
      </c>
      <c r="O651">
        <f>הגדרות!C9</f>
        <v/>
      </c>
      <c r="P651">
        <f>הגדרות!D9</f>
        <v/>
      </c>
      <c r="Q651">
        <f>N651*(1+O651/100)+P651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רגיל</t>
        </is>
      </c>
      <c r="F652" t="inlineStr">
        <is>
          <t>רטוב</t>
        </is>
      </c>
      <c r="G652" t="inlineStr"/>
      <c r="H652" t="inlineStr"/>
      <c r="I652" t="inlineStr"/>
      <c r="J652" t="inlineStr">
        <is>
          <t>2026-06</t>
        </is>
      </c>
      <c r="K652" t="n">
        <v>3.11</v>
      </c>
      <c r="L652" t="n">
        <v>3.67</v>
      </c>
      <c r="M652">
        <f>הגדרות!B9</f>
        <v/>
      </c>
      <c r="N652">
        <f>K652*(1-M652/100)*1.18</f>
        <v/>
      </c>
      <c r="O652">
        <f>הגדרות!C9</f>
        <v/>
      </c>
      <c r="P652">
        <f>הגדרות!D9</f>
        <v/>
      </c>
      <c r="Q652">
        <f>N652*(1+O652/100)+P652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רגיל</t>
        </is>
      </c>
      <c r="F653" t="inlineStr">
        <is>
          <t>רטוב</t>
        </is>
      </c>
      <c r="G653" t="inlineStr"/>
      <c r="H653" t="inlineStr"/>
      <c r="I653" t="inlineStr"/>
      <c r="J653" t="inlineStr">
        <is>
          <t>2026-06</t>
        </is>
      </c>
      <c r="K653" t="n">
        <v>3.11</v>
      </c>
      <c r="L653" t="n">
        <v>3.67</v>
      </c>
      <c r="M653">
        <f>הגדרות!B9</f>
        <v/>
      </c>
      <c r="N653">
        <f>K653*(1-M653/100)*1.18</f>
        <v/>
      </c>
      <c r="O653">
        <f>הגדרות!C9</f>
        <v/>
      </c>
      <c r="P653">
        <f>הגדרות!D9</f>
        <v/>
      </c>
      <c r="Q653">
        <f>N653*(1+O653/100)+P653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/>
      <c r="I654" t="inlineStr"/>
      <c r="J654" t="inlineStr">
        <is>
          <t>2026-06</t>
        </is>
      </c>
      <c r="K654" t="n">
        <v>3.11</v>
      </c>
      <c r="L654" t="n">
        <v>3.67</v>
      </c>
      <c r="M654">
        <f>הגדרות!B9</f>
        <v/>
      </c>
      <c r="N654">
        <f>K654*(1-M654/100)*1.18</f>
        <v/>
      </c>
      <c r="O654">
        <f>הגדרות!C9</f>
        <v/>
      </c>
      <c r="P654">
        <f>הגדרות!D9</f>
        <v/>
      </c>
      <c r="Q654">
        <f>N654*(1+O654/100)+P654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/>
      <c r="I655" t="inlineStr"/>
      <c r="J655" t="inlineStr">
        <is>
          <t>2026-06</t>
        </is>
      </c>
      <c r="K655" t="n">
        <v>3.11</v>
      </c>
      <c r="L655" t="n">
        <v>3.67</v>
      </c>
      <c r="M655">
        <f>הגדרות!B9</f>
        <v/>
      </c>
      <c r="N655">
        <f>K655*(1-M655/100)*1.18</f>
        <v/>
      </c>
      <c r="O655">
        <f>הגדרות!C9</f>
        <v/>
      </c>
      <c r="P655">
        <f>הגדרות!D9</f>
        <v/>
      </c>
      <c r="Q655">
        <f>N655*(1+O655/100)+P655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רגיל</t>
        </is>
      </c>
      <c r="F656" t="inlineStr">
        <is>
          <t>רטוב</t>
        </is>
      </c>
      <c r="G656" t="inlineStr"/>
      <c r="H656" t="inlineStr"/>
      <c r="I656" t="inlineStr"/>
      <c r="J656" t="inlineStr">
        <is>
          <t>2026-06</t>
        </is>
      </c>
      <c r="K656" t="n">
        <v>3.11</v>
      </c>
      <c r="L656" t="n">
        <v>3.67</v>
      </c>
      <c r="M656">
        <f>הגדרות!B9</f>
        <v/>
      </c>
      <c r="N656">
        <f>K656*(1-M656/100)*1.18</f>
        <v/>
      </c>
      <c r="O656">
        <f>הגדרות!C9</f>
        <v/>
      </c>
      <c r="P656">
        <f>הגדרות!D9</f>
        <v/>
      </c>
      <c r="Q656">
        <f>N656*(1+O656/100)+P656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/>
      <c r="I657" t="inlineStr"/>
      <c r="J657" t="inlineStr">
        <is>
          <t>2026-06</t>
        </is>
      </c>
      <c r="K657" t="n">
        <v>4.28</v>
      </c>
      <c r="L657" t="n">
        <v>5.05</v>
      </c>
      <c r="M657">
        <f>הגדרות!B9</f>
        <v/>
      </c>
      <c r="N657">
        <f>K657*(1-M657/100)*1.18</f>
        <v/>
      </c>
      <c r="O657">
        <f>הגדרות!C9</f>
        <v/>
      </c>
      <c r="P657">
        <f>הגדרות!D9</f>
        <v/>
      </c>
      <c r="Q657">
        <f>N657*(1+O657/100)+P657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רגיל</t>
        </is>
      </c>
      <c r="F658" t="inlineStr">
        <is>
          <t>רטוב</t>
        </is>
      </c>
      <c r="G658" t="inlineStr"/>
      <c r="H658" t="inlineStr"/>
      <c r="I658" t="inlineStr"/>
      <c r="J658" t="inlineStr">
        <is>
          <t>2026-06</t>
        </is>
      </c>
      <c r="K658" t="n">
        <v>4.28</v>
      </c>
      <c r="L658" t="n">
        <v>5.05</v>
      </c>
      <c r="M658">
        <f>הגדרות!B9</f>
        <v/>
      </c>
      <c r="N658">
        <f>K658*(1-M658/100)*1.18</f>
        <v/>
      </c>
      <c r="O658">
        <f>הגדרות!C9</f>
        <v/>
      </c>
      <c r="P658">
        <f>הגדרות!D9</f>
        <v/>
      </c>
      <c r="Q658">
        <f>N658*(1+O658/100)+P658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רגיל</t>
        </is>
      </c>
      <c r="F659" t="inlineStr">
        <is>
          <t>רטוב</t>
        </is>
      </c>
      <c r="G659" t="inlineStr"/>
      <c r="H659" t="inlineStr"/>
      <c r="I659" t="inlineStr"/>
      <c r="J659" t="inlineStr">
        <is>
          <t>2026-06</t>
        </is>
      </c>
      <c r="K659" t="n">
        <v>4.28</v>
      </c>
      <c r="L659" t="n">
        <v>5.05</v>
      </c>
      <c r="M659">
        <f>הגדרות!B9</f>
        <v/>
      </c>
      <c r="N659">
        <f>K659*(1-M659/100)*1.18</f>
        <v/>
      </c>
      <c r="O659">
        <f>הגדרות!C9</f>
        <v/>
      </c>
      <c r="P659">
        <f>הגדרות!D9</f>
        <v/>
      </c>
      <c r="Q659">
        <f>N659*(1+O659/100)+P659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/>
      <c r="I660" t="inlineStr"/>
      <c r="J660" t="inlineStr">
        <is>
          <t>2026-06</t>
        </is>
      </c>
      <c r="K660" t="n">
        <v>4.28</v>
      </c>
      <c r="L660" t="n">
        <v>5.05</v>
      </c>
      <c r="M660">
        <f>הגדרות!B9</f>
        <v/>
      </c>
      <c r="N660">
        <f>K660*(1-M660/100)*1.18</f>
        <v/>
      </c>
      <c r="O660">
        <f>הגדרות!C9</f>
        <v/>
      </c>
      <c r="P660">
        <f>הגדרות!D9</f>
        <v/>
      </c>
      <c r="Q660">
        <f>N660*(1+O660/100)+P660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רגיל</t>
        </is>
      </c>
      <c r="F661" t="inlineStr">
        <is>
          <t>יבש</t>
        </is>
      </c>
      <c r="G661" t="inlineStr"/>
      <c r="H661" t="inlineStr"/>
      <c r="I661" t="inlineStr"/>
      <c r="J661" t="inlineStr">
        <is>
          <t>2026-06</t>
        </is>
      </c>
      <c r="K661" t="n">
        <v>4.28</v>
      </c>
      <c r="L661" t="n">
        <v>5.05</v>
      </c>
      <c r="M661">
        <f>הגדרות!B9</f>
        <v/>
      </c>
      <c r="N661">
        <f>K661*(1-M661/100)*1.18</f>
        <v/>
      </c>
      <c r="O661">
        <f>הגדרות!C9</f>
        <v/>
      </c>
      <c r="P661">
        <f>הגדרות!D9</f>
        <v/>
      </c>
      <c r="Q661">
        <f>N661*(1+O661/100)+P661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/>
      <c r="I662" t="inlineStr"/>
      <c r="J662" t="inlineStr">
        <is>
          <t>2026-06</t>
        </is>
      </c>
      <c r="K662" t="n">
        <v>4.28</v>
      </c>
      <c r="L662" t="n">
        <v>5.05</v>
      </c>
      <c r="M662">
        <f>הגדרות!B9</f>
        <v/>
      </c>
      <c r="N662">
        <f>K662*(1-M662/100)*1.18</f>
        <v/>
      </c>
      <c r="O662">
        <f>הגדרות!C9</f>
        <v/>
      </c>
      <c r="P662">
        <f>הגדרות!D9</f>
        <v/>
      </c>
      <c r="Q662">
        <f>N662*(1+O662/100)+P662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/>
      <c r="I663" t="inlineStr"/>
      <c r="J663" t="inlineStr">
        <is>
          <t>2026-06</t>
        </is>
      </c>
      <c r="K663" t="n">
        <v>4.28</v>
      </c>
      <c r="L663" t="n">
        <v>5.05</v>
      </c>
      <c r="M663">
        <f>הגדרות!B9</f>
        <v/>
      </c>
      <c r="N663">
        <f>K663*(1-M663/100)*1.18</f>
        <v/>
      </c>
      <c r="O663">
        <f>הגדרות!C9</f>
        <v/>
      </c>
      <c r="P663">
        <f>הגדרות!D9</f>
        <v/>
      </c>
      <c r="Q663">
        <f>N663*(1+O663/100)+P663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רגיל</t>
        </is>
      </c>
      <c r="F664" t="inlineStr">
        <is>
          <t>יבש</t>
        </is>
      </c>
      <c r="G664" t="inlineStr"/>
      <c r="H664" t="inlineStr"/>
      <c r="I664" t="inlineStr"/>
      <c r="J664" t="inlineStr">
        <is>
          <t>2026-06</t>
        </is>
      </c>
      <c r="K664" t="n">
        <v>4.28</v>
      </c>
      <c r="L664" t="n">
        <v>5.05</v>
      </c>
      <c r="M664">
        <f>הגדרות!B9</f>
        <v/>
      </c>
      <c r="N664">
        <f>K664*(1-M664/100)*1.18</f>
        <v/>
      </c>
      <c r="O664">
        <f>הגדרות!C9</f>
        <v/>
      </c>
      <c r="P664">
        <f>הגדרות!D9</f>
        <v/>
      </c>
      <c r="Q664">
        <f>N664*(1+O664/100)+P664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רגיל</t>
        </is>
      </c>
      <c r="F665" t="inlineStr">
        <is>
          <t>רטוב</t>
        </is>
      </c>
      <c r="G665" t="inlineStr"/>
      <c r="H665" t="inlineStr"/>
      <c r="I665" t="inlineStr"/>
      <c r="J665" t="inlineStr">
        <is>
          <t>2026-06</t>
        </is>
      </c>
      <c r="K665" t="n">
        <v>4.28</v>
      </c>
      <c r="L665" t="n">
        <v>5.05</v>
      </c>
      <c r="M665">
        <f>הגדרות!B9</f>
        <v/>
      </c>
      <c r="N665">
        <f>K665*(1-M665/100)*1.18</f>
        <v/>
      </c>
      <c r="O665">
        <f>הגדרות!C9</f>
        <v/>
      </c>
      <c r="P665">
        <f>הגדרות!D9</f>
        <v/>
      </c>
      <c r="Q665">
        <f>N665*(1+O665/100)+P665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/>
      <c r="I666" t="inlineStr"/>
      <c r="J666" t="inlineStr">
        <is>
          <t>2026-06</t>
        </is>
      </c>
      <c r="K666" t="n">
        <v>4.28</v>
      </c>
      <c r="L666" t="n">
        <v>5.05</v>
      </c>
      <c r="M666">
        <f>הגדרות!B9</f>
        <v/>
      </c>
      <c r="N666">
        <f>K666*(1-M666/100)*1.18</f>
        <v/>
      </c>
      <c r="O666">
        <f>הגדרות!C9</f>
        <v/>
      </c>
      <c r="P666">
        <f>הגדרות!D9</f>
        <v/>
      </c>
      <c r="Q666">
        <f>N666*(1+O666/100)+P666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/>
      <c r="I667" t="inlineStr"/>
      <c r="J667" t="inlineStr">
        <is>
          <t>2026-06</t>
        </is>
      </c>
      <c r="K667" t="n">
        <v>4.28</v>
      </c>
      <c r="L667" t="n">
        <v>5.05</v>
      </c>
      <c r="M667">
        <f>הגדרות!B9</f>
        <v/>
      </c>
      <c r="N667">
        <f>K667*(1-M667/100)*1.18</f>
        <v/>
      </c>
      <c r="O667">
        <f>הגדרות!C9</f>
        <v/>
      </c>
      <c r="P667">
        <f>הגדרות!D9</f>
        <v/>
      </c>
      <c r="Q667">
        <f>N667*(1+O667/100)+P667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גורים</t>
        </is>
      </c>
      <c r="H668" t="inlineStr"/>
      <c r="I668" t="inlineStr"/>
      <c r="J668" t="inlineStr">
        <is>
          <t>2026-06</t>
        </is>
      </c>
      <c r="K668" t="n">
        <v>4.28</v>
      </c>
      <c r="L668" t="n">
        <v>5.05</v>
      </c>
      <c r="M668">
        <f>הגדרות!B9</f>
        <v/>
      </c>
      <c r="N668">
        <f>K668*(1-M668/100)*1.18</f>
        <v/>
      </c>
      <c r="O668">
        <f>הגדרות!C9</f>
        <v/>
      </c>
      <c r="P668">
        <f>הגדרות!D9</f>
        <v/>
      </c>
      <c r="Q668">
        <f>N668*(1+O668/100)+P668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רגיל</t>
        </is>
      </c>
      <c r="F669" t="inlineStr">
        <is>
          <t>יבש</t>
        </is>
      </c>
      <c r="G669" t="inlineStr"/>
      <c r="H669" t="inlineStr"/>
      <c r="I669" t="inlineStr"/>
      <c r="J669" t="inlineStr">
        <is>
          <t>2026-06</t>
        </is>
      </c>
      <c r="K669" t="n">
        <v>4.28</v>
      </c>
      <c r="L669" t="n">
        <v>5.05</v>
      </c>
      <c r="M669">
        <f>הגדרות!B9</f>
        <v/>
      </c>
      <c r="N669">
        <f>K669*(1-M669/100)*1.18</f>
        <v/>
      </c>
      <c r="O669">
        <f>הגדרות!C9</f>
        <v/>
      </c>
      <c r="P669">
        <f>הגדרות!D9</f>
        <v/>
      </c>
      <c r="Q669">
        <f>N669*(1+O669/100)+P669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רגיל</t>
        </is>
      </c>
      <c r="F670" t="inlineStr">
        <is>
          <t>רטוב</t>
        </is>
      </c>
      <c r="G670" t="inlineStr"/>
      <c r="H670" t="inlineStr"/>
      <c r="I670" t="inlineStr"/>
      <c r="J670" t="inlineStr">
        <is>
          <t>2026-06</t>
        </is>
      </c>
      <c r="K670" t="n">
        <v>4.28</v>
      </c>
      <c r="L670" t="n">
        <v>5.05</v>
      </c>
      <c r="M670">
        <f>הגדרות!B9</f>
        <v/>
      </c>
      <c r="N670">
        <f>K670*(1-M670/100)*1.18</f>
        <v/>
      </c>
      <c r="O670">
        <f>הגדרות!C9</f>
        <v/>
      </c>
      <c r="P670">
        <f>הגדרות!D9</f>
        <v/>
      </c>
      <c r="Q670">
        <f>N670*(1+O670/100)+P670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/>
      <c r="I671" t="inlineStr"/>
      <c r="J671" t="inlineStr">
        <is>
          <t>2026-06</t>
        </is>
      </c>
      <c r="K671" t="n">
        <v>4.28</v>
      </c>
      <c r="L671" t="n">
        <v>5.05</v>
      </c>
      <c r="M671">
        <f>הגדרות!B9</f>
        <v/>
      </c>
      <c r="N671">
        <f>K671*(1-M671/100)*1.18</f>
        <v/>
      </c>
      <c r="O671">
        <f>הגדרות!C9</f>
        <v/>
      </c>
      <c r="P671">
        <f>הגדרות!D9</f>
        <v/>
      </c>
      <c r="Q671">
        <f>N671*(1+O671/100)+P671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רגיל</t>
        </is>
      </c>
      <c r="F672" t="inlineStr">
        <is>
          <t>רטוב</t>
        </is>
      </c>
      <c r="G672" t="inlineStr"/>
      <c r="H672" t="inlineStr"/>
      <c r="I672" t="inlineStr"/>
      <c r="J672" t="inlineStr">
        <is>
          <t>2026-06</t>
        </is>
      </c>
      <c r="K672" t="n">
        <v>4.28</v>
      </c>
      <c r="L672" t="n">
        <v>5.05</v>
      </c>
      <c r="M672">
        <f>הגדרות!B9</f>
        <v/>
      </c>
      <c r="N672">
        <f>K672*(1-M672/100)*1.18</f>
        <v/>
      </c>
      <c r="O672">
        <f>הגדרות!C9</f>
        <v/>
      </c>
      <c r="P672">
        <f>הגדרות!D9</f>
        <v/>
      </c>
      <c r="Q672">
        <f>N672*(1+O672/100)+P672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/>
      <c r="I673" t="inlineStr"/>
      <c r="J673" t="inlineStr">
        <is>
          <t>2026-06</t>
        </is>
      </c>
      <c r="K673" t="n">
        <v>4.28</v>
      </c>
      <c r="L673" t="n">
        <v>5.05</v>
      </c>
      <c r="M673">
        <f>הגדרות!B9</f>
        <v/>
      </c>
      <c r="N673">
        <f>K673*(1-M673/100)*1.18</f>
        <v/>
      </c>
      <c r="O673">
        <f>הגדרות!C9</f>
        <v/>
      </c>
      <c r="P673">
        <f>הגדרות!D9</f>
        <v/>
      </c>
      <c r="Q673">
        <f>N673*(1+O673/100)+P673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חתול</t>
        </is>
      </c>
      <c r="I674" t="inlineStr"/>
      <c r="J674" t="inlineStr">
        <is>
          <t>2026-06</t>
        </is>
      </c>
      <c r="K674" t="n">
        <v>4.28</v>
      </c>
      <c r="L674" t="n">
        <v>5.05</v>
      </c>
      <c r="M674">
        <f>הגדרות!B9</f>
        <v/>
      </c>
      <c r="N674">
        <f>K674*(1-M674/100)*1.18</f>
        <v/>
      </c>
      <c r="O674">
        <f>הגדרות!C9</f>
        <v/>
      </c>
      <c r="P674">
        <f>הגדרות!D9</f>
        <v/>
      </c>
      <c r="Q674">
        <f>N674*(1+O674/100)+P674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רגיל</t>
        </is>
      </c>
      <c r="F675" t="inlineStr">
        <is>
          <t>יבש</t>
        </is>
      </c>
      <c r="G675" t="inlineStr">
        <is>
          <t>גורים</t>
        </is>
      </c>
      <c r="H675" t="inlineStr"/>
      <c r="I675" t="inlineStr"/>
      <c r="J675" t="inlineStr">
        <is>
          <t>2026-06</t>
        </is>
      </c>
      <c r="K675" t="n">
        <v>4.28</v>
      </c>
      <c r="L675" t="n">
        <v>5.05</v>
      </c>
      <c r="M675">
        <f>הגדרות!B9</f>
        <v/>
      </c>
      <c r="N675">
        <f>K675*(1-M675/100)*1.18</f>
        <v/>
      </c>
      <c r="O675">
        <f>הגדרות!C9</f>
        <v/>
      </c>
      <c r="P675">
        <f>הגדרות!D9</f>
        <v/>
      </c>
      <c r="Q675">
        <f>N675*(1+O675/100)+P675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חתול</t>
        </is>
      </c>
      <c r="I676" t="inlineStr"/>
      <c r="J676" t="inlineStr">
        <is>
          <t>2026-06</t>
        </is>
      </c>
      <c r="K676" t="n">
        <v>4.28</v>
      </c>
      <c r="L676" t="n">
        <v>5.05</v>
      </c>
      <c r="M676">
        <f>הגדרות!B9</f>
        <v/>
      </c>
      <c r="N676">
        <f>K676*(1-M676/100)*1.18</f>
        <v/>
      </c>
      <c r="O676">
        <f>הגדרות!C9</f>
        <v/>
      </c>
      <c r="P676">
        <f>הגדרות!D9</f>
        <v/>
      </c>
      <c r="Q676">
        <f>N676*(1+O676/100)+P676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/>
      <c r="I677" t="inlineStr"/>
      <c r="J677" t="inlineStr">
        <is>
          <t>2026-06</t>
        </is>
      </c>
      <c r="K677" t="n">
        <v>46.22</v>
      </c>
      <c r="L677" t="n">
        <v>54.54</v>
      </c>
      <c r="M677">
        <f>הגדרות!B9</f>
        <v/>
      </c>
      <c r="N677">
        <f>K677*(1-M677/100)*1.18</f>
        <v/>
      </c>
      <c r="O677">
        <f>הגדרות!C9</f>
        <v/>
      </c>
      <c r="P677">
        <f>הגדרות!D9</f>
        <v/>
      </c>
      <c r="Q677">
        <f>N677*(1+O677/100)+P677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רגיל</t>
        </is>
      </c>
      <c r="F678" t="inlineStr">
        <is>
          <t>רטוב</t>
        </is>
      </c>
      <c r="G678" t="inlineStr"/>
      <c r="H678" t="inlineStr"/>
      <c r="I678" t="inlineStr"/>
      <c r="J678" t="inlineStr">
        <is>
          <t>2026-06</t>
        </is>
      </c>
      <c r="K678" t="n">
        <v>4.28</v>
      </c>
      <c r="L678" t="n">
        <v>5.05</v>
      </c>
      <c r="M678">
        <f>הגדרות!B9</f>
        <v/>
      </c>
      <c r="N678">
        <f>K678*(1-M678/100)*1.18</f>
        <v/>
      </c>
      <c r="O678">
        <f>הגדרות!C9</f>
        <v/>
      </c>
      <c r="P678">
        <f>הגדרות!D9</f>
        <v/>
      </c>
      <c r="Q678">
        <f>N678*(1+O678/100)+P678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רגיל</t>
        </is>
      </c>
      <c r="F679" t="inlineStr">
        <is>
          <t>רטוב</t>
        </is>
      </c>
      <c r="G679" t="inlineStr"/>
      <c r="H679" t="inlineStr"/>
      <c r="I679" t="inlineStr"/>
      <c r="J679" t="inlineStr">
        <is>
          <t>2026-06</t>
        </is>
      </c>
      <c r="K679" t="n">
        <v>4.28</v>
      </c>
      <c r="L679" t="n">
        <v>5.05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רגיל</t>
        </is>
      </c>
      <c r="F680" t="inlineStr">
        <is>
          <t>יבש</t>
        </is>
      </c>
      <c r="G680" t="inlineStr">
        <is>
          <t>גורים</t>
        </is>
      </c>
      <c r="H680" t="inlineStr"/>
      <c r="I680" t="inlineStr"/>
      <c r="J680" t="inlineStr">
        <is>
          <t>2026-06</t>
        </is>
      </c>
      <c r="K680" t="n">
        <v>4.39</v>
      </c>
      <c r="L680" t="n">
        <v>5.18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רגיל</t>
        </is>
      </c>
      <c r="F681" t="inlineStr">
        <is>
          <t>יבש</t>
        </is>
      </c>
      <c r="G681" t="inlineStr">
        <is>
          <t>גורים</t>
        </is>
      </c>
      <c r="H681" t="inlineStr"/>
      <c r="I681" t="inlineStr"/>
      <c r="J681" t="inlineStr">
        <is>
          <t>2026-06</t>
        </is>
      </c>
      <c r="K681" t="n">
        <v>4.39</v>
      </c>
      <c r="L681" t="n">
        <v>5.18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רגיל</t>
        </is>
      </c>
      <c r="F682" t="inlineStr">
        <is>
          <t>יבש</t>
        </is>
      </c>
      <c r="G682" t="inlineStr">
        <is>
          <t>גורים</t>
        </is>
      </c>
      <c r="H682" t="inlineStr"/>
      <c r="I682" t="inlineStr"/>
      <c r="J682" t="inlineStr">
        <is>
          <t>2026-06</t>
        </is>
      </c>
      <c r="K682" t="n">
        <v>4.39</v>
      </c>
      <c r="L682" t="n">
        <v>5.18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רגיל</t>
        </is>
      </c>
      <c r="F683" t="inlineStr">
        <is>
          <t>יבש</t>
        </is>
      </c>
      <c r="G683" t="inlineStr">
        <is>
          <t>גורים</t>
        </is>
      </c>
      <c r="H683" t="inlineStr"/>
      <c r="I683" t="inlineStr"/>
      <c r="J683" t="inlineStr">
        <is>
          <t>2026-06</t>
        </is>
      </c>
      <c r="K683" t="n">
        <v>4.39</v>
      </c>
      <c r="L683" t="n">
        <v>5.18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רגיל</t>
        </is>
      </c>
      <c r="F684" t="inlineStr">
        <is>
          <t>יבש</t>
        </is>
      </c>
      <c r="G684" t="inlineStr">
        <is>
          <t>גורים</t>
        </is>
      </c>
      <c r="H684" t="inlineStr"/>
      <c r="I684" t="inlineStr"/>
      <c r="J684" t="inlineStr">
        <is>
          <t>2026-06</t>
        </is>
      </c>
      <c r="K684" t="n">
        <v>4.39</v>
      </c>
      <c r="L684" t="n">
        <v>5.18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רגיל</t>
        </is>
      </c>
      <c r="F685" t="inlineStr">
        <is>
          <t>רטוב</t>
        </is>
      </c>
      <c r="G685" t="inlineStr">
        <is>
          <t>גורים</t>
        </is>
      </c>
      <c r="H685" t="inlineStr"/>
      <c r="I685" t="inlineStr"/>
      <c r="J685" t="inlineStr">
        <is>
          <t>2026-06</t>
        </is>
      </c>
      <c r="K685" t="n">
        <v>4.39</v>
      </c>
      <c r="L685" t="n">
        <v>5.18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רגיל</t>
        </is>
      </c>
      <c r="F686" t="inlineStr">
        <is>
          <t>רטוב</t>
        </is>
      </c>
      <c r="G686" t="inlineStr">
        <is>
          <t>גורים</t>
        </is>
      </c>
      <c r="H686" t="inlineStr"/>
      <c r="I686" t="inlineStr"/>
      <c r="J686" t="inlineStr">
        <is>
          <t>2026-06</t>
        </is>
      </c>
      <c r="K686" t="n">
        <v>4.39</v>
      </c>
      <c r="L686" t="n">
        <v>5.18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רגיל</t>
        </is>
      </c>
      <c r="F687" t="inlineStr">
        <is>
          <t>רטוב</t>
        </is>
      </c>
      <c r="G687" t="inlineStr">
        <is>
          <t>גורים</t>
        </is>
      </c>
      <c r="H687" t="inlineStr"/>
      <c r="I687" t="inlineStr"/>
      <c r="J687" t="inlineStr">
        <is>
          <t>2026-06</t>
        </is>
      </c>
      <c r="K687" t="n">
        <v>4.39</v>
      </c>
      <c r="L687" t="n">
        <v>5.18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רגיל</t>
        </is>
      </c>
      <c r="F688" t="inlineStr">
        <is>
          <t>יבש</t>
        </is>
      </c>
      <c r="G688" t="inlineStr">
        <is>
          <t>גורים</t>
        </is>
      </c>
      <c r="H688" t="inlineStr"/>
      <c r="I688" t="inlineStr"/>
      <c r="J688" t="inlineStr">
        <is>
          <t>2026-06</t>
        </is>
      </c>
      <c r="K688" t="n">
        <v>4.39</v>
      </c>
      <c r="L688" t="n">
        <v>5.18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רגיל</t>
        </is>
      </c>
      <c r="F689" t="inlineStr">
        <is>
          <t>יבש</t>
        </is>
      </c>
      <c r="G689" t="inlineStr">
        <is>
          <t>גורים</t>
        </is>
      </c>
      <c r="H689" t="inlineStr"/>
      <c r="I689" t="inlineStr"/>
      <c r="J689" t="inlineStr">
        <is>
          <t>2026-06</t>
        </is>
      </c>
      <c r="K689" t="n">
        <v>31.61</v>
      </c>
      <c r="L689" t="n">
        <v>37.3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רגיל</t>
        </is>
      </c>
      <c r="F690" t="inlineStr">
        <is>
          <t>רטוב</t>
        </is>
      </c>
      <c r="G690" t="inlineStr">
        <is>
          <t>גורים</t>
        </is>
      </c>
      <c r="H690" t="inlineStr"/>
      <c r="I690" t="inlineStr"/>
      <c r="J690" t="inlineStr">
        <is>
          <t>2026-06</t>
        </is>
      </c>
      <c r="K690" t="n">
        <v>4.39</v>
      </c>
      <c r="L690" t="n">
        <v>5.18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רגיל</t>
        </is>
      </c>
      <c r="F691" t="inlineStr">
        <is>
          <t>יבש</t>
        </is>
      </c>
      <c r="G691" t="inlineStr">
        <is>
          <t>גורים</t>
        </is>
      </c>
      <c r="H691" t="inlineStr">
        <is>
          <t>חתול</t>
        </is>
      </c>
      <c r="I691" t="inlineStr"/>
      <c r="J691" t="inlineStr">
        <is>
          <t>2026-06</t>
        </is>
      </c>
      <c r="K691" t="n">
        <v>4.39</v>
      </c>
      <c r="L691" t="n">
        <v>5.18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רגיל</t>
        </is>
      </c>
      <c r="F692" t="inlineStr">
        <is>
          <t>יבש</t>
        </is>
      </c>
      <c r="G692" t="inlineStr">
        <is>
          <t>גורים</t>
        </is>
      </c>
      <c r="H692" t="inlineStr"/>
      <c r="I692" t="inlineStr"/>
      <c r="J692" t="inlineStr">
        <is>
          <t>2026-06</t>
        </is>
      </c>
      <c r="K692" t="n">
        <v>4.39</v>
      </c>
      <c r="L692" t="n">
        <v>5.18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רגיל</t>
        </is>
      </c>
      <c r="F693" t="inlineStr">
        <is>
          <t>יבש</t>
        </is>
      </c>
      <c r="G693" t="inlineStr">
        <is>
          <t>גורים</t>
        </is>
      </c>
      <c r="H693" t="inlineStr"/>
      <c r="I693" t="inlineStr"/>
      <c r="J693" t="inlineStr">
        <is>
          <t>2026-06</t>
        </is>
      </c>
      <c r="K693" t="n">
        <v>4.39</v>
      </c>
      <c r="L693" t="n">
        <v>5.18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רגיל</t>
        </is>
      </c>
      <c r="F694" t="inlineStr">
        <is>
          <t>יבש</t>
        </is>
      </c>
      <c r="G694" t="inlineStr">
        <is>
          <t>גורים</t>
        </is>
      </c>
      <c r="H694" t="inlineStr"/>
      <c r="I694" t="inlineStr"/>
      <c r="J694" t="inlineStr">
        <is>
          <t>2026-06</t>
        </is>
      </c>
      <c r="K694" t="n">
        <v>4.39</v>
      </c>
      <c r="L694" t="n">
        <v>5.18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רגיל</t>
        </is>
      </c>
      <c r="F695" t="inlineStr">
        <is>
          <t>יבש</t>
        </is>
      </c>
      <c r="G695" t="inlineStr">
        <is>
          <t>גורים</t>
        </is>
      </c>
      <c r="H695" t="inlineStr"/>
      <c r="I695" t="inlineStr"/>
      <c r="J695" t="inlineStr">
        <is>
          <t>2026-06</t>
        </is>
      </c>
      <c r="K695" t="n">
        <v>4.39</v>
      </c>
      <c r="L695" t="n">
        <v>5.18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רגיל</t>
        </is>
      </c>
      <c r="F696" t="inlineStr">
        <is>
          <t>רטוב</t>
        </is>
      </c>
      <c r="G696" t="inlineStr">
        <is>
          <t>גורים</t>
        </is>
      </c>
      <c r="H696" t="inlineStr"/>
      <c r="I696" t="inlineStr"/>
      <c r="J696" t="inlineStr">
        <is>
          <t>2026-06</t>
        </is>
      </c>
      <c r="K696" t="n">
        <v>4.1</v>
      </c>
      <c r="L696" t="n">
        <v>4.84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רגיל</t>
        </is>
      </c>
      <c r="F697" t="inlineStr">
        <is>
          <t>רטוב</t>
        </is>
      </c>
      <c r="G697" t="inlineStr">
        <is>
          <t>גורים</t>
        </is>
      </c>
      <c r="H697" t="inlineStr"/>
      <c r="I697" t="inlineStr"/>
      <c r="J697" t="inlineStr">
        <is>
          <t>2026-06</t>
        </is>
      </c>
      <c r="K697" t="n">
        <v>4.1</v>
      </c>
      <c r="L697" t="n">
        <v>4.84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רגיל</t>
        </is>
      </c>
      <c r="F698" t="inlineStr">
        <is>
          <t>רטוב</t>
        </is>
      </c>
      <c r="G698" t="inlineStr">
        <is>
          <t>גורים</t>
        </is>
      </c>
      <c r="H698" t="inlineStr"/>
      <c r="I698" t="inlineStr"/>
      <c r="J698" t="inlineStr">
        <is>
          <t>2026-06</t>
        </is>
      </c>
      <c r="K698" t="n">
        <v>4.1</v>
      </c>
      <c r="L698" t="n">
        <v>4.84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רגיל</t>
        </is>
      </c>
      <c r="F699" t="inlineStr">
        <is>
          <t>רטוב</t>
        </is>
      </c>
      <c r="G699" t="inlineStr">
        <is>
          <t>גורים</t>
        </is>
      </c>
      <c r="H699" t="inlineStr"/>
      <c r="I699" t="inlineStr"/>
      <c r="J699" t="inlineStr">
        <is>
          <t>2026-06</t>
        </is>
      </c>
      <c r="K699" t="n">
        <v>4.1</v>
      </c>
      <c r="L699" t="n">
        <v>4.84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רגיל</t>
        </is>
      </c>
      <c r="F700" t="inlineStr">
        <is>
          <t>רטוב</t>
        </is>
      </c>
      <c r="G700" t="inlineStr">
        <is>
          <t>גורים</t>
        </is>
      </c>
      <c r="H700" t="inlineStr"/>
      <c r="I700" t="inlineStr"/>
      <c r="J700" t="inlineStr">
        <is>
          <t>2026-06</t>
        </is>
      </c>
      <c r="K700" t="n">
        <v>4.1</v>
      </c>
      <c r="L700" t="n">
        <v>4.84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רגיל</t>
        </is>
      </c>
      <c r="F701" t="inlineStr">
        <is>
          <t>רטוב</t>
        </is>
      </c>
      <c r="G701" t="inlineStr">
        <is>
          <t>גורים</t>
        </is>
      </c>
      <c r="H701" t="inlineStr"/>
      <c r="I701" t="inlineStr"/>
      <c r="J701" t="inlineStr">
        <is>
          <t>2026-06</t>
        </is>
      </c>
      <c r="K701" t="n">
        <v>4.1</v>
      </c>
      <c r="L701" t="n">
        <v>4.84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רגיל</t>
        </is>
      </c>
      <c r="F702" t="inlineStr">
        <is>
          <t>יבש</t>
        </is>
      </c>
      <c r="G702" t="inlineStr">
        <is>
          <t>גורים</t>
        </is>
      </c>
      <c r="H702" t="inlineStr"/>
      <c r="I702" t="inlineStr"/>
      <c r="J702" t="inlineStr">
        <is>
          <t>2026-06</t>
        </is>
      </c>
      <c r="K702" t="n">
        <v>7.74</v>
      </c>
      <c r="L702" t="n">
        <v>9.130000000000001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רגיל</t>
        </is>
      </c>
      <c r="F703" t="inlineStr">
        <is>
          <t>יבש</t>
        </is>
      </c>
      <c r="G703" t="inlineStr">
        <is>
          <t>גורים</t>
        </is>
      </c>
      <c r="H703" t="inlineStr"/>
      <c r="I703" t="inlineStr"/>
      <c r="J703" t="inlineStr">
        <is>
          <t>2026-06</t>
        </is>
      </c>
      <c r="K703" t="n">
        <v>7.74</v>
      </c>
      <c r="L703" t="n">
        <v>9.130000000000001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רגיל</t>
        </is>
      </c>
      <c r="F704" t="inlineStr">
        <is>
          <t>יבש</t>
        </is>
      </c>
      <c r="G704" t="inlineStr"/>
      <c r="H704" t="inlineStr">
        <is>
          <t>חתול</t>
        </is>
      </c>
      <c r="I704" t="inlineStr"/>
      <c r="J704" t="inlineStr">
        <is>
          <t>2026-06</t>
        </is>
      </c>
      <c r="K704" t="n">
        <v>104.78</v>
      </c>
      <c r="L704" t="n">
        <v>123.64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רגיל</t>
        </is>
      </c>
      <c r="F705" t="inlineStr">
        <is>
          <t>יבש</t>
        </is>
      </c>
      <c r="G705" t="inlineStr">
        <is>
          <t>בוגר</t>
        </is>
      </c>
      <c r="H705" t="inlineStr">
        <is>
          <t>חתול</t>
        </is>
      </c>
      <c r="I705" t="inlineStr"/>
      <c r="J705" t="inlineStr">
        <is>
          <t>2026-06</t>
        </is>
      </c>
      <c r="K705" t="n">
        <v>111.73</v>
      </c>
      <c r="L705" t="n">
        <v>131.84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רגיל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104.78</v>
      </c>
      <c r="L706" t="n">
        <v>123.64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רגיל</t>
        </is>
      </c>
      <c r="F707" t="inlineStr">
        <is>
          <t>יבש</t>
        </is>
      </c>
      <c r="G707" t="inlineStr">
        <is>
          <t>מבוגר</t>
        </is>
      </c>
      <c r="H707" t="inlineStr">
        <is>
          <t>חתול</t>
        </is>
      </c>
      <c r="I707" t="inlineStr"/>
      <c r="J707" t="inlineStr">
        <is>
          <t>2026-06</t>
        </is>
      </c>
      <c r="K707" t="n">
        <v>111.73</v>
      </c>
      <c r="L707" t="n">
        <v>131.84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רגיל</t>
        </is>
      </c>
      <c r="F708" t="inlineStr">
        <is>
          <t>יבש</t>
        </is>
      </c>
      <c r="G708" t="inlineStr">
        <is>
          <t>גורים</t>
        </is>
      </c>
      <c r="H708" t="inlineStr">
        <is>
          <t>חתול</t>
        </is>
      </c>
      <c r="I708" t="inlineStr"/>
      <c r="J708" t="inlineStr">
        <is>
          <t>2026-06</t>
        </is>
      </c>
      <c r="K708" t="n">
        <v>104.78</v>
      </c>
      <c r="L708" t="n">
        <v>123.64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רגיל</t>
        </is>
      </c>
      <c r="F709" t="inlineStr">
        <is>
          <t>יבש</t>
        </is>
      </c>
      <c r="G709" t="inlineStr">
        <is>
          <t>בוגר</t>
        </is>
      </c>
      <c r="H709" t="inlineStr">
        <is>
          <t>חתול</t>
        </is>
      </c>
      <c r="I709" t="inlineStr"/>
      <c r="J709" t="inlineStr">
        <is>
          <t>2026-06</t>
        </is>
      </c>
      <c r="K709" t="n">
        <v>101.01</v>
      </c>
      <c r="L709" t="n">
        <v>119.19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רגיל</t>
        </is>
      </c>
      <c r="F710" t="inlineStr">
        <is>
          <t>יבש</t>
        </is>
      </c>
      <c r="G710" t="inlineStr">
        <is>
          <t>בוגר</t>
        </is>
      </c>
      <c r="H710" t="inlineStr">
        <is>
          <t>חתול</t>
        </is>
      </c>
      <c r="I710" t="inlineStr"/>
      <c r="J710" t="inlineStr">
        <is>
          <t>2026-06</t>
        </is>
      </c>
      <c r="K710" t="n">
        <v>101.01</v>
      </c>
      <c r="L710" t="n">
        <v>119.19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רגיל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104.78</v>
      </c>
      <c r="L711" t="n">
        <v>123.64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רגיל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111.73</v>
      </c>
      <c r="L712" t="n">
        <v>131.84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רגיל</t>
        </is>
      </c>
      <c r="F713" t="inlineStr">
        <is>
          <t>יבש</t>
        </is>
      </c>
      <c r="G713" t="inlineStr"/>
      <c r="H713" t="inlineStr">
        <is>
          <t>חתול</t>
        </is>
      </c>
      <c r="I713" t="inlineStr"/>
      <c r="J713" t="inlineStr">
        <is>
          <t>2026-06</t>
        </is>
      </c>
      <c r="K713" t="n">
        <v>111.73</v>
      </c>
      <c r="L713" t="n">
        <v>131.84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רגיל</t>
        </is>
      </c>
      <c r="F714" t="inlineStr">
        <is>
          <t>יבש</t>
        </is>
      </c>
      <c r="G714" t="inlineStr">
        <is>
          <t>בוגר</t>
        </is>
      </c>
      <c r="H714" t="inlineStr">
        <is>
          <t>חתול</t>
        </is>
      </c>
      <c r="I714" t="inlineStr"/>
      <c r="J714" t="inlineStr">
        <is>
          <t>2026-06</t>
        </is>
      </c>
      <c r="K714" t="n">
        <v>308.69</v>
      </c>
      <c r="L714" t="n">
        <v>364.25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רגיל</t>
        </is>
      </c>
      <c r="F715" t="inlineStr">
        <is>
          <t>יבש</t>
        </is>
      </c>
      <c r="G715" t="inlineStr">
        <is>
          <t>בוגר</t>
        </is>
      </c>
      <c r="H715" t="inlineStr">
        <is>
          <t>חתול</t>
        </is>
      </c>
      <c r="I715" t="inlineStr"/>
      <c r="J715" t="inlineStr">
        <is>
          <t>2026-06</t>
        </is>
      </c>
      <c r="K715" t="n">
        <v>308.69</v>
      </c>
      <c r="L715" t="n">
        <v>364.25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רגיל</t>
        </is>
      </c>
      <c r="F716" t="inlineStr">
        <is>
          <t>יבש</t>
        </is>
      </c>
      <c r="G716" t="inlineStr">
        <is>
          <t>בוגר</t>
        </is>
      </c>
      <c r="H716" t="inlineStr">
        <is>
          <t>חתול</t>
        </is>
      </c>
      <c r="I716" t="inlineStr"/>
      <c r="J716" t="inlineStr">
        <is>
          <t>2026-06</t>
        </is>
      </c>
      <c r="K716" t="n">
        <v>328.37</v>
      </c>
      <c r="L716" t="n">
        <v>387.48</v>
      </c>
      <c r="M716">
        <f>הגדרות!B9</f>
        <v/>
      </c>
      <c r="N716">
        <f>K716*(1-M716/100)*1.18</f>
        <v/>
      </c>
      <c r="O716">
        <f>הגדרות!C9</f>
        <v/>
      </c>
      <c r="P716">
        <f>הגדרות!D9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328.37</v>
      </c>
      <c r="L717" t="n">
        <v>387.48</v>
      </c>
      <c r="M717">
        <f>הגדרות!B9</f>
        <v/>
      </c>
      <c r="N717">
        <f>K717*(1-M717/100)*1.18</f>
        <v/>
      </c>
      <c r="O717">
        <f>הגדרות!C9</f>
        <v/>
      </c>
      <c r="P717">
        <f>הגדרות!D9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332.72</v>
      </c>
      <c r="L718" t="n">
        <v>392.61</v>
      </c>
      <c r="M718">
        <f>הגדרות!B9</f>
        <v/>
      </c>
      <c r="N718">
        <f>K718*(1-M718/100)*1.18</f>
        <v/>
      </c>
      <c r="O718">
        <f>הגדרות!C9</f>
        <v/>
      </c>
      <c r="P718">
        <f>הגדרות!D9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רגיל</t>
        </is>
      </c>
      <c r="F719" t="inlineStr">
        <is>
          <t>יבש</t>
        </is>
      </c>
      <c r="G719" t="inlineStr">
        <is>
          <t>גורים</t>
        </is>
      </c>
      <c r="H719" t="inlineStr">
        <is>
          <t>חתול</t>
        </is>
      </c>
      <c r="I719" t="inlineStr"/>
      <c r="J719" t="inlineStr">
        <is>
          <t>2026-06</t>
        </is>
      </c>
      <c r="K719" t="n">
        <v>349.26</v>
      </c>
      <c r="L719" t="n">
        <v>412.13</v>
      </c>
      <c r="M719">
        <f>הגדרות!B9</f>
        <v/>
      </c>
      <c r="N719">
        <f>K719*(1-M719/100)*1.18</f>
        <v/>
      </c>
      <c r="O719">
        <f>הגדרות!C9</f>
        <v/>
      </c>
      <c r="P719">
        <f>הגדרות!D9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328.37</v>
      </c>
      <c r="L720" t="n">
        <v>387.48</v>
      </c>
      <c r="M720">
        <f>הגדרות!B9</f>
        <v/>
      </c>
      <c r="N720">
        <f>K720*(1-M720/100)*1.18</f>
        <v/>
      </c>
      <c r="O720">
        <f>הגדרות!C9</f>
        <v/>
      </c>
      <c r="P720">
        <f>הגדרות!D9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5.24</v>
      </c>
      <c r="L721" t="n">
        <v>6.18</v>
      </c>
      <c r="M721">
        <f>הגדרות!B9</f>
        <v/>
      </c>
      <c r="N721">
        <f>K721*(1-M721/100)*1.18</f>
        <v/>
      </c>
      <c r="O721">
        <f>הגדרות!C9</f>
        <v/>
      </c>
      <c r="P721">
        <f>הגדרות!D9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5.24</v>
      </c>
      <c r="L722" t="n">
        <v>6.18</v>
      </c>
      <c r="M722">
        <f>הגדרות!B9</f>
        <v/>
      </c>
      <c r="N722">
        <f>K722*(1-M722/100)*1.18</f>
        <v/>
      </c>
      <c r="O722">
        <f>הגדרות!C9</f>
        <v/>
      </c>
      <c r="P722">
        <f>הגדרות!D9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5.24</v>
      </c>
      <c r="L723" t="n">
        <v>6.18</v>
      </c>
      <c r="M723">
        <f>הגדרות!B9</f>
        <v/>
      </c>
      <c r="N723">
        <f>K723*(1-M723/100)*1.18</f>
        <v/>
      </c>
      <c r="O723">
        <f>הגדרות!C9</f>
        <v/>
      </c>
      <c r="P723">
        <f>הגדרות!D9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5.24</v>
      </c>
      <c r="L724" t="n">
        <v>6.18</v>
      </c>
      <c r="M724">
        <f>הגדרות!B9</f>
        <v/>
      </c>
      <c r="N724">
        <f>K724*(1-M724/100)*1.18</f>
        <v/>
      </c>
      <c r="O724">
        <f>הגדרות!C9</f>
        <v/>
      </c>
      <c r="P724">
        <f>הגדרות!D9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5.24</v>
      </c>
      <c r="L725" t="n">
        <v>6.18</v>
      </c>
      <c r="M725">
        <f>הגדרות!B9</f>
        <v/>
      </c>
      <c r="N725">
        <f>K725*(1-M725/100)*1.18</f>
        <v/>
      </c>
      <c r="O725">
        <f>הגדרות!C9</f>
        <v/>
      </c>
      <c r="P725">
        <f>הגדרות!D9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רגיל</t>
        </is>
      </c>
      <c r="F726" t="inlineStr">
        <is>
          <t>יבש</t>
        </is>
      </c>
      <c r="G726" t="inlineStr">
        <is>
          <t>גורים</t>
        </is>
      </c>
      <c r="H726" t="inlineStr">
        <is>
          <t>חתול</t>
        </is>
      </c>
      <c r="I726" t="inlineStr"/>
      <c r="J726" t="inlineStr">
        <is>
          <t>2026-06</t>
        </is>
      </c>
      <c r="K726" t="n">
        <v>5.24</v>
      </c>
      <c r="L726" t="n">
        <v>6.18</v>
      </c>
      <c r="M726">
        <f>הגדרות!B9</f>
        <v/>
      </c>
      <c r="N726">
        <f>K726*(1-M726/100)*1.18</f>
        <v/>
      </c>
      <c r="O726">
        <f>הגדרות!C9</f>
        <v/>
      </c>
      <c r="P726">
        <f>הגדרות!D9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רגיל</t>
        </is>
      </c>
      <c r="F727" t="inlineStr">
        <is>
          <t>רטוב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5.4</v>
      </c>
      <c r="L727" t="n">
        <v>6.37</v>
      </c>
      <c r="M727">
        <f>הגדרות!B9</f>
        <v/>
      </c>
      <c r="N727">
        <f>K727*(1-M727/100)*1.18</f>
        <v/>
      </c>
      <c r="O727">
        <f>הגדרות!C9</f>
        <v/>
      </c>
      <c r="P727">
        <f>הגדרות!D9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רגיל</t>
        </is>
      </c>
      <c r="F728" t="inlineStr">
        <is>
          <t>רטוב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5.4</v>
      </c>
      <c r="L728" t="n">
        <v>6.37</v>
      </c>
      <c r="M728">
        <f>הגדרות!B9</f>
        <v/>
      </c>
      <c r="N728">
        <f>K728*(1-M728/100)*1.18</f>
        <v/>
      </c>
      <c r="O728">
        <f>הגדרות!C9</f>
        <v/>
      </c>
      <c r="P728">
        <f>הגדרות!D9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רגיל</t>
        </is>
      </c>
      <c r="F729" t="inlineStr">
        <is>
          <t>רטוב</t>
        </is>
      </c>
      <c r="G729" t="inlineStr">
        <is>
          <t>גורים</t>
        </is>
      </c>
      <c r="H729" t="inlineStr">
        <is>
          <t>חתול</t>
        </is>
      </c>
      <c r="I729" t="inlineStr"/>
      <c r="J729" t="inlineStr">
        <is>
          <t>2026-06</t>
        </is>
      </c>
      <c r="K729" t="n">
        <v>5.4</v>
      </c>
      <c r="L729" t="n">
        <v>6.37</v>
      </c>
      <c r="M729">
        <f>הגדרות!B9</f>
        <v/>
      </c>
      <c r="N729">
        <f>K729*(1-M729/100)*1.18</f>
        <v/>
      </c>
      <c r="O729">
        <f>הגדרות!C9</f>
        <v/>
      </c>
      <c r="P729">
        <f>הגדרות!D9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רגיל</t>
        </is>
      </c>
      <c r="F730" t="inlineStr">
        <is>
          <t>רטוב</t>
        </is>
      </c>
      <c r="G730" t="inlineStr">
        <is>
          <t>בוגר</t>
        </is>
      </c>
      <c r="H730" t="inlineStr">
        <is>
          <t>חתול</t>
        </is>
      </c>
      <c r="I730" t="inlineStr"/>
      <c r="J730" t="inlineStr">
        <is>
          <t>2026-06</t>
        </is>
      </c>
      <c r="K730" t="n">
        <v>5.4</v>
      </c>
      <c r="L730" t="n">
        <v>6.37</v>
      </c>
      <c r="M730">
        <f>הגדרות!B9</f>
        <v/>
      </c>
      <c r="N730">
        <f>K730*(1-M730/100)*1.18</f>
        <v/>
      </c>
      <c r="O730">
        <f>הגדרות!C9</f>
        <v/>
      </c>
      <c r="P730">
        <f>הגדרות!D9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רגיל</t>
        </is>
      </c>
      <c r="F731" t="inlineStr">
        <is>
          <t>יבש</t>
        </is>
      </c>
      <c r="G731" t="inlineStr">
        <is>
          <t>בוגר</t>
        </is>
      </c>
      <c r="H731" t="inlineStr">
        <is>
          <t>כלב</t>
        </is>
      </c>
      <c r="I731" t="inlineStr"/>
      <c r="J731" t="inlineStr">
        <is>
          <t>2026-06</t>
        </is>
      </c>
      <c r="K731" t="n">
        <v>277.1</v>
      </c>
      <c r="L731" t="n">
        <v>326.98</v>
      </c>
      <c r="M731">
        <f>הגדרות!B9</f>
        <v/>
      </c>
      <c r="N731">
        <f>K731*(1-M731/100)*1.18</f>
        <v/>
      </c>
      <c r="O731">
        <f>הגדרות!C9</f>
        <v/>
      </c>
      <c r="P731">
        <f>הגדרות!D9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רגיל</t>
        </is>
      </c>
      <c r="F732" t="inlineStr">
        <is>
          <t>יבש</t>
        </is>
      </c>
      <c r="G732" t="inlineStr">
        <is>
          <t>גורים</t>
        </is>
      </c>
      <c r="H732" t="inlineStr">
        <is>
          <t>כלב</t>
        </is>
      </c>
      <c r="I732" t="inlineStr">
        <is>
          <t>מעל 7 ק"ג</t>
        </is>
      </c>
      <c r="J732" t="inlineStr">
        <is>
          <t>2026-06</t>
        </is>
      </c>
      <c r="K732" t="n">
        <v>298.52</v>
      </c>
      <c r="L732" t="n">
        <v>352.25</v>
      </c>
      <c r="M732">
        <f>הגדרות!B9</f>
        <v/>
      </c>
      <c r="N732">
        <f>K732*(1-M732/100)*1.18</f>
        <v/>
      </c>
      <c r="O732">
        <f>הגדרות!C9</f>
        <v/>
      </c>
      <c r="P732">
        <f>הגדרות!D9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רגיל</t>
        </is>
      </c>
      <c r="F733" t="inlineStr">
        <is>
          <t>יבש</t>
        </is>
      </c>
      <c r="G733" t="inlineStr">
        <is>
          <t>גורים</t>
        </is>
      </c>
      <c r="H733" t="inlineStr">
        <is>
          <t>כלב</t>
        </is>
      </c>
      <c r="I733" t="inlineStr">
        <is>
          <t>מעל 7 ק"ג</t>
        </is>
      </c>
      <c r="J733" t="inlineStr">
        <is>
          <t>2026-06</t>
        </is>
      </c>
      <c r="K733" t="n">
        <v>298.52</v>
      </c>
      <c r="L733" t="n">
        <v>352.25</v>
      </c>
      <c r="M733">
        <f>הגדרות!B9</f>
        <v/>
      </c>
      <c r="N733">
        <f>K733*(1-M733/100)*1.18</f>
        <v/>
      </c>
      <c r="O733">
        <f>הגדרות!C9</f>
        <v/>
      </c>
      <c r="P733">
        <f>הגדרות!D9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רגיל</t>
        </is>
      </c>
      <c r="F734" t="inlineStr">
        <is>
          <t>יבש</t>
        </is>
      </c>
      <c r="G734" t="inlineStr">
        <is>
          <t>גורים</t>
        </is>
      </c>
      <c r="H734" t="inlineStr">
        <is>
          <t>כלב</t>
        </is>
      </c>
      <c r="I734" t="inlineStr">
        <is>
          <t>מעל 7 ק"ג</t>
        </is>
      </c>
      <c r="J734" t="inlineStr">
        <is>
          <t>2026-06</t>
        </is>
      </c>
      <c r="K734" t="n">
        <v>234.27</v>
      </c>
      <c r="L734" t="n">
        <v>276.44</v>
      </c>
      <c r="M734">
        <f>הגדרות!B9</f>
        <v/>
      </c>
      <c r="N734">
        <f>K734*(1-M734/100)*1.18</f>
        <v/>
      </c>
      <c r="O734">
        <f>הגדרות!C9</f>
        <v/>
      </c>
      <c r="P734">
        <f>הגדרות!D9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רגיל</t>
        </is>
      </c>
      <c r="F735" t="inlineStr">
        <is>
          <t>יבש</t>
        </is>
      </c>
      <c r="G735" t="inlineStr">
        <is>
          <t>גורים</t>
        </is>
      </c>
      <c r="H735" t="inlineStr">
        <is>
          <t>כלב</t>
        </is>
      </c>
      <c r="I735" t="inlineStr">
        <is>
          <t>מעל 7 ק"ג</t>
        </is>
      </c>
      <c r="J735" t="inlineStr">
        <is>
          <t>2026-06</t>
        </is>
      </c>
      <c r="K735" t="n">
        <v>234.27</v>
      </c>
      <c r="L735" t="n">
        <v>276.44</v>
      </c>
      <c r="M735">
        <f>הגדרות!B9</f>
        <v/>
      </c>
      <c r="N735">
        <f>K735*(1-M735/100)*1.18</f>
        <v/>
      </c>
      <c r="O735">
        <f>הגדרות!C9</f>
        <v/>
      </c>
      <c r="P735">
        <f>הגדרות!D9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רגיל</t>
        </is>
      </c>
      <c r="F736" t="inlineStr">
        <is>
          <t>יבש</t>
        </is>
      </c>
      <c r="G736" t="inlineStr">
        <is>
          <t>בוגר</t>
        </is>
      </c>
      <c r="H736" t="inlineStr">
        <is>
          <t>כלב</t>
        </is>
      </c>
      <c r="I736" t="inlineStr">
        <is>
          <t>מעל 7 ק"ג</t>
        </is>
      </c>
      <c r="J736" t="inlineStr">
        <is>
          <t>2026-06</t>
        </is>
      </c>
      <c r="K736" t="n">
        <v>234.27</v>
      </c>
      <c r="L736" t="n">
        <v>276.44</v>
      </c>
      <c r="M736">
        <f>הגדרות!B9</f>
        <v/>
      </c>
      <c r="N736">
        <f>K736*(1-M736/100)*1.18</f>
        <v/>
      </c>
      <c r="O736">
        <f>הגדרות!C9</f>
        <v/>
      </c>
      <c r="P736">
        <f>הגדרות!D9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רגיל</t>
        </is>
      </c>
      <c r="F737" t="inlineStr">
        <is>
          <t>יבש</t>
        </is>
      </c>
      <c r="G737" t="inlineStr">
        <is>
          <t>בוגר</t>
        </is>
      </c>
      <c r="H737" t="inlineStr">
        <is>
          <t>כלב</t>
        </is>
      </c>
      <c r="I737" t="inlineStr">
        <is>
          <t>מעל 7 ק"ג</t>
        </is>
      </c>
      <c r="J737" t="inlineStr">
        <is>
          <t>2026-06</t>
        </is>
      </c>
      <c r="K737" t="n">
        <v>285.43</v>
      </c>
      <c r="L737" t="n">
        <v>336.81</v>
      </c>
      <c r="M737">
        <f>הגדרות!B9</f>
        <v/>
      </c>
      <c r="N737">
        <f>K737*(1-M737/100)*1.18</f>
        <v/>
      </c>
      <c r="O737">
        <f>הגדרות!C9</f>
        <v/>
      </c>
      <c r="P737">
        <f>הגדרות!D9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רגיל</t>
        </is>
      </c>
      <c r="F738" t="inlineStr">
        <is>
          <t>יבש</t>
        </is>
      </c>
      <c r="G738" t="inlineStr">
        <is>
          <t>בוגר</t>
        </is>
      </c>
      <c r="H738" t="inlineStr">
        <is>
          <t>כלב</t>
        </is>
      </c>
      <c r="I738" t="inlineStr">
        <is>
          <t>עד 7 ק"ג</t>
        </is>
      </c>
      <c r="J738" t="inlineStr">
        <is>
          <t>2026-06</t>
        </is>
      </c>
      <c r="K738" t="n">
        <v>105.09</v>
      </c>
      <c r="L738" t="n">
        <v>124.01</v>
      </c>
      <c r="M738">
        <f>הגדרות!B9</f>
        <v/>
      </c>
      <c r="N738">
        <f>K738*(1-M738/100)*1.18</f>
        <v/>
      </c>
      <c r="O738">
        <f>הגדרות!C9</f>
        <v/>
      </c>
      <c r="P738">
        <f>הגדרות!D9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רגיל</t>
        </is>
      </c>
      <c r="F739" t="inlineStr">
        <is>
          <t>יבש</t>
        </is>
      </c>
      <c r="G739" t="inlineStr">
        <is>
          <t>בוגר</t>
        </is>
      </c>
      <c r="H739" t="inlineStr">
        <is>
          <t>כלב</t>
        </is>
      </c>
      <c r="I739" t="inlineStr">
        <is>
          <t>עד 7 ק"ג</t>
        </is>
      </c>
      <c r="J739" t="inlineStr">
        <is>
          <t>2026-06</t>
        </is>
      </c>
      <c r="K739" t="n">
        <v>141.47</v>
      </c>
      <c r="L739" t="n">
        <v>166.93</v>
      </c>
      <c r="M739">
        <f>הגדרות!B9</f>
        <v/>
      </c>
      <c r="N739">
        <f>K739*(1-M739/100)*1.18</f>
        <v/>
      </c>
      <c r="O739">
        <f>הגדרות!C9</f>
        <v/>
      </c>
      <c r="P739">
        <f>הגדרות!D9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רגיל</t>
        </is>
      </c>
      <c r="F740" t="inlineStr">
        <is>
          <t>יבש</t>
        </is>
      </c>
      <c r="G740" t="inlineStr">
        <is>
          <t>בוגר</t>
        </is>
      </c>
      <c r="H740" t="inlineStr">
        <is>
          <t>כלב</t>
        </is>
      </c>
      <c r="I740" t="inlineStr">
        <is>
          <t>עד 7 ק"ג</t>
        </is>
      </c>
      <c r="J740" t="inlineStr">
        <is>
          <t>2026-06</t>
        </is>
      </c>
      <c r="K740" t="n">
        <v>172.59</v>
      </c>
      <c r="L740" t="n">
        <v>203.66</v>
      </c>
      <c r="M740">
        <f>הגדרות!B9</f>
        <v/>
      </c>
      <c r="N740">
        <f>K740*(1-M740/100)*1.18</f>
        <v/>
      </c>
      <c r="O740">
        <f>הגדרות!C9</f>
        <v/>
      </c>
      <c r="P740">
        <f>הגדרות!D9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רגיל</t>
        </is>
      </c>
      <c r="F741" t="inlineStr">
        <is>
          <t>יבש</t>
        </is>
      </c>
      <c r="G741" t="inlineStr">
        <is>
          <t>בוגר</t>
        </is>
      </c>
      <c r="H741" t="inlineStr">
        <is>
          <t>כלב</t>
        </is>
      </c>
      <c r="I741" t="inlineStr">
        <is>
          <t>עד 7 ק"ג</t>
        </is>
      </c>
      <c r="J741" t="inlineStr">
        <is>
          <t>2026-06</t>
        </is>
      </c>
      <c r="K741" t="n">
        <v>192.9</v>
      </c>
      <c r="L741" t="n">
        <v>227.62</v>
      </c>
      <c r="M741">
        <f>הגדרות!B9</f>
        <v/>
      </c>
      <c r="N741">
        <f>K741*(1-M741/100)*1.18</f>
        <v/>
      </c>
      <c r="O741">
        <f>הגדרות!C9</f>
        <v/>
      </c>
      <c r="P741">
        <f>הגדרות!D9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רגיל</t>
        </is>
      </c>
      <c r="F742" t="inlineStr">
        <is>
          <t>יבש</t>
        </is>
      </c>
      <c r="G742" t="inlineStr">
        <is>
          <t>בוגר</t>
        </is>
      </c>
      <c r="H742" t="inlineStr">
        <is>
          <t>כלב</t>
        </is>
      </c>
      <c r="I742" t="inlineStr">
        <is>
          <t>עד 7 ק"ג</t>
        </is>
      </c>
      <c r="J742" t="inlineStr">
        <is>
          <t>2026-06</t>
        </is>
      </c>
      <c r="K742" t="n">
        <v>109.17</v>
      </c>
      <c r="L742" t="n">
        <v>128.82</v>
      </c>
      <c r="M742">
        <f>הגדרות!B9</f>
        <v/>
      </c>
      <c r="N742">
        <f>K742*(1-M742/100)*1.18</f>
        <v/>
      </c>
      <c r="O742">
        <f>הגדרות!C9</f>
        <v/>
      </c>
      <c r="P742">
        <f>הגדרות!D9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רגיל</t>
        </is>
      </c>
      <c r="F743" t="inlineStr">
        <is>
          <t>יבש</t>
        </is>
      </c>
      <c r="G743" t="inlineStr">
        <is>
          <t>בוגר</t>
        </is>
      </c>
      <c r="H743" t="inlineStr">
        <is>
          <t>כלב</t>
        </is>
      </c>
      <c r="I743" t="inlineStr">
        <is>
          <t>מעל 7 ק"ג</t>
        </is>
      </c>
      <c r="J743" t="inlineStr">
        <is>
          <t>2026-06</t>
        </is>
      </c>
      <c r="K743" t="n">
        <v>258.06</v>
      </c>
      <c r="L743" t="n">
        <v>304.51</v>
      </c>
      <c r="M743">
        <f>הגדרות!B9</f>
        <v/>
      </c>
      <c r="N743">
        <f>K743*(1-M743/100)*1.18</f>
        <v/>
      </c>
      <c r="O743">
        <f>הגדרות!C9</f>
        <v/>
      </c>
      <c r="P743">
        <f>הגדרות!D9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רגיל</t>
        </is>
      </c>
      <c r="F744" t="inlineStr">
        <is>
          <t>יבש</t>
        </is>
      </c>
      <c r="G744" t="inlineStr">
        <is>
          <t>בוגר</t>
        </is>
      </c>
      <c r="H744" t="inlineStr">
        <is>
          <t>כלב</t>
        </is>
      </c>
      <c r="I744" t="inlineStr"/>
      <c r="J744" t="inlineStr">
        <is>
          <t>2026-06</t>
        </is>
      </c>
      <c r="K744" t="n">
        <v>259.26</v>
      </c>
      <c r="L744" t="n">
        <v>305.93</v>
      </c>
      <c r="M744">
        <f>הגדרות!B9</f>
        <v/>
      </c>
      <c r="N744">
        <f>K744*(1-M744/100)*1.18</f>
        <v/>
      </c>
      <c r="O744">
        <f>הגדרות!C9</f>
        <v/>
      </c>
      <c r="P744">
        <f>הגדרות!D9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רגיל</t>
        </is>
      </c>
      <c r="F745" t="inlineStr">
        <is>
          <t>יבש</t>
        </is>
      </c>
      <c r="G745" t="inlineStr">
        <is>
          <t>גורים</t>
        </is>
      </c>
      <c r="H745" t="inlineStr">
        <is>
          <t>כלב</t>
        </is>
      </c>
      <c r="I745" t="inlineStr">
        <is>
          <t>עד 7 ק"ג</t>
        </is>
      </c>
      <c r="J745" t="inlineStr">
        <is>
          <t>2026-06</t>
        </is>
      </c>
      <c r="K745" t="n">
        <v>99.31</v>
      </c>
      <c r="L745" t="n">
        <v>117.19</v>
      </c>
      <c r="M745">
        <f>הגדרות!B9</f>
        <v/>
      </c>
      <c r="N745">
        <f>K745*(1-M745/100)*1.18</f>
        <v/>
      </c>
      <c r="O745">
        <f>הגדרות!C9</f>
        <v/>
      </c>
      <c r="P745">
        <f>הגדרות!D9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רגיל</t>
        </is>
      </c>
      <c r="F746" t="inlineStr">
        <is>
          <t>יבש</t>
        </is>
      </c>
      <c r="G746" t="inlineStr">
        <is>
          <t>גורים</t>
        </is>
      </c>
      <c r="H746" t="inlineStr">
        <is>
          <t>כלב</t>
        </is>
      </c>
      <c r="I746" t="inlineStr">
        <is>
          <t>עד 7 ק"ג</t>
        </is>
      </c>
      <c r="J746" t="inlineStr">
        <is>
          <t>2026-06</t>
        </is>
      </c>
      <c r="K746" t="n">
        <v>107.26</v>
      </c>
      <c r="L746" t="n">
        <v>126.57</v>
      </c>
      <c r="M746">
        <f>הגדרות!B9</f>
        <v/>
      </c>
      <c r="N746">
        <f>K746*(1-M746/100)*1.18</f>
        <v/>
      </c>
      <c r="O746">
        <f>הגדרות!C9</f>
        <v/>
      </c>
      <c r="P746">
        <f>הגדרות!D9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רגיל</t>
        </is>
      </c>
      <c r="F747" t="inlineStr">
        <is>
          <t>יבש</t>
        </is>
      </c>
      <c r="G747" t="inlineStr">
        <is>
          <t>מבוגר</t>
        </is>
      </c>
      <c r="H747" t="inlineStr">
        <is>
          <t>כלב</t>
        </is>
      </c>
      <c r="I747" t="inlineStr">
        <is>
          <t>עד 7 ק"ג</t>
        </is>
      </c>
      <c r="J747" t="inlineStr">
        <is>
          <t>2026-06</t>
        </is>
      </c>
      <c r="K747" t="n">
        <v>99.31</v>
      </c>
      <c r="L747" t="n">
        <v>117.19</v>
      </c>
      <c r="M747">
        <f>הגדרות!B9</f>
        <v/>
      </c>
      <c r="N747">
        <f>K747*(1-M747/100)*1.18</f>
        <v/>
      </c>
      <c r="O747">
        <f>הגדרות!C9</f>
        <v/>
      </c>
      <c r="P747">
        <f>הגדרות!D9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רגיל</t>
        </is>
      </c>
      <c r="F748" t="inlineStr">
        <is>
          <t>יבש</t>
        </is>
      </c>
      <c r="G748" t="inlineStr">
        <is>
          <t>בוגר</t>
        </is>
      </c>
      <c r="H748" t="inlineStr">
        <is>
          <t>כלב</t>
        </is>
      </c>
      <c r="I748" t="inlineStr">
        <is>
          <t>מעל 7 ק"ג</t>
        </is>
      </c>
      <c r="J748" t="inlineStr">
        <is>
          <t>2026-06</t>
        </is>
      </c>
      <c r="K748" t="n">
        <v>285.43</v>
      </c>
      <c r="L748" t="n">
        <v>336.81</v>
      </c>
      <c r="M748">
        <f>הגדרות!B9</f>
        <v/>
      </c>
      <c r="N748">
        <f>K748*(1-M748/100)*1.18</f>
        <v/>
      </c>
      <c r="O748">
        <f>הגדרות!C9</f>
        <v/>
      </c>
      <c r="P748">
        <f>הגדרות!D9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רגיל</t>
        </is>
      </c>
      <c r="F749" t="inlineStr">
        <is>
          <t>יבש</t>
        </is>
      </c>
      <c r="G749" t="inlineStr">
        <is>
          <t>מבוגר</t>
        </is>
      </c>
      <c r="H749" t="inlineStr">
        <is>
          <t>כלב</t>
        </is>
      </c>
      <c r="I749" t="inlineStr">
        <is>
          <t>מעל 7 ק"ג</t>
        </is>
      </c>
      <c r="J749" t="inlineStr">
        <is>
          <t>2026-06</t>
        </is>
      </c>
      <c r="K749" t="n">
        <v>298.52</v>
      </c>
      <c r="L749" t="n">
        <v>352.25</v>
      </c>
      <c r="M749">
        <f>הגדרות!B9</f>
        <v/>
      </c>
      <c r="N749">
        <f>K749*(1-M749/100)*1.18</f>
        <v/>
      </c>
      <c r="O749">
        <f>הגדרות!C9</f>
        <v/>
      </c>
      <c r="P749">
        <f>הגדרות!D9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רגיל</t>
        </is>
      </c>
      <c r="F750" t="inlineStr">
        <is>
          <t>יבש</t>
        </is>
      </c>
      <c r="G750" t="inlineStr">
        <is>
          <t>מבוגר</t>
        </is>
      </c>
      <c r="H750" t="inlineStr">
        <is>
          <t>כלב</t>
        </is>
      </c>
      <c r="I750" t="inlineStr">
        <is>
          <t>מעל 7 ק"ג</t>
        </is>
      </c>
      <c r="J750" t="inlineStr">
        <is>
          <t>2026-06</t>
        </is>
      </c>
      <c r="K750" t="n">
        <v>311.37</v>
      </c>
      <c r="L750" t="n">
        <v>367.42</v>
      </c>
      <c r="M750">
        <f>הגדרות!B9</f>
        <v/>
      </c>
      <c r="N750">
        <f>K750*(1-M750/100)*1.18</f>
        <v/>
      </c>
      <c r="O750">
        <f>הגדרות!C9</f>
        <v/>
      </c>
      <c r="P750">
        <f>הגדרות!D9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רגיל</t>
        </is>
      </c>
      <c r="F751" t="inlineStr">
        <is>
          <t>יבש</t>
        </is>
      </c>
      <c r="G751" t="inlineStr"/>
      <c r="H751" t="inlineStr">
        <is>
          <t>כלב</t>
        </is>
      </c>
      <c r="I751" t="inlineStr">
        <is>
          <t>עד 7 ק"ג</t>
        </is>
      </c>
      <c r="J751" t="inlineStr">
        <is>
          <t>2026-06</t>
        </is>
      </c>
      <c r="K751" t="n">
        <v>109.17</v>
      </c>
      <c r="L751" t="n">
        <v>128.82</v>
      </c>
      <c r="M751">
        <f>הגדרות!B9</f>
        <v/>
      </c>
      <c r="N751">
        <f>K751*(1-M751/100)*1.18</f>
        <v/>
      </c>
      <c r="O751">
        <f>הגדרות!C9</f>
        <v/>
      </c>
      <c r="P751">
        <f>הגדרות!D9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רגיל</t>
        </is>
      </c>
      <c r="F752" t="inlineStr">
        <is>
          <t>יבש</t>
        </is>
      </c>
      <c r="G752" t="inlineStr"/>
      <c r="H752" t="inlineStr">
        <is>
          <t>חתול</t>
        </is>
      </c>
      <c r="I752" t="inlineStr"/>
      <c r="J752" t="inlineStr">
        <is>
          <t>2026-06</t>
        </is>
      </c>
      <c r="K752" t="n">
        <v>5.92</v>
      </c>
      <c r="L752" t="n">
        <v>6.99</v>
      </c>
      <c r="M752">
        <f>הגדרות!B9</f>
        <v/>
      </c>
      <c r="N752">
        <f>K752*(1-M752/100)*1.18</f>
        <v/>
      </c>
      <c r="O752">
        <f>הגדרות!C9</f>
        <v/>
      </c>
      <c r="P752">
        <f>הגדרות!D9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>
        <is>
          <t>חתול</t>
        </is>
      </c>
      <c r="I753" t="inlineStr"/>
      <c r="J753" t="inlineStr">
        <is>
          <t>2026-06</t>
        </is>
      </c>
      <c r="K753" t="n">
        <v>76.06999999999999</v>
      </c>
      <c r="L753" t="n">
        <v>89.76000000000001</v>
      </c>
      <c r="M753">
        <f>הגדרות!B9</f>
        <v/>
      </c>
      <c r="N753">
        <f>K753*(1-M753/100)*1.18</f>
        <v/>
      </c>
      <c r="O753">
        <f>הגדרות!C9</f>
        <v/>
      </c>
      <c r="P753">
        <f>הגדרות!D9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>
        <is>
          <t>חתול</t>
        </is>
      </c>
      <c r="I754" t="inlineStr"/>
      <c r="J754" t="inlineStr">
        <is>
          <t>2026-06</t>
        </is>
      </c>
      <c r="K754" t="n">
        <v>241.53</v>
      </c>
      <c r="L754" t="n">
        <v>285.01</v>
      </c>
      <c r="M754">
        <f>הגדרות!B9</f>
        <v/>
      </c>
      <c r="N754">
        <f>K754*(1-M754/100)*1.18</f>
        <v/>
      </c>
      <c r="O754">
        <f>הגדרות!C9</f>
        <v/>
      </c>
      <c r="P754">
        <f>הגדרות!D9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>
        <is>
          <t>חתול</t>
        </is>
      </c>
      <c r="I755" t="inlineStr"/>
      <c r="J755" t="inlineStr">
        <is>
          <t>2026-06</t>
        </is>
      </c>
      <c r="K755" t="n">
        <v>89.95</v>
      </c>
      <c r="L755" t="n">
        <v>106.14</v>
      </c>
      <c r="M755">
        <f>הגדרות!B9</f>
        <v/>
      </c>
      <c r="N755">
        <f>K755*(1-M755/100)*1.18</f>
        <v/>
      </c>
      <c r="O755">
        <f>הגדרות!C9</f>
        <v/>
      </c>
      <c r="P755">
        <f>הגדרות!D9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>
        <is>
          <t>חתול</t>
        </is>
      </c>
      <c r="I756" t="inlineStr"/>
      <c r="J756" t="inlineStr">
        <is>
          <t>2026-06</t>
        </is>
      </c>
      <c r="K756" t="n">
        <v>187.43</v>
      </c>
      <c r="L756" t="n">
        <v>221.17</v>
      </c>
      <c r="M756">
        <f>הגדרות!B9</f>
        <v/>
      </c>
      <c r="N756">
        <f>K756*(1-M756/100)*1.18</f>
        <v/>
      </c>
      <c r="O756">
        <f>הגדרות!C9</f>
        <v/>
      </c>
      <c r="P756">
        <f>הגדרות!D9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>
        <is>
          <t>חתול</t>
        </is>
      </c>
      <c r="I757" t="inlineStr"/>
      <c r="J757" t="inlineStr">
        <is>
          <t>2026-06</t>
        </is>
      </c>
      <c r="K757" t="n">
        <v>104.48</v>
      </c>
      <c r="L757" t="n">
        <v>123.29</v>
      </c>
      <c r="M757">
        <f>הגדרות!B9</f>
        <v/>
      </c>
      <c r="N757">
        <f>K757*(1-M757/100)*1.18</f>
        <v/>
      </c>
      <c r="O757">
        <f>הגדרות!C9</f>
        <v/>
      </c>
      <c r="P757">
        <f>הגדרות!D9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רגיל</t>
        </is>
      </c>
      <c r="F758" t="inlineStr">
        <is>
          <t>יבש</t>
        </is>
      </c>
      <c r="G758" t="inlineStr"/>
      <c r="H758" t="inlineStr">
        <is>
          <t>חתול</t>
        </is>
      </c>
      <c r="I758" t="inlineStr"/>
      <c r="J758" t="inlineStr">
        <is>
          <t>2026-06</t>
        </is>
      </c>
      <c r="K758" t="n">
        <v>247.74</v>
      </c>
      <c r="L758" t="n">
        <v>292.33</v>
      </c>
      <c r="M758">
        <f>הגדרות!B9</f>
        <v/>
      </c>
      <c r="N758">
        <f>K758*(1-M758/100)*1.18</f>
        <v/>
      </c>
      <c r="O758">
        <f>הגדרות!C9</f>
        <v/>
      </c>
      <c r="P758">
        <f>הגדרות!D9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>
        <is>
          <t>חתול</t>
        </is>
      </c>
      <c r="I759" t="inlineStr"/>
      <c r="J759" t="inlineStr">
        <is>
          <t>2026-06</t>
        </is>
      </c>
      <c r="K759" t="n">
        <v>79.08</v>
      </c>
      <c r="L759" t="n">
        <v>93.31</v>
      </c>
      <c r="M759">
        <f>הגדרות!B9</f>
        <v/>
      </c>
      <c r="N759">
        <f>K759*(1-M759/100)*1.18</f>
        <v/>
      </c>
      <c r="O759">
        <f>הגדרות!C9</f>
        <v/>
      </c>
      <c r="P759">
        <f>הגדרות!D9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>
        <is>
          <t>חתול</t>
        </is>
      </c>
      <c r="I760" t="inlineStr"/>
      <c r="J760" t="inlineStr">
        <is>
          <t>2026-06</t>
        </is>
      </c>
      <c r="K760" t="n">
        <v>187.43</v>
      </c>
      <c r="L760" t="n">
        <v>221.17</v>
      </c>
      <c r="M760">
        <f>הגדרות!B9</f>
        <v/>
      </c>
      <c r="N760">
        <f>K760*(1-M760/100)*1.18</f>
        <v/>
      </c>
      <c r="O760">
        <f>הגדרות!C9</f>
        <v/>
      </c>
      <c r="P760">
        <f>הגדרות!D9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רגיל</t>
        </is>
      </c>
      <c r="F761" t="inlineStr">
        <is>
          <t>יבש</t>
        </is>
      </c>
      <c r="G761" t="inlineStr"/>
      <c r="H761" t="inlineStr">
        <is>
          <t>חתול</t>
        </is>
      </c>
      <c r="I761" t="inlineStr"/>
      <c r="J761" t="inlineStr">
        <is>
          <t>2026-06</t>
        </is>
      </c>
      <c r="K761" t="n">
        <v>198.45</v>
      </c>
      <c r="L761" t="n">
        <v>234.17</v>
      </c>
      <c r="M761">
        <f>הגדרות!B9</f>
        <v/>
      </c>
      <c r="N761">
        <f>K761*(1-M761/100)*1.18</f>
        <v/>
      </c>
      <c r="O761">
        <f>הגדרות!C9</f>
        <v/>
      </c>
      <c r="P761">
        <f>הגדרות!D9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>
        <is>
          <t>חתול</t>
        </is>
      </c>
      <c r="I762" t="inlineStr"/>
      <c r="J762" t="inlineStr">
        <is>
          <t>2026-06</t>
        </is>
      </c>
      <c r="K762" t="n">
        <v>76.06999999999999</v>
      </c>
      <c r="L762" t="n">
        <v>89.76000000000001</v>
      </c>
      <c r="M762">
        <f>הגדרות!B9</f>
        <v/>
      </c>
      <c r="N762">
        <f>K762*(1-M762/100)*1.18</f>
        <v/>
      </c>
      <c r="O762">
        <f>הגדרות!C9</f>
        <v/>
      </c>
      <c r="P762">
        <f>הגדרות!D9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רגיל</t>
        </is>
      </c>
      <c r="F763" t="inlineStr">
        <is>
          <t>יבש</t>
        </is>
      </c>
      <c r="G763" t="inlineStr"/>
      <c r="H763" t="inlineStr">
        <is>
          <t>חתול</t>
        </is>
      </c>
      <c r="I763" t="inlineStr"/>
      <c r="J763" t="inlineStr">
        <is>
          <t>2026-06</t>
        </is>
      </c>
      <c r="K763" t="n">
        <v>253.56</v>
      </c>
      <c r="L763" t="n">
        <v>299.2</v>
      </c>
      <c r="M763">
        <f>הגדרות!B9</f>
        <v/>
      </c>
      <c r="N763">
        <f>K763*(1-M763/100)*1.18</f>
        <v/>
      </c>
      <c r="O763">
        <f>הגדרות!C9</f>
        <v/>
      </c>
      <c r="P763">
        <f>הגדרות!D9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>
        <is>
          <t>כלב</t>
        </is>
      </c>
      <c r="I764" t="inlineStr"/>
      <c r="J764" t="inlineStr">
        <is>
          <t>2026-06</t>
        </is>
      </c>
      <c r="K764" t="n">
        <v>407.12</v>
      </c>
      <c r="L764" t="n">
        <v>480.4</v>
      </c>
      <c r="M764">
        <f>הגדרות!B9</f>
        <v/>
      </c>
      <c r="N764">
        <f>K764*(1-M764/100)*1.18</f>
        <v/>
      </c>
      <c r="O764">
        <f>הגדרות!C9</f>
        <v/>
      </c>
      <c r="P764">
        <f>הגדרות!D9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רגיל</t>
        </is>
      </c>
      <c r="F765" t="inlineStr">
        <is>
          <t>יבש</t>
        </is>
      </c>
      <c r="G765" t="inlineStr"/>
      <c r="H765" t="inlineStr">
        <is>
          <t>כלב</t>
        </is>
      </c>
      <c r="I765" t="inlineStr"/>
      <c r="J765" t="inlineStr">
        <is>
          <t>2026-06</t>
        </is>
      </c>
      <c r="K765" t="n">
        <v>383.67</v>
      </c>
      <c r="L765" t="n">
        <v>452.73</v>
      </c>
      <c r="M765">
        <f>הגדרות!B9</f>
        <v/>
      </c>
      <c r="N765">
        <f>K765*(1-M765/100)*1.18</f>
        <v/>
      </c>
      <c r="O765">
        <f>הגדרות!C9</f>
        <v/>
      </c>
      <c r="P765">
        <f>הגדרות!D9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רגיל</t>
        </is>
      </c>
      <c r="F766" t="inlineStr">
        <is>
          <t>יבש</t>
        </is>
      </c>
      <c r="G766" t="inlineStr"/>
      <c r="H766" t="inlineStr">
        <is>
          <t>כלב</t>
        </is>
      </c>
      <c r="I766" t="inlineStr"/>
      <c r="J766" t="inlineStr">
        <is>
          <t>2026-06</t>
        </is>
      </c>
      <c r="K766" t="n">
        <v>407.12</v>
      </c>
      <c r="L766" t="n">
        <v>480.4</v>
      </c>
      <c r="M766">
        <f>הגדרות!B9</f>
        <v/>
      </c>
      <c r="N766">
        <f>K766*(1-M766/100)*1.18</f>
        <v/>
      </c>
      <c r="O766">
        <f>הגדרות!C9</f>
        <v/>
      </c>
      <c r="P766">
        <f>הגדרות!D9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כלב</t>
        </is>
      </c>
      <c r="I767" t="inlineStr"/>
      <c r="J767" t="inlineStr">
        <is>
          <t>2026-06</t>
        </is>
      </c>
      <c r="K767" t="n">
        <v>130.91</v>
      </c>
      <c r="L767" t="n">
        <v>154.47</v>
      </c>
      <c r="M767">
        <f>הגדרות!B9</f>
        <v/>
      </c>
      <c r="N767">
        <f>K767*(1-M767/100)*1.18</f>
        <v/>
      </c>
      <c r="O767">
        <f>הגדרות!C9</f>
        <v/>
      </c>
      <c r="P767">
        <f>הגדרות!D9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רגיל</t>
        </is>
      </c>
      <c r="F768" t="inlineStr">
        <is>
          <t>יבש</t>
        </is>
      </c>
      <c r="G768" t="inlineStr"/>
      <c r="H768" t="inlineStr">
        <is>
          <t>כלב</t>
        </is>
      </c>
      <c r="I768" t="inlineStr"/>
      <c r="J768" t="inlineStr">
        <is>
          <t>2026-06</t>
        </is>
      </c>
      <c r="K768" t="n">
        <v>361.62</v>
      </c>
      <c r="L768" t="n">
        <v>426.71</v>
      </c>
      <c r="M768">
        <f>הגדרות!B9</f>
        <v/>
      </c>
      <c r="N768">
        <f>K768*(1-M768/100)*1.18</f>
        <v/>
      </c>
      <c r="O768">
        <f>הגדרות!C9</f>
        <v/>
      </c>
      <c r="P768">
        <f>הגדרות!D9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כלב</t>
        </is>
      </c>
      <c r="I769" t="inlineStr"/>
      <c r="J769" t="inlineStr">
        <is>
          <t>2026-06</t>
        </is>
      </c>
      <c r="K769" t="n">
        <v>79.23</v>
      </c>
      <c r="L769" t="n">
        <v>93.48999999999999</v>
      </c>
      <c r="M769">
        <f>הגדרות!B9</f>
        <v/>
      </c>
      <c r="N769">
        <f>K769*(1-M769/100)*1.18</f>
        <v/>
      </c>
      <c r="O769">
        <f>הגדרות!C9</f>
        <v/>
      </c>
      <c r="P769">
        <f>הגדרות!D9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>
        <is>
          <t>כלב</t>
        </is>
      </c>
      <c r="I770" t="inlineStr"/>
      <c r="J770" t="inlineStr">
        <is>
          <t>2026-06</t>
        </is>
      </c>
      <c r="K770" t="n">
        <v>152.25</v>
      </c>
      <c r="L770" t="n">
        <v>179.66</v>
      </c>
      <c r="M770">
        <f>הגדרות!B9</f>
        <v/>
      </c>
      <c r="N770">
        <f>K770*(1-M770/100)*1.18</f>
        <v/>
      </c>
      <c r="O770">
        <f>הגדרות!C9</f>
        <v/>
      </c>
      <c r="P770">
        <f>הגדרות!D9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רגיל</t>
        </is>
      </c>
      <c r="F771" t="inlineStr">
        <is>
          <t>יבש</t>
        </is>
      </c>
      <c r="G771" t="inlineStr"/>
      <c r="H771" t="inlineStr">
        <is>
          <t>כלב</t>
        </is>
      </c>
      <c r="I771" t="inlineStr"/>
      <c r="J771" t="inlineStr">
        <is>
          <t>2026-06</t>
        </is>
      </c>
      <c r="K771" t="n">
        <v>448.28</v>
      </c>
      <c r="L771" t="n">
        <v>528.97</v>
      </c>
      <c r="M771">
        <f>הגדרות!B9</f>
        <v/>
      </c>
      <c r="N771">
        <f>K771*(1-M771/100)*1.18</f>
        <v/>
      </c>
      <c r="O771">
        <f>הגדרות!C9</f>
        <v/>
      </c>
      <c r="P771">
        <f>הגדרות!D9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רגיל</t>
        </is>
      </c>
      <c r="F772" t="inlineStr">
        <is>
          <t>יבש</t>
        </is>
      </c>
      <c r="G772" t="inlineStr"/>
      <c r="H772" t="inlineStr">
        <is>
          <t>כלב</t>
        </is>
      </c>
      <c r="I772" t="inlineStr"/>
      <c r="J772" t="inlineStr">
        <is>
          <t>2026-06</t>
        </is>
      </c>
      <c r="K772" t="n">
        <v>81.89</v>
      </c>
      <c r="L772" t="n">
        <v>96.63</v>
      </c>
      <c r="M772">
        <f>הגדרות!B9</f>
        <v/>
      </c>
      <c r="N772">
        <f>K772*(1-M772/100)*1.18</f>
        <v/>
      </c>
      <c r="O772">
        <f>הגדרות!C9</f>
        <v/>
      </c>
      <c r="P772">
        <f>הגדרות!D9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רגיל</t>
        </is>
      </c>
      <c r="F773" t="inlineStr">
        <is>
          <t>יבש</t>
        </is>
      </c>
      <c r="G773" t="inlineStr"/>
      <c r="H773" t="inlineStr">
        <is>
          <t>כלב</t>
        </is>
      </c>
      <c r="I773" t="inlineStr"/>
      <c r="J773" t="inlineStr">
        <is>
          <t>2026-06</t>
        </is>
      </c>
      <c r="K773" t="n">
        <v>183.86</v>
      </c>
      <c r="L773" t="n">
        <v>216.95</v>
      </c>
      <c r="M773">
        <f>הגדרות!B9</f>
        <v/>
      </c>
      <c r="N773">
        <f>K773*(1-M773/100)*1.18</f>
        <v/>
      </c>
      <c r="O773">
        <f>הגדרות!C9</f>
        <v/>
      </c>
      <c r="P773">
        <f>הגדרות!D9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רגיל</t>
        </is>
      </c>
      <c r="F774" t="inlineStr">
        <is>
          <t>יבש</t>
        </is>
      </c>
      <c r="G774" t="inlineStr"/>
      <c r="H774" t="inlineStr">
        <is>
          <t>כלב</t>
        </is>
      </c>
      <c r="I774" t="inlineStr"/>
      <c r="J774" t="inlineStr">
        <is>
          <t>2026-06</t>
        </is>
      </c>
      <c r="K774" t="n">
        <v>383.67</v>
      </c>
      <c r="L774" t="n">
        <v>452.73</v>
      </c>
      <c r="M774">
        <f>הגדרות!B9</f>
        <v/>
      </c>
      <c r="N774">
        <f>K774*(1-M774/100)*1.18</f>
        <v/>
      </c>
      <c r="O774">
        <f>הגדרות!C9</f>
        <v/>
      </c>
      <c r="P774">
        <f>הגדרות!D9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רגיל</t>
        </is>
      </c>
      <c r="F775" t="inlineStr">
        <is>
          <t>יבש</t>
        </is>
      </c>
      <c r="G775" t="inlineStr"/>
      <c r="H775" t="inlineStr">
        <is>
          <t>כלב</t>
        </is>
      </c>
      <c r="I775" t="inlineStr"/>
      <c r="J775" t="inlineStr">
        <is>
          <t>2026-06</t>
        </is>
      </c>
      <c r="K775" t="n">
        <v>115.1</v>
      </c>
      <c r="L775" t="n">
        <v>135.82</v>
      </c>
      <c r="M775">
        <f>הגדרות!B9</f>
        <v/>
      </c>
      <c r="N775">
        <f>K775*(1-M775/100)*1.18</f>
        <v/>
      </c>
      <c r="O775">
        <f>הגדרות!C9</f>
        <v/>
      </c>
      <c r="P775">
        <f>הגדרות!D9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רגיל</t>
        </is>
      </c>
      <c r="F776" t="inlineStr">
        <is>
          <t>יבש</t>
        </is>
      </c>
      <c r="G776" t="inlineStr"/>
      <c r="H776" t="inlineStr">
        <is>
          <t>כלב</t>
        </is>
      </c>
      <c r="I776" t="inlineStr"/>
      <c r="J776" t="inlineStr">
        <is>
          <t>2026-06</t>
        </is>
      </c>
      <c r="K776" t="n">
        <v>383.67</v>
      </c>
      <c r="L776" t="n">
        <v>452.73</v>
      </c>
      <c r="M776">
        <f>הגדרות!B9</f>
        <v/>
      </c>
      <c r="N776">
        <f>K776*(1-M776/100)*1.18</f>
        <v/>
      </c>
      <c r="O776">
        <f>הגדרות!C9</f>
        <v/>
      </c>
      <c r="P776">
        <f>הגדרות!D9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רגיל</t>
        </is>
      </c>
      <c r="F777" t="inlineStr">
        <is>
          <t>יבש</t>
        </is>
      </c>
      <c r="G777" t="inlineStr"/>
      <c r="H777" t="inlineStr">
        <is>
          <t>כלב</t>
        </is>
      </c>
      <c r="I777" t="inlineStr"/>
      <c r="J777" t="inlineStr">
        <is>
          <t>2026-06</t>
        </is>
      </c>
      <c r="K777" t="n">
        <v>365.4</v>
      </c>
      <c r="L777" t="n">
        <v>431.17</v>
      </c>
      <c r="M777">
        <f>הגדרות!B9</f>
        <v/>
      </c>
      <c r="N777">
        <f>K777*(1-M777/100)*1.18</f>
        <v/>
      </c>
      <c r="O777">
        <f>הגדרות!C9</f>
        <v/>
      </c>
      <c r="P777">
        <f>הגדרות!D9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רגיל</t>
        </is>
      </c>
      <c r="F778" t="inlineStr">
        <is>
          <t>יבש</t>
        </is>
      </c>
      <c r="G778" t="inlineStr"/>
      <c r="H778" t="inlineStr">
        <is>
          <t>כלב</t>
        </is>
      </c>
      <c r="I778" t="inlineStr"/>
      <c r="J778" t="inlineStr">
        <is>
          <t>2026-06</t>
        </is>
      </c>
      <c r="K778" t="n">
        <v>118.89</v>
      </c>
      <c r="L778" t="n">
        <v>140.29</v>
      </c>
      <c r="M778">
        <f>הגדרות!B9</f>
        <v/>
      </c>
      <c r="N778">
        <f>K778*(1-M778/100)*1.18</f>
        <v/>
      </c>
      <c r="O778">
        <f>הגדרות!C9</f>
        <v/>
      </c>
      <c r="P778">
        <f>הגדרות!D9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רגיל</t>
        </is>
      </c>
      <c r="F779" t="inlineStr">
        <is>
          <t>יבש</t>
        </is>
      </c>
      <c r="G779" t="inlineStr"/>
      <c r="H779" t="inlineStr">
        <is>
          <t>חתול</t>
        </is>
      </c>
      <c r="I779" t="inlineStr"/>
      <c r="J779" t="inlineStr">
        <is>
          <t>2026-06</t>
        </is>
      </c>
      <c r="K779" t="n">
        <v>9.130000000000001</v>
      </c>
      <c r="L779" t="n">
        <v>10.77</v>
      </c>
      <c r="M779">
        <f>הגדרות!B9</f>
        <v/>
      </c>
      <c r="N779">
        <f>K779*(1-M779/100)*1.18</f>
        <v/>
      </c>
      <c r="O779">
        <f>הגדרות!C9</f>
        <v/>
      </c>
      <c r="P779">
        <f>הגדרות!D9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רגיל</t>
        </is>
      </c>
      <c r="F780" t="inlineStr">
        <is>
          <t>יבש</t>
        </is>
      </c>
      <c r="G780" t="inlineStr"/>
      <c r="H780" t="inlineStr">
        <is>
          <t>חתול</t>
        </is>
      </c>
      <c r="I780" t="inlineStr"/>
      <c r="J780" t="inlineStr">
        <is>
          <t>2026-06</t>
        </is>
      </c>
      <c r="K780" t="n">
        <v>8.039999999999999</v>
      </c>
      <c r="L780" t="n">
        <v>9.49</v>
      </c>
      <c r="M780">
        <f>הגדרות!B9</f>
        <v/>
      </c>
      <c r="N780">
        <f>K780*(1-M780/100)*1.18</f>
        <v/>
      </c>
      <c r="O780">
        <f>הגדרות!C9</f>
        <v/>
      </c>
      <c r="P780">
        <f>הגדרות!D9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רגיל</t>
        </is>
      </c>
      <c r="F781" t="inlineStr">
        <is>
          <t>יבש</t>
        </is>
      </c>
      <c r="G781" t="inlineStr"/>
      <c r="H781" t="inlineStr">
        <is>
          <t>חתול</t>
        </is>
      </c>
      <c r="I781" t="inlineStr"/>
      <c r="J781" t="inlineStr">
        <is>
          <t>2026-06</t>
        </is>
      </c>
      <c r="K781" t="n">
        <v>9.130000000000001</v>
      </c>
      <c r="L781" t="n">
        <v>10.77</v>
      </c>
      <c r="M781">
        <f>הגדרות!B9</f>
        <v/>
      </c>
      <c r="N781">
        <f>K781*(1-M781/100)*1.18</f>
        <v/>
      </c>
      <c r="O781">
        <f>הגדרות!C9</f>
        <v/>
      </c>
      <c r="P781">
        <f>הגדרות!D9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רגיל</t>
        </is>
      </c>
      <c r="F782" t="inlineStr">
        <is>
          <t>יבש</t>
        </is>
      </c>
      <c r="G782" t="inlineStr"/>
      <c r="H782" t="inlineStr">
        <is>
          <t>חתול</t>
        </is>
      </c>
      <c r="I782" t="inlineStr"/>
      <c r="J782" t="inlineStr">
        <is>
          <t>2026-06</t>
        </is>
      </c>
      <c r="K782" t="n">
        <v>8.039999999999999</v>
      </c>
      <c r="L782" t="n">
        <v>9.49</v>
      </c>
      <c r="M782">
        <f>הגדרות!B9</f>
        <v/>
      </c>
      <c r="N782">
        <f>K782*(1-M782/100)*1.18</f>
        <v/>
      </c>
      <c r="O782">
        <f>הגדרות!C9</f>
        <v/>
      </c>
      <c r="P782">
        <f>הגדרות!D9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רגיל</t>
        </is>
      </c>
      <c r="F783" t="inlineStr">
        <is>
          <t>יבש</t>
        </is>
      </c>
      <c r="G783" t="inlineStr"/>
      <c r="H783" t="inlineStr">
        <is>
          <t>חתול</t>
        </is>
      </c>
      <c r="I783" t="inlineStr"/>
      <c r="J783" t="inlineStr">
        <is>
          <t>2026-06</t>
        </is>
      </c>
      <c r="K783" t="n">
        <v>9.130000000000001</v>
      </c>
      <c r="L783" t="n">
        <v>10.77</v>
      </c>
      <c r="M783">
        <f>הגדרות!B9</f>
        <v/>
      </c>
      <c r="N783">
        <f>K783*(1-M783/100)*1.18</f>
        <v/>
      </c>
      <c r="O783">
        <f>הגדרות!C9</f>
        <v/>
      </c>
      <c r="P783">
        <f>הגדרות!D9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רגיל</t>
        </is>
      </c>
      <c r="F784" t="inlineStr">
        <is>
          <t>יבש</t>
        </is>
      </c>
      <c r="G784" t="inlineStr"/>
      <c r="H784" t="inlineStr">
        <is>
          <t>חתול</t>
        </is>
      </c>
      <c r="I784" t="inlineStr"/>
      <c r="J784" t="inlineStr">
        <is>
          <t>2026-06</t>
        </is>
      </c>
      <c r="K784" t="n">
        <v>8.039999999999999</v>
      </c>
      <c r="L784" t="n">
        <v>9.49</v>
      </c>
      <c r="M784">
        <f>הגדרות!B9</f>
        <v/>
      </c>
      <c r="N784">
        <f>K784*(1-M784/100)*1.18</f>
        <v/>
      </c>
      <c r="O784">
        <f>הגדרות!C9</f>
        <v/>
      </c>
      <c r="P784">
        <f>הגדרות!D9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רגיל</t>
        </is>
      </c>
      <c r="F785" t="inlineStr">
        <is>
          <t>יבש</t>
        </is>
      </c>
      <c r="G785" t="inlineStr"/>
      <c r="H785" t="inlineStr">
        <is>
          <t>חתול</t>
        </is>
      </c>
      <c r="I785" t="inlineStr"/>
      <c r="J785" t="inlineStr">
        <is>
          <t>2026-06</t>
        </is>
      </c>
      <c r="K785" t="n">
        <v>10.92</v>
      </c>
      <c r="L785" t="n">
        <v>12.89</v>
      </c>
      <c r="M785">
        <f>הגדרות!B9</f>
        <v/>
      </c>
      <c r="N785">
        <f>K785*(1-M785/100)*1.18</f>
        <v/>
      </c>
      <c r="O785">
        <f>הגדרות!C9</f>
        <v/>
      </c>
      <c r="P785">
        <f>הגדרות!D9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רגיל</t>
        </is>
      </c>
      <c r="F786" t="inlineStr">
        <is>
          <t>יבש</t>
        </is>
      </c>
      <c r="G786" t="inlineStr"/>
      <c r="H786" t="inlineStr">
        <is>
          <t>כלב</t>
        </is>
      </c>
      <c r="I786" t="inlineStr"/>
      <c r="J786" t="inlineStr">
        <is>
          <t>2026-06</t>
        </is>
      </c>
      <c r="K786" t="n">
        <v>17.69</v>
      </c>
      <c r="L786" t="n">
        <v>20.87</v>
      </c>
      <c r="M786">
        <f>הגדרות!B9</f>
        <v/>
      </c>
      <c r="N786">
        <f>K786*(1-M786/100)*1.18</f>
        <v/>
      </c>
      <c r="O786">
        <f>הגדרות!C9</f>
        <v/>
      </c>
      <c r="P786">
        <f>הגדרות!D9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רגיל</t>
        </is>
      </c>
      <c r="F787" t="inlineStr">
        <is>
          <t>יבש</t>
        </is>
      </c>
      <c r="G787" t="inlineStr"/>
      <c r="H787" t="inlineStr">
        <is>
          <t>כלב</t>
        </is>
      </c>
      <c r="I787" t="inlineStr"/>
      <c r="J787" t="inlineStr">
        <is>
          <t>2026-06</t>
        </is>
      </c>
      <c r="K787" t="n">
        <v>17.69</v>
      </c>
      <c r="L787" t="n">
        <v>20.87</v>
      </c>
      <c r="M787">
        <f>הגדרות!B9</f>
        <v/>
      </c>
      <c r="N787">
        <f>K787*(1-M787/100)*1.18</f>
        <v/>
      </c>
      <c r="O787">
        <f>הגדרות!C9</f>
        <v/>
      </c>
      <c r="P787">
        <f>הגדרות!D9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רגיל</t>
        </is>
      </c>
      <c r="F788" t="inlineStr">
        <is>
          <t>יבש</t>
        </is>
      </c>
      <c r="G788" t="inlineStr"/>
      <c r="H788" t="inlineStr">
        <is>
          <t>כלב</t>
        </is>
      </c>
      <c r="I788" t="inlineStr"/>
      <c r="J788" t="inlineStr">
        <is>
          <t>2026-06</t>
        </is>
      </c>
      <c r="K788" t="n">
        <v>18.57</v>
      </c>
      <c r="L788" t="n">
        <v>21.91</v>
      </c>
      <c r="M788">
        <f>הגדרות!B9</f>
        <v/>
      </c>
      <c r="N788">
        <f>K788*(1-M788/100)*1.18</f>
        <v/>
      </c>
      <c r="O788">
        <f>הגדרות!C9</f>
        <v/>
      </c>
      <c r="P788">
        <f>הגדרות!D9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רגיל</t>
        </is>
      </c>
      <c r="F789" t="inlineStr">
        <is>
          <t>יבש</t>
        </is>
      </c>
      <c r="G789" t="inlineStr"/>
      <c r="H789" t="inlineStr">
        <is>
          <t>כלב</t>
        </is>
      </c>
      <c r="I789" t="inlineStr"/>
      <c r="J789" t="inlineStr">
        <is>
          <t>2026-06</t>
        </is>
      </c>
      <c r="K789" t="n">
        <v>33.58</v>
      </c>
      <c r="L789" t="n">
        <v>39.62</v>
      </c>
      <c r="M789">
        <f>הגדרות!B9</f>
        <v/>
      </c>
      <c r="N789">
        <f>K789*(1-M789/100)*1.18</f>
        <v/>
      </c>
      <c r="O789">
        <f>הגדרות!C9</f>
        <v/>
      </c>
      <c r="P789">
        <f>הגדרות!D9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רגיל</t>
        </is>
      </c>
      <c r="F790" t="inlineStr">
        <is>
          <t>יבש</t>
        </is>
      </c>
      <c r="G790" t="inlineStr"/>
      <c r="H790" t="inlineStr">
        <is>
          <t>כלב</t>
        </is>
      </c>
      <c r="I790" t="inlineStr"/>
      <c r="J790" t="inlineStr">
        <is>
          <t>2026-06</t>
        </is>
      </c>
      <c r="K790" t="n">
        <v>33.58</v>
      </c>
      <c r="L790" t="n">
        <v>39.62</v>
      </c>
      <c r="M790">
        <f>הגדרות!B9</f>
        <v/>
      </c>
      <c r="N790">
        <f>K790*(1-M790/100)*1.18</f>
        <v/>
      </c>
      <c r="O790">
        <f>הגדרות!C9</f>
        <v/>
      </c>
      <c r="P790">
        <f>הגדרות!D9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רגיל</t>
        </is>
      </c>
      <c r="F791" t="inlineStr">
        <is>
          <t>יבש</t>
        </is>
      </c>
      <c r="G791" t="inlineStr"/>
      <c r="H791" t="inlineStr">
        <is>
          <t>כלב</t>
        </is>
      </c>
      <c r="I791" t="inlineStr"/>
      <c r="J791" t="inlineStr">
        <is>
          <t>2026-06</t>
        </is>
      </c>
      <c r="K791" t="n">
        <v>119.85</v>
      </c>
      <c r="L791" t="n">
        <v>141.42</v>
      </c>
      <c r="M791">
        <f>הגדרות!B9</f>
        <v/>
      </c>
      <c r="N791">
        <f>K791*(1-M791/100)*1.18</f>
        <v/>
      </c>
      <c r="O791">
        <f>הגדרות!C9</f>
        <v/>
      </c>
      <c r="P791">
        <f>הגדרות!D9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רגיל</t>
        </is>
      </c>
      <c r="F792" t="inlineStr">
        <is>
          <t>יבש</t>
        </is>
      </c>
      <c r="G792" t="inlineStr"/>
      <c r="H792" t="inlineStr">
        <is>
          <t>כלב</t>
        </is>
      </c>
      <c r="I792" t="inlineStr"/>
      <c r="J792" t="inlineStr">
        <is>
          <t>2026-06</t>
        </is>
      </c>
      <c r="K792" t="n">
        <v>119.85</v>
      </c>
      <c r="L792" t="n">
        <v>141.42</v>
      </c>
      <c r="M792">
        <f>הגדרות!B9</f>
        <v/>
      </c>
      <c r="N792">
        <f>K792*(1-M792/100)*1.18</f>
        <v/>
      </c>
      <c r="O792">
        <f>הגדרות!C9</f>
        <v/>
      </c>
      <c r="P792">
        <f>הגדרות!D9</f>
        <v/>
      </c>
      <c r="Q792">
        <f>N792*(1+O792/100)+P792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וטרינרי / רפואי</t>
        </is>
      </c>
      <c r="F793" t="inlineStr">
        <is>
          <t>יבש</t>
        </is>
      </c>
      <c r="G793" t="inlineStr"/>
      <c r="H793" t="inlineStr">
        <is>
          <t>כלב</t>
        </is>
      </c>
      <c r="I793" t="inlineStr"/>
      <c r="J793" t="inlineStr">
        <is>
          <t>2026-07</t>
        </is>
      </c>
      <c r="K793" t="n">
        <v>409</v>
      </c>
      <c r="L793" t="n">
        <v>482.62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וטרינרי / רפואי</t>
        </is>
      </c>
      <c r="F794" t="inlineStr">
        <is>
          <t>יבש</t>
        </is>
      </c>
      <c r="G794" t="inlineStr"/>
      <c r="H794" t="inlineStr">
        <is>
          <t>כלב</t>
        </is>
      </c>
      <c r="I794" t="inlineStr"/>
      <c r="J794" t="inlineStr">
        <is>
          <t>2026-07</t>
        </is>
      </c>
      <c r="K794" t="n">
        <v>116</v>
      </c>
      <c r="L794" t="n">
        <v>136.88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וטרינרי / רפואי</t>
        </is>
      </c>
      <c r="F795" t="inlineStr">
        <is>
          <t>יבש</t>
        </is>
      </c>
      <c r="G795" t="inlineStr"/>
      <c r="H795" t="inlineStr">
        <is>
          <t>כלב</t>
        </is>
      </c>
      <c r="I795" t="inlineStr"/>
      <c r="J795" t="inlineStr">
        <is>
          <t>2026-07</t>
        </is>
      </c>
      <c r="K795" t="n">
        <v>409</v>
      </c>
      <c r="L795" t="n">
        <v>482.62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וטרינרי / רפואי</t>
        </is>
      </c>
      <c r="F796" t="inlineStr">
        <is>
          <t>יבש</t>
        </is>
      </c>
      <c r="G796" t="inlineStr"/>
      <c r="H796" t="inlineStr">
        <is>
          <t>כלב</t>
        </is>
      </c>
      <c r="I796" t="inlineStr"/>
      <c r="J796" t="inlineStr">
        <is>
          <t>2026-07</t>
        </is>
      </c>
      <c r="K796" t="n">
        <v>116</v>
      </c>
      <c r="L796" t="n">
        <v>136.88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וטרינרי / רפואי</t>
        </is>
      </c>
      <c r="F797" t="inlineStr">
        <is>
          <t>יבש</t>
        </is>
      </c>
      <c r="G797" t="inlineStr"/>
      <c r="H797" t="inlineStr">
        <is>
          <t>כלב</t>
        </is>
      </c>
      <c r="I797" t="inlineStr"/>
      <c r="J797" t="inlineStr">
        <is>
          <t>2026-07</t>
        </is>
      </c>
      <c r="K797" t="n">
        <v>103</v>
      </c>
      <c r="L797" t="n">
        <v>121.54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וטרינרי / רפואי</t>
        </is>
      </c>
      <c r="F798" t="inlineStr">
        <is>
          <t>יבש</t>
        </is>
      </c>
      <c r="G798" t="inlineStr"/>
      <c r="H798" t="inlineStr">
        <is>
          <t>כלב</t>
        </is>
      </c>
      <c r="I798" t="inlineStr"/>
      <c r="J798" t="inlineStr">
        <is>
          <t>2026-07</t>
        </is>
      </c>
      <c r="K798" t="n">
        <v>210</v>
      </c>
      <c r="L798" t="n">
        <v>247.8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וטרינרי / רפואי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2026-07</t>
        </is>
      </c>
      <c r="K799" t="n">
        <v>101</v>
      </c>
      <c r="L799" t="n">
        <v>119.18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וטרינרי / רפואי</t>
        </is>
      </c>
      <c r="F800" t="inlineStr">
        <is>
          <t>יבש</t>
        </is>
      </c>
      <c r="G800" t="inlineStr"/>
      <c r="H800" t="inlineStr">
        <is>
          <t>כלב</t>
        </is>
      </c>
      <c r="I800" t="inlineStr"/>
      <c r="J800" t="inlineStr">
        <is>
          <t>2026-07</t>
        </is>
      </c>
      <c r="K800" t="n">
        <v>448</v>
      </c>
      <c r="L800" t="n">
        <v>528.64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וטרינרי / רפואי</t>
        </is>
      </c>
      <c r="F801" t="inlineStr">
        <is>
          <t>יבש</t>
        </is>
      </c>
      <c r="G801" t="inlineStr"/>
      <c r="H801" t="inlineStr">
        <is>
          <t>כלב</t>
        </is>
      </c>
      <c r="I801" t="inlineStr"/>
      <c r="J801" t="inlineStr">
        <is>
          <t>2026-07</t>
        </is>
      </c>
      <c r="K801" t="n">
        <v>116</v>
      </c>
      <c r="L801" t="n">
        <v>136.88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וטרינרי / רפואי</t>
        </is>
      </c>
      <c r="F802" t="inlineStr">
        <is>
          <t>יבש</t>
        </is>
      </c>
      <c r="G802" t="inlineStr"/>
      <c r="H802" t="inlineStr">
        <is>
          <t>כלב</t>
        </is>
      </c>
      <c r="I802" t="inlineStr"/>
      <c r="J802" t="inlineStr">
        <is>
          <t>2026-07</t>
        </is>
      </c>
      <c r="K802" t="n">
        <v>406</v>
      </c>
      <c r="L802" t="n">
        <v>479.08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וטרינרי / רפואי</t>
        </is>
      </c>
      <c r="F803" t="inlineStr">
        <is>
          <t>יבש</t>
        </is>
      </c>
      <c r="G803" t="inlineStr"/>
      <c r="H803" t="inlineStr">
        <is>
          <t>כלב</t>
        </is>
      </c>
      <c r="I803" t="inlineStr"/>
      <c r="J803" t="inlineStr">
        <is>
          <t>2026-07</t>
        </is>
      </c>
      <c r="K803" t="n">
        <v>116</v>
      </c>
      <c r="L803" t="n">
        <v>136.88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וטרינרי / רפואי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2026-07</t>
        </is>
      </c>
      <c r="K804" t="n">
        <v>101</v>
      </c>
      <c r="L804" t="n">
        <v>119.18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וטרינרי / רפואי</t>
        </is>
      </c>
      <c r="F805" t="inlineStr">
        <is>
          <t>יבש</t>
        </is>
      </c>
      <c r="G805" t="inlineStr"/>
      <c r="H805" t="inlineStr">
        <is>
          <t>כלב</t>
        </is>
      </c>
      <c r="I805" t="inlineStr"/>
      <c r="J805" t="inlineStr">
        <is>
          <t>2026-07</t>
        </is>
      </c>
      <c r="K805" t="n">
        <v>448</v>
      </c>
      <c r="L805" t="n">
        <v>528.64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וטרינרי / רפואי</t>
        </is>
      </c>
      <c r="F806" t="inlineStr">
        <is>
          <t>יבש</t>
        </is>
      </c>
      <c r="G806" t="inlineStr"/>
      <c r="H806" t="inlineStr">
        <is>
          <t>כלב</t>
        </is>
      </c>
      <c r="I806" t="inlineStr"/>
      <c r="J806" t="inlineStr">
        <is>
          <t>2026-07</t>
        </is>
      </c>
      <c r="K806" t="n">
        <v>116</v>
      </c>
      <c r="L806" t="n">
        <v>136.88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וטרינרי / רפואי</t>
        </is>
      </c>
      <c r="F807" t="inlineStr">
        <is>
          <t>יבש</t>
        </is>
      </c>
      <c r="G807" t="inlineStr"/>
      <c r="H807" t="inlineStr">
        <is>
          <t>חתול</t>
        </is>
      </c>
      <c r="I807" t="inlineStr"/>
      <c r="J807" t="inlineStr">
        <is>
          <t>2026-07</t>
        </is>
      </c>
      <c r="K807" t="n">
        <v>97</v>
      </c>
      <c r="L807" t="n">
        <v>114.46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וטרינרי / רפואי</t>
        </is>
      </c>
      <c r="F808" t="inlineStr">
        <is>
          <t>יבש</t>
        </is>
      </c>
      <c r="G808" t="inlineStr"/>
      <c r="H808" t="inlineStr">
        <is>
          <t>חתול</t>
        </is>
      </c>
      <c r="I808" t="inlineStr"/>
      <c r="J808" t="inlineStr">
        <is>
          <t>2026-07</t>
        </is>
      </c>
      <c r="K808" t="n">
        <v>97</v>
      </c>
      <c r="L808" t="n">
        <v>114.46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וטרינרי / רפואי</t>
        </is>
      </c>
      <c r="F809" t="inlineStr">
        <is>
          <t>יבש</t>
        </is>
      </c>
      <c r="G809" t="inlineStr"/>
      <c r="H809" t="inlineStr">
        <is>
          <t>חתול</t>
        </is>
      </c>
      <c r="I809" t="inlineStr"/>
      <c r="J809" t="inlineStr">
        <is>
          <t>2026-07</t>
        </is>
      </c>
      <c r="K809" t="n">
        <v>97</v>
      </c>
      <c r="L809" t="n">
        <v>114.46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וטרינרי / רפואי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2026-07</t>
        </is>
      </c>
      <c r="K810" t="n">
        <v>97</v>
      </c>
      <c r="L810" t="n">
        <v>114.46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וטרינרי / רפואי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2026-07</t>
        </is>
      </c>
      <c r="K811" t="n">
        <v>97</v>
      </c>
      <c r="L811" t="n">
        <v>114.46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וטרינרי / רפואי</t>
        </is>
      </c>
      <c r="F812" t="inlineStr">
        <is>
          <t>יבש</t>
        </is>
      </c>
      <c r="G812" t="inlineStr"/>
      <c r="H812" t="inlineStr">
        <is>
          <t>חתול</t>
        </is>
      </c>
      <c r="I812" t="inlineStr"/>
      <c r="J812" t="inlineStr">
        <is>
          <t>2026-07</t>
        </is>
      </c>
      <c r="K812" t="n">
        <v>97</v>
      </c>
      <c r="L812" t="n">
        <v>114.46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וטרינרי / רפואי</t>
        </is>
      </c>
      <c r="F813" t="inlineStr">
        <is>
          <t>יבש</t>
        </is>
      </c>
      <c r="G813" t="inlineStr"/>
      <c r="H813" t="inlineStr">
        <is>
          <t>כלב</t>
        </is>
      </c>
      <c r="I813" t="inlineStr"/>
      <c r="J813" t="inlineStr">
        <is>
          <t>2026-07</t>
        </is>
      </c>
      <c r="K813" t="n">
        <v>448</v>
      </c>
      <c r="L813" t="n">
        <v>528.64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וטרינרי / רפואי</t>
        </is>
      </c>
      <c r="F814" t="inlineStr">
        <is>
          <t>יבש</t>
        </is>
      </c>
      <c r="G814" t="inlineStr"/>
      <c r="H814" t="inlineStr">
        <is>
          <t>כלב</t>
        </is>
      </c>
      <c r="I814" t="inlineStr"/>
      <c r="J814" t="inlineStr">
        <is>
          <t>2026-07</t>
        </is>
      </c>
      <c r="K814" t="n">
        <v>448</v>
      </c>
      <c r="L814" t="n">
        <v>528.64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וטרינרי / רפואי</t>
        </is>
      </c>
      <c r="F815" t="inlineStr">
        <is>
          <t>יבש</t>
        </is>
      </c>
      <c r="G815" t="inlineStr"/>
      <c r="H815" t="inlineStr">
        <is>
          <t>כלב</t>
        </is>
      </c>
      <c r="I815" t="inlineStr"/>
      <c r="J815" t="inlineStr">
        <is>
          <t>2026-07</t>
        </is>
      </c>
      <c r="K815" t="n">
        <v>116</v>
      </c>
      <c r="L815" t="n">
        <v>136.88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וטרינרי / רפואי</t>
        </is>
      </c>
      <c r="F816" t="inlineStr">
        <is>
          <t>יבש</t>
        </is>
      </c>
      <c r="G816" t="inlineStr"/>
      <c r="H816" t="inlineStr">
        <is>
          <t>כלב</t>
        </is>
      </c>
      <c r="I816" t="inlineStr"/>
      <c r="J816" t="inlineStr">
        <is>
          <t>2026-07</t>
        </is>
      </c>
      <c r="K816" t="n">
        <v>431</v>
      </c>
      <c r="L816" t="n">
        <v>508.58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וטרינרי / רפואי</t>
        </is>
      </c>
      <c r="F817" t="inlineStr">
        <is>
          <t>יבש</t>
        </is>
      </c>
      <c r="G817" t="inlineStr"/>
      <c r="H817" t="inlineStr">
        <is>
          <t>כלב</t>
        </is>
      </c>
      <c r="I817" t="inlineStr"/>
      <c r="J817" t="inlineStr">
        <is>
          <t>2026-07</t>
        </is>
      </c>
      <c r="K817" t="n">
        <v>116</v>
      </c>
      <c r="L817" t="n">
        <v>136.88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וטרינרי / רפואי</t>
        </is>
      </c>
      <c r="F818" t="inlineStr">
        <is>
          <t>יבש</t>
        </is>
      </c>
      <c r="G818" t="inlineStr"/>
      <c r="H818" t="inlineStr">
        <is>
          <t>כלב</t>
        </is>
      </c>
      <c r="I818" t="inlineStr"/>
      <c r="J818" t="inlineStr">
        <is>
          <t>2026-07</t>
        </is>
      </c>
      <c r="K818" t="n">
        <v>116</v>
      </c>
      <c r="L818" t="n">
        <v>136.88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וטרינרי / רפואי</t>
        </is>
      </c>
      <c r="F819" t="inlineStr">
        <is>
          <t>יבש</t>
        </is>
      </c>
      <c r="G819" t="inlineStr"/>
      <c r="H819" t="inlineStr">
        <is>
          <t>כלב</t>
        </is>
      </c>
      <c r="I819" t="inlineStr"/>
      <c r="J819" t="inlineStr">
        <is>
          <t>2026-07</t>
        </is>
      </c>
      <c r="K819" t="n">
        <v>469</v>
      </c>
      <c r="L819" t="n">
        <v>553.42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וטרינרי / רפואי</t>
        </is>
      </c>
      <c r="F820" t="inlineStr">
        <is>
          <t>רטוב</t>
        </is>
      </c>
      <c r="G820" t="inlineStr"/>
      <c r="H820" t="inlineStr">
        <is>
          <t>כלב</t>
        </is>
      </c>
      <c r="I820" t="inlineStr"/>
      <c r="J820" t="inlineStr">
        <is>
          <t>2026-07</t>
        </is>
      </c>
      <c r="K820" t="n">
        <v>6.7</v>
      </c>
      <c r="L820" t="n">
        <v>7.91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וטרינרי / רפואי</t>
        </is>
      </c>
      <c r="F821" t="inlineStr">
        <is>
          <t>רטוב</t>
        </is>
      </c>
      <c r="G821" t="inlineStr"/>
      <c r="H821" t="inlineStr">
        <is>
          <t>כלב</t>
        </is>
      </c>
      <c r="I821" t="inlineStr"/>
      <c r="J821" t="inlineStr">
        <is>
          <t>2026-07</t>
        </is>
      </c>
      <c r="K821" t="n">
        <v>6.7</v>
      </c>
      <c r="L821" t="n">
        <v>7.91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וטרינרי / רפואי</t>
        </is>
      </c>
      <c r="F822" t="inlineStr">
        <is>
          <t>רטוב</t>
        </is>
      </c>
      <c r="G822" t="inlineStr"/>
      <c r="H822" t="inlineStr">
        <is>
          <t>כלב</t>
        </is>
      </c>
      <c r="I822" t="inlineStr"/>
      <c r="J822" t="inlineStr">
        <is>
          <t>2026-07</t>
        </is>
      </c>
      <c r="K822" t="n">
        <v>6.7</v>
      </c>
      <c r="L822" t="n">
        <v>7.91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וטרינרי / רפואי</t>
        </is>
      </c>
      <c r="F823" t="inlineStr">
        <is>
          <t>רטוב</t>
        </is>
      </c>
      <c r="G823" t="inlineStr"/>
      <c r="H823" t="inlineStr">
        <is>
          <t>כלב</t>
        </is>
      </c>
      <c r="I823" t="inlineStr"/>
      <c r="J823" t="inlineStr">
        <is>
          <t>2026-07</t>
        </is>
      </c>
      <c r="K823" t="n">
        <v>7.9</v>
      </c>
      <c r="L823" t="n">
        <v>9.32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וטרינרי / רפואי</t>
        </is>
      </c>
      <c r="F824" t="inlineStr">
        <is>
          <t>רטוב</t>
        </is>
      </c>
      <c r="G824" t="inlineStr"/>
      <c r="H824" t="inlineStr">
        <is>
          <t>חתול</t>
        </is>
      </c>
      <c r="I824" t="inlineStr"/>
      <c r="J824" t="inlineStr">
        <is>
          <t>2026-07</t>
        </is>
      </c>
      <c r="K824" t="n">
        <v>5.4</v>
      </c>
      <c r="L824" t="n">
        <v>6.37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וטרינרי / רפואי</t>
        </is>
      </c>
      <c r="F825" t="inlineStr">
        <is>
          <t>רטוב</t>
        </is>
      </c>
      <c r="G825" t="inlineStr"/>
      <c r="H825" t="inlineStr">
        <is>
          <t>חתול</t>
        </is>
      </c>
      <c r="I825" t="inlineStr"/>
      <c r="J825" t="inlineStr">
        <is>
          <t>2026-07</t>
        </is>
      </c>
      <c r="K825" t="n">
        <v>5.4</v>
      </c>
      <c r="L825" t="n">
        <v>6.37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וטרינרי / רפואי</t>
        </is>
      </c>
      <c r="F826" t="inlineStr">
        <is>
          <t>רטוב</t>
        </is>
      </c>
      <c r="G826" t="inlineStr"/>
      <c r="H826" t="inlineStr">
        <is>
          <t>חתול</t>
        </is>
      </c>
      <c r="I826" t="inlineStr"/>
      <c r="J826" t="inlineStr">
        <is>
          <t>2026-07</t>
        </is>
      </c>
      <c r="K826" t="n">
        <v>5.4</v>
      </c>
      <c r="L826" t="n">
        <v>6.37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וטרינרי / רפואי</t>
        </is>
      </c>
      <c r="F827" t="inlineStr">
        <is>
          <t>רטוב</t>
        </is>
      </c>
      <c r="G827" t="inlineStr"/>
      <c r="H827" t="inlineStr">
        <is>
          <t>חתול</t>
        </is>
      </c>
      <c r="I827" t="inlineStr"/>
      <c r="J827" t="inlineStr">
        <is>
          <t>2026-07</t>
        </is>
      </c>
      <c r="K827" t="n">
        <v>5.4</v>
      </c>
      <c r="L827" t="n">
        <v>6.37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וטרינרי / רפואי</t>
        </is>
      </c>
      <c r="F828" t="inlineStr">
        <is>
          <t>רטוב</t>
        </is>
      </c>
      <c r="G828" t="inlineStr"/>
      <c r="H828" t="inlineStr">
        <is>
          <t>חתול</t>
        </is>
      </c>
      <c r="I828" t="inlineStr"/>
      <c r="J828" t="inlineStr">
        <is>
          <t>2026-07</t>
        </is>
      </c>
      <c r="K828" t="n">
        <v>5.9</v>
      </c>
      <c r="L828" t="n">
        <v>6.96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וטרינרי / רפואי</t>
        </is>
      </c>
      <c r="F829" t="inlineStr">
        <is>
          <t>רטוב</t>
        </is>
      </c>
      <c r="G829" t="inlineStr"/>
      <c r="H829" t="inlineStr"/>
      <c r="I829" t="inlineStr"/>
      <c r="J829" t="inlineStr">
        <is>
          <t>2026-07</t>
        </is>
      </c>
      <c r="K829" t="n">
        <v>12</v>
      </c>
      <c r="L829" t="n">
        <v>14.16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וטרינרי / רפואי</t>
        </is>
      </c>
      <c r="F830" t="inlineStr">
        <is>
          <t>רטוב</t>
        </is>
      </c>
      <c r="G830" t="inlineStr"/>
      <c r="H830" t="inlineStr"/>
      <c r="I830" t="inlineStr"/>
      <c r="J830" t="inlineStr">
        <is>
          <t>2026-07</t>
        </is>
      </c>
      <c r="K830" t="n">
        <v>12</v>
      </c>
      <c r="L830" t="n">
        <v>14.16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וטרינרי / רפואי</t>
        </is>
      </c>
      <c r="F831" t="inlineStr">
        <is>
          <t>רטוב</t>
        </is>
      </c>
      <c r="G831" t="inlineStr"/>
      <c r="H831" t="inlineStr"/>
      <c r="I831" t="inlineStr"/>
      <c r="J831" t="inlineStr">
        <is>
          <t>2026-07</t>
        </is>
      </c>
      <c r="K831" t="n">
        <v>12</v>
      </c>
      <c r="L831" t="n">
        <v>14.16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וטרינרי / רפואי</t>
        </is>
      </c>
      <c r="F832" t="inlineStr">
        <is>
          <t>רטוב</t>
        </is>
      </c>
      <c r="G832" t="inlineStr"/>
      <c r="H832" t="inlineStr"/>
      <c r="I832" t="inlineStr"/>
      <c r="J832" t="inlineStr">
        <is>
          <t>2026-07</t>
        </is>
      </c>
      <c r="K832" t="n">
        <v>12</v>
      </c>
      <c r="L832" t="n">
        <v>14.16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וטרינרי / רפואי</t>
        </is>
      </c>
      <c r="F833" t="inlineStr">
        <is>
          <t>רטוב</t>
        </is>
      </c>
      <c r="G833" t="inlineStr"/>
      <c r="H833" t="inlineStr"/>
      <c r="I833" t="inlineStr"/>
      <c r="J833" t="inlineStr">
        <is>
          <t>2026-07</t>
        </is>
      </c>
      <c r="K833" t="n">
        <v>12</v>
      </c>
      <c r="L833" t="n">
        <v>14.16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/>
      <c r="I834" t="inlineStr"/>
      <c r="J834" t="inlineStr">
        <is>
          <t>2026-07</t>
        </is>
      </c>
      <c r="K834" t="n">
        <v>318</v>
      </c>
      <c r="L834" t="n">
        <v>375.24</v>
      </c>
      <c r="M834">
        <f>הגדרות!B11</f>
        <v/>
      </c>
      <c r="N834">
        <f>K834*(1-M834/100)*1.18</f>
        <v/>
      </c>
      <c r="O834">
        <f>הגדרות!C11</f>
        <v/>
      </c>
      <c r="P834">
        <f>הגדרות!D11</f>
        <v/>
      </c>
      <c r="Q834">
        <f>N834*(1+O834/100)+P834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/>
      <c r="I835" t="inlineStr"/>
      <c r="J835" t="inlineStr">
        <is>
          <t>2026-07</t>
        </is>
      </c>
      <c r="K835" t="n">
        <v>318</v>
      </c>
      <c r="L835" t="n">
        <v>375.24</v>
      </c>
      <c r="M835">
        <f>הגדרות!B11</f>
        <v/>
      </c>
      <c r="N835">
        <f>K835*(1-M835/100)*1.18</f>
        <v/>
      </c>
      <c r="O835">
        <f>הגדרות!C11</f>
        <v/>
      </c>
      <c r="P835">
        <f>הגדרות!D11</f>
        <v/>
      </c>
      <c r="Q835">
        <f>N835*(1+O835/100)+P835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/>
      <c r="I836" t="inlineStr"/>
      <c r="J836" t="inlineStr">
        <is>
          <t>2026-07</t>
        </is>
      </c>
      <c r="K836" t="n">
        <v>90</v>
      </c>
      <c r="L836" t="n">
        <v>106.2</v>
      </c>
      <c r="M836">
        <f>הגדרות!B11</f>
        <v/>
      </c>
      <c r="N836">
        <f>K836*(1-M836/100)*1.18</f>
        <v/>
      </c>
      <c r="O836">
        <f>הגדרות!C11</f>
        <v/>
      </c>
      <c r="P836">
        <f>הגדרות!D11</f>
        <v/>
      </c>
      <c r="Q836">
        <f>N836*(1+O836/100)+P836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/>
      <c r="I837" t="inlineStr"/>
      <c r="J837" t="inlineStr">
        <is>
          <t>2026-07</t>
        </is>
      </c>
      <c r="K837" t="n">
        <v>318</v>
      </c>
      <c r="L837" t="n">
        <v>375.24</v>
      </c>
      <c r="M837">
        <f>הגדרות!B11</f>
        <v/>
      </c>
      <c r="N837">
        <f>K837*(1-M837/100)*1.18</f>
        <v/>
      </c>
      <c r="O837">
        <f>הגדרות!C11</f>
        <v/>
      </c>
      <c r="P837">
        <f>הגדרות!D11</f>
        <v/>
      </c>
      <c r="Q837">
        <f>N837*(1+O837/100)+P837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בוגר</t>
        </is>
      </c>
      <c r="H838" t="inlineStr"/>
      <c r="I838" t="inlineStr"/>
      <c r="J838" t="inlineStr">
        <is>
          <t>2026-07</t>
        </is>
      </c>
      <c r="K838" t="n">
        <v>90</v>
      </c>
      <c r="L838" t="n">
        <v>106.2</v>
      </c>
      <c r="M838">
        <f>הגדרות!B11</f>
        <v/>
      </c>
      <c r="N838">
        <f>K838*(1-M838/100)*1.18</f>
        <v/>
      </c>
      <c r="O838">
        <f>הגדרות!C11</f>
        <v/>
      </c>
      <c r="P838">
        <f>הגדרות!D11</f>
        <v/>
      </c>
      <c r="Q838">
        <f>N838*(1+O838/100)+P838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בוגר</t>
        </is>
      </c>
      <c r="H839" t="inlineStr"/>
      <c r="I839" t="inlineStr"/>
      <c r="J839" t="inlineStr">
        <is>
          <t>2026-07</t>
        </is>
      </c>
      <c r="K839" t="n">
        <v>318</v>
      </c>
      <c r="L839" t="n">
        <v>375.24</v>
      </c>
      <c r="M839">
        <f>הגדרות!B11</f>
        <v/>
      </c>
      <c r="N839">
        <f>K839*(1-M839/100)*1.18</f>
        <v/>
      </c>
      <c r="O839">
        <f>הגדרות!C11</f>
        <v/>
      </c>
      <c r="P839">
        <f>הגדרות!D11</f>
        <v/>
      </c>
      <c r="Q839">
        <f>N839*(1+O839/100)+P839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בוגר</t>
        </is>
      </c>
      <c r="H840" t="inlineStr"/>
      <c r="I840" t="inlineStr"/>
      <c r="J840" t="inlineStr">
        <is>
          <t>2026-07</t>
        </is>
      </c>
      <c r="K840" t="n">
        <v>90</v>
      </c>
      <c r="L840" t="n">
        <v>106.2</v>
      </c>
      <c r="M840">
        <f>הגדרות!B11</f>
        <v/>
      </c>
      <c r="N840">
        <f>K840*(1-M840/100)*1.18</f>
        <v/>
      </c>
      <c r="O840">
        <f>הגדרות!C11</f>
        <v/>
      </c>
      <c r="P840">
        <f>הגדרות!D11</f>
        <v/>
      </c>
      <c r="Q840">
        <f>N840*(1+O840/100)+P840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/>
      <c r="I841" t="inlineStr"/>
      <c r="J841" t="inlineStr">
        <is>
          <t>2026-07</t>
        </is>
      </c>
      <c r="K841" t="n">
        <v>318</v>
      </c>
      <c r="L841" t="n">
        <v>375.24</v>
      </c>
      <c r="M841">
        <f>הגדרות!B11</f>
        <v/>
      </c>
      <c r="N841">
        <f>K841*(1-M841/100)*1.18</f>
        <v/>
      </c>
      <c r="O841">
        <f>הגדרות!C11</f>
        <v/>
      </c>
      <c r="P841">
        <f>הגדרות!D11</f>
        <v/>
      </c>
      <c r="Q841">
        <f>N841*(1+O841/100)+P841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בוגר</t>
        </is>
      </c>
      <c r="H842" t="inlineStr"/>
      <c r="I842" t="inlineStr"/>
      <c r="J842" t="inlineStr">
        <is>
          <t>2026-07</t>
        </is>
      </c>
      <c r="K842" t="n">
        <v>90</v>
      </c>
      <c r="L842" t="n">
        <v>106.2</v>
      </c>
      <c r="M842">
        <f>הגדרות!B11</f>
        <v/>
      </c>
      <c r="N842">
        <f>K842*(1-M842/100)*1.18</f>
        <v/>
      </c>
      <c r="O842">
        <f>הגדרות!C11</f>
        <v/>
      </c>
      <c r="P842">
        <f>הגדרות!D11</f>
        <v/>
      </c>
      <c r="Q842">
        <f>N842*(1+O842/100)+P842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בוגר</t>
        </is>
      </c>
      <c r="H843" t="inlineStr"/>
      <c r="I843" t="inlineStr"/>
      <c r="J843" t="inlineStr">
        <is>
          <t>2026-07</t>
        </is>
      </c>
      <c r="K843" t="n">
        <v>318</v>
      </c>
      <c r="L843" t="n">
        <v>375.24</v>
      </c>
      <c r="M843">
        <f>הגדרות!B11</f>
        <v/>
      </c>
      <c r="N843">
        <f>K843*(1-M843/100)*1.18</f>
        <v/>
      </c>
      <c r="O843">
        <f>הגדרות!C11</f>
        <v/>
      </c>
      <c r="P843">
        <f>הגדרות!D11</f>
        <v/>
      </c>
      <c r="Q843">
        <f>N843*(1+O843/100)+P843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רגיל</t>
        </is>
      </c>
      <c r="F844" t="inlineStr">
        <is>
          <t>יבש</t>
        </is>
      </c>
      <c r="G844" t="inlineStr">
        <is>
          <t>בוגר</t>
        </is>
      </c>
      <c r="H844" t="inlineStr"/>
      <c r="I844" t="inlineStr"/>
      <c r="J844" t="inlineStr">
        <is>
          <t>2026-07</t>
        </is>
      </c>
      <c r="K844" t="n">
        <v>90</v>
      </c>
      <c r="L844" t="n">
        <v>106.2</v>
      </c>
      <c r="M844">
        <f>הגדרות!B11</f>
        <v/>
      </c>
      <c r="N844">
        <f>K844*(1-M844/100)*1.18</f>
        <v/>
      </c>
      <c r="O844">
        <f>הגדרות!C11</f>
        <v/>
      </c>
      <c r="P844">
        <f>הגדרות!D11</f>
        <v/>
      </c>
      <c r="Q844">
        <f>N844*(1+O844/100)+P844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רגיל</t>
        </is>
      </c>
      <c r="F845" t="inlineStr">
        <is>
          <t>יבש</t>
        </is>
      </c>
      <c r="G845" t="inlineStr">
        <is>
          <t>בוגר</t>
        </is>
      </c>
      <c r="H845" t="inlineStr"/>
      <c r="I845" t="inlineStr"/>
      <c r="J845" t="inlineStr">
        <is>
          <t>2026-07</t>
        </is>
      </c>
      <c r="K845" t="n">
        <v>318</v>
      </c>
      <c r="L845" t="n">
        <v>375.24</v>
      </c>
      <c r="M845">
        <f>הגדרות!B11</f>
        <v/>
      </c>
      <c r="N845">
        <f>K845*(1-M845/100)*1.18</f>
        <v/>
      </c>
      <c r="O845">
        <f>הגדרות!C11</f>
        <v/>
      </c>
      <c r="P845">
        <f>הגדרות!D11</f>
        <v/>
      </c>
      <c r="Q845">
        <f>N845*(1+O845/100)+P845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רגיל</t>
        </is>
      </c>
      <c r="F846" t="inlineStr">
        <is>
          <t>יבש</t>
        </is>
      </c>
      <c r="G846" t="inlineStr">
        <is>
          <t>בוגר</t>
        </is>
      </c>
      <c r="H846" t="inlineStr"/>
      <c r="I846" t="inlineStr"/>
      <c r="J846" t="inlineStr">
        <is>
          <t>2026-07</t>
        </is>
      </c>
      <c r="K846" t="n">
        <v>90</v>
      </c>
      <c r="L846" t="n">
        <v>106.2</v>
      </c>
      <c r="M846">
        <f>הגדרות!B11</f>
        <v/>
      </c>
      <c r="N846">
        <f>K846*(1-M846/100)*1.18</f>
        <v/>
      </c>
      <c r="O846">
        <f>הגדרות!C11</f>
        <v/>
      </c>
      <c r="P846">
        <f>הגדרות!D11</f>
        <v/>
      </c>
      <c r="Q846">
        <f>N846*(1+O846/100)+P846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רגיל</t>
        </is>
      </c>
      <c r="F847" t="inlineStr">
        <is>
          <t>יבש</t>
        </is>
      </c>
      <c r="G847" t="inlineStr">
        <is>
          <t>בוגר</t>
        </is>
      </c>
      <c r="H847" t="inlineStr"/>
      <c r="I847" t="inlineStr"/>
      <c r="J847" t="inlineStr">
        <is>
          <t>2026-07</t>
        </is>
      </c>
      <c r="K847" t="n">
        <v>318</v>
      </c>
      <c r="L847" t="n">
        <v>375.24</v>
      </c>
      <c r="M847">
        <f>הגדרות!B11</f>
        <v/>
      </c>
      <c r="N847">
        <f>K847*(1-M847/100)*1.18</f>
        <v/>
      </c>
      <c r="O847">
        <f>הגדרות!C11</f>
        <v/>
      </c>
      <c r="P847">
        <f>הגדרות!D11</f>
        <v/>
      </c>
      <c r="Q847">
        <f>N847*(1+O847/100)+P847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רגיל</t>
        </is>
      </c>
      <c r="F848" t="inlineStr">
        <is>
          <t>יבש</t>
        </is>
      </c>
      <c r="G848" t="inlineStr">
        <is>
          <t>בוגר</t>
        </is>
      </c>
      <c r="H848" t="inlineStr"/>
      <c r="I848" t="inlineStr"/>
      <c r="J848" t="inlineStr">
        <is>
          <t>2026-07</t>
        </is>
      </c>
      <c r="K848" t="n">
        <v>90</v>
      </c>
      <c r="L848" t="n">
        <v>106.2</v>
      </c>
      <c r="M848">
        <f>הגדרות!B11</f>
        <v/>
      </c>
      <c r="N848">
        <f>K848*(1-M848/100)*1.18</f>
        <v/>
      </c>
      <c r="O848">
        <f>הגדרות!C11</f>
        <v/>
      </c>
      <c r="P848">
        <f>הגדרות!D11</f>
        <v/>
      </c>
      <c r="Q848">
        <f>N848*(1+O848/100)+P848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רגיל</t>
        </is>
      </c>
      <c r="F849" t="inlineStr">
        <is>
          <t>יבש</t>
        </is>
      </c>
      <c r="G849" t="inlineStr">
        <is>
          <t>בוגר</t>
        </is>
      </c>
      <c r="H849" t="inlineStr"/>
      <c r="I849" t="inlineStr"/>
      <c r="J849" t="inlineStr">
        <is>
          <t>2026-07</t>
        </is>
      </c>
      <c r="K849" t="n">
        <v>318</v>
      </c>
      <c r="L849" t="n">
        <v>375.24</v>
      </c>
      <c r="M849">
        <f>הגדרות!B11</f>
        <v/>
      </c>
      <c r="N849">
        <f>K849*(1-M849/100)*1.18</f>
        <v/>
      </c>
      <c r="O849">
        <f>הגדרות!C11</f>
        <v/>
      </c>
      <c r="P849">
        <f>הגדרות!D11</f>
        <v/>
      </c>
      <c r="Q849">
        <f>N849*(1+O849/100)+P849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רגיל</t>
        </is>
      </c>
      <c r="F850" t="inlineStr">
        <is>
          <t>יבש</t>
        </is>
      </c>
      <c r="G850" t="inlineStr">
        <is>
          <t>בוגר</t>
        </is>
      </c>
      <c r="H850" t="inlineStr"/>
      <c r="I850" t="inlineStr"/>
      <c r="J850" t="inlineStr">
        <is>
          <t>2026-07</t>
        </is>
      </c>
      <c r="K850" t="n">
        <v>90</v>
      </c>
      <c r="L850" t="n">
        <v>106.2</v>
      </c>
      <c r="M850">
        <f>הגדרות!B11</f>
        <v/>
      </c>
      <c r="N850">
        <f>K850*(1-M850/100)*1.18</f>
        <v/>
      </c>
      <c r="O850">
        <f>הגדרות!C11</f>
        <v/>
      </c>
      <c r="P850">
        <f>הגדרות!D11</f>
        <v/>
      </c>
      <c r="Q850">
        <f>N850*(1+O850/100)+P850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רגיל</t>
        </is>
      </c>
      <c r="F851" t="inlineStr">
        <is>
          <t>יבש</t>
        </is>
      </c>
      <c r="G851" t="inlineStr">
        <is>
          <t>בוגר</t>
        </is>
      </c>
      <c r="H851" t="inlineStr"/>
      <c r="I851" t="inlineStr"/>
      <c r="J851" t="inlineStr">
        <is>
          <t>2026-07</t>
        </is>
      </c>
      <c r="K851" t="n">
        <v>318</v>
      </c>
      <c r="L851" t="n">
        <v>375.24</v>
      </c>
      <c r="M851">
        <f>הגדרות!B11</f>
        <v/>
      </c>
      <c r="N851">
        <f>K851*(1-M851/100)*1.18</f>
        <v/>
      </c>
      <c r="O851">
        <f>הגדרות!C11</f>
        <v/>
      </c>
      <c r="P851">
        <f>הגדרות!D11</f>
        <v/>
      </c>
      <c r="Q851">
        <f>N851*(1+O851/100)+P851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רגיל</t>
        </is>
      </c>
      <c r="F852" t="inlineStr">
        <is>
          <t>יבש</t>
        </is>
      </c>
      <c r="G852" t="inlineStr">
        <is>
          <t>בוגר</t>
        </is>
      </c>
      <c r="H852" t="inlineStr"/>
      <c r="I852" t="inlineStr"/>
      <c r="J852" t="inlineStr">
        <is>
          <t>2026-07</t>
        </is>
      </c>
      <c r="K852" t="n">
        <v>90</v>
      </c>
      <c r="L852" t="n">
        <v>106.2</v>
      </c>
      <c r="M852">
        <f>הגדרות!B11</f>
        <v/>
      </c>
      <c r="N852">
        <f>K852*(1-M852/100)*1.18</f>
        <v/>
      </c>
      <c r="O852">
        <f>הגדרות!C11</f>
        <v/>
      </c>
      <c r="P852">
        <f>הגדרות!D11</f>
        <v/>
      </c>
      <c r="Q852">
        <f>N852*(1+O852/100)+P852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רגיל</t>
        </is>
      </c>
      <c r="F853" t="inlineStr">
        <is>
          <t>יבש</t>
        </is>
      </c>
      <c r="G853" t="inlineStr">
        <is>
          <t>בוגר</t>
        </is>
      </c>
      <c r="H853" t="inlineStr"/>
      <c r="I853" t="inlineStr"/>
      <c r="J853" t="inlineStr">
        <is>
          <t>2026-07</t>
        </is>
      </c>
      <c r="K853" t="n">
        <v>318</v>
      </c>
      <c r="L853" t="n">
        <v>375.24</v>
      </c>
      <c r="M853">
        <f>הגדרות!B11</f>
        <v/>
      </c>
      <c r="N853">
        <f>K853*(1-M853/100)*1.18</f>
        <v/>
      </c>
      <c r="O853">
        <f>הגדרות!C11</f>
        <v/>
      </c>
      <c r="P853">
        <f>הגדרות!D11</f>
        <v/>
      </c>
      <c r="Q853">
        <f>N853*(1+O853/100)+P853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רגיל</t>
        </is>
      </c>
      <c r="F854" t="inlineStr">
        <is>
          <t>יבש</t>
        </is>
      </c>
      <c r="G854" t="inlineStr">
        <is>
          <t>בוגר</t>
        </is>
      </c>
      <c r="H854" t="inlineStr"/>
      <c r="I854" t="inlineStr"/>
      <c r="J854" t="inlineStr">
        <is>
          <t>2026-07</t>
        </is>
      </c>
      <c r="K854" t="n">
        <v>90</v>
      </c>
      <c r="L854" t="n">
        <v>106.2</v>
      </c>
      <c r="M854">
        <f>הגדרות!B11</f>
        <v/>
      </c>
      <c r="N854">
        <f>K854*(1-M854/100)*1.18</f>
        <v/>
      </c>
      <c r="O854">
        <f>הגדרות!C11</f>
        <v/>
      </c>
      <c r="P854">
        <f>הגדרות!D11</f>
        <v/>
      </c>
      <c r="Q854">
        <f>N854*(1+O854/100)+P854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רגיל</t>
        </is>
      </c>
      <c r="F855" t="inlineStr">
        <is>
          <t>יבש</t>
        </is>
      </c>
      <c r="G855" t="inlineStr">
        <is>
          <t>בוגר</t>
        </is>
      </c>
      <c r="H855" t="inlineStr"/>
      <c r="I855" t="inlineStr">
        <is>
          <t>עד 7 ק"ג</t>
        </is>
      </c>
      <c r="J855" t="inlineStr">
        <is>
          <t>2026-07</t>
        </is>
      </c>
      <c r="K855" t="n">
        <v>100</v>
      </c>
      <c r="L855" t="n">
        <v>118</v>
      </c>
      <c r="M855">
        <f>הגדרות!B11</f>
        <v/>
      </c>
      <c r="N855">
        <f>K855*(1-M855/100)*1.18</f>
        <v/>
      </c>
      <c r="O855">
        <f>הגדרות!C11</f>
        <v/>
      </c>
      <c r="P855">
        <f>הגדרות!D11</f>
        <v/>
      </c>
      <c r="Q855">
        <f>N855*(1+O855/100)+P855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רגיל</t>
        </is>
      </c>
      <c r="F856" t="inlineStr">
        <is>
          <t>יבש</t>
        </is>
      </c>
      <c r="G856" t="inlineStr">
        <is>
          <t>בוגר</t>
        </is>
      </c>
      <c r="H856" t="inlineStr"/>
      <c r="I856" t="inlineStr">
        <is>
          <t>עד 7 ק"ג</t>
        </is>
      </c>
      <c r="J856" t="inlineStr">
        <is>
          <t>2026-07</t>
        </is>
      </c>
      <c r="K856" t="n">
        <v>89</v>
      </c>
      <c r="L856" t="n">
        <v>105.02</v>
      </c>
      <c r="M856">
        <f>הגדרות!B11</f>
        <v/>
      </c>
      <c r="N856">
        <f>K856*(1-M856/100)*1.18</f>
        <v/>
      </c>
      <c r="O856">
        <f>הגדרות!C11</f>
        <v/>
      </c>
      <c r="P856">
        <f>הגדרות!D11</f>
        <v/>
      </c>
      <c r="Q856">
        <f>N856*(1+O856/100)+P856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רגיל</t>
        </is>
      </c>
      <c r="F857" t="inlineStr">
        <is>
          <t>יבש</t>
        </is>
      </c>
      <c r="G857" t="inlineStr">
        <is>
          <t>בוגר</t>
        </is>
      </c>
      <c r="H857" t="inlineStr"/>
      <c r="I857" t="inlineStr">
        <is>
          <t>עד 7 ק"ג</t>
        </is>
      </c>
      <c r="J857" t="inlineStr">
        <is>
          <t>2026-07</t>
        </is>
      </c>
      <c r="K857" t="n">
        <v>89</v>
      </c>
      <c r="L857" t="n">
        <v>105.02</v>
      </c>
      <c r="M857">
        <f>הגדרות!B11</f>
        <v/>
      </c>
      <c r="N857">
        <f>K857*(1-M857/100)*1.18</f>
        <v/>
      </c>
      <c r="O857">
        <f>הגדרות!C11</f>
        <v/>
      </c>
      <c r="P857">
        <f>הגדרות!D11</f>
        <v/>
      </c>
      <c r="Q857">
        <f>N857*(1+O857/100)+P857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רגיל</t>
        </is>
      </c>
      <c r="F858" t="inlineStr">
        <is>
          <t>יבש</t>
        </is>
      </c>
      <c r="G858" t="inlineStr">
        <is>
          <t>בוגר</t>
        </is>
      </c>
      <c r="H858" t="inlineStr">
        <is>
          <t>חתול</t>
        </is>
      </c>
      <c r="I858" t="inlineStr"/>
      <c r="J858" t="inlineStr">
        <is>
          <t>2026-07</t>
        </is>
      </c>
      <c r="K858" t="n">
        <v>77</v>
      </c>
      <c r="L858" t="n">
        <v>90.86</v>
      </c>
      <c r="M858">
        <f>הגדרות!B11</f>
        <v/>
      </c>
      <c r="N858">
        <f>K858*(1-M858/100)*1.18</f>
        <v/>
      </c>
      <c r="O858">
        <f>הגדרות!C11</f>
        <v/>
      </c>
      <c r="P858">
        <f>הגדרות!D11</f>
        <v/>
      </c>
      <c r="Q858">
        <f>N858*(1+O858/100)+P858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רגיל</t>
        </is>
      </c>
      <c r="F859" t="inlineStr">
        <is>
          <t>יבש</t>
        </is>
      </c>
      <c r="G859" t="inlineStr">
        <is>
          <t>בוגר</t>
        </is>
      </c>
      <c r="H859" t="inlineStr">
        <is>
          <t>חתול</t>
        </is>
      </c>
      <c r="I859" t="inlineStr"/>
      <c r="J859" t="inlineStr">
        <is>
          <t>2026-07</t>
        </is>
      </c>
      <c r="K859" t="n">
        <v>77</v>
      </c>
      <c r="L859" t="n">
        <v>90.86</v>
      </c>
      <c r="M859">
        <f>הגדרות!B11</f>
        <v/>
      </c>
      <c r="N859">
        <f>K859*(1-M859/100)*1.18</f>
        <v/>
      </c>
      <c r="O859">
        <f>הגדרות!C11</f>
        <v/>
      </c>
      <c r="P859">
        <f>הגדרות!D11</f>
        <v/>
      </c>
      <c r="Q859">
        <f>N859*(1+O859/100)+P859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רגיל</t>
        </is>
      </c>
      <c r="F860" t="inlineStr">
        <is>
          <t>יבש</t>
        </is>
      </c>
      <c r="G860" t="inlineStr">
        <is>
          <t>בוגר</t>
        </is>
      </c>
      <c r="H860" t="inlineStr">
        <is>
          <t>חתול</t>
        </is>
      </c>
      <c r="I860" t="inlineStr"/>
      <c r="J860" t="inlineStr">
        <is>
          <t>2026-07</t>
        </is>
      </c>
      <c r="K860" t="n">
        <v>295</v>
      </c>
      <c r="L860" t="n">
        <v>348.1</v>
      </c>
      <c r="M860">
        <f>הגדרות!B11</f>
        <v/>
      </c>
      <c r="N860">
        <f>K860*(1-M860/100)*1.18</f>
        <v/>
      </c>
      <c r="O860">
        <f>הגדרות!C11</f>
        <v/>
      </c>
      <c r="P860">
        <f>הגדרות!D11</f>
        <v/>
      </c>
      <c r="Q860">
        <f>N860*(1+O860/100)+P860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חתול</t>
        </is>
      </c>
      <c r="I861" t="inlineStr"/>
      <c r="J861" t="inlineStr">
        <is>
          <t>2026-07</t>
        </is>
      </c>
      <c r="K861" t="n">
        <v>77</v>
      </c>
      <c r="L861" t="n">
        <v>90.86</v>
      </c>
      <c r="M861">
        <f>הגדרות!B11</f>
        <v/>
      </c>
      <c r="N861">
        <f>K861*(1-M861/100)*1.18</f>
        <v/>
      </c>
      <c r="O861">
        <f>הגדרות!C11</f>
        <v/>
      </c>
      <c r="P861">
        <f>הגדרות!D11</f>
        <v/>
      </c>
      <c r="Q861">
        <f>N861*(1+O861/100)+P861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חתול</t>
        </is>
      </c>
      <c r="I862" t="inlineStr"/>
      <c r="J862" t="inlineStr">
        <is>
          <t>2026-07</t>
        </is>
      </c>
      <c r="K862" t="n">
        <v>295</v>
      </c>
      <c r="L862" t="n">
        <v>348.1</v>
      </c>
      <c r="M862">
        <f>הגדרות!B11</f>
        <v/>
      </c>
      <c r="N862">
        <f>K862*(1-M862/100)*1.18</f>
        <v/>
      </c>
      <c r="O862">
        <f>הגדרות!C11</f>
        <v/>
      </c>
      <c r="P862">
        <f>הגדרות!D11</f>
        <v/>
      </c>
      <c r="Q862">
        <f>N862*(1+O862/100)+P862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חתול</t>
        </is>
      </c>
      <c r="I863" t="inlineStr"/>
      <c r="J863" t="inlineStr">
        <is>
          <t>2026-07</t>
        </is>
      </c>
      <c r="K863" t="n">
        <v>77</v>
      </c>
      <c r="L863" t="n">
        <v>90.86</v>
      </c>
      <c r="M863">
        <f>הגדרות!B11</f>
        <v/>
      </c>
      <c r="N863">
        <f>K863*(1-M863/100)*1.18</f>
        <v/>
      </c>
      <c r="O863">
        <f>הגדרות!C11</f>
        <v/>
      </c>
      <c r="P863">
        <f>הגדרות!D11</f>
        <v/>
      </c>
      <c r="Q863">
        <f>N863*(1+O863/100)+P863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חתול</t>
        </is>
      </c>
      <c r="I864" t="inlineStr"/>
      <c r="J864" t="inlineStr">
        <is>
          <t>2026-07</t>
        </is>
      </c>
      <c r="K864" t="n">
        <v>295</v>
      </c>
      <c r="L864" t="n">
        <v>348.1</v>
      </c>
      <c r="M864">
        <f>הגדרות!B11</f>
        <v/>
      </c>
      <c r="N864">
        <f>K864*(1-M864/100)*1.18</f>
        <v/>
      </c>
      <c r="O864">
        <f>הגדרות!C11</f>
        <v/>
      </c>
      <c r="P864">
        <f>הגדרות!D11</f>
        <v/>
      </c>
      <c r="Q864">
        <f>N864*(1+O864/100)+P864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חתול</t>
        </is>
      </c>
      <c r="I865" t="inlineStr"/>
      <c r="J865" t="inlineStr">
        <is>
          <t>2026-07</t>
        </is>
      </c>
      <c r="K865" t="n">
        <v>77</v>
      </c>
      <c r="L865" t="n">
        <v>90.86</v>
      </c>
      <c r="M865">
        <f>הגדרות!B11</f>
        <v/>
      </c>
      <c r="N865">
        <f>K865*(1-M865/100)*1.18</f>
        <v/>
      </c>
      <c r="O865">
        <f>הגדרות!C11</f>
        <v/>
      </c>
      <c r="P865">
        <f>הגדרות!D11</f>
        <v/>
      </c>
      <c r="Q865">
        <f>N865*(1+O865/100)+P865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חתול</t>
        </is>
      </c>
      <c r="I866" t="inlineStr"/>
      <c r="J866" t="inlineStr">
        <is>
          <t>2026-07</t>
        </is>
      </c>
      <c r="K866" t="n">
        <v>337</v>
      </c>
      <c r="L866" t="n">
        <v>397.66</v>
      </c>
      <c r="M866">
        <f>הגדרות!B11</f>
        <v/>
      </c>
      <c r="N866">
        <f>K866*(1-M866/100)*1.18</f>
        <v/>
      </c>
      <c r="O866">
        <f>הגדרות!C11</f>
        <v/>
      </c>
      <c r="P866">
        <f>הגדרות!D11</f>
        <v/>
      </c>
      <c r="Q866">
        <f>N866*(1+O866/100)+P866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חתול</t>
        </is>
      </c>
      <c r="I867" t="inlineStr"/>
      <c r="J867" t="inlineStr">
        <is>
          <t>2026-07</t>
        </is>
      </c>
      <c r="K867" t="n">
        <v>77</v>
      </c>
      <c r="L867" t="n">
        <v>90.86</v>
      </c>
      <c r="M867">
        <f>הגדרות!B11</f>
        <v/>
      </c>
      <c r="N867">
        <f>K867*(1-M867/100)*1.18</f>
        <v/>
      </c>
      <c r="O867">
        <f>הגדרות!C11</f>
        <v/>
      </c>
      <c r="P867">
        <f>הגדרות!D11</f>
        <v/>
      </c>
      <c r="Q867">
        <f>N867*(1+O867/100)+P867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רגיל</t>
        </is>
      </c>
      <c r="F868" t="inlineStr">
        <is>
          <t>יבש</t>
        </is>
      </c>
      <c r="G868" t="inlineStr">
        <is>
          <t>בוגר</t>
        </is>
      </c>
      <c r="H868" t="inlineStr">
        <is>
          <t>חתול</t>
        </is>
      </c>
      <c r="I868" t="inlineStr"/>
      <c r="J868" t="inlineStr">
        <is>
          <t>2026-07</t>
        </is>
      </c>
      <c r="K868" t="n">
        <v>77</v>
      </c>
      <c r="L868" t="n">
        <v>90.86</v>
      </c>
      <c r="M868">
        <f>הגדרות!B11</f>
        <v/>
      </c>
      <c r="N868">
        <f>K868*(1-M868/100)*1.18</f>
        <v/>
      </c>
      <c r="O868">
        <f>הגדרות!C11</f>
        <v/>
      </c>
      <c r="P868">
        <f>הגדרות!D11</f>
        <v/>
      </c>
      <c r="Q868">
        <f>N868*(1+O868/100)+P868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רגיל</t>
        </is>
      </c>
      <c r="F869" t="inlineStr">
        <is>
          <t>יבש</t>
        </is>
      </c>
      <c r="G869" t="inlineStr">
        <is>
          <t>בוגר</t>
        </is>
      </c>
      <c r="H869" t="inlineStr">
        <is>
          <t>חתול</t>
        </is>
      </c>
      <c r="I869" t="inlineStr"/>
      <c r="J869" t="inlineStr">
        <is>
          <t>2026-07</t>
        </is>
      </c>
      <c r="K869" t="n">
        <v>77</v>
      </c>
      <c r="L869" t="n">
        <v>90.86</v>
      </c>
      <c r="M869">
        <f>הגדרות!B11</f>
        <v/>
      </c>
      <c r="N869">
        <f>K869*(1-M869/100)*1.18</f>
        <v/>
      </c>
      <c r="O869">
        <f>הגדרות!C11</f>
        <v/>
      </c>
      <c r="P869">
        <f>הגדרות!D11</f>
        <v/>
      </c>
      <c r="Q869">
        <f>N869*(1+O869/100)+P869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חתול</t>
        </is>
      </c>
      <c r="I870" t="inlineStr"/>
      <c r="J870" t="inlineStr">
        <is>
          <t>2026-07</t>
        </is>
      </c>
      <c r="K870" t="n">
        <v>333</v>
      </c>
      <c r="L870" t="n">
        <v>392.94</v>
      </c>
      <c r="M870">
        <f>הגדרות!B11</f>
        <v/>
      </c>
      <c r="N870">
        <f>K870*(1-M870/100)*1.18</f>
        <v/>
      </c>
      <c r="O870">
        <f>הגדרות!C11</f>
        <v/>
      </c>
      <c r="P870">
        <f>הגדרות!D11</f>
        <v/>
      </c>
      <c r="Q870">
        <f>N870*(1+O870/100)+P870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רגיל</t>
        </is>
      </c>
      <c r="F871" t="inlineStr">
        <is>
          <t>יבש</t>
        </is>
      </c>
      <c r="G871" t="inlineStr">
        <is>
          <t>בוגר</t>
        </is>
      </c>
      <c r="H871" t="inlineStr">
        <is>
          <t>חתול</t>
        </is>
      </c>
      <c r="I871" t="inlineStr"/>
      <c r="J871" t="inlineStr">
        <is>
          <t>2026-07</t>
        </is>
      </c>
      <c r="K871" t="n">
        <v>77</v>
      </c>
      <c r="L871" t="n">
        <v>90.86</v>
      </c>
      <c r="M871">
        <f>הגדרות!B11</f>
        <v/>
      </c>
      <c r="N871">
        <f>K871*(1-M871/100)*1.18</f>
        <v/>
      </c>
      <c r="O871">
        <f>הגדרות!C11</f>
        <v/>
      </c>
      <c r="P871">
        <f>הגדרות!D11</f>
        <v/>
      </c>
      <c r="Q871">
        <f>N871*(1+O871/100)+P871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רגיל</t>
        </is>
      </c>
      <c r="F872" t="inlineStr">
        <is>
          <t>יבש</t>
        </is>
      </c>
      <c r="G872" t="inlineStr">
        <is>
          <t>בוגר</t>
        </is>
      </c>
      <c r="H872" t="inlineStr">
        <is>
          <t>חתול</t>
        </is>
      </c>
      <c r="I872" t="inlineStr"/>
      <c r="J872" t="inlineStr">
        <is>
          <t>2026-07</t>
        </is>
      </c>
      <c r="K872" t="n">
        <v>77</v>
      </c>
      <c r="L872" t="n">
        <v>90.86</v>
      </c>
      <c r="M872">
        <f>הגדרות!B11</f>
        <v/>
      </c>
      <c r="N872">
        <f>K872*(1-M872/100)*1.18</f>
        <v/>
      </c>
      <c r="O872">
        <f>הגדרות!C11</f>
        <v/>
      </c>
      <c r="P872">
        <f>הגדרות!D11</f>
        <v/>
      </c>
      <c r="Q872">
        <f>N872*(1+O872/100)+P872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2026-07</t>
        </is>
      </c>
      <c r="K873" t="n">
        <v>77</v>
      </c>
      <c r="L873" t="n">
        <v>90.86</v>
      </c>
      <c r="M873">
        <f>הגדרות!B11</f>
        <v/>
      </c>
      <c r="N873">
        <f>K873*(1-M873/100)*1.18</f>
        <v/>
      </c>
      <c r="O873">
        <f>הגדרות!C11</f>
        <v/>
      </c>
      <c r="P873">
        <f>הגדרות!D11</f>
        <v/>
      </c>
      <c r="Q873">
        <f>N873*(1+O873/100)+P873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רגיל</t>
        </is>
      </c>
      <c r="F874" t="inlineStr">
        <is>
          <t>יבש</t>
        </is>
      </c>
      <c r="G874" t="inlineStr">
        <is>
          <t>גורים</t>
        </is>
      </c>
      <c r="H874" t="inlineStr">
        <is>
          <t>חתול</t>
        </is>
      </c>
      <c r="I874" t="inlineStr"/>
      <c r="J874" t="inlineStr">
        <is>
          <t>2026-07</t>
        </is>
      </c>
      <c r="K874" t="n">
        <v>77</v>
      </c>
      <c r="L874" t="n">
        <v>90.86</v>
      </c>
      <c r="M874">
        <f>הגדרות!B11</f>
        <v/>
      </c>
      <c r="N874">
        <f>K874*(1-M874/100)*1.18</f>
        <v/>
      </c>
      <c r="O874">
        <f>הגדרות!C11</f>
        <v/>
      </c>
      <c r="P874">
        <f>הגדרות!D11</f>
        <v/>
      </c>
      <c r="Q874">
        <f>N874*(1+O874/100)+P874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2026-07</t>
        </is>
      </c>
      <c r="K875" t="n">
        <v>77</v>
      </c>
      <c r="L875" t="n">
        <v>90.86</v>
      </c>
      <c r="M875">
        <f>הגדרות!B11</f>
        <v/>
      </c>
      <c r="N875">
        <f>K875*(1-M875/100)*1.18</f>
        <v/>
      </c>
      <c r="O875">
        <f>הגדרות!C11</f>
        <v/>
      </c>
      <c r="P875">
        <f>הגדרות!D11</f>
        <v/>
      </c>
      <c r="Q875">
        <f>N875*(1+O875/100)+P875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2026-07</t>
        </is>
      </c>
      <c r="K876" t="n">
        <v>285</v>
      </c>
      <c r="L876" t="n">
        <v>336.3</v>
      </c>
      <c r="M876">
        <f>הגדרות!B11</f>
        <v/>
      </c>
      <c r="N876">
        <f>K876*(1-M876/100)*1.18</f>
        <v/>
      </c>
      <c r="O876">
        <f>הגדרות!C11</f>
        <v/>
      </c>
      <c r="P876">
        <f>הגדרות!D11</f>
        <v/>
      </c>
      <c r="Q876">
        <f>N876*(1+O876/100)+P876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רגיל</t>
        </is>
      </c>
      <c r="F877" t="inlineStr">
        <is>
          <t>יבש</t>
        </is>
      </c>
      <c r="G877" t="inlineStr">
        <is>
          <t>מבוגר</t>
        </is>
      </c>
      <c r="H877" t="inlineStr">
        <is>
          <t>חתול</t>
        </is>
      </c>
      <c r="I877" t="inlineStr"/>
      <c r="J877" t="inlineStr">
        <is>
          <t>2026-07</t>
        </is>
      </c>
      <c r="K877" t="n">
        <v>77</v>
      </c>
      <c r="L877" t="n">
        <v>90.86</v>
      </c>
      <c r="M877">
        <f>הגדרות!B11</f>
        <v/>
      </c>
      <c r="N877">
        <f>K877*(1-M877/100)*1.18</f>
        <v/>
      </c>
      <c r="O877">
        <f>הגדרות!C11</f>
        <v/>
      </c>
      <c r="P877">
        <f>הגדרות!D11</f>
        <v/>
      </c>
      <c r="Q877">
        <f>N877*(1+O877/100)+P877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2026-07</t>
        </is>
      </c>
      <c r="K878" t="n">
        <v>302</v>
      </c>
      <c r="L878" t="n">
        <v>356.36</v>
      </c>
      <c r="M878">
        <f>הגדרות!B11</f>
        <v/>
      </c>
      <c r="N878">
        <f>K878*(1-M878/100)*1.18</f>
        <v/>
      </c>
      <c r="O878">
        <f>הגדרות!C11</f>
        <v/>
      </c>
      <c r="P878">
        <f>הגדרות!D11</f>
        <v/>
      </c>
      <c r="Q878">
        <f>N878*(1+O878/100)+P878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רגיל</t>
        </is>
      </c>
      <c r="F879" t="inlineStr">
        <is>
          <t>יבש</t>
        </is>
      </c>
      <c r="G879" t="inlineStr">
        <is>
          <t>גורים</t>
        </is>
      </c>
      <c r="H879" t="inlineStr">
        <is>
          <t>חתול</t>
        </is>
      </c>
      <c r="I879" t="inlineStr"/>
      <c r="J879" t="inlineStr">
        <is>
          <t>2026-07</t>
        </is>
      </c>
      <c r="K879" t="n">
        <v>77</v>
      </c>
      <c r="L879" t="n">
        <v>90.86</v>
      </c>
      <c r="M879">
        <f>הגדרות!B11</f>
        <v/>
      </c>
      <c r="N879">
        <f>K879*(1-M879/100)*1.18</f>
        <v/>
      </c>
      <c r="O879">
        <f>הגדרות!C11</f>
        <v/>
      </c>
      <c r="P879">
        <f>הגדרות!D11</f>
        <v/>
      </c>
      <c r="Q879">
        <f>N879*(1+O879/100)+P879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רגיל</t>
        </is>
      </c>
      <c r="F880" t="inlineStr">
        <is>
          <t>יבש</t>
        </is>
      </c>
      <c r="G880" t="inlineStr">
        <is>
          <t>גורים</t>
        </is>
      </c>
      <c r="H880" t="inlineStr">
        <is>
          <t>חתול</t>
        </is>
      </c>
      <c r="I880" t="inlineStr"/>
      <c r="J880" t="inlineStr">
        <is>
          <t>2026-07</t>
        </is>
      </c>
      <c r="K880" t="n">
        <v>77</v>
      </c>
      <c r="L880" t="n">
        <v>90.86</v>
      </c>
      <c r="M880">
        <f>הגדרות!B11</f>
        <v/>
      </c>
      <c r="N880">
        <f>K880*(1-M880/100)*1.18</f>
        <v/>
      </c>
      <c r="O880">
        <f>הגדרות!C11</f>
        <v/>
      </c>
      <c r="P880">
        <f>הגדרות!D11</f>
        <v/>
      </c>
      <c r="Q880">
        <f>N880*(1+O880/100)+P880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רגיל</t>
        </is>
      </c>
      <c r="F881" t="inlineStr">
        <is>
          <t>יבש</t>
        </is>
      </c>
      <c r="G881" t="inlineStr">
        <is>
          <t>גורים</t>
        </is>
      </c>
      <c r="H881" t="inlineStr">
        <is>
          <t>חתול</t>
        </is>
      </c>
      <c r="I881" t="inlineStr"/>
      <c r="J881" t="inlineStr">
        <is>
          <t>2026-07</t>
        </is>
      </c>
      <c r="K881" t="n">
        <v>77</v>
      </c>
      <c r="L881" t="n">
        <v>90.86</v>
      </c>
      <c r="M881">
        <f>הגדרות!B11</f>
        <v/>
      </c>
      <c r="N881">
        <f>K881*(1-M881/100)*1.18</f>
        <v/>
      </c>
      <c r="O881">
        <f>הגדרות!C11</f>
        <v/>
      </c>
      <c r="P881">
        <f>הגדרות!D11</f>
        <v/>
      </c>
      <c r="Q881">
        <f>N881*(1+O881/100)+P881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רגיל</t>
        </is>
      </c>
      <c r="F882" t="inlineStr">
        <is>
          <t>יבש</t>
        </is>
      </c>
      <c r="G882" t="inlineStr">
        <is>
          <t>גורים</t>
        </is>
      </c>
      <c r="H882" t="inlineStr">
        <is>
          <t>חתול</t>
        </is>
      </c>
      <c r="I882" t="inlineStr"/>
      <c r="J882" t="inlineStr">
        <is>
          <t>2026-07</t>
        </is>
      </c>
      <c r="K882" t="n">
        <v>285</v>
      </c>
      <c r="L882" t="n">
        <v>336.3</v>
      </c>
      <c r="M882">
        <f>הגדרות!B11</f>
        <v/>
      </c>
      <c r="N882">
        <f>K882*(1-M882/100)*1.18</f>
        <v/>
      </c>
      <c r="O882">
        <f>הגדרות!C11</f>
        <v/>
      </c>
      <c r="P882">
        <f>הגדרות!D11</f>
        <v/>
      </c>
      <c r="Q882">
        <f>N882*(1+O882/100)+P882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רגיל</t>
        </is>
      </c>
      <c r="F883" t="inlineStr">
        <is>
          <t>יבש</t>
        </is>
      </c>
      <c r="G883" t="inlineStr">
        <is>
          <t>בוגר</t>
        </is>
      </c>
      <c r="H883" t="inlineStr">
        <is>
          <t>כלב</t>
        </is>
      </c>
      <c r="I883" t="inlineStr">
        <is>
          <t>מעל 7 ק"ג</t>
        </is>
      </c>
      <c r="J883" t="inlineStr">
        <is>
          <t>2026-07</t>
        </is>
      </c>
      <c r="K883" t="n">
        <v>270</v>
      </c>
      <c r="L883" t="n">
        <v>318.6</v>
      </c>
      <c r="M883">
        <f>הגדרות!B11</f>
        <v/>
      </c>
      <c r="N883">
        <f>K883*(1-M883/100)*1.18</f>
        <v/>
      </c>
      <c r="O883">
        <f>הגדרות!C11</f>
        <v/>
      </c>
      <c r="P883">
        <f>הגדרות!D11</f>
        <v/>
      </c>
      <c r="Q883">
        <f>N883*(1+O883/100)+P883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רגיל</t>
        </is>
      </c>
      <c r="F884" t="inlineStr">
        <is>
          <t>יבש</t>
        </is>
      </c>
      <c r="G884" t="inlineStr">
        <is>
          <t>בוגר</t>
        </is>
      </c>
      <c r="H884" t="inlineStr"/>
      <c r="I884" t="inlineStr">
        <is>
          <t>מעל 7 ק"ג</t>
        </is>
      </c>
      <c r="J884" t="inlineStr">
        <is>
          <t>2026-07</t>
        </is>
      </c>
      <c r="K884" t="n">
        <v>106</v>
      </c>
      <c r="L884" t="n">
        <v>125.08</v>
      </c>
      <c r="M884">
        <f>הגדרות!B11</f>
        <v/>
      </c>
      <c r="N884">
        <f>K884*(1-M884/100)*1.18</f>
        <v/>
      </c>
      <c r="O884">
        <f>הגדרות!C11</f>
        <v/>
      </c>
      <c r="P884">
        <f>הגדרות!D11</f>
        <v/>
      </c>
      <c r="Q884">
        <f>N884*(1+O884/100)+P884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רגיל</t>
        </is>
      </c>
      <c r="F885" t="inlineStr">
        <is>
          <t>יבש</t>
        </is>
      </c>
      <c r="G885" t="inlineStr">
        <is>
          <t>גורים</t>
        </is>
      </c>
      <c r="H885" t="inlineStr"/>
      <c r="I885" t="inlineStr">
        <is>
          <t>מעל 7 ק"ג</t>
        </is>
      </c>
      <c r="J885" t="inlineStr">
        <is>
          <t>2026-07</t>
        </is>
      </c>
      <c r="K885" t="n">
        <v>57</v>
      </c>
      <c r="L885" t="n">
        <v>67.26000000000001</v>
      </c>
      <c r="M885">
        <f>הגדרות!B11</f>
        <v/>
      </c>
      <c r="N885">
        <f>K885*(1-M885/100)*1.18</f>
        <v/>
      </c>
      <c r="O885">
        <f>הגדרות!C11</f>
        <v/>
      </c>
      <c r="P885">
        <f>הגדרות!D11</f>
        <v/>
      </c>
      <c r="Q885">
        <f>N885*(1+O885/100)+P885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רגיל</t>
        </is>
      </c>
      <c r="F886" t="inlineStr">
        <is>
          <t>יבש</t>
        </is>
      </c>
      <c r="G886" t="inlineStr">
        <is>
          <t>מבוגר</t>
        </is>
      </c>
      <c r="H886" t="inlineStr">
        <is>
          <t>כלב</t>
        </is>
      </c>
      <c r="I886" t="inlineStr">
        <is>
          <t>מעל 7 ק"ג</t>
        </is>
      </c>
      <c r="J886" t="inlineStr">
        <is>
          <t>2026-07</t>
        </is>
      </c>
      <c r="K886" t="n">
        <v>284</v>
      </c>
      <c r="L886" t="n">
        <v>335.12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רגיל</t>
        </is>
      </c>
      <c r="F887" t="inlineStr">
        <is>
          <t>יבש</t>
        </is>
      </c>
      <c r="G887" t="inlineStr">
        <is>
          <t>מבוגר</t>
        </is>
      </c>
      <c r="H887" t="inlineStr"/>
      <c r="I887" t="inlineStr">
        <is>
          <t>מעל 7 ק"ג</t>
        </is>
      </c>
      <c r="J887" t="inlineStr">
        <is>
          <t>2026-07</t>
        </is>
      </c>
      <c r="K887" t="n">
        <v>112</v>
      </c>
      <c r="L887" t="n">
        <v>132.16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רגיל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>
        <is>
          <t>מעל 7 ק"ג</t>
        </is>
      </c>
      <c r="J888" t="inlineStr">
        <is>
          <t>2026-07</t>
        </is>
      </c>
      <c r="K888" t="n">
        <v>284</v>
      </c>
      <c r="L888" t="n">
        <v>335.12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רגיל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>
        <is>
          <t>מעל 7 ק"ג</t>
        </is>
      </c>
      <c r="J889" t="inlineStr">
        <is>
          <t>2026-07</t>
        </is>
      </c>
      <c r="K889" t="n">
        <v>112</v>
      </c>
      <c r="L889" t="n">
        <v>132.16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רגיל</t>
        </is>
      </c>
      <c r="F890" t="inlineStr">
        <is>
          <t>יבש</t>
        </is>
      </c>
      <c r="G890" t="inlineStr">
        <is>
          <t>בוגר</t>
        </is>
      </c>
      <c r="H890" t="inlineStr"/>
      <c r="I890" t="inlineStr">
        <is>
          <t>עד 7 ק"ג</t>
        </is>
      </c>
      <c r="J890" t="inlineStr">
        <is>
          <t>2026-07</t>
        </is>
      </c>
      <c r="K890" t="n">
        <v>99</v>
      </c>
      <c r="L890" t="n">
        <v>116.82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רגיל</t>
        </is>
      </c>
      <c r="F891" t="inlineStr">
        <is>
          <t>יבש</t>
        </is>
      </c>
      <c r="G891" t="inlineStr">
        <is>
          <t>בוגר</t>
        </is>
      </c>
      <c r="H891" t="inlineStr">
        <is>
          <t>כלב</t>
        </is>
      </c>
      <c r="I891" t="inlineStr">
        <is>
          <t>עד 7 ק"ג</t>
        </is>
      </c>
      <c r="J891" t="inlineStr">
        <is>
          <t>2026-07</t>
        </is>
      </c>
      <c r="K891" t="n">
        <v>100</v>
      </c>
      <c r="L891" t="n">
        <v>118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רגיל</t>
        </is>
      </c>
      <c r="F892" t="inlineStr">
        <is>
          <t>יבש</t>
        </is>
      </c>
      <c r="G892" t="inlineStr">
        <is>
          <t>בוגר</t>
        </is>
      </c>
      <c r="H892" t="inlineStr">
        <is>
          <t>כלב</t>
        </is>
      </c>
      <c r="I892" t="inlineStr">
        <is>
          <t>עד 7 ק"ג</t>
        </is>
      </c>
      <c r="J892" t="inlineStr">
        <is>
          <t>2026-07</t>
        </is>
      </c>
      <c r="K892" t="n">
        <v>223</v>
      </c>
      <c r="L892" t="n">
        <v>263.14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רגיל</t>
        </is>
      </c>
      <c r="F893" t="inlineStr">
        <is>
          <t>יבש</t>
        </is>
      </c>
      <c r="G893" t="inlineStr">
        <is>
          <t>בוגר</t>
        </is>
      </c>
      <c r="H893" t="inlineStr"/>
      <c r="I893" t="inlineStr">
        <is>
          <t>עד 7 ק"ג</t>
        </is>
      </c>
      <c r="J893" t="inlineStr">
        <is>
          <t>2026-07</t>
        </is>
      </c>
      <c r="K893" t="n">
        <v>100</v>
      </c>
      <c r="L893" t="n">
        <v>118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רגיל</t>
        </is>
      </c>
      <c r="F894" t="inlineStr">
        <is>
          <t>יבש</t>
        </is>
      </c>
      <c r="G894" t="inlineStr">
        <is>
          <t>בוגר</t>
        </is>
      </c>
      <c r="H894" t="inlineStr">
        <is>
          <t>כלב</t>
        </is>
      </c>
      <c r="I894" t="inlineStr">
        <is>
          <t>עד 7 ק"ג</t>
        </is>
      </c>
      <c r="J894" t="inlineStr">
        <is>
          <t>2026-07</t>
        </is>
      </c>
      <c r="K894" t="n">
        <v>223</v>
      </c>
      <c r="L894" t="n">
        <v>263.14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רגיל</t>
        </is>
      </c>
      <c r="F895" t="inlineStr">
        <is>
          <t>יבש</t>
        </is>
      </c>
      <c r="G895" t="inlineStr">
        <is>
          <t>בוגר</t>
        </is>
      </c>
      <c r="H895" t="inlineStr">
        <is>
          <t>כלב</t>
        </is>
      </c>
      <c r="I895" t="inlineStr">
        <is>
          <t>עד 7 ק"ג</t>
        </is>
      </c>
      <c r="J895" t="inlineStr">
        <is>
          <t>2026-07</t>
        </is>
      </c>
      <c r="K895" t="n">
        <v>189</v>
      </c>
      <c r="L895" t="n">
        <v>223.02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רגיל</t>
        </is>
      </c>
      <c r="F896" t="inlineStr">
        <is>
          <t>יבש</t>
        </is>
      </c>
      <c r="G896" t="inlineStr">
        <is>
          <t>גורים</t>
        </is>
      </c>
      <c r="H896" t="inlineStr"/>
      <c r="I896" t="inlineStr">
        <is>
          <t>עד 7 ק"ג</t>
        </is>
      </c>
      <c r="J896" t="inlineStr">
        <is>
          <t>2026-07</t>
        </is>
      </c>
      <c r="K896" t="n">
        <v>63</v>
      </c>
      <c r="L896" t="n">
        <v>74.34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רגיל</t>
        </is>
      </c>
      <c r="F897" t="inlineStr">
        <is>
          <t>יבש</t>
        </is>
      </c>
      <c r="G897" t="inlineStr">
        <is>
          <t>מבוגר</t>
        </is>
      </c>
      <c r="H897" t="inlineStr">
        <is>
          <t>כלב</t>
        </is>
      </c>
      <c r="I897" t="inlineStr">
        <is>
          <t>עד 7 ק"ג</t>
        </is>
      </c>
      <c r="J897" t="inlineStr">
        <is>
          <t>2026-07</t>
        </is>
      </c>
      <c r="K897" t="n">
        <v>112</v>
      </c>
      <c r="L897" t="n">
        <v>132.16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רגיל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>
        <is>
          <t>עד 7 ק"ג</t>
        </is>
      </c>
      <c r="J898" t="inlineStr">
        <is>
          <t>2026-07</t>
        </is>
      </c>
      <c r="K898" t="n">
        <v>100</v>
      </c>
      <c r="L898" t="n">
        <v>118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רגיל</t>
        </is>
      </c>
      <c r="F899" t="inlineStr">
        <is>
          <t>יבש</t>
        </is>
      </c>
      <c r="G899" t="inlineStr"/>
      <c r="H899" t="inlineStr"/>
      <c r="I899" t="inlineStr">
        <is>
          <t>עד 7 ק"ג</t>
        </is>
      </c>
      <c r="J899" t="inlineStr">
        <is>
          <t>2026-07</t>
        </is>
      </c>
      <c r="K899" t="n">
        <v>112</v>
      </c>
      <c r="L899" t="n">
        <v>132.16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רגיל</t>
        </is>
      </c>
      <c r="F900" t="inlineStr">
        <is>
          <t>יבש</t>
        </is>
      </c>
      <c r="G900" t="inlineStr">
        <is>
          <t>בוגר</t>
        </is>
      </c>
      <c r="H900" t="inlineStr">
        <is>
          <t>כלב</t>
        </is>
      </c>
      <c r="I900" t="inlineStr">
        <is>
          <t>מעל 7 ק"ג</t>
        </is>
      </c>
      <c r="J900" t="inlineStr">
        <is>
          <t>2026-07</t>
        </is>
      </c>
      <c r="K900" t="n">
        <v>276</v>
      </c>
      <c r="L900" t="n">
        <v>325.68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רגיל</t>
        </is>
      </c>
      <c r="F901" t="inlineStr">
        <is>
          <t>יבש</t>
        </is>
      </c>
      <c r="G901" t="inlineStr"/>
      <c r="H901" t="inlineStr"/>
      <c r="I901" t="inlineStr">
        <is>
          <t>מעל 7 ק"ג</t>
        </is>
      </c>
      <c r="J901" t="inlineStr">
        <is>
          <t>2026-07</t>
        </is>
      </c>
      <c r="K901" t="n">
        <v>284</v>
      </c>
      <c r="L901" t="n">
        <v>335.12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רגיל</t>
        </is>
      </c>
      <c r="F902" t="inlineStr">
        <is>
          <t>יבש</t>
        </is>
      </c>
      <c r="G902" t="inlineStr"/>
      <c r="H902" t="inlineStr"/>
      <c r="I902" t="inlineStr"/>
      <c r="J902" t="inlineStr">
        <is>
          <t>2026-07</t>
        </is>
      </c>
      <c r="K902" t="n">
        <v>103</v>
      </c>
      <c r="L902" t="n">
        <v>121.54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רגיל</t>
        </is>
      </c>
      <c r="F903" t="inlineStr">
        <is>
          <t>יבש</t>
        </is>
      </c>
      <c r="G903" t="inlineStr"/>
      <c r="H903" t="inlineStr"/>
      <c r="I903" t="inlineStr"/>
      <c r="J903" t="inlineStr">
        <is>
          <t>2026-07</t>
        </is>
      </c>
      <c r="K903" t="n">
        <v>318</v>
      </c>
      <c r="L903" t="n">
        <v>375.24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רגיל</t>
        </is>
      </c>
      <c r="F904" t="inlineStr">
        <is>
          <t>יבש</t>
        </is>
      </c>
      <c r="G904" t="inlineStr"/>
      <c r="H904" t="inlineStr"/>
      <c r="I904" t="inlineStr"/>
      <c r="J904" t="inlineStr">
        <is>
          <t>2026-07</t>
        </is>
      </c>
      <c r="K904" t="n">
        <v>318</v>
      </c>
      <c r="L904" t="n">
        <v>375.24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רגיל</t>
        </is>
      </c>
      <c r="F905" t="inlineStr">
        <is>
          <t>יבש</t>
        </is>
      </c>
      <c r="G905" t="inlineStr"/>
      <c r="H905" t="inlineStr"/>
      <c r="I905" t="inlineStr"/>
      <c r="J905" t="inlineStr">
        <is>
          <t>2026-07</t>
        </is>
      </c>
      <c r="K905" t="n">
        <v>90</v>
      </c>
      <c r="L905" t="n">
        <v>106.2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רגיל</t>
        </is>
      </c>
      <c r="F906" t="inlineStr">
        <is>
          <t>יבש</t>
        </is>
      </c>
      <c r="G906" t="inlineStr"/>
      <c r="H906" t="inlineStr"/>
      <c r="I906" t="inlineStr"/>
      <c r="J906" t="inlineStr">
        <is>
          <t>2026-07</t>
        </is>
      </c>
      <c r="K906" t="n">
        <v>318</v>
      </c>
      <c r="L906" t="n">
        <v>375.24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רגיל</t>
        </is>
      </c>
      <c r="F907" t="inlineStr">
        <is>
          <t>יבש</t>
        </is>
      </c>
      <c r="G907" t="inlineStr"/>
      <c r="H907" t="inlineStr"/>
      <c r="I907" t="inlineStr"/>
      <c r="J907" t="inlineStr">
        <is>
          <t>2026-07</t>
        </is>
      </c>
      <c r="K907" t="n">
        <v>90</v>
      </c>
      <c r="L907" t="n">
        <v>106.2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רגיל</t>
        </is>
      </c>
      <c r="F908" t="inlineStr">
        <is>
          <t>יבש</t>
        </is>
      </c>
      <c r="G908" t="inlineStr"/>
      <c r="H908" t="inlineStr"/>
      <c r="I908" t="inlineStr"/>
      <c r="J908" t="inlineStr">
        <is>
          <t>2026-07</t>
        </is>
      </c>
      <c r="K908" t="n">
        <v>103</v>
      </c>
      <c r="L908" t="n">
        <v>121.54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רגיל</t>
        </is>
      </c>
      <c r="F909" t="inlineStr">
        <is>
          <t>יבש</t>
        </is>
      </c>
      <c r="G909" t="inlineStr"/>
      <c r="H909" t="inlineStr"/>
      <c r="I909" t="inlineStr"/>
      <c r="J909" t="inlineStr">
        <is>
          <t>2026-07</t>
        </is>
      </c>
      <c r="K909" t="n">
        <v>318</v>
      </c>
      <c r="L909" t="n">
        <v>375.24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רגיל</t>
        </is>
      </c>
      <c r="F910" t="inlineStr">
        <is>
          <t>יבש</t>
        </is>
      </c>
      <c r="G910" t="inlineStr"/>
      <c r="H910" t="inlineStr"/>
      <c r="I910" t="inlineStr"/>
      <c r="J910" t="inlineStr">
        <is>
          <t>2026-07</t>
        </is>
      </c>
      <c r="K910" t="n">
        <v>90</v>
      </c>
      <c r="L910" t="n">
        <v>106.2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רגיל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>
        <is>
          <t>עד 7 ק"ג</t>
        </is>
      </c>
      <c r="J911" t="inlineStr">
        <is>
          <t>2026-07</t>
        </is>
      </c>
      <c r="K911" t="n">
        <v>100</v>
      </c>
      <c r="L911" t="n">
        <v>118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רגיל</t>
        </is>
      </c>
      <c r="F912" t="inlineStr">
        <is>
          <t>יבש</t>
        </is>
      </c>
      <c r="G912" t="inlineStr">
        <is>
          <t>בוגר</t>
        </is>
      </c>
      <c r="H912" t="inlineStr">
        <is>
          <t>חתול</t>
        </is>
      </c>
      <c r="I912" t="inlineStr"/>
      <c r="J912" t="inlineStr">
        <is>
          <t>2026-07</t>
        </is>
      </c>
      <c r="K912" t="n">
        <v>86</v>
      </c>
      <c r="L912" t="n">
        <v>101.48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רגיל</t>
        </is>
      </c>
      <c r="F913" t="inlineStr">
        <is>
          <t>יבש</t>
        </is>
      </c>
      <c r="G913" t="inlineStr">
        <is>
          <t>בוגר</t>
        </is>
      </c>
      <c r="H913" t="inlineStr">
        <is>
          <t>חתול</t>
        </is>
      </c>
      <c r="I913" t="inlineStr"/>
      <c r="J913" t="inlineStr">
        <is>
          <t>2026-07</t>
        </is>
      </c>
      <c r="K913" t="n">
        <v>86</v>
      </c>
      <c r="L913" t="n">
        <v>101.48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רגיל</t>
        </is>
      </c>
      <c r="F914" t="inlineStr">
        <is>
          <t>יבש</t>
        </is>
      </c>
      <c r="G914" t="inlineStr">
        <is>
          <t>בוגר</t>
        </is>
      </c>
      <c r="H914" t="inlineStr">
        <is>
          <t>חתול</t>
        </is>
      </c>
      <c r="I914" t="inlineStr"/>
      <c r="J914" t="inlineStr">
        <is>
          <t>2026-07</t>
        </is>
      </c>
      <c r="K914" t="n">
        <v>86</v>
      </c>
      <c r="L914" t="n">
        <v>101.48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רגיל</t>
        </is>
      </c>
      <c r="F915" t="inlineStr">
        <is>
          <t>יבש</t>
        </is>
      </c>
      <c r="G915" t="inlineStr">
        <is>
          <t>בוגר</t>
        </is>
      </c>
      <c r="H915" t="inlineStr">
        <is>
          <t>כלב</t>
        </is>
      </c>
      <c r="I915" t="inlineStr"/>
      <c r="J915" t="inlineStr">
        <is>
          <t>2026-07</t>
        </is>
      </c>
      <c r="K915" t="n">
        <v>449</v>
      </c>
      <c r="L915" t="n">
        <v>529.8200000000001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רגיל</t>
        </is>
      </c>
      <c r="F916" t="inlineStr">
        <is>
          <t>יבש</t>
        </is>
      </c>
      <c r="G916" t="inlineStr">
        <is>
          <t>בוגר</t>
        </is>
      </c>
      <c r="H916" t="inlineStr">
        <is>
          <t>כלב</t>
        </is>
      </c>
      <c r="I916" t="inlineStr"/>
      <c r="J916" t="inlineStr">
        <is>
          <t>2026-07</t>
        </is>
      </c>
      <c r="K916" t="n">
        <v>130</v>
      </c>
      <c r="L916" t="n">
        <v>153.4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רגיל</t>
        </is>
      </c>
      <c r="F917" t="inlineStr">
        <is>
          <t>יבש</t>
        </is>
      </c>
      <c r="G917" t="inlineStr"/>
      <c r="H917" t="inlineStr"/>
      <c r="I917" t="inlineStr"/>
      <c r="J917" t="inlineStr">
        <is>
          <t>2026-07</t>
        </is>
      </c>
      <c r="K917" t="n">
        <v>130</v>
      </c>
      <c r="L917" t="n">
        <v>153.4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רגיל</t>
        </is>
      </c>
      <c r="F918" t="inlineStr">
        <is>
          <t>יבש</t>
        </is>
      </c>
      <c r="G918" t="inlineStr"/>
      <c r="H918" t="inlineStr">
        <is>
          <t>כלב</t>
        </is>
      </c>
      <c r="I918" t="inlineStr"/>
      <c r="J918" t="inlineStr">
        <is>
          <t>2026-07</t>
        </is>
      </c>
      <c r="K918" t="n">
        <v>449</v>
      </c>
      <c r="L918" t="n">
        <v>529.8200000000001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רגיל</t>
        </is>
      </c>
      <c r="F919" t="inlineStr">
        <is>
          <t>יבש</t>
        </is>
      </c>
      <c r="G919" t="inlineStr"/>
      <c r="H919" t="inlineStr">
        <is>
          <t>כלב</t>
        </is>
      </c>
      <c r="I919" t="inlineStr"/>
      <c r="J919" t="inlineStr">
        <is>
          <t>2026-07</t>
        </is>
      </c>
      <c r="K919" t="n">
        <v>120</v>
      </c>
      <c r="L919" t="n">
        <v>141.6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רגיל</t>
        </is>
      </c>
      <c r="F920" t="inlineStr">
        <is>
          <t>יבש</t>
        </is>
      </c>
      <c r="G920" t="inlineStr"/>
      <c r="H920" t="inlineStr">
        <is>
          <t>כלב</t>
        </is>
      </c>
      <c r="I920" t="inlineStr"/>
      <c r="J920" t="inlineStr">
        <is>
          <t>2026-07</t>
        </is>
      </c>
      <c r="K920" t="n">
        <v>449</v>
      </c>
      <c r="L920" t="n">
        <v>529.8200000000001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רגיל</t>
        </is>
      </c>
      <c r="F921" t="inlineStr">
        <is>
          <t>יבש</t>
        </is>
      </c>
      <c r="G921" t="inlineStr"/>
      <c r="H921" t="inlineStr">
        <is>
          <t>כלב</t>
        </is>
      </c>
      <c r="I921" t="inlineStr"/>
      <c r="J921" t="inlineStr">
        <is>
          <t>2026-07</t>
        </is>
      </c>
      <c r="K921" t="n">
        <v>130</v>
      </c>
      <c r="L921" t="n">
        <v>153.4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רגיל</t>
        </is>
      </c>
      <c r="F922" t="inlineStr">
        <is>
          <t>יבש</t>
        </is>
      </c>
      <c r="G922" t="inlineStr"/>
      <c r="H922" t="inlineStr">
        <is>
          <t>כלב</t>
        </is>
      </c>
      <c r="I922" t="inlineStr"/>
      <c r="J922" t="inlineStr">
        <is>
          <t>2026-07</t>
        </is>
      </c>
      <c r="K922" t="n">
        <v>449</v>
      </c>
      <c r="L922" t="n">
        <v>529.8200000000001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רגיל</t>
        </is>
      </c>
      <c r="F923" t="inlineStr">
        <is>
          <t>יבש</t>
        </is>
      </c>
      <c r="G923" t="inlineStr"/>
      <c r="H923" t="inlineStr">
        <is>
          <t>כלב</t>
        </is>
      </c>
      <c r="I923" t="inlineStr">
        <is>
          <t>עד 7 ק"ג</t>
        </is>
      </c>
      <c r="J923" t="inlineStr">
        <is>
          <t>2026-07</t>
        </is>
      </c>
      <c r="K923" t="n">
        <v>130</v>
      </c>
      <c r="L923" t="n">
        <v>153.4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רגיל</t>
        </is>
      </c>
      <c r="F924" t="inlineStr">
        <is>
          <t>יבש</t>
        </is>
      </c>
      <c r="G924" t="inlineStr"/>
      <c r="H924" t="inlineStr">
        <is>
          <t>כלב</t>
        </is>
      </c>
      <c r="I924" t="inlineStr">
        <is>
          <t>עד 7 ק"ג</t>
        </is>
      </c>
      <c r="J924" t="inlineStr">
        <is>
          <t>2026-07</t>
        </is>
      </c>
      <c r="K924" t="n">
        <v>150</v>
      </c>
      <c r="L924" t="n">
        <v>177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רגיל</t>
        </is>
      </c>
      <c r="F925" t="inlineStr">
        <is>
          <t>יבש</t>
        </is>
      </c>
      <c r="G925" t="inlineStr"/>
      <c r="H925" t="inlineStr">
        <is>
          <t>חתול</t>
        </is>
      </c>
      <c r="I925" t="inlineStr"/>
      <c r="J925" t="inlineStr">
        <is>
          <t>2026-07</t>
        </is>
      </c>
      <c r="K925" t="n">
        <v>86</v>
      </c>
      <c r="L925" t="n">
        <v>101.48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רגיל</t>
        </is>
      </c>
      <c r="F926" t="inlineStr">
        <is>
          <t>יבש</t>
        </is>
      </c>
      <c r="G926" t="inlineStr"/>
      <c r="H926" t="inlineStr">
        <is>
          <t>כלב</t>
        </is>
      </c>
      <c r="I926" t="inlineStr"/>
      <c r="J926" t="inlineStr">
        <is>
          <t>2026-07</t>
        </is>
      </c>
      <c r="K926" t="n">
        <v>449</v>
      </c>
      <c r="L926" t="n">
        <v>529.8200000000001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רגיל</t>
        </is>
      </c>
      <c r="F927" t="inlineStr">
        <is>
          <t>יבש</t>
        </is>
      </c>
      <c r="G927" t="inlineStr"/>
      <c r="H927" t="inlineStr">
        <is>
          <t>כלב</t>
        </is>
      </c>
      <c r="I927" t="inlineStr"/>
      <c r="J927" t="inlineStr">
        <is>
          <t>2026-07</t>
        </is>
      </c>
      <c r="K927" t="n">
        <v>130</v>
      </c>
      <c r="L927" t="n">
        <v>153.4</v>
      </c>
      <c r="M927">
        <f>הגדרות!B11</f>
        <v/>
      </c>
      <c r="N927">
        <f>K927*(1-M927/100)*1.18</f>
        <v/>
      </c>
      <c r="O927">
        <f>הגדרות!C11</f>
        <v/>
      </c>
      <c r="P927">
        <f>הגדרות!D11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רגיל</t>
        </is>
      </c>
      <c r="F928" t="inlineStr">
        <is>
          <t>יבש</t>
        </is>
      </c>
      <c r="G928" t="inlineStr"/>
      <c r="H928" t="inlineStr">
        <is>
          <t>חתול</t>
        </is>
      </c>
      <c r="I928" t="inlineStr"/>
      <c r="J928" t="inlineStr">
        <is>
          <t>2026-07</t>
        </is>
      </c>
      <c r="K928" t="n">
        <v>86</v>
      </c>
      <c r="L928" t="n">
        <v>101.48</v>
      </c>
      <c r="M928">
        <f>הגדרות!B11</f>
        <v/>
      </c>
      <c r="N928">
        <f>K928*(1-M928/100)*1.18</f>
        <v/>
      </c>
      <c r="O928">
        <f>הגדרות!C11</f>
        <v/>
      </c>
      <c r="P928">
        <f>הגדרות!D11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רגיל</t>
        </is>
      </c>
      <c r="F929" t="inlineStr">
        <is>
          <t>יבש</t>
        </is>
      </c>
      <c r="G929" t="inlineStr"/>
      <c r="H929" t="inlineStr">
        <is>
          <t>חתול</t>
        </is>
      </c>
      <c r="I929" t="inlineStr"/>
      <c r="J929" t="inlineStr">
        <is>
          <t>2026-07</t>
        </is>
      </c>
      <c r="K929" t="n">
        <v>86</v>
      </c>
      <c r="L929" t="n">
        <v>101.48</v>
      </c>
      <c r="M929">
        <f>הגדרות!B11</f>
        <v/>
      </c>
      <c r="N929">
        <f>K929*(1-M929/100)*1.18</f>
        <v/>
      </c>
      <c r="O929">
        <f>הגדרות!C11</f>
        <v/>
      </c>
      <c r="P929">
        <f>הגדרות!D11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רגיל</t>
        </is>
      </c>
      <c r="F930" t="inlineStr">
        <is>
          <t>יבש</t>
        </is>
      </c>
      <c r="G930" t="inlineStr"/>
      <c r="H930" t="inlineStr">
        <is>
          <t>חתול</t>
        </is>
      </c>
      <c r="I930" t="inlineStr"/>
      <c r="J930" t="inlineStr">
        <is>
          <t>2026-07</t>
        </is>
      </c>
      <c r="K930" t="n">
        <v>421</v>
      </c>
      <c r="L930" t="n">
        <v>496.78</v>
      </c>
      <c r="M930">
        <f>הגדרות!B11</f>
        <v/>
      </c>
      <c r="N930">
        <f>K930*(1-M930/100)*1.18</f>
        <v/>
      </c>
      <c r="O930">
        <f>הגדרות!C11</f>
        <v/>
      </c>
      <c r="P930">
        <f>הגדרות!D11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רגיל</t>
        </is>
      </c>
      <c r="F931" t="inlineStr">
        <is>
          <t>יבש</t>
        </is>
      </c>
      <c r="G931" t="inlineStr"/>
      <c r="H931" t="inlineStr">
        <is>
          <t>חתול</t>
        </is>
      </c>
      <c r="I931" t="inlineStr"/>
      <c r="J931" t="inlineStr">
        <is>
          <t>2026-07</t>
        </is>
      </c>
      <c r="K931" t="n">
        <v>421</v>
      </c>
      <c r="L931" t="n">
        <v>496.78</v>
      </c>
      <c r="M931">
        <f>הגדרות!B11</f>
        <v/>
      </c>
      <c r="N931">
        <f>K931*(1-M931/100)*1.18</f>
        <v/>
      </c>
      <c r="O931">
        <f>הגדרות!C11</f>
        <v/>
      </c>
      <c r="P931">
        <f>הגדרות!D11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גורים</t>
        </is>
      </c>
      <c r="H932" t="inlineStr">
        <is>
          <t>חתול</t>
        </is>
      </c>
      <c r="I932" t="inlineStr"/>
      <c r="J932" t="inlineStr">
        <is>
          <t>2026-07</t>
        </is>
      </c>
      <c r="K932" t="n">
        <v>90</v>
      </c>
      <c r="L932" t="n">
        <v>106.2</v>
      </c>
      <c r="M932">
        <f>הגדרות!B11</f>
        <v/>
      </c>
      <c r="N932">
        <f>K932*(1-M932/100)*1.18</f>
        <v/>
      </c>
      <c r="O932">
        <f>הגדרות!C11</f>
        <v/>
      </c>
      <c r="P932">
        <f>הגדרות!D11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רגיל</t>
        </is>
      </c>
      <c r="F933" t="inlineStr">
        <is>
          <t>יבש</t>
        </is>
      </c>
      <c r="G933" t="inlineStr"/>
      <c r="H933" t="inlineStr">
        <is>
          <t>חתול</t>
        </is>
      </c>
      <c r="I933" t="inlineStr"/>
      <c r="J933" t="inlineStr">
        <is>
          <t>2026-07</t>
        </is>
      </c>
      <c r="K933" t="n">
        <v>421</v>
      </c>
      <c r="L933" t="n">
        <v>496.78</v>
      </c>
      <c r="M933">
        <f>הגדרות!B11</f>
        <v/>
      </c>
      <c r="N933">
        <f>K933*(1-M933/100)*1.18</f>
        <v/>
      </c>
      <c r="O933">
        <f>הגדרות!C11</f>
        <v/>
      </c>
      <c r="P933">
        <f>הגדרות!D11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גורים</t>
        </is>
      </c>
      <c r="H934" t="inlineStr">
        <is>
          <t>חתול</t>
        </is>
      </c>
      <c r="I934" t="inlineStr"/>
      <c r="J934" t="inlineStr">
        <is>
          <t>2026-07</t>
        </is>
      </c>
      <c r="K934" t="n">
        <v>421</v>
      </c>
      <c r="L934" t="n">
        <v>496.78</v>
      </c>
      <c r="M934">
        <f>הגדרות!B11</f>
        <v/>
      </c>
      <c r="N934">
        <f>K934*(1-M934/100)*1.18</f>
        <v/>
      </c>
      <c r="O934">
        <f>הגדרות!C11</f>
        <v/>
      </c>
      <c r="P934">
        <f>הגדרות!D11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>
        <is>
          <t>כלב</t>
        </is>
      </c>
      <c r="I935" t="inlineStr"/>
      <c r="J935" t="inlineStr">
        <is>
          <t>2026-07</t>
        </is>
      </c>
      <c r="K935" t="n">
        <v>348</v>
      </c>
      <c r="L935" t="n">
        <v>410.64</v>
      </c>
      <c r="M935">
        <f>הגדרות!B11</f>
        <v/>
      </c>
      <c r="N935">
        <f>K935*(1-M935/100)*1.18</f>
        <v/>
      </c>
      <c r="O935">
        <f>הגדרות!C11</f>
        <v/>
      </c>
      <c r="P935">
        <f>הגדרות!D11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>
        <is>
          <t>כלב</t>
        </is>
      </c>
      <c r="I936" t="inlineStr"/>
      <c r="J936" t="inlineStr">
        <is>
          <t>2026-07</t>
        </is>
      </c>
      <c r="K936" t="n">
        <v>113</v>
      </c>
      <c r="L936" t="n">
        <v>133.34</v>
      </c>
      <c r="M936">
        <f>הגדרות!B11</f>
        <v/>
      </c>
      <c r="N936">
        <f>K936*(1-M936/100)*1.18</f>
        <v/>
      </c>
      <c r="O936">
        <f>הגדרות!C11</f>
        <v/>
      </c>
      <c r="P936">
        <f>הגדרות!D11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>
        <is>
          <t>כלב</t>
        </is>
      </c>
      <c r="I937" t="inlineStr"/>
      <c r="J937" t="inlineStr">
        <is>
          <t>2026-07</t>
        </is>
      </c>
      <c r="K937" t="n">
        <v>348</v>
      </c>
      <c r="L937" t="n">
        <v>410.64</v>
      </c>
      <c r="M937">
        <f>הגדרות!B11</f>
        <v/>
      </c>
      <c r="N937">
        <f>K937*(1-M937/100)*1.18</f>
        <v/>
      </c>
      <c r="O937">
        <f>הגדרות!C11</f>
        <v/>
      </c>
      <c r="P937">
        <f>הגדרות!D11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>
        <is>
          <t>כלב</t>
        </is>
      </c>
      <c r="I938" t="inlineStr"/>
      <c r="J938" t="inlineStr">
        <is>
          <t>2026-07</t>
        </is>
      </c>
      <c r="K938" t="n">
        <v>113</v>
      </c>
      <c r="L938" t="n">
        <v>133.34</v>
      </c>
      <c r="M938">
        <f>הגדרות!B11</f>
        <v/>
      </c>
      <c r="N938">
        <f>K938*(1-M938/100)*1.18</f>
        <v/>
      </c>
      <c r="O938">
        <f>הגדרות!C11</f>
        <v/>
      </c>
      <c r="P938">
        <f>הגדרות!D11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>
        <is>
          <t>כלב</t>
        </is>
      </c>
      <c r="I939" t="inlineStr"/>
      <c r="J939" t="inlineStr">
        <is>
          <t>2026-07</t>
        </is>
      </c>
      <c r="K939" t="n">
        <v>396</v>
      </c>
      <c r="L939" t="n">
        <v>467.28</v>
      </c>
      <c r="M939">
        <f>הגדרות!B11</f>
        <v/>
      </c>
      <c r="N939">
        <f>K939*(1-M939/100)*1.18</f>
        <v/>
      </c>
      <c r="O939">
        <f>הגדרות!C11</f>
        <v/>
      </c>
      <c r="P939">
        <f>הגדרות!D11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>
        <is>
          <t>כלב</t>
        </is>
      </c>
      <c r="I940" t="inlineStr"/>
      <c r="J940" t="inlineStr">
        <is>
          <t>2026-07</t>
        </is>
      </c>
      <c r="K940" t="n">
        <v>113</v>
      </c>
      <c r="L940" t="n">
        <v>133.34</v>
      </c>
      <c r="M940">
        <f>הגדרות!B11</f>
        <v/>
      </c>
      <c r="N940">
        <f>K940*(1-M940/100)*1.18</f>
        <v/>
      </c>
      <c r="O940">
        <f>הגדרות!C11</f>
        <v/>
      </c>
      <c r="P940">
        <f>הגדרות!D11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רגיל</t>
        </is>
      </c>
      <c r="F941" t="inlineStr">
        <is>
          <t>יבש</t>
        </is>
      </c>
      <c r="G941" t="inlineStr"/>
      <c r="H941" t="inlineStr">
        <is>
          <t>כלב</t>
        </is>
      </c>
      <c r="I941" t="inlineStr"/>
      <c r="J941" t="inlineStr">
        <is>
          <t>2026-07</t>
        </is>
      </c>
      <c r="K941" t="n">
        <v>401</v>
      </c>
      <c r="L941" t="n">
        <v>473.18</v>
      </c>
      <c r="M941">
        <f>הגדרות!B11</f>
        <v/>
      </c>
      <c r="N941">
        <f>K941*(1-M941/100)*1.18</f>
        <v/>
      </c>
      <c r="O941">
        <f>הגדרות!C11</f>
        <v/>
      </c>
      <c r="P941">
        <f>הגדרות!D11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רגיל</t>
        </is>
      </c>
      <c r="F942" t="inlineStr">
        <is>
          <t>יבש</t>
        </is>
      </c>
      <c r="G942" t="inlineStr"/>
      <c r="H942" t="inlineStr">
        <is>
          <t>כלב</t>
        </is>
      </c>
      <c r="I942" t="inlineStr"/>
      <c r="J942" t="inlineStr">
        <is>
          <t>2026-07</t>
        </is>
      </c>
      <c r="K942" t="n">
        <v>113</v>
      </c>
      <c r="L942" t="n">
        <v>133.34</v>
      </c>
      <c r="M942">
        <f>הגדרות!B11</f>
        <v/>
      </c>
      <c r="N942">
        <f>K942*(1-M942/100)*1.18</f>
        <v/>
      </c>
      <c r="O942">
        <f>הגדרות!C11</f>
        <v/>
      </c>
      <c r="P942">
        <f>הגדרות!D11</f>
        <v/>
      </c>
      <c r="Q942">
        <f>N942*(1+O942/100)+P942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2026-08-26T12:28:11Z</dcterms:created>
  <dcterms:modified xmlns:dcterms="http://purl.org/dc/terms/" xmlns:xsi="http://www.w3.org/2001/XMLSchema-instance" xsi:type="dcterms:W3CDTF">2026-08-26T12:28:11Z</dcterms:modified>
</cp:coreProperties>
</file>