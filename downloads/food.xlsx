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Vet Essentials</t>
        </is>
      </c>
      <c r="B5" t="n">
        <v>0</v>
      </c>
      <c r="C5" t="n">
        <v>0</v>
      </c>
      <c r="D5" t="n">
        <v>0</v>
      </c>
    </row>
    <row r="6">
      <c r="A6" t="inlineStr">
        <is>
          <t>VetLife</t>
        </is>
      </c>
      <c r="B6" t="n">
        <v>0</v>
      </c>
      <c r="C6" t="n">
        <v>0</v>
      </c>
      <c r="D6" t="n">
        <v>0</v>
      </c>
    </row>
    <row r="7">
      <c r="A7" t="inlineStr">
        <is>
          <t>Purina Pro Plan VET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חנויות</t>
        </is>
      </c>
      <c r="B8" t="n">
        <v>0</v>
      </c>
      <c r="C8" t="n">
        <v>0</v>
      </c>
      <c r="D8" t="n">
        <v>0</v>
      </c>
    </row>
    <row r="9">
      <c r="A9" t="inlineStr">
        <is>
          <t>Monge Vet Solution</t>
        </is>
      </c>
      <c r="B9" t="n">
        <v>0</v>
      </c>
      <c r="C9" t="n">
        <v>0</v>
      </c>
      <c r="D9" t="n">
        <v>0</v>
      </c>
    </row>
    <row r="11">
      <c r="A11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2026-06</t>
        </is>
      </c>
      <c r="F2" t="n">
        <v>89</v>
      </c>
      <c r="G2" t="n">
        <v>105.02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2026-06</t>
        </is>
      </c>
      <c r="F3" t="n">
        <v>89</v>
      </c>
      <c r="G3" t="n">
        <v>105.02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2026-06</t>
        </is>
      </c>
      <c r="F4" t="n">
        <v>89</v>
      </c>
      <c r="G4" t="n">
        <v>105.02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2026-06</t>
        </is>
      </c>
      <c r="F5" t="n">
        <v>89</v>
      </c>
      <c r="G5" t="n">
        <v>105.02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2026-06</t>
        </is>
      </c>
      <c r="F6" t="n">
        <v>115</v>
      </c>
      <c r="G6" t="n">
        <v>135.7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2026-06</t>
        </is>
      </c>
      <c r="F7" t="n">
        <v>179</v>
      </c>
      <c r="G7" t="n">
        <v>211.22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2026-06</t>
        </is>
      </c>
      <c r="F8" t="n">
        <v>139</v>
      </c>
      <c r="G8" t="n">
        <v>164.02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2026-06</t>
        </is>
      </c>
      <c r="F9" t="n">
        <v>196</v>
      </c>
      <c r="G9" t="n">
        <v>231.28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2026-06</t>
        </is>
      </c>
      <c r="F10" t="n">
        <v>139</v>
      </c>
      <c r="G10" t="n">
        <v>164.02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2026-06</t>
        </is>
      </c>
      <c r="F11" t="n">
        <v>196</v>
      </c>
      <c r="G11" t="n">
        <v>231.28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2026-06</t>
        </is>
      </c>
      <c r="F12" t="n">
        <v>139</v>
      </c>
      <c r="G12" t="n">
        <v>164.02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2026-06</t>
        </is>
      </c>
      <c r="F13" t="n">
        <v>196</v>
      </c>
      <c r="G13" t="n">
        <v>231.28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2026-06</t>
        </is>
      </c>
      <c r="F14" t="n">
        <v>139</v>
      </c>
      <c r="G14" t="n">
        <v>164.02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2026-06</t>
        </is>
      </c>
      <c r="F15" t="n">
        <v>179</v>
      </c>
      <c r="G15" t="n">
        <v>211.22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2026-06</t>
        </is>
      </c>
      <c r="F16" t="n">
        <v>288</v>
      </c>
      <c r="G16" t="n">
        <v>339.84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2026-06</t>
        </is>
      </c>
      <c r="F17" t="n">
        <v>179</v>
      </c>
      <c r="G17" t="n">
        <v>211.22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2026-06</t>
        </is>
      </c>
      <c r="F18" t="n">
        <v>159</v>
      </c>
      <c r="G18" t="n">
        <v>187.62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2026-06</t>
        </is>
      </c>
      <c r="F19" t="n">
        <v>143</v>
      </c>
      <c r="G19" t="n">
        <v>168.74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2026-06</t>
        </is>
      </c>
      <c r="F20" t="n">
        <v>139</v>
      </c>
      <c r="G20" t="n">
        <v>164.02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2026-06</t>
        </is>
      </c>
      <c r="F21" t="n">
        <v>215</v>
      </c>
      <c r="G21" t="n">
        <v>253.7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2026-06</t>
        </is>
      </c>
      <c r="F22" t="n">
        <v>139</v>
      </c>
      <c r="G22" t="n">
        <v>164.02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2026-06</t>
        </is>
      </c>
      <c r="F23" t="n">
        <v>223</v>
      </c>
      <c r="G23" t="n">
        <v>263.14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2026-06</t>
        </is>
      </c>
      <c r="F24" t="n">
        <v>139</v>
      </c>
      <c r="G24" t="n">
        <v>164.02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2026-06</t>
        </is>
      </c>
      <c r="F25" t="n">
        <v>179</v>
      </c>
      <c r="G25" t="n">
        <v>211.22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2026-06</t>
        </is>
      </c>
      <c r="F26" t="n">
        <v>145</v>
      </c>
      <c r="G26" t="n">
        <v>171.1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2026-06</t>
        </is>
      </c>
      <c r="F27" t="n">
        <v>153</v>
      </c>
      <c r="G27" t="n">
        <v>180.54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2026-06</t>
        </is>
      </c>
      <c r="F28" t="n">
        <v>264</v>
      </c>
      <c r="G28" t="n">
        <v>311.52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2026-06</t>
        </is>
      </c>
      <c r="F29" t="n">
        <v>159</v>
      </c>
      <c r="G29" t="n">
        <v>187.62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2026-06</t>
        </is>
      </c>
      <c r="F30" t="n">
        <v>215</v>
      </c>
      <c r="G30" t="n">
        <v>253.7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2026-06</t>
        </is>
      </c>
      <c r="F31" t="n">
        <v>109</v>
      </c>
      <c r="G31" t="n">
        <v>128.62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2026-06</t>
        </is>
      </c>
      <c r="F32" t="n">
        <v>179</v>
      </c>
      <c r="G32" t="n">
        <v>211.22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2026-06</t>
        </is>
      </c>
      <c r="F33" t="n">
        <v>299</v>
      </c>
      <c r="G33" t="n">
        <v>352.82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2026-06</t>
        </is>
      </c>
      <c r="F34" t="n">
        <v>352</v>
      </c>
      <c r="G34" t="n">
        <v>415.36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2026-06</t>
        </is>
      </c>
      <c r="F35" t="n">
        <v>179</v>
      </c>
      <c r="G35" t="n">
        <v>211.22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2026-06</t>
        </is>
      </c>
      <c r="F36" t="n">
        <v>179</v>
      </c>
      <c r="G36" t="n">
        <v>211.22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2026-06</t>
        </is>
      </c>
      <c r="F37" t="n">
        <v>139</v>
      </c>
      <c r="G37" t="n">
        <v>164.02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2026-06</t>
        </is>
      </c>
      <c r="F38" t="n">
        <v>89</v>
      </c>
      <c r="G38" t="n">
        <v>105.02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2026-06</t>
        </is>
      </c>
      <c r="F39" t="n">
        <v>89</v>
      </c>
      <c r="G39" t="n">
        <v>105.02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2026-06</t>
        </is>
      </c>
      <c r="F40" t="n">
        <v>89</v>
      </c>
      <c r="G40" t="n">
        <v>105.02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2026-06</t>
        </is>
      </c>
      <c r="F41" t="n">
        <v>89</v>
      </c>
      <c r="G41" t="n">
        <v>105.02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2026-06</t>
        </is>
      </c>
      <c r="F42" t="n">
        <v>89</v>
      </c>
      <c r="G42" t="n">
        <v>105.02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2026-06</t>
        </is>
      </c>
      <c r="F43" t="n">
        <v>89</v>
      </c>
      <c r="G43" t="n">
        <v>105.02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2026-06</t>
        </is>
      </c>
      <c r="F44" t="n">
        <v>89</v>
      </c>
      <c r="G44" t="n">
        <v>105.02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2026-06</t>
        </is>
      </c>
      <c r="F45" t="n">
        <v>89</v>
      </c>
      <c r="G45" t="n">
        <v>105.02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2026-06</t>
        </is>
      </c>
      <c r="F46" t="n">
        <v>89</v>
      </c>
      <c r="G46" t="n">
        <v>105.02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2026-06</t>
        </is>
      </c>
      <c r="F47" t="n">
        <v>89</v>
      </c>
      <c r="G47" t="n">
        <v>105.02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2026-06</t>
        </is>
      </c>
      <c r="F48" t="n">
        <v>89</v>
      </c>
      <c r="G48" t="n">
        <v>105.02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2026-06</t>
        </is>
      </c>
      <c r="F49" t="n">
        <v>89</v>
      </c>
      <c r="G49" t="n">
        <v>105.02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2026-06</t>
        </is>
      </c>
      <c r="F50" t="n">
        <v>174</v>
      </c>
      <c r="G50" t="n">
        <v>205.32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2026-06</t>
        </is>
      </c>
      <c r="F51" t="n">
        <v>269</v>
      </c>
      <c r="G51" t="n">
        <v>317.42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2026-06</t>
        </is>
      </c>
      <c r="F52" t="n">
        <v>115</v>
      </c>
      <c r="G52" t="n">
        <v>135.7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2026-06</t>
        </is>
      </c>
      <c r="F53" t="n">
        <v>321</v>
      </c>
      <c r="G53" t="n">
        <v>378.78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2026-06</t>
        </is>
      </c>
      <c r="F54" t="n">
        <v>515</v>
      </c>
      <c r="G54" t="n">
        <v>607.7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2026-06</t>
        </is>
      </c>
      <c r="F55" t="n">
        <v>115</v>
      </c>
      <c r="G55" t="n">
        <v>135.7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2026-06</t>
        </is>
      </c>
      <c r="F56" t="n">
        <v>115</v>
      </c>
      <c r="G56" t="n">
        <v>135.7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2026-06</t>
        </is>
      </c>
      <c r="F57" t="n">
        <v>399</v>
      </c>
      <c r="G57" t="n">
        <v>470.82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2026-06</t>
        </is>
      </c>
      <c r="F58" t="n">
        <v>169</v>
      </c>
      <c r="G58" t="n">
        <v>199.42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2026-06</t>
        </is>
      </c>
      <c r="F59" t="n">
        <v>359</v>
      </c>
      <c r="G59" t="n">
        <v>423.62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2026-06</t>
        </is>
      </c>
      <c r="F60" t="n">
        <v>289</v>
      </c>
      <c r="G60" t="n">
        <v>341.02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2026-06</t>
        </is>
      </c>
      <c r="F61" t="n">
        <v>504</v>
      </c>
      <c r="G61" t="n">
        <v>594.72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2026-06</t>
        </is>
      </c>
      <c r="F62" t="n">
        <v>215</v>
      </c>
      <c r="G62" t="n">
        <v>253.7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2026-06</t>
        </is>
      </c>
      <c r="F63" t="n">
        <v>330</v>
      </c>
      <c r="G63" t="n">
        <v>389.4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2026-06</t>
        </is>
      </c>
      <c r="F64" t="n">
        <v>504</v>
      </c>
      <c r="G64" t="n">
        <v>594.72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2026-06</t>
        </is>
      </c>
      <c r="F65" t="n">
        <v>155</v>
      </c>
      <c r="G65" t="n">
        <v>182.9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2026-06</t>
        </is>
      </c>
      <c r="F66" t="n">
        <v>504</v>
      </c>
      <c r="G66" t="n">
        <v>594.72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2026-06</t>
        </is>
      </c>
      <c r="F67" t="n">
        <v>115</v>
      </c>
      <c r="G67" t="n">
        <v>135.7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2026-06</t>
        </is>
      </c>
      <c r="F68" t="n">
        <v>315</v>
      </c>
      <c r="G68" t="n">
        <v>371.7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2026-06</t>
        </is>
      </c>
      <c r="F69" t="n">
        <v>519</v>
      </c>
      <c r="G69" t="n">
        <v>612.42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2026-06</t>
        </is>
      </c>
      <c r="F70" t="n">
        <v>115</v>
      </c>
      <c r="G70" t="n">
        <v>135.7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2026-06</t>
        </is>
      </c>
      <c r="F71" t="n">
        <v>289</v>
      </c>
      <c r="G71" t="n">
        <v>341.02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2026-06</t>
        </is>
      </c>
      <c r="F72" t="n">
        <v>504</v>
      </c>
      <c r="G72" t="n">
        <v>594.72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2026-06</t>
        </is>
      </c>
      <c r="F73" t="n">
        <v>174</v>
      </c>
      <c r="G73" t="n">
        <v>205.32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2026-06</t>
        </is>
      </c>
      <c r="F74" t="n">
        <v>115</v>
      </c>
      <c r="G74" t="n">
        <v>135.7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2026-06</t>
        </is>
      </c>
      <c r="F75" t="n">
        <v>319</v>
      </c>
      <c r="G75" t="n">
        <v>376.42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2026-06</t>
        </is>
      </c>
      <c r="F76" t="n">
        <v>315</v>
      </c>
      <c r="G76" t="n">
        <v>371.7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2026-06</t>
        </is>
      </c>
      <c r="F77" t="n">
        <v>504</v>
      </c>
      <c r="G77" t="n">
        <v>594.72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2026-06</t>
        </is>
      </c>
      <c r="F78" t="n">
        <v>315</v>
      </c>
      <c r="G78" t="n">
        <v>371.7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2026-06</t>
        </is>
      </c>
      <c r="F79" t="n">
        <v>115</v>
      </c>
      <c r="G79" t="n">
        <v>135.7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2026-06</t>
        </is>
      </c>
      <c r="F80" t="n">
        <v>315</v>
      </c>
      <c r="G80" t="n">
        <v>371.7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2026-06</t>
        </is>
      </c>
      <c r="F81" t="n">
        <v>215</v>
      </c>
      <c r="G81" t="n">
        <v>253.7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2026-06</t>
        </is>
      </c>
      <c r="F82" t="n">
        <v>115</v>
      </c>
      <c r="G82" t="n">
        <v>135.7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2026-06</t>
        </is>
      </c>
      <c r="F83" t="n">
        <v>215</v>
      </c>
      <c r="G83" t="n">
        <v>253.7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2026-06</t>
        </is>
      </c>
      <c r="F84" t="n">
        <v>499</v>
      </c>
      <c r="G84" t="n">
        <v>588.8200000000001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2026-06</t>
        </is>
      </c>
      <c r="F85" t="n">
        <v>205</v>
      </c>
      <c r="G85" t="n">
        <v>241.9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2026-06</t>
        </is>
      </c>
      <c r="F86" t="n">
        <v>129</v>
      </c>
      <c r="G86" t="n">
        <v>152.22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2026-06</t>
        </is>
      </c>
      <c r="F87" t="n">
        <v>324</v>
      </c>
      <c r="G87" t="n">
        <v>382.32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2026-06</t>
        </is>
      </c>
      <c r="F88" t="n">
        <v>559</v>
      </c>
      <c r="G88" t="n">
        <v>659.62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2026-06</t>
        </is>
      </c>
      <c r="F89" t="n">
        <v>74</v>
      </c>
      <c r="G89" t="n">
        <v>87.31999999999999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2026-06</t>
        </is>
      </c>
      <c r="F90" t="n">
        <v>205</v>
      </c>
      <c r="G90" t="n">
        <v>241.9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2026-06</t>
        </is>
      </c>
      <c r="F91" t="n">
        <v>359</v>
      </c>
      <c r="G91" t="n">
        <v>423.62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2026-06</t>
        </is>
      </c>
      <c r="F92" t="n">
        <v>215</v>
      </c>
      <c r="G92" t="n">
        <v>253.7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2026-06</t>
        </is>
      </c>
      <c r="F93" t="n">
        <v>115</v>
      </c>
      <c r="G93" t="n">
        <v>135.7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2026-06</t>
        </is>
      </c>
      <c r="F94" t="n">
        <v>315</v>
      </c>
      <c r="G94" t="n">
        <v>371.7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2026-06</t>
        </is>
      </c>
      <c r="F95" t="n">
        <v>499</v>
      </c>
      <c r="G95" t="n">
        <v>588.8200000000001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2026-06</t>
        </is>
      </c>
      <c r="F96" t="n">
        <v>315</v>
      </c>
      <c r="G96" t="n">
        <v>371.7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2026-06</t>
        </is>
      </c>
      <c r="F97" t="n">
        <v>449</v>
      </c>
      <c r="G97" t="n">
        <v>529.8200000000001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2026-06</t>
        </is>
      </c>
      <c r="F98" t="n">
        <v>115</v>
      </c>
      <c r="G98" t="n">
        <v>135.7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2026-06</t>
        </is>
      </c>
      <c r="F99" t="n">
        <v>315</v>
      </c>
      <c r="G99" t="n">
        <v>371.7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2026-06</t>
        </is>
      </c>
      <c r="F100" t="n">
        <v>224</v>
      </c>
      <c r="G100" t="n">
        <v>264.32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2026-06</t>
        </is>
      </c>
      <c r="F101" t="n">
        <v>224</v>
      </c>
      <c r="G101" t="n">
        <v>264.32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2026-06</t>
        </is>
      </c>
      <c r="F102" t="n">
        <v>139</v>
      </c>
      <c r="G102" t="n">
        <v>164.02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2026-06</t>
        </is>
      </c>
      <c r="F103" t="n">
        <v>224</v>
      </c>
      <c r="G103" t="n">
        <v>264.32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2026-06</t>
        </is>
      </c>
      <c r="F104" t="n">
        <v>224</v>
      </c>
      <c r="G104" t="n">
        <v>264.32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2026-06</t>
        </is>
      </c>
      <c r="F105" t="n">
        <v>224</v>
      </c>
      <c r="G105" t="n">
        <v>264.32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2026-06</t>
        </is>
      </c>
      <c r="F106" t="n">
        <v>224</v>
      </c>
      <c r="G106" t="n">
        <v>264.32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2026-06</t>
        </is>
      </c>
      <c r="F107" t="n">
        <v>224</v>
      </c>
      <c r="G107" t="n">
        <v>264.32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2026-06</t>
        </is>
      </c>
      <c r="F108" t="n">
        <v>224</v>
      </c>
      <c r="G108" t="n">
        <v>264.32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2026-06</t>
        </is>
      </c>
      <c r="F109" t="n">
        <v>224</v>
      </c>
      <c r="G109" t="n">
        <v>264.32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2026-01</t>
        </is>
      </c>
      <c r="F110" t="n">
        <v>95</v>
      </c>
      <c r="G110" t="n">
        <v>112.1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2026-01</t>
        </is>
      </c>
      <c r="F111" t="n">
        <v>139</v>
      </c>
      <c r="G111" t="n">
        <v>164.02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2026-01</t>
        </is>
      </c>
      <c r="F112" t="n">
        <v>89</v>
      </c>
      <c r="G112" t="n">
        <v>105.02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2026-01</t>
        </is>
      </c>
      <c r="F113" t="n">
        <v>129</v>
      </c>
      <c r="G113" t="n">
        <v>152.22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2026-01</t>
        </is>
      </c>
      <c r="F114" t="n">
        <v>139</v>
      </c>
      <c r="G114" t="n">
        <v>164.02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2026-01</t>
        </is>
      </c>
      <c r="F115" t="n">
        <v>165</v>
      </c>
      <c r="G115" t="n">
        <v>194.7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2026-01</t>
        </is>
      </c>
      <c r="F116" t="n">
        <v>329</v>
      </c>
      <c r="G116" t="n">
        <v>388.22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2026-01</t>
        </is>
      </c>
      <c r="F117" t="n">
        <v>95</v>
      </c>
      <c r="G117" t="n">
        <v>112.1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2026-01</t>
        </is>
      </c>
      <c r="F118" t="n">
        <v>155</v>
      </c>
      <c r="G118" t="n">
        <v>182.9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2026-01</t>
        </is>
      </c>
      <c r="F119" t="n">
        <v>239</v>
      </c>
      <c r="G119" t="n">
        <v>282.02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2026-01</t>
        </is>
      </c>
      <c r="F120" t="n">
        <v>85</v>
      </c>
      <c r="G120" t="n">
        <v>100.3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2026-01</t>
        </is>
      </c>
      <c r="F121" t="n">
        <v>149</v>
      </c>
      <c r="G121" t="n">
        <v>175.82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2026-01</t>
        </is>
      </c>
      <c r="F122" t="n">
        <v>229</v>
      </c>
      <c r="G122" t="n">
        <v>270.22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2026-01</t>
        </is>
      </c>
      <c r="F123" t="n">
        <v>95</v>
      </c>
      <c r="G123" t="n">
        <v>112.1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2026-01</t>
        </is>
      </c>
      <c r="F124" t="n">
        <v>155</v>
      </c>
      <c r="G124" t="n">
        <v>182.9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2026-01</t>
        </is>
      </c>
      <c r="F125" t="n">
        <v>255</v>
      </c>
      <c r="G125" t="n">
        <v>300.9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2026-01</t>
        </is>
      </c>
      <c r="F126" t="n">
        <v>159</v>
      </c>
      <c r="G126" t="n">
        <v>187.62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2026-01</t>
        </is>
      </c>
      <c r="F127" t="n">
        <v>155</v>
      </c>
      <c r="G127" t="n">
        <v>182.9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2026-01</t>
        </is>
      </c>
      <c r="F128" t="n">
        <v>359</v>
      </c>
      <c r="G128" t="n">
        <v>423.62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2026-01</t>
        </is>
      </c>
      <c r="F129" t="n">
        <v>155</v>
      </c>
      <c r="G129" t="n">
        <v>182.9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2026-01</t>
        </is>
      </c>
      <c r="F130" t="n">
        <v>279</v>
      </c>
      <c r="G130" t="n">
        <v>329.22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2026-01</t>
        </is>
      </c>
      <c r="F131" t="n">
        <v>337</v>
      </c>
      <c r="G131" t="n">
        <v>397.66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2026-01</t>
        </is>
      </c>
      <c r="F132" t="n">
        <v>155</v>
      </c>
      <c r="G132" t="n">
        <v>182.9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2026-01</t>
        </is>
      </c>
      <c r="F133" t="n">
        <v>272</v>
      </c>
      <c r="G133" t="n">
        <v>320.96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2026-01</t>
        </is>
      </c>
      <c r="F134" t="n">
        <v>330</v>
      </c>
      <c r="G134" t="n">
        <v>389.4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2026-01</t>
        </is>
      </c>
      <c r="F135" t="n">
        <v>355</v>
      </c>
      <c r="G135" t="n">
        <v>418.9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2026-01</t>
        </is>
      </c>
      <c r="F136" t="n">
        <v>155</v>
      </c>
      <c r="G136" t="n">
        <v>182.9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2026-01</t>
        </is>
      </c>
      <c r="F137" t="n">
        <v>359</v>
      </c>
      <c r="G137" t="n">
        <v>423.62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2026-01</t>
        </is>
      </c>
      <c r="F138" t="n">
        <v>155</v>
      </c>
      <c r="G138" t="n">
        <v>182.9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2026-01</t>
        </is>
      </c>
      <c r="F139" t="n">
        <v>279</v>
      </c>
      <c r="G139" t="n">
        <v>329.22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2026-01</t>
        </is>
      </c>
      <c r="F140" t="n">
        <v>337</v>
      </c>
      <c r="G140" t="n">
        <v>397.66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2026-01</t>
        </is>
      </c>
      <c r="F141" t="n">
        <v>155</v>
      </c>
      <c r="G141" t="n">
        <v>182.9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2026-01</t>
        </is>
      </c>
      <c r="F142" t="n">
        <v>272</v>
      </c>
      <c r="G142" t="n">
        <v>320.96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2026-01</t>
        </is>
      </c>
      <c r="F143" t="n">
        <v>330</v>
      </c>
      <c r="G143" t="n">
        <v>389.4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2026-01</t>
        </is>
      </c>
      <c r="F144" t="n">
        <v>349</v>
      </c>
      <c r="G144" t="n">
        <v>411.82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2026-01</t>
        </is>
      </c>
      <c r="F145" t="n">
        <v>355</v>
      </c>
      <c r="G145" t="n">
        <v>418.9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2026-01</t>
        </is>
      </c>
      <c r="F146" t="n">
        <v>390</v>
      </c>
      <c r="G146" t="n">
        <v>460.2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2026-01</t>
        </is>
      </c>
      <c r="F147" t="n">
        <v>365</v>
      </c>
      <c r="G147" t="n">
        <v>430.7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2026-01</t>
        </is>
      </c>
      <c r="F148" t="n">
        <v>365</v>
      </c>
      <c r="G148" t="n">
        <v>430.7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2026-01</t>
        </is>
      </c>
      <c r="F149" t="n">
        <v>359</v>
      </c>
      <c r="G149" t="n">
        <v>423.62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2026-01</t>
        </is>
      </c>
      <c r="F150" t="n">
        <v>149</v>
      </c>
      <c r="G150" t="n">
        <v>175.82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2026-01</t>
        </is>
      </c>
      <c r="F151" t="n">
        <v>149</v>
      </c>
      <c r="G151" t="n">
        <v>175.82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2026-01</t>
        </is>
      </c>
      <c r="F152" t="n">
        <v>349</v>
      </c>
      <c r="G152" t="n">
        <v>411.82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2026-01</t>
        </is>
      </c>
      <c r="F153" t="n">
        <v>149</v>
      </c>
      <c r="G153" t="n">
        <v>175.82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2026-01</t>
        </is>
      </c>
      <c r="F154" t="n">
        <v>149</v>
      </c>
      <c r="G154" t="n">
        <v>175.82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2026-01</t>
        </is>
      </c>
      <c r="F155" t="n">
        <v>349</v>
      </c>
      <c r="G155" t="n">
        <v>411.82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2026-01</t>
        </is>
      </c>
      <c r="F156" t="n">
        <v>349</v>
      </c>
      <c r="G156" t="n">
        <v>411.82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2026-01</t>
        </is>
      </c>
      <c r="F157" t="n">
        <v>149</v>
      </c>
      <c r="G157" t="n">
        <v>175.82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2026-01</t>
        </is>
      </c>
      <c r="F158" t="n">
        <v>349</v>
      </c>
      <c r="G158" t="n">
        <v>411.82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2026-01</t>
        </is>
      </c>
      <c r="F159" t="n">
        <v>349</v>
      </c>
      <c r="G159" t="n">
        <v>411.82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2026-01</t>
        </is>
      </c>
      <c r="F160" t="n">
        <v>109</v>
      </c>
      <c r="G160" t="n">
        <v>128.62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2026-01</t>
        </is>
      </c>
      <c r="F161" t="n">
        <v>145</v>
      </c>
      <c r="G161" t="n">
        <v>171.1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2026-01</t>
        </is>
      </c>
      <c r="F162" t="n">
        <v>272</v>
      </c>
      <c r="G162" t="n">
        <v>320.96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2026-01</t>
        </is>
      </c>
      <c r="F163" t="n">
        <v>105</v>
      </c>
      <c r="G163" t="n">
        <v>123.9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2026-01</t>
        </is>
      </c>
      <c r="F164" t="n">
        <v>145</v>
      </c>
      <c r="G164" t="n">
        <v>171.1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2026-01</t>
        </is>
      </c>
      <c r="F165" t="n">
        <v>109</v>
      </c>
      <c r="G165" t="n">
        <v>128.62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2026-01</t>
        </is>
      </c>
      <c r="F166" t="n">
        <v>105</v>
      </c>
      <c r="G166" t="n">
        <v>123.9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2026-01</t>
        </is>
      </c>
      <c r="F167" t="n">
        <v>145</v>
      </c>
      <c r="G167" t="n">
        <v>171.1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2026-01</t>
        </is>
      </c>
      <c r="F168" t="n">
        <v>145</v>
      </c>
      <c r="G168" t="n">
        <v>171.1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2026-01</t>
        </is>
      </c>
      <c r="F169" t="n">
        <v>105</v>
      </c>
      <c r="G169" t="n">
        <v>123.9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2026-01</t>
        </is>
      </c>
      <c r="F170" t="n">
        <v>145</v>
      </c>
      <c r="G170" t="n">
        <v>171.1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2026-01</t>
        </is>
      </c>
      <c r="F171" t="n">
        <v>272</v>
      </c>
      <c r="G171" t="n">
        <v>320.96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2026-01</t>
        </is>
      </c>
      <c r="F172" t="n">
        <v>109</v>
      </c>
      <c r="G172" t="n">
        <v>128.62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2026-01</t>
        </is>
      </c>
      <c r="F173" t="n">
        <v>105</v>
      </c>
      <c r="G173" t="n">
        <v>123.9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2026-01</t>
        </is>
      </c>
      <c r="F174" t="n">
        <v>105</v>
      </c>
      <c r="G174" t="n">
        <v>123.9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2026-01</t>
        </is>
      </c>
      <c r="F175" t="n">
        <v>109</v>
      </c>
      <c r="G175" t="n">
        <v>128.62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2026-01</t>
        </is>
      </c>
      <c r="F176" t="n">
        <v>145</v>
      </c>
      <c r="G176" t="n">
        <v>171.1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2026-01</t>
        </is>
      </c>
      <c r="F177" t="n">
        <v>355</v>
      </c>
      <c r="G177" t="n">
        <v>418.9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2026-01</t>
        </is>
      </c>
      <c r="F178" t="n">
        <v>350</v>
      </c>
      <c r="G178" t="n">
        <v>413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2026-01</t>
        </is>
      </c>
      <c r="F179" t="n">
        <v>140</v>
      </c>
      <c r="G179" t="n">
        <v>165.2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2026-01</t>
        </is>
      </c>
      <c r="F180" t="n">
        <v>82</v>
      </c>
      <c r="G180" t="n">
        <v>96.76000000000001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2026-01</t>
        </is>
      </c>
      <c r="F181" t="n">
        <v>120</v>
      </c>
      <c r="G181" t="n">
        <v>141.6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2026-01</t>
        </is>
      </c>
      <c r="F182" t="n">
        <v>120</v>
      </c>
      <c r="G182" t="n">
        <v>141.6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2026-01</t>
        </is>
      </c>
      <c r="F183" t="n">
        <v>94</v>
      </c>
      <c r="G183" t="n">
        <v>110.92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2026-01</t>
        </is>
      </c>
      <c r="F184" t="n">
        <v>192</v>
      </c>
      <c r="G184" t="n">
        <v>226.56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2026-01</t>
        </is>
      </c>
      <c r="F185" t="n">
        <v>94</v>
      </c>
      <c r="G185" t="n">
        <v>110.92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2026-01</t>
        </is>
      </c>
      <c r="F186" t="n">
        <v>192</v>
      </c>
      <c r="G186" t="n">
        <v>226.56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2026-01</t>
        </is>
      </c>
      <c r="F187" t="n">
        <v>82</v>
      </c>
      <c r="G187" t="n">
        <v>96.76000000000001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2026-01</t>
        </is>
      </c>
      <c r="F188" t="n">
        <v>82</v>
      </c>
      <c r="G188" t="n">
        <v>96.76000000000001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2026-01</t>
        </is>
      </c>
      <c r="F189" t="n">
        <v>82</v>
      </c>
      <c r="G189" t="n">
        <v>96.76000000000001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2026-01</t>
        </is>
      </c>
      <c r="F190" t="n">
        <v>82</v>
      </c>
      <c r="G190" t="n">
        <v>96.76000000000001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2026-01</t>
        </is>
      </c>
      <c r="F191" t="n">
        <v>82</v>
      </c>
      <c r="G191" t="n">
        <v>96.76000000000001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2026-01</t>
        </is>
      </c>
      <c r="F192" t="n">
        <v>82</v>
      </c>
      <c r="G192" t="n">
        <v>96.76000000000001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2026-01</t>
        </is>
      </c>
      <c r="F193" t="n">
        <v>82</v>
      </c>
      <c r="G193" t="n">
        <v>96.76000000000001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2026-01</t>
        </is>
      </c>
      <c r="F194" t="n">
        <v>82</v>
      </c>
      <c r="G194" t="n">
        <v>96.76000000000001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2026-01</t>
        </is>
      </c>
      <c r="F195" t="n">
        <v>82</v>
      </c>
      <c r="G195" t="n">
        <v>96.76000000000001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2026-01</t>
        </is>
      </c>
      <c r="F196" t="n">
        <v>115</v>
      </c>
      <c r="G196" t="n">
        <v>135.7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2026-01</t>
        </is>
      </c>
      <c r="F197" t="n">
        <v>179</v>
      </c>
      <c r="G197" t="n">
        <v>211.22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2026-01</t>
        </is>
      </c>
      <c r="F198" t="n">
        <v>339</v>
      </c>
      <c r="G198" t="n">
        <v>400.02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2026-01</t>
        </is>
      </c>
      <c r="F199" t="n">
        <v>115</v>
      </c>
      <c r="G199" t="n">
        <v>135.7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2026-01</t>
        </is>
      </c>
      <c r="F200" t="n">
        <v>179</v>
      </c>
      <c r="G200" t="n">
        <v>211.22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2026-01</t>
        </is>
      </c>
      <c r="F201" t="n">
        <v>329</v>
      </c>
      <c r="G201" t="n">
        <v>388.22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2026-01</t>
        </is>
      </c>
      <c r="F202" t="n">
        <v>110</v>
      </c>
      <c r="G202" t="n">
        <v>129.8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2026-01</t>
        </is>
      </c>
      <c r="F203" t="n">
        <v>175</v>
      </c>
      <c r="G203" t="n">
        <v>206.5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2026-01</t>
        </is>
      </c>
      <c r="F204" t="n">
        <v>315</v>
      </c>
      <c r="G204" t="n">
        <v>371.7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2026-01</t>
        </is>
      </c>
      <c r="F205" t="n">
        <v>345</v>
      </c>
      <c r="G205" t="n">
        <v>407.1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2026-01</t>
        </is>
      </c>
      <c r="F206" t="n">
        <v>110</v>
      </c>
      <c r="G206" t="n">
        <v>129.8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2026-01</t>
        </is>
      </c>
      <c r="F207" t="n">
        <v>175</v>
      </c>
      <c r="G207" t="n">
        <v>206.5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2026-01</t>
        </is>
      </c>
      <c r="F208" t="n">
        <v>329</v>
      </c>
      <c r="G208" t="n">
        <v>388.22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2026-01</t>
        </is>
      </c>
      <c r="F209" t="n">
        <v>110</v>
      </c>
      <c r="G209" t="n">
        <v>129.8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2026-01</t>
        </is>
      </c>
      <c r="F210" t="n">
        <v>175</v>
      </c>
      <c r="G210" t="n">
        <v>206.5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2026-01</t>
        </is>
      </c>
      <c r="F211" t="n">
        <v>329</v>
      </c>
      <c r="G211" t="n">
        <v>388.22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2026-01</t>
        </is>
      </c>
      <c r="F212" t="n">
        <v>175</v>
      </c>
      <c r="G212" t="n">
        <v>206.5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2026-01</t>
        </is>
      </c>
      <c r="F213" t="n">
        <v>185</v>
      </c>
      <c r="G213" t="n">
        <v>218.3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2026-01</t>
        </is>
      </c>
      <c r="F214" t="n">
        <v>110</v>
      </c>
      <c r="G214" t="n">
        <v>129.8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2026-01</t>
        </is>
      </c>
      <c r="F215" t="n">
        <v>189</v>
      </c>
      <c r="G215" t="n">
        <v>223.02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2026-01</t>
        </is>
      </c>
      <c r="F216" t="n">
        <v>110</v>
      </c>
      <c r="G216" t="n">
        <v>129.8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2026-01</t>
        </is>
      </c>
      <c r="F217" t="n">
        <v>175</v>
      </c>
      <c r="G217" t="n">
        <v>206.5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2026-01</t>
        </is>
      </c>
      <c r="F218" t="n">
        <v>175</v>
      </c>
      <c r="G218" t="n">
        <v>206.5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2026-01</t>
        </is>
      </c>
      <c r="F219" t="n">
        <v>129</v>
      </c>
      <c r="G219" t="n">
        <v>152.22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2026-01</t>
        </is>
      </c>
      <c r="F220" t="n">
        <v>185</v>
      </c>
      <c r="G220" t="n">
        <v>218.3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2026-01</t>
        </is>
      </c>
      <c r="F221" t="n">
        <v>185</v>
      </c>
      <c r="G221" t="n">
        <v>218.3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2026-01</t>
        </is>
      </c>
      <c r="F222" t="n">
        <v>129</v>
      </c>
      <c r="G222" t="n">
        <v>152.22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2026-01</t>
        </is>
      </c>
      <c r="F223" t="n">
        <v>185</v>
      </c>
      <c r="G223" t="n">
        <v>218.3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2026-01</t>
        </is>
      </c>
      <c r="F224" t="n">
        <v>195</v>
      </c>
      <c r="G224" t="n">
        <v>230.1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2026-01</t>
        </is>
      </c>
      <c r="F225" t="n">
        <v>195</v>
      </c>
      <c r="G225" t="n">
        <v>230.1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2026-01</t>
        </is>
      </c>
      <c r="F226" t="n">
        <v>119</v>
      </c>
      <c r="G226" t="n">
        <v>140.42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2026-01</t>
        </is>
      </c>
      <c r="F227" t="n">
        <v>195</v>
      </c>
      <c r="G227" t="n">
        <v>230.1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2026-01</t>
        </is>
      </c>
      <c r="F228" t="n">
        <v>339</v>
      </c>
      <c r="G228" t="n">
        <v>400.02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2026-01</t>
        </is>
      </c>
      <c r="F229" t="n">
        <v>119</v>
      </c>
      <c r="G229" t="n">
        <v>140.42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2026-01</t>
        </is>
      </c>
      <c r="F230" t="n">
        <v>195</v>
      </c>
      <c r="G230" t="n">
        <v>230.1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2026-01</t>
        </is>
      </c>
      <c r="F231" t="n">
        <v>339</v>
      </c>
      <c r="G231" t="n">
        <v>400.02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2026-01</t>
        </is>
      </c>
      <c r="F232" t="n">
        <v>195</v>
      </c>
      <c r="G232" t="n">
        <v>230.1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2026-01</t>
        </is>
      </c>
      <c r="F233" t="n">
        <v>179</v>
      </c>
      <c r="G233" t="n">
        <v>211.22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2026-01</t>
        </is>
      </c>
      <c r="F234" t="n">
        <v>289</v>
      </c>
      <c r="G234" t="n">
        <v>341.02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2026-01</t>
        </is>
      </c>
      <c r="F235" t="n">
        <v>115</v>
      </c>
      <c r="G235" t="n">
        <v>135.7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2026-01</t>
        </is>
      </c>
      <c r="F236" t="n">
        <v>112</v>
      </c>
      <c r="G236" t="n">
        <v>132.16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2026-01</t>
        </is>
      </c>
      <c r="F237" t="n">
        <v>185</v>
      </c>
      <c r="G237" t="n">
        <v>218.3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2026-01</t>
        </is>
      </c>
      <c r="F238" t="n">
        <v>339</v>
      </c>
      <c r="G238" t="n">
        <v>400.02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2026-01</t>
        </is>
      </c>
      <c r="F239" t="n">
        <v>185</v>
      </c>
      <c r="G239" t="n">
        <v>218.3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2026-01</t>
        </is>
      </c>
      <c r="F240" t="n">
        <v>112</v>
      </c>
      <c r="G240" t="n">
        <v>132.16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2026-01</t>
        </is>
      </c>
      <c r="F241" t="n">
        <v>339</v>
      </c>
      <c r="G241" t="n">
        <v>400.02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2026-01</t>
        </is>
      </c>
      <c r="F242" t="n">
        <v>115</v>
      </c>
      <c r="G242" t="n">
        <v>135.7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2026-01</t>
        </is>
      </c>
      <c r="F243" t="n">
        <v>185</v>
      </c>
      <c r="G243" t="n">
        <v>218.3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2026-01</t>
        </is>
      </c>
      <c r="F244" t="n">
        <v>112</v>
      </c>
      <c r="G244" t="n">
        <v>132.16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2026-01</t>
        </is>
      </c>
      <c r="F245" t="n">
        <v>185</v>
      </c>
      <c r="G245" t="n">
        <v>218.3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2026-01</t>
        </is>
      </c>
      <c r="F246" t="n">
        <v>339</v>
      </c>
      <c r="G246" t="n">
        <v>400.02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2026-01</t>
        </is>
      </c>
      <c r="F247" t="n">
        <v>185</v>
      </c>
      <c r="G247" t="n">
        <v>218.3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2026-01</t>
        </is>
      </c>
      <c r="F248" t="n">
        <v>339</v>
      </c>
      <c r="G248" t="n">
        <v>400.02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2026-01</t>
        </is>
      </c>
      <c r="F249" t="n">
        <v>185</v>
      </c>
      <c r="G249" t="n">
        <v>218.3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2026-01</t>
        </is>
      </c>
      <c r="F250" t="n">
        <v>339</v>
      </c>
      <c r="G250" t="n">
        <v>400.02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2026-01</t>
        </is>
      </c>
      <c r="F251" t="n">
        <v>140</v>
      </c>
      <c r="G251" t="n">
        <v>165.2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2026-01</t>
        </is>
      </c>
      <c r="F252" t="n">
        <v>82</v>
      </c>
      <c r="G252" t="n">
        <v>96.76000000000001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2026-01</t>
        </is>
      </c>
      <c r="F253" t="n">
        <v>82</v>
      </c>
      <c r="G253" t="n">
        <v>96.76000000000001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2026-01</t>
        </is>
      </c>
      <c r="F254" t="n">
        <v>82</v>
      </c>
      <c r="G254" t="n">
        <v>96.76000000000001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2026-01</t>
        </is>
      </c>
      <c r="F255" t="n">
        <v>82</v>
      </c>
      <c r="G255" t="n">
        <v>96.76000000000001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2026-01</t>
        </is>
      </c>
      <c r="F256" t="n">
        <v>82</v>
      </c>
      <c r="G256" t="n">
        <v>96.76000000000001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2026-01</t>
        </is>
      </c>
      <c r="F257" t="n">
        <v>82</v>
      </c>
      <c r="G257" t="n">
        <v>96.76000000000001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2026-01</t>
        </is>
      </c>
      <c r="F258" t="n">
        <v>82</v>
      </c>
      <c r="G258" t="n">
        <v>96.76000000000001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2026-01</t>
        </is>
      </c>
      <c r="F259" t="n">
        <v>82</v>
      </c>
      <c r="G259" t="n">
        <v>96.76000000000001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2026-01</t>
        </is>
      </c>
      <c r="F260" t="n">
        <v>82</v>
      </c>
      <c r="G260" t="n">
        <v>96.76000000000001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2026-01</t>
        </is>
      </c>
      <c r="F261" t="n">
        <v>82</v>
      </c>
      <c r="G261" t="n">
        <v>96.76000000000001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2026-01</t>
        </is>
      </c>
      <c r="F262" t="n">
        <v>82</v>
      </c>
      <c r="G262" t="n">
        <v>96.76000000000001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2026-01</t>
        </is>
      </c>
      <c r="F263" t="n">
        <v>82</v>
      </c>
      <c r="G263" t="n">
        <v>96.76000000000001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2026-01</t>
        </is>
      </c>
      <c r="F264" t="n">
        <v>82</v>
      </c>
      <c r="G264" t="n">
        <v>96.76000000000001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2026-01</t>
        </is>
      </c>
      <c r="F265" t="n">
        <v>82</v>
      </c>
      <c r="G265" t="n">
        <v>96.76000000000001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2026-01</t>
        </is>
      </c>
      <c r="F266" t="n">
        <v>82</v>
      </c>
      <c r="G266" t="n">
        <v>96.76000000000001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2026-01</t>
        </is>
      </c>
      <c r="F267" t="n">
        <v>82</v>
      </c>
      <c r="G267" t="n">
        <v>96.76000000000001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2026-01</t>
        </is>
      </c>
      <c r="F268" t="n">
        <v>82</v>
      </c>
      <c r="G268" t="n">
        <v>96.76000000000001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2026-01</t>
        </is>
      </c>
      <c r="F269" t="n">
        <v>82</v>
      </c>
      <c r="G269" t="n">
        <v>96.76000000000001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2026-01</t>
        </is>
      </c>
      <c r="F270" t="n">
        <v>82</v>
      </c>
      <c r="G270" t="n">
        <v>96.76000000000001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2026-01</t>
        </is>
      </c>
      <c r="F271" t="n">
        <v>82</v>
      </c>
      <c r="G271" t="n">
        <v>96.76000000000001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2026-01</t>
        </is>
      </c>
      <c r="F272" t="n">
        <v>82</v>
      </c>
      <c r="G272" t="n">
        <v>96.76000000000001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2026-01</t>
        </is>
      </c>
      <c r="F273" t="n">
        <v>82</v>
      </c>
      <c r="G273" t="n">
        <v>96.76000000000001</v>
      </c>
      <c r="H273">
        <f>הגדרות!B3</f>
        <v/>
      </c>
      <c r="I273">
        <f>F273*(1-H273/100)*1.18</f>
        <v/>
      </c>
      <c r="J273">
        <f>הגדרות!C3</f>
        <v/>
      </c>
      <c r="K273">
        <f>הגדרות!D3</f>
        <v/>
      </c>
      <c r="L273">
        <f>I273*(1+J273/100)+K273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2026-01</t>
        </is>
      </c>
      <c r="F274" t="n">
        <v>82</v>
      </c>
      <c r="G274" t="n">
        <v>96.76000000000001</v>
      </c>
      <c r="H274">
        <f>הגדרות!B3</f>
        <v/>
      </c>
      <c r="I274">
        <f>F274*(1-H274/100)*1.18</f>
        <v/>
      </c>
      <c r="J274">
        <f>הגדרות!C3</f>
        <v/>
      </c>
      <c r="K274">
        <f>הגדרות!D3</f>
        <v/>
      </c>
      <c r="L274">
        <f>I274*(1+J274/100)+K274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2026-01</t>
        </is>
      </c>
      <c r="F275" t="n">
        <v>82</v>
      </c>
      <c r="G275" t="n">
        <v>96.76000000000001</v>
      </c>
      <c r="H275">
        <f>הגדרות!B3</f>
        <v/>
      </c>
      <c r="I275">
        <f>F275*(1-H275/100)*1.18</f>
        <v/>
      </c>
      <c r="J275">
        <f>הגדרות!C3</f>
        <v/>
      </c>
      <c r="K275">
        <f>הגדרות!D3</f>
        <v/>
      </c>
      <c r="L275">
        <f>I275*(1+J275/100)+K275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2026-01</t>
        </is>
      </c>
      <c r="F276" t="n">
        <v>82</v>
      </c>
      <c r="G276" t="n">
        <v>96.76000000000001</v>
      </c>
      <c r="H276">
        <f>הגדרות!B3</f>
        <v/>
      </c>
      <c r="I276">
        <f>F276*(1-H276/100)*1.18</f>
        <v/>
      </c>
      <c r="J276">
        <f>הגדרות!C3</f>
        <v/>
      </c>
      <c r="K276">
        <f>הגדרות!D3</f>
        <v/>
      </c>
      <c r="L276">
        <f>I276*(1+J276/100)+K276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2026-01</t>
        </is>
      </c>
      <c r="F277" t="n">
        <v>82</v>
      </c>
      <c r="G277" t="n">
        <v>96.76000000000001</v>
      </c>
      <c r="H277">
        <f>הגדרות!B3</f>
        <v/>
      </c>
      <c r="I277">
        <f>F277*(1-H277/100)*1.18</f>
        <v/>
      </c>
      <c r="J277">
        <f>הגדרות!C3</f>
        <v/>
      </c>
      <c r="K277">
        <f>הגדרות!D3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b/d כלב</t>
        </is>
      </c>
      <c r="C278" t="inlineStr">
        <is>
          <t>אפילפסיה / מערכת עצבים</t>
        </is>
      </c>
      <c r="E278" t="inlineStr">
        <is>
          <t>2026-04</t>
        </is>
      </c>
      <c r="F278" t="n">
        <v>417</v>
      </c>
      <c r="G278" t="n">
        <v>492.06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c/d Multicare כלב</t>
        </is>
      </c>
      <c r="C279" t="inlineStr">
        <is>
          <t>דרכי שתן</t>
        </is>
      </c>
      <c r="E279" t="inlineStr">
        <is>
          <t>2026-04</t>
        </is>
      </c>
      <c r="F279" t="n">
        <v>156</v>
      </c>
      <c r="G279" t="n">
        <v>184.08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c/d Multicare כלב</t>
        </is>
      </c>
      <c r="C280" t="inlineStr">
        <is>
          <t>דרכי שתן</t>
        </is>
      </c>
      <c r="E280" t="inlineStr">
        <is>
          <t>2026-04</t>
        </is>
      </c>
      <c r="F280" t="n">
        <v>366</v>
      </c>
      <c r="G280" t="n">
        <v>431.88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c/d Multicare + Metabolic כלב</t>
        </is>
      </c>
      <c r="C281" t="inlineStr">
        <is>
          <t>דרכי שתן</t>
        </is>
      </c>
      <c r="E281" t="inlineStr">
        <is>
          <t>2026-04</t>
        </is>
      </c>
      <c r="F281" t="n">
        <v>87</v>
      </c>
      <c r="G281" t="n">
        <v>102.66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c/d Multicare + Metabolic כלב</t>
        </is>
      </c>
      <c r="C282" t="inlineStr">
        <is>
          <t>דרכי שתן</t>
        </is>
      </c>
      <c r="E282" t="inlineStr">
        <is>
          <t>2026-04</t>
        </is>
      </c>
      <c r="F282" t="n">
        <v>468</v>
      </c>
      <c r="G282" t="n">
        <v>552.24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d/d כלב - ברווז ואורז</t>
        </is>
      </c>
      <c r="C283" t="inlineStr">
        <is>
          <t>אלרגיה למזון</t>
        </is>
      </c>
      <c r="E283" t="inlineStr">
        <is>
          <t>2026-04</t>
        </is>
      </c>
      <c r="F283" t="n">
        <v>172</v>
      </c>
      <c r="G283" t="n">
        <v>202.96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d/d כלב - ברווז ואורז</t>
        </is>
      </c>
      <c r="C284" t="inlineStr">
        <is>
          <t>אלרגיה למזון</t>
        </is>
      </c>
      <c r="E284" t="inlineStr">
        <is>
          <t>2026-04</t>
        </is>
      </c>
      <c r="F284" t="n">
        <v>407</v>
      </c>
      <c r="G284" t="n">
        <v>480.26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Derm Complete גור כלב</t>
        </is>
      </c>
      <c r="C285" t="inlineStr">
        <is>
          <t>עור ופרווה</t>
        </is>
      </c>
      <c r="E285" t="inlineStr">
        <is>
          <t>2026-04</t>
        </is>
      </c>
      <c r="F285" t="n">
        <v>175</v>
      </c>
      <c r="G285" t="n">
        <v>206.5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Derm Complete כלב</t>
        </is>
      </c>
      <c r="C286" t="inlineStr">
        <is>
          <t>עור ופרווה</t>
        </is>
      </c>
      <c r="E286" t="inlineStr">
        <is>
          <t>2026-04</t>
        </is>
      </c>
      <c r="F286" t="n">
        <v>195</v>
      </c>
      <c r="G286" t="n">
        <v>230.1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Derm Complete כלב</t>
        </is>
      </c>
      <c r="C287" t="inlineStr">
        <is>
          <t>עור ופרווה</t>
        </is>
      </c>
      <c r="E287" t="inlineStr">
        <is>
          <t>2026-04</t>
        </is>
      </c>
      <c r="F287" t="n">
        <v>484</v>
      </c>
      <c r="G287" t="n">
        <v>571.12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Derm Complete מיני כלב</t>
        </is>
      </c>
      <c r="C288" t="inlineStr">
        <is>
          <t>עור ופרווה</t>
        </is>
      </c>
      <c r="E288" t="inlineStr">
        <is>
          <t>2026-04</t>
        </is>
      </c>
      <c r="F288" t="n">
        <v>63</v>
      </c>
      <c r="G288" t="n">
        <v>74.34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כלב</t>
        </is>
      </c>
      <c r="C289" t="inlineStr">
        <is>
          <t>מערכת עיכול</t>
        </is>
      </c>
      <c r="E289" t="inlineStr">
        <is>
          <t>2026-04</t>
        </is>
      </c>
      <c r="F289" t="n">
        <v>79</v>
      </c>
      <c r="G289" t="n">
        <v>93.22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כלב</t>
        </is>
      </c>
      <c r="C290" t="inlineStr">
        <is>
          <t>מערכת עיכול</t>
        </is>
      </c>
      <c r="E290" t="inlineStr">
        <is>
          <t>2026-04</t>
        </is>
      </c>
      <c r="F290" t="n">
        <v>172</v>
      </c>
      <c r="G290" t="n">
        <v>202.96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i/d כלב</t>
        </is>
      </c>
      <c r="C291" t="inlineStr">
        <is>
          <t>מערכת עיכול</t>
        </is>
      </c>
      <c r="E291" t="inlineStr">
        <is>
          <t>2026-04</t>
        </is>
      </c>
      <c r="F291" t="n">
        <v>433</v>
      </c>
      <c r="G291" t="n">
        <v>510.94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i/d low fat כלב</t>
        </is>
      </c>
      <c r="C292" t="inlineStr">
        <is>
          <t>מערכת עיכול</t>
        </is>
      </c>
      <c r="E292" t="inlineStr">
        <is>
          <t>2026-04</t>
        </is>
      </c>
      <c r="F292" t="n">
        <v>96</v>
      </c>
      <c r="G292" t="n">
        <v>113.28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i/d low fat כלב</t>
        </is>
      </c>
      <c r="C293" t="inlineStr">
        <is>
          <t>מערכת עיכול</t>
        </is>
      </c>
      <c r="E293" t="inlineStr">
        <is>
          <t>2026-04</t>
        </is>
      </c>
      <c r="F293" t="n">
        <v>177</v>
      </c>
      <c r="G293" t="n">
        <v>208.86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i/d low fat כלב</t>
        </is>
      </c>
      <c r="C294" t="inlineStr">
        <is>
          <t>מערכת עיכול</t>
        </is>
      </c>
      <c r="E294" t="inlineStr">
        <is>
          <t>2026-04</t>
        </is>
      </c>
      <c r="F294" t="n">
        <v>456</v>
      </c>
      <c r="G294" t="n">
        <v>538.08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i/d סנסיטיב כלב</t>
        </is>
      </c>
      <c r="C295" t="inlineStr">
        <is>
          <t>מערכת עיכול</t>
        </is>
      </c>
      <c r="E295" t="inlineStr">
        <is>
          <t>2026-04</t>
        </is>
      </c>
      <c r="F295" t="n">
        <v>200</v>
      </c>
      <c r="G295" t="n">
        <v>236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GI Biome כלב</t>
        </is>
      </c>
      <c r="C296" t="inlineStr">
        <is>
          <t>מערכת עיכול</t>
        </is>
      </c>
      <c r="E296" t="inlineStr">
        <is>
          <t>2026-04</t>
        </is>
      </c>
      <c r="F296" t="n">
        <v>92</v>
      </c>
      <c r="G296" t="n">
        <v>108.56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GI Biome כלב</t>
        </is>
      </c>
      <c r="C297" t="inlineStr">
        <is>
          <t>מערכת עיכול</t>
        </is>
      </c>
      <c r="E297" t="inlineStr">
        <is>
          <t>2026-04</t>
        </is>
      </c>
      <c r="F297" t="n">
        <v>211</v>
      </c>
      <c r="G297" t="n">
        <v>248.98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GI Biome כלב</t>
        </is>
      </c>
      <c r="C298" t="inlineStr">
        <is>
          <t>מערכת עיכול</t>
        </is>
      </c>
      <c r="E298" t="inlineStr">
        <is>
          <t>2026-04</t>
        </is>
      </c>
      <c r="F298" t="n">
        <v>394</v>
      </c>
      <c r="G298" t="n">
        <v>464.92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j/d כלב</t>
        </is>
      </c>
      <c r="C299" t="inlineStr">
        <is>
          <t>מפרקים / ניידות</t>
        </is>
      </c>
      <c r="E299" t="inlineStr">
        <is>
          <t>2026-04</t>
        </is>
      </c>
      <c r="F299" t="n">
        <v>172</v>
      </c>
      <c r="G299" t="n">
        <v>202.96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j/d כלב</t>
        </is>
      </c>
      <c r="C300" t="inlineStr">
        <is>
          <t>מפרקים / ניידות</t>
        </is>
      </c>
      <c r="E300" t="inlineStr">
        <is>
          <t>2026-04</t>
        </is>
      </c>
      <c r="F300" t="n">
        <v>430</v>
      </c>
      <c r="G300" t="n">
        <v>507.4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Metabolic Mobility (j/d) כלב</t>
        </is>
      </c>
      <c r="C301" t="inlineStr">
        <is>
          <t>מפרקים / ניידות</t>
        </is>
      </c>
      <c r="E301" t="inlineStr">
        <is>
          <t>2026-04</t>
        </is>
      </c>
      <c r="F301" t="n">
        <v>206</v>
      </c>
      <c r="G301" t="n">
        <v>243.08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Metabolic Mobility (j/d) כלב</t>
        </is>
      </c>
      <c r="C302" t="inlineStr">
        <is>
          <t>מפרקים / ניידות</t>
        </is>
      </c>
      <c r="E302" t="inlineStr">
        <is>
          <t>2026-04</t>
        </is>
      </c>
      <c r="F302" t="n">
        <v>472</v>
      </c>
      <c r="G302" t="n">
        <v>556.96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Metabolic Mobility (j/d) כלב מיני</t>
        </is>
      </c>
      <c r="C303" t="inlineStr">
        <is>
          <t>מפרקים / ניידות</t>
        </is>
      </c>
      <c r="E303" t="inlineStr">
        <is>
          <t>2026-04</t>
        </is>
      </c>
      <c r="F303" t="n">
        <v>190</v>
      </c>
      <c r="G303" t="n">
        <v>224.2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k/d כלב</t>
        </is>
      </c>
      <c r="C304" t="inlineStr">
        <is>
          <t>מחלות כליה</t>
        </is>
      </c>
      <c r="E304" t="inlineStr">
        <is>
          <t>2026-04</t>
        </is>
      </c>
      <c r="F304" t="n">
        <v>172</v>
      </c>
      <c r="G304" t="n">
        <v>202.96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k/d כלב</t>
        </is>
      </c>
      <c r="C305" t="inlineStr">
        <is>
          <t>מחלות כליה</t>
        </is>
      </c>
      <c r="E305" t="inlineStr">
        <is>
          <t>2026-04</t>
        </is>
      </c>
      <c r="F305" t="n">
        <v>418</v>
      </c>
      <c r="G305" t="n">
        <v>493.24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k/d Mobility כלב</t>
        </is>
      </c>
      <c r="C306" t="inlineStr">
        <is>
          <t>מחלות כליה</t>
        </is>
      </c>
      <c r="E306" t="inlineStr">
        <is>
          <t>2026-04</t>
        </is>
      </c>
      <c r="F306" t="n">
        <v>192</v>
      </c>
      <c r="G306" t="n">
        <v>226.56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k/d Mobility כלב</t>
        </is>
      </c>
      <c r="C307" t="inlineStr">
        <is>
          <t>מחלות כליה</t>
        </is>
      </c>
      <c r="E307" t="inlineStr">
        <is>
          <t>2026-04</t>
        </is>
      </c>
      <c r="F307" t="n">
        <v>467</v>
      </c>
      <c r="G307" t="n">
        <v>551.0599999999999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L/d כלב</t>
        </is>
      </c>
      <c r="C308" t="inlineStr">
        <is>
          <t>מחלות כבד</t>
        </is>
      </c>
      <c r="E308" t="inlineStr">
        <is>
          <t>2026-04</t>
        </is>
      </c>
      <c r="F308" t="n">
        <v>172</v>
      </c>
      <c r="G308" t="n">
        <v>202.96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L/d כלב</t>
        </is>
      </c>
      <c r="C309" t="inlineStr">
        <is>
          <t>מחלות כבד</t>
        </is>
      </c>
      <c r="E309" t="inlineStr">
        <is>
          <t>2026-04</t>
        </is>
      </c>
      <c r="F309" t="n">
        <v>342</v>
      </c>
      <c r="G309" t="n">
        <v>403.56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r/d כלב</t>
        </is>
      </c>
      <c r="C310" t="inlineStr">
        <is>
          <t>השמנה / ירידה במשקל</t>
        </is>
      </c>
      <c r="E310" t="inlineStr">
        <is>
          <t>2026-04</t>
        </is>
      </c>
      <c r="F310" t="n">
        <v>172</v>
      </c>
      <c r="G310" t="n">
        <v>202.96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r/d כלב</t>
        </is>
      </c>
      <c r="C311" t="inlineStr">
        <is>
          <t>השמנה / ירידה במשקל</t>
        </is>
      </c>
      <c r="E311" t="inlineStr">
        <is>
          <t>2026-04</t>
        </is>
      </c>
      <c r="F311" t="n">
        <v>328</v>
      </c>
      <c r="G311" t="n">
        <v>387.04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Metabolic כלב - עוף</t>
        </is>
      </c>
      <c r="C312" t="inlineStr">
        <is>
          <t>השמנה / ירידה במשקל</t>
        </is>
      </c>
      <c r="E312" t="inlineStr">
        <is>
          <t>2026-04</t>
        </is>
      </c>
      <c r="F312" t="n">
        <v>177</v>
      </c>
      <c r="G312" t="n">
        <v>208.86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Metabolic כלב - עוף</t>
        </is>
      </c>
      <c r="C313" t="inlineStr">
        <is>
          <t>השמנה / ירידה במשקל</t>
        </is>
      </c>
      <c r="E313" t="inlineStr">
        <is>
          <t>2026-04</t>
        </is>
      </c>
      <c r="F313" t="n">
        <v>439</v>
      </c>
      <c r="G313" t="n">
        <v>518.02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Metabolic כלב - כבש ואורז</t>
        </is>
      </c>
      <c r="C314" t="inlineStr">
        <is>
          <t>השמנה / ירידה במשקל</t>
        </is>
      </c>
      <c r="E314" t="inlineStr">
        <is>
          <t>2026-04</t>
        </is>
      </c>
      <c r="F314" t="n">
        <v>450</v>
      </c>
      <c r="G314" t="n">
        <v>531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Metabolic כלב מיני</t>
        </is>
      </c>
      <c r="C315" t="inlineStr">
        <is>
          <t>השמנה / ירידה במשקל</t>
        </is>
      </c>
      <c r="E315" t="inlineStr">
        <is>
          <t>2026-04</t>
        </is>
      </c>
      <c r="F315" t="n">
        <v>264</v>
      </c>
      <c r="G315" t="n">
        <v>311.52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t/d כלב</t>
        </is>
      </c>
      <c r="C316" t="inlineStr">
        <is>
          <t>שיניים</t>
        </is>
      </c>
      <c r="E316" t="inlineStr">
        <is>
          <t>2026-04</t>
        </is>
      </c>
      <c r="F316" t="n">
        <v>200</v>
      </c>
      <c r="G316" t="n">
        <v>236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t/d כלב - מיני</t>
        </is>
      </c>
      <c r="C317" t="inlineStr">
        <is>
          <t>שיניים</t>
        </is>
      </c>
      <c r="E317" t="inlineStr">
        <is>
          <t>2026-04</t>
        </is>
      </c>
      <c r="F317" t="n">
        <v>152</v>
      </c>
      <c r="G317" t="n">
        <v>179.36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u/d כלב</t>
        </is>
      </c>
      <c r="C318" t="inlineStr">
        <is>
          <t>דרכי שתן</t>
        </is>
      </c>
      <c r="E318" t="inlineStr">
        <is>
          <t>2026-04</t>
        </is>
      </c>
      <c r="F318" t="n">
        <v>172</v>
      </c>
      <c r="G318" t="n">
        <v>202.96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w/d כלב</t>
        </is>
      </c>
      <c r="C319" t="inlineStr">
        <is>
          <t>סוכרת</t>
        </is>
      </c>
      <c r="E319" t="inlineStr">
        <is>
          <t>2026-04</t>
        </is>
      </c>
      <c r="F319" t="n">
        <v>174</v>
      </c>
      <c r="G319" t="n">
        <v>205.32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w/d כלב</t>
        </is>
      </c>
      <c r="C320" t="inlineStr">
        <is>
          <t>סוכרת</t>
        </is>
      </c>
      <c r="E320" t="inlineStr">
        <is>
          <t>2026-04</t>
        </is>
      </c>
      <c r="F320" t="n">
        <v>342</v>
      </c>
      <c r="G320" t="n">
        <v>403.56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z/d כלב</t>
        </is>
      </c>
      <c r="C321" t="inlineStr">
        <is>
          <t>אלרגיה למזון</t>
        </is>
      </c>
      <c r="E321" t="inlineStr">
        <is>
          <t>2026-04</t>
        </is>
      </c>
      <c r="F321" t="n">
        <v>176</v>
      </c>
      <c r="G321" t="n">
        <v>207.68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z/d כלב</t>
        </is>
      </c>
      <c r="C322" t="inlineStr">
        <is>
          <t>אלרגיה למזון</t>
        </is>
      </c>
      <c r="E322" t="inlineStr">
        <is>
          <t>2026-04</t>
        </is>
      </c>
      <c r="F322" t="n">
        <v>475</v>
      </c>
      <c r="G322" t="n">
        <v>560.5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z/d מיני כלב</t>
        </is>
      </c>
      <c r="C323" t="inlineStr">
        <is>
          <t>אלרגיה למזון</t>
        </is>
      </c>
      <c r="E323" t="inlineStr">
        <is>
          <t>2026-04</t>
        </is>
      </c>
      <c r="F323" t="n">
        <v>66</v>
      </c>
      <c r="G323" t="n">
        <v>77.88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z/d מיני כלב</t>
        </is>
      </c>
      <c r="C324" t="inlineStr">
        <is>
          <t>אלרגיה למזון</t>
        </is>
      </c>
      <c r="E324" t="inlineStr">
        <is>
          <t>2026-04</t>
        </is>
      </c>
      <c r="F324" t="n">
        <v>305</v>
      </c>
      <c r="G324" t="n">
        <v>359.9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On Care כלב</t>
        </is>
      </c>
      <c r="C325" t="inlineStr">
        <is>
          <t>סרטן</t>
        </is>
      </c>
      <c r="E325" t="inlineStr">
        <is>
          <t>2026-04</t>
        </is>
      </c>
      <c r="F325" t="n">
        <v>190</v>
      </c>
      <c r="G325" t="n">
        <v>224.2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c/d Multicare חתול</t>
        </is>
      </c>
      <c r="C326" t="inlineStr">
        <is>
          <t>דרכי שתן</t>
        </is>
      </c>
      <c r="E326" t="inlineStr">
        <is>
          <t>2026-04</t>
        </is>
      </c>
      <c r="F326" t="n">
        <v>143</v>
      </c>
      <c r="G326" t="n">
        <v>168.74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c/d Multicare חתול</t>
        </is>
      </c>
      <c r="C327" t="inlineStr">
        <is>
          <t>דרכי שתן</t>
        </is>
      </c>
      <c r="E327" t="inlineStr">
        <is>
          <t>2026-04</t>
        </is>
      </c>
      <c r="F327" t="n">
        <v>321</v>
      </c>
      <c r="G327" t="n">
        <v>378.78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c/d Stress חתול - דגי ים</t>
        </is>
      </c>
      <c r="C328" t="inlineStr">
        <is>
          <t>דרכי שתן</t>
        </is>
      </c>
      <c r="E328" t="inlineStr">
        <is>
          <t>2026-04</t>
        </is>
      </c>
      <c r="F328" t="n">
        <v>172</v>
      </c>
      <c r="G328" t="n">
        <v>202.96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c/d Stress חתול - דגי ים</t>
        </is>
      </c>
      <c r="C329" t="inlineStr">
        <is>
          <t>דרכי שתן</t>
        </is>
      </c>
      <c r="E329" t="inlineStr">
        <is>
          <t>2026-04</t>
        </is>
      </c>
      <c r="F329" t="n">
        <v>410</v>
      </c>
      <c r="G329" t="n">
        <v>483.8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c/d Urinary Stress + Metabolic חתול</t>
        </is>
      </c>
      <c r="C330" t="inlineStr">
        <is>
          <t>דרכי שתן</t>
        </is>
      </c>
      <c r="E330" t="inlineStr">
        <is>
          <t>2026-04</t>
        </is>
      </c>
      <c r="F330" t="n">
        <v>176</v>
      </c>
      <c r="G330" t="n">
        <v>207.68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c/d Urinary Stress + Metabolic חתול</t>
        </is>
      </c>
      <c r="C331" t="inlineStr">
        <is>
          <t>דרכי שתן</t>
        </is>
      </c>
      <c r="E331" t="inlineStr">
        <is>
          <t>2026-04</t>
        </is>
      </c>
      <c r="F331" t="n">
        <v>372</v>
      </c>
      <c r="G331" t="n">
        <v>438.96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i/d חתול</t>
        </is>
      </c>
      <c r="C332" t="inlineStr">
        <is>
          <t>מערכת עיכול</t>
        </is>
      </c>
      <c r="E332" t="inlineStr">
        <is>
          <t>2026-04</t>
        </is>
      </c>
      <c r="F332" t="n">
        <v>39</v>
      </c>
      <c r="G332" t="n">
        <v>46.02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i/d חתול</t>
        </is>
      </c>
      <c r="C333" t="inlineStr">
        <is>
          <t>מערכת עיכול</t>
        </is>
      </c>
      <c r="E333" t="inlineStr">
        <is>
          <t>2026-04</t>
        </is>
      </c>
      <c r="F333" t="n">
        <v>96</v>
      </c>
      <c r="G333" t="n">
        <v>113.28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i/d חתול</t>
        </is>
      </c>
      <c r="C334" t="inlineStr">
        <is>
          <t>מערכת עיכול</t>
        </is>
      </c>
      <c r="E334" t="inlineStr">
        <is>
          <t>2026-04</t>
        </is>
      </c>
      <c r="F334" t="n">
        <v>162</v>
      </c>
      <c r="G334" t="n">
        <v>191.16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i/d חתול</t>
        </is>
      </c>
      <c r="C335" t="inlineStr">
        <is>
          <t>מערכת עיכול</t>
        </is>
      </c>
      <c r="E335" t="inlineStr">
        <is>
          <t>2026-04</t>
        </is>
      </c>
      <c r="F335" t="n">
        <v>397</v>
      </c>
      <c r="G335" t="n">
        <v>468.46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GI Biome חתול</t>
        </is>
      </c>
      <c r="C336" t="inlineStr">
        <is>
          <t>מערכת עיכול</t>
        </is>
      </c>
      <c r="E336" t="inlineStr">
        <is>
          <t>2026-04</t>
        </is>
      </c>
      <c r="F336" t="n">
        <v>108</v>
      </c>
      <c r="G336" t="n">
        <v>127.44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GI Biome חתול</t>
        </is>
      </c>
      <c r="C337" t="inlineStr">
        <is>
          <t>מערכת עיכול</t>
        </is>
      </c>
      <c r="E337" t="inlineStr">
        <is>
          <t>2026-04</t>
        </is>
      </c>
      <c r="F337" t="n">
        <v>180</v>
      </c>
      <c r="G337" t="n">
        <v>212.4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GI Biome חתול</t>
        </is>
      </c>
      <c r="C338" t="inlineStr">
        <is>
          <t>מערכת עיכול</t>
        </is>
      </c>
      <c r="E338" t="inlineStr">
        <is>
          <t>2026-04</t>
        </is>
      </c>
      <c r="F338" t="n">
        <v>421</v>
      </c>
      <c r="G338" t="n">
        <v>496.78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GI Biome STRESS חתול</t>
        </is>
      </c>
      <c r="C339" t="inlineStr">
        <is>
          <t>מערכת עיכול</t>
        </is>
      </c>
      <c r="E339" t="inlineStr">
        <is>
          <t>2026-04</t>
        </is>
      </c>
      <c r="F339" t="n">
        <v>200</v>
      </c>
      <c r="G339" t="n">
        <v>236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j/d חתול</t>
        </is>
      </c>
      <c r="C340" t="inlineStr">
        <is>
          <t>מפרקים / ניידות</t>
        </is>
      </c>
      <c r="E340" t="inlineStr">
        <is>
          <t>2026-04</t>
        </is>
      </c>
      <c r="F340" t="n">
        <v>162</v>
      </c>
      <c r="G340" t="n">
        <v>191.16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k/d חתול - עוף</t>
        </is>
      </c>
      <c r="C341" t="inlineStr">
        <is>
          <t>מחלות כליה</t>
        </is>
      </c>
      <c r="E341" t="inlineStr">
        <is>
          <t>2026-04</t>
        </is>
      </c>
      <c r="F341" t="n">
        <v>96</v>
      </c>
      <c r="G341" t="n">
        <v>113.28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k/d חתול - עוף</t>
        </is>
      </c>
      <c r="C342" t="inlineStr">
        <is>
          <t>מחלות כליה</t>
        </is>
      </c>
      <c r="E342" t="inlineStr">
        <is>
          <t>2026-04</t>
        </is>
      </c>
      <c r="F342" t="n">
        <v>155</v>
      </c>
      <c r="G342" t="n">
        <v>182.9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k/d חתול - עוף</t>
        </is>
      </c>
      <c r="C343" t="inlineStr">
        <is>
          <t>מחלות כליה</t>
        </is>
      </c>
      <c r="E343" t="inlineStr">
        <is>
          <t>2026-04</t>
        </is>
      </c>
      <c r="F343" t="n">
        <v>397</v>
      </c>
      <c r="G343" t="n">
        <v>468.46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k/d חתול - טונה</t>
        </is>
      </c>
      <c r="C344" t="inlineStr">
        <is>
          <t>מחלות כליה</t>
        </is>
      </c>
      <c r="E344" t="inlineStr">
        <is>
          <t>2026-04</t>
        </is>
      </c>
      <c r="F344" t="n">
        <v>162</v>
      </c>
      <c r="G344" t="n">
        <v>191.16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k/d Early Stage חתול</t>
        </is>
      </c>
      <c r="C345" t="inlineStr">
        <is>
          <t>מחלות כליה</t>
        </is>
      </c>
      <c r="E345" t="inlineStr">
        <is>
          <t>2026-04</t>
        </is>
      </c>
      <c r="F345" t="n">
        <v>162</v>
      </c>
      <c r="G345" t="n">
        <v>191.16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k/d Mobility חתול</t>
        </is>
      </c>
      <c r="C346" t="inlineStr">
        <is>
          <t>מחלות כליה</t>
        </is>
      </c>
      <c r="E346" t="inlineStr">
        <is>
          <t>2026-04</t>
        </is>
      </c>
      <c r="F346" t="n">
        <v>172</v>
      </c>
      <c r="G346" t="n">
        <v>202.96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L/d חתול</t>
        </is>
      </c>
      <c r="C347" t="inlineStr">
        <is>
          <t>מחלות כבד</t>
        </is>
      </c>
      <c r="E347" t="inlineStr">
        <is>
          <t>2026-04</t>
        </is>
      </c>
      <c r="F347" t="n">
        <v>96</v>
      </c>
      <c r="G347" t="n">
        <v>113.28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m/d חתול</t>
        </is>
      </c>
      <c r="C348" t="inlineStr">
        <is>
          <t>סוכרת</t>
        </is>
      </c>
      <c r="E348" t="inlineStr">
        <is>
          <t>2026-04</t>
        </is>
      </c>
      <c r="F348" t="n">
        <v>155</v>
      </c>
      <c r="G348" t="n">
        <v>182.9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r/d חתול</t>
        </is>
      </c>
      <c r="C349" t="inlineStr">
        <is>
          <t>השמנה / ירידה במשקל</t>
        </is>
      </c>
      <c r="E349" t="inlineStr">
        <is>
          <t>2026-04</t>
        </is>
      </c>
      <c r="F349" t="n">
        <v>153</v>
      </c>
      <c r="G349" t="n">
        <v>180.54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Metabolic חתול</t>
        </is>
      </c>
      <c r="C350" t="inlineStr">
        <is>
          <t>השמנה / ירידה במשקל</t>
        </is>
      </c>
      <c r="E350" t="inlineStr">
        <is>
          <t>2026-04</t>
        </is>
      </c>
      <c r="F350" t="n">
        <v>162</v>
      </c>
      <c r="G350" t="n">
        <v>191.16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Metabolic חתול</t>
        </is>
      </c>
      <c r="C351" t="inlineStr">
        <is>
          <t>השמנה / ירידה במשקל</t>
        </is>
      </c>
      <c r="E351" t="inlineStr">
        <is>
          <t>2026-04</t>
        </is>
      </c>
      <c r="F351" t="n">
        <v>410</v>
      </c>
      <c r="G351" t="n">
        <v>483.8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s/d חתול</t>
        </is>
      </c>
      <c r="C352" t="inlineStr">
        <is>
          <t>דרכי שתן</t>
        </is>
      </c>
      <c r="E352" t="inlineStr">
        <is>
          <t>2026-04</t>
        </is>
      </c>
      <c r="F352" t="n">
        <v>110</v>
      </c>
      <c r="G352" t="n">
        <v>129.8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t/d חתול</t>
        </is>
      </c>
      <c r="C353" t="inlineStr">
        <is>
          <t>שיניים</t>
        </is>
      </c>
      <c r="E353" t="inlineStr">
        <is>
          <t>2026-04</t>
        </is>
      </c>
      <c r="F353" t="n">
        <v>96</v>
      </c>
      <c r="G353" t="n">
        <v>113.28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w/d חתול</t>
        </is>
      </c>
      <c r="C354" t="inlineStr">
        <is>
          <t>סוכרת</t>
        </is>
      </c>
      <c r="E354" t="inlineStr">
        <is>
          <t>2026-04</t>
        </is>
      </c>
      <c r="F354" t="n">
        <v>148</v>
      </c>
      <c r="G354" t="n">
        <v>174.64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y/d חתול</t>
        </is>
      </c>
      <c r="C355" t="inlineStr">
        <is>
          <t>בלוטת התריס</t>
        </is>
      </c>
      <c r="E355" t="inlineStr">
        <is>
          <t>2026-04</t>
        </is>
      </c>
      <c r="F355" t="n">
        <v>172</v>
      </c>
      <c r="G355" t="n">
        <v>202.96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z/d חתול</t>
        </is>
      </c>
      <c r="C356" t="inlineStr">
        <is>
          <t>אלרגיה למזון</t>
        </is>
      </c>
      <c r="E356" t="inlineStr">
        <is>
          <t>2026-04</t>
        </is>
      </c>
      <c r="F356" t="n">
        <v>170</v>
      </c>
      <c r="G356" t="n">
        <v>200.6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z/d חתול</t>
        </is>
      </c>
      <c r="C357" t="inlineStr">
        <is>
          <t>אלרגיה למזון</t>
        </is>
      </c>
      <c r="E357" t="inlineStr">
        <is>
          <t>2026-04</t>
        </is>
      </c>
      <c r="F357" t="n">
        <v>328</v>
      </c>
      <c r="G357" t="n">
        <v>387.04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a/d כלב וחתול</t>
        </is>
      </c>
      <c r="C358" t="inlineStr">
        <is>
          <t>התאוששות</t>
        </is>
      </c>
      <c r="E358" t="inlineStr">
        <is>
          <t>2026-04</t>
        </is>
      </c>
      <c r="F358" t="n">
        <v>14.4</v>
      </c>
      <c r="G358" t="n">
        <v>16.99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c/d Multicare כלב שימור</t>
        </is>
      </c>
      <c r="C359" t="inlineStr">
        <is>
          <t>דרכי שתן</t>
        </is>
      </c>
      <c r="E359" t="inlineStr">
        <is>
          <t>2026-04</t>
        </is>
      </c>
      <c r="F359" t="n">
        <v>13.9</v>
      </c>
      <c r="G359" t="n">
        <v>16.4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c/d Stew כלב (עוף וירקות)</t>
        </is>
      </c>
      <c r="C360" t="inlineStr">
        <is>
          <t>דרכי שתן</t>
        </is>
      </c>
      <c r="E360" t="inlineStr">
        <is>
          <t>2026-04</t>
        </is>
      </c>
      <c r="F360" t="n">
        <v>17.2</v>
      </c>
      <c r="G360" t="n">
        <v>20.3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d/d כלב - ברווז שימור</t>
        </is>
      </c>
      <c r="C361" t="inlineStr">
        <is>
          <t>אלרגיה למזון</t>
        </is>
      </c>
      <c r="E361" t="inlineStr">
        <is>
          <t>2026-04</t>
        </is>
      </c>
      <c r="F361" t="n">
        <v>14.4</v>
      </c>
      <c r="G361" t="n">
        <v>16.99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דרם קומפליט כלב שימור</t>
        </is>
      </c>
      <c r="C362" t="inlineStr">
        <is>
          <t>עור ופרווה</t>
        </is>
      </c>
      <c r="E362" t="inlineStr">
        <is>
          <t>2026-04</t>
        </is>
      </c>
      <c r="F362" t="n">
        <v>15.4</v>
      </c>
      <c r="G362" t="n">
        <v>18.17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i/d כלב שימור</t>
        </is>
      </c>
      <c r="C363" t="inlineStr">
        <is>
          <t>מערכת עיכול</t>
        </is>
      </c>
      <c r="E363" t="inlineStr">
        <is>
          <t>2026-04</t>
        </is>
      </c>
      <c r="F363" t="n">
        <v>13.8</v>
      </c>
      <c r="G363" t="n">
        <v>16.28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i/d Stew כלב (עוף וירקות)</t>
        </is>
      </c>
      <c r="C364" t="inlineStr">
        <is>
          <t>מערכת עיכול</t>
        </is>
      </c>
      <c r="E364" t="inlineStr">
        <is>
          <t>2026-04</t>
        </is>
      </c>
      <c r="F364" t="n">
        <v>17.7</v>
      </c>
      <c r="G364" t="n">
        <v>20.89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i/d low fat כלב שימור</t>
        </is>
      </c>
      <c r="C365" t="inlineStr">
        <is>
          <t>מערכת עיכול</t>
        </is>
      </c>
      <c r="E365" t="inlineStr">
        <is>
          <t>2026-04</t>
        </is>
      </c>
      <c r="F365" t="n">
        <v>14.4</v>
      </c>
      <c r="G365" t="n">
        <v>16.99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GI BIOME כלב שימור</t>
        </is>
      </c>
      <c r="C366" t="inlineStr">
        <is>
          <t>מערכת עיכול</t>
        </is>
      </c>
      <c r="E366" t="inlineStr">
        <is>
          <t>2026-04</t>
        </is>
      </c>
      <c r="F366" t="n">
        <v>15.4</v>
      </c>
      <c r="G366" t="n">
        <v>18.17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j/d כלב שימור</t>
        </is>
      </c>
      <c r="C367" t="inlineStr">
        <is>
          <t>מפרקים / ניידות</t>
        </is>
      </c>
      <c r="E367" t="inlineStr">
        <is>
          <t>2026-04</t>
        </is>
      </c>
      <c r="F367" t="n">
        <v>16.2</v>
      </c>
      <c r="G367" t="n">
        <v>19.12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k/d כלב שימור</t>
        </is>
      </c>
      <c r="C368" t="inlineStr">
        <is>
          <t>מחלות כליה</t>
        </is>
      </c>
      <c r="E368" t="inlineStr">
        <is>
          <t>2026-04</t>
        </is>
      </c>
      <c r="F368" t="n">
        <v>13.2</v>
      </c>
      <c r="G368" t="n">
        <v>15.58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k/d Stew כלב (עוף וירקות)</t>
        </is>
      </c>
      <c r="C369" t="inlineStr">
        <is>
          <t>מחלות כליה</t>
        </is>
      </c>
      <c r="E369" t="inlineStr">
        <is>
          <t>2026-04</t>
        </is>
      </c>
      <c r="F369" t="n">
        <v>17.2</v>
      </c>
      <c r="G369" t="n">
        <v>20.3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L/d כלב שימור</t>
        </is>
      </c>
      <c r="C370" t="inlineStr">
        <is>
          <t>מחלות כבד</t>
        </is>
      </c>
      <c r="E370" t="inlineStr">
        <is>
          <t>2026-04</t>
        </is>
      </c>
      <c r="F370" t="n">
        <v>15.4</v>
      </c>
      <c r="G370" t="n">
        <v>18.17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r/d כלב שימור</t>
        </is>
      </c>
      <c r="C371" t="inlineStr">
        <is>
          <t>השמנה / ירידה במשקל</t>
        </is>
      </c>
      <c r="E371" t="inlineStr">
        <is>
          <t>2026-04</t>
        </is>
      </c>
      <c r="F371" t="n">
        <v>13.8</v>
      </c>
      <c r="G371" t="n">
        <v>16.28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Metabolic כלב שימור</t>
        </is>
      </c>
      <c r="C372" t="inlineStr">
        <is>
          <t>השמנה / ירידה במשקל</t>
        </is>
      </c>
      <c r="E372" t="inlineStr">
        <is>
          <t>2026-04</t>
        </is>
      </c>
      <c r="F372" t="n">
        <v>14.4</v>
      </c>
      <c r="G372" t="n">
        <v>16.99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u/d כלב שימור</t>
        </is>
      </c>
      <c r="C373" t="inlineStr">
        <is>
          <t>דרכי שתן</t>
        </is>
      </c>
      <c r="E373" t="inlineStr">
        <is>
          <t>2026-04</t>
        </is>
      </c>
      <c r="F373" t="n">
        <v>15.4</v>
      </c>
      <c r="G373" t="n">
        <v>18.17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w/d כלב שימור</t>
        </is>
      </c>
      <c r="C374" t="inlineStr">
        <is>
          <t>סוכרת</t>
        </is>
      </c>
      <c r="E374" t="inlineStr">
        <is>
          <t>2026-04</t>
        </is>
      </c>
      <c r="F374" t="n">
        <v>13.8</v>
      </c>
      <c r="G374" t="n">
        <v>16.28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z/d כלב שימור</t>
        </is>
      </c>
      <c r="C375" t="inlineStr">
        <is>
          <t>אלרגיה למזון</t>
        </is>
      </c>
      <c r="E375" t="inlineStr">
        <is>
          <t>2026-04</t>
        </is>
      </c>
      <c r="F375" t="n">
        <v>18.5</v>
      </c>
      <c r="G375" t="n">
        <v>21.83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On Care Stew כלב</t>
        </is>
      </c>
      <c r="C376" t="inlineStr">
        <is>
          <t>סרטן</t>
        </is>
      </c>
      <c r="E376" t="inlineStr">
        <is>
          <t>2026-04</t>
        </is>
      </c>
      <c r="F376" t="n">
        <v>21</v>
      </c>
      <c r="G376" t="n">
        <v>24.78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c/d Multicare חתול שימור</t>
        </is>
      </c>
      <c r="C377" t="inlineStr">
        <is>
          <t>דרכי שתן</t>
        </is>
      </c>
      <c r="E377" t="inlineStr">
        <is>
          <t>2026-04</t>
        </is>
      </c>
      <c r="F377" t="n">
        <v>9.699999999999999</v>
      </c>
      <c r="G377" t="n">
        <v>11.45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c/d Stew חתול (עוף וירקות)</t>
        </is>
      </c>
      <c r="C378" t="inlineStr">
        <is>
          <t>דרכי שתן</t>
        </is>
      </c>
      <c r="E378" t="inlineStr">
        <is>
          <t>2026-04</t>
        </is>
      </c>
      <c r="F378" t="n">
        <v>6.6</v>
      </c>
      <c r="G378" t="n">
        <v>7.79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i/d חתול שימור</t>
        </is>
      </c>
      <c r="C379" t="inlineStr">
        <is>
          <t>מערכת עיכול</t>
        </is>
      </c>
      <c r="E379" t="inlineStr">
        <is>
          <t>2026-04</t>
        </is>
      </c>
      <c r="F379" t="n">
        <v>9.9</v>
      </c>
      <c r="G379" t="n">
        <v>11.68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i/d Stew חתול (עוף וירקות)</t>
        </is>
      </c>
      <c r="C380" t="inlineStr">
        <is>
          <t>מערכת עיכול</t>
        </is>
      </c>
      <c r="E380" t="inlineStr">
        <is>
          <t>2026-04</t>
        </is>
      </c>
      <c r="F380" t="n">
        <v>6.8</v>
      </c>
      <c r="G380" t="n">
        <v>8.02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GI BIOME חתול פאוץ (12 יח')</t>
        </is>
      </c>
      <c r="C381" t="inlineStr">
        <is>
          <t>מערכת עיכול</t>
        </is>
      </c>
      <c r="E381" t="inlineStr">
        <is>
          <t>2026-04</t>
        </is>
      </c>
      <c r="F381" t="n">
        <v>81</v>
      </c>
      <c r="G381" t="n">
        <v>95.58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k/d חתול שימור</t>
        </is>
      </c>
      <c r="C382" t="inlineStr">
        <is>
          <t>מחלות כליה</t>
        </is>
      </c>
      <c r="E382" t="inlineStr">
        <is>
          <t>2026-04</t>
        </is>
      </c>
      <c r="F382" t="n">
        <v>9.699999999999999</v>
      </c>
      <c r="G382" t="n">
        <v>11.45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k/d Stew חתול (עוף וירקות)</t>
        </is>
      </c>
      <c r="C383" t="inlineStr">
        <is>
          <t>מחלות כליה</t>
        </is>
      </c>
      <c r="E383" t="inlineStr">
        <is>
          <t>2026-04</t>
        </is>
      </c>
      <c r="F383" t="n">
        <v>6.6</v>
      </c>
      <c r="G383" t="n">
        <v>7.79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k/d חתול פאוץ עוף (12 יח')</t>
        </is>
      </c>
      <c r="C384" t="inlineStr">
        <is>
          <t>מחלות כליה</t>
        </is>
      </c>
      <c r="E384" t="inlineStr">
        <is>
          <t>2026-04</t>
        </is>
      </c>
      <c r="F384" t="n">
        <v>71</v>
      </c>
      <c r="G384" t="n">
        <v>83.78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k/d חתול פאוץ סלמון (12 יח')</t>
        </is>
      </c>
      <c r="C385" t="inlineStr">
        <is>
          <t>מחלות כליה</t>
        </is>
      </c>
      <c r="E385" t="inlineStr">
        <is>
          <t>2026-04</t>
        </is>
      </c>
      <c r="F385" t="n">
        <v>71</v>
      </c>
      <c r="G385" t="n">
        <v>83.78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m/d חתול פאוץ (12 יח')</t>
        </is>
      </c>
      <c r="C386" t="inlineStr">
        <is>
          <t>סוכרת</t>
        </is>
      </c>
      <c r="E386" t="inlineStr">
        <is>
          <t>2026-04</t>
        </is>
      </c>
      <c r="F386" t="n">
        <v>71</v>
      </c>
      <c r="G386" t="n">
        <v>83.78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s/d חתול פאוץ (12 יח')</t>
        </is>
      </c>
      <c r="C387" t="inlineStr">
        <is>
          <t>דרכי שתן</t>
        </is>
      </c>
      <c r="E387" t="inlineStr">
        <is>
          <t>2026-04</t>
        </is>
      </c>
      <c r="F387" t="n">
        <v>71</v>
      </c>
      <c r="G387" t="n">
        <v>83.78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Metabolic חתול פאוץ (12 יח')</t>
        </is>
      </c>
      <c r="C388" t="inlineStr">
        <is>
          <t>השמנה / ירידה במשקל</t>
        </is>
      </c>
      <c r="E388" t="inlineStr">
        <is>
          <t>2026-04</t>
        </is>
      </c>
      <c r="F388" t="n">
        <v>71</v>
      </c>
      <c r="G388" t="n">
        <v>83.78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y/d חתול שימור</t>
        </is>
      </c>
      <c r="C389" t="inlineStr">
        <is>
          <t>בלוטת התריס</t>
        </is>
      </c>
      <c r="E389" t="inlineStr">
        <is>
          <t>2026-04</t>
        </is>
      </c>
      <c r="F389" t="n">
        <v>9.699999999999999</v>
      </c>
      <c r="G389" t="n">
        <v>11.45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Prescription Diet</t>
        </is>
      </c>
      <c r="B390" t="inlineStr">
        <is>
          <t>w/d חתול פאוץ (12 יח')</t>
        </is>
      </c>
      <c r="C390" t="inlineStr">
        <is>
          <t>סוכרת</t>
        </is>
      </c>
      <c r="E390" t="inlineStr">
        <is>
          <t>2026-04</t>
        </is>
      </c>
      <c r="F390" t="n">
        <v>71</v>
      </c>
      <c r="G390" t="n">
        <v>83.78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Hill's Prescription Diet</t>
        </is>
      </c>
      <c r="B391" t="inlineStr">
        <is>
          <t>z/d חתול שימור</t>
        </is>
      </c>
      <c r="C391" t="inlineStr">
        <is>
          <t>אלרגיה למזון</t>
        </is>
      </c>
      <c r="E391" t="inlineStr">
        <is>
          <t>2026-04</t>
        </is>
      </c>
      <c r="F391" t="n">
        <v>10.3</v>
      </c>
      <c r="G391" t="n">
        <v>12.15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Hill's Prescription Diet</t>
        </is>
      </c>
      <c r="B392" t="inlineStr">
        <is>
          <t>On Care Stew חתול</t>
        </is>
      </c>
      <c r="C392" t="inlineStr">
        <is>
          <t>סרטן</t>
        </is>
      </c>
      <c r="E392" t="inlineStr">
        <is>
          <t>2026-04</t>
        </is>
      </c>
      <c r="F392" t="n">
        <v>8.1</v>
      </c>
      <c r="G392" t="n">
        <v>9.56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Hill's Prescription Diet</t>
        </is>
      </c>
      <c r="B393" t="inlineStr">
        <is>
          <t>חטיף היפואלרגני</t>
        </is>
      </c>
      <c r="C393" t="inlineStr">
        <is>
          <t>אלרגיה למזון</t>
        </is>
      </c>
      <c r="E393" t="inlineStr">
        <is>
          <t>2026-04</t>
        </is>
      </c>
      <c r="F393" t="n">
        <v>24</v>
      </c>
      <c r="G393" t="n">
        <v>28.32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Hill's Prescription Diet</t>
        </is>
      </c>
      <c r="B394" t="inlineStr">
        <is>
          <t>חטיף שמירה על המשקל</t>
        </is>
      </c>
      <c r="C394" t="inlineStr">
        <is>
          <t>השמנה / ירידה במשקל</t>
        </is>
      </c>
      <c r="E394" t="inlineStr">
        <is>
          <t>2026-04</t>
        </is>
      </c>
      <c r="F394" t="n">
        <v>21</v>
      </c>
      <c r="G394" t="n">
        <v>24.78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Hill's Vet Essentials</t>
        </is>
      </c>
      <c r="B395" t="inlineStr">
        <is>
          <t>גור כלב Small &amp; Mini - עוף</t>
        </is>
      </c>
      <c r="C395" t="inlineStr">
        <is>
          <t>גורים</t>
        </is>
      </c>
      <c r="E395" t="inlineStr">
        <is>
          <t>2026-04</t>
        </is>
      </c>
      <c r="F395" t="n">
        <v>86</v>
      </c>
      <c r="G395" t="n">
        <v>101.48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Hill's Vet Essentials</t>
        </is>
      </c>
      <c r="B396" t="inlineStr">
        <is>
          <t>גור כלב Small &amp; Mini - עוף</t>
        </is>
      </c>
      <c r="C396" t="inlineStr">
        <is>
          <t>גורים</t>
        </is>
      </c>
      <c r="E396" t="inlineStr">
        <is>
          <t>2026-04</t>
        </is>
      </c>
      <c r="F396" t="n">
        <v>215</v>
      </c>
      <c r="G396" t="n">
        <v>253.7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Hill's Vet Essentials</t>
        </is>
      </c>
      <c r="B397" t="inlineStr">
        <is>
          <t>גור כלב גזע בינוני - עוף</t>
        </is>
      </c>
      <c r="C397" t="inlineStr">
        <is>
          <t>גורים</t>
        </is>
      </c>
      <c r="E397" t="inlineStr">
        <is>
          <t>2026-04</t>
        </is>
      </c>
      <c r="F397" t="n">
        <v>86</v>
      </c>
      <c r="G397" t="n">
        <v>101.48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Hill's Vet Essentials</t>
        </is>
      </c>
      <c r="B398" t="inlineStr">
        <is>
          <t>גור כלב גזע בינוני - עוף</t>
        </is>
      </c>
      <c r="C398" t="inlineStr">
        <is>
          <t>גורים</t>
        </is>
      </c>
      <c r="E398" t="inlineStr">
        <is>
          <t>2026-04</t>
        </is>
      </c>
      <c r="F398" t="n">
        <v>230</v>
      </c>
      <c r="G398" t="n">
        <v>271.4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Hill's Vet Essentials</t>
        </is>
      </c>
      <c r="B399" t="inlineStr">
        <is>
          <t>גור כלב גזע גדול - עוף</t>
        </is>
      </c>
      <c r="C399" t="inlineStr">
        <is>
          <t>גורים</t>
        </is>
      </c>
      <c r="E399" t="inlineStr">
        <is>
          <t>2026-04</t>
        </is>
      </c>
      <c r="F399" t="n">
        <v>343</v>
      </c>
      <c r="G399" t="n">
        <v>404.74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Hill's Vet Essentials</t>
        </is>
      </c>
      <c r="B400" t="inlineStr">
        <is>
          <t>בוגר כלב גזע מיני לבריאות העיכול - עוף</t>
        </is>
      </c>
      <c r="C400" t="inlineStr">
        <is>
          <t>מערכת עיכול</t>
        </is>
      </c>
      <c r="E400" t="inlineStr">
        <is>
          <t>2026-04</t>
        </is>
      </c>
      <c r="F400" t="n">
        <v>88</v>
      </c>
      <c r="G400" t="n">
        <v>103.84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Hill's Vet Essentials</t>
        </is>
      </c>
      <c r="B401" t="inlineStr">
        <is>
          <t>בוגר כלב גזע בינוני לבריאות העיכול - עוף</t>
        </is>
      </c>
      <c r="C401" t="inlineStr">
        <is>
          <t>מערכת עיכול</t>
        </is>
      </c>
      <c r="E401" t="inlineStr">
        <is>
          <t>2026-04</t>
        </is>
      </c>
      <c r="F401" t="n">
        <v>292</v>
      </c>
      <c r="G401" t="n">
        <v>344.56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Vet Essentials</t>
        </is>
      </c>
      <c r="B402" t="inlineStr">
        <is>
          <t>בוגר ומבוגר כלב Small&amp;Mini Dental - עוף</t>
        </is>
      </c>
      <c r="C402" t="inlineStr">
        <is>
          <t>שיניים</t>
        </is>
      </c>
      <c r="E402" t="inlineStr">
        <is>
          <t>2026-04</t>
        </is>
      </c>
      <c r="F402" t="n">
        <v>88</v>
      </c>
      <c r="G402" t="n">
        <v>103.84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Vet Essentials</t>
        </is>
      </c>
      <c r="B403" t="inlineStr">
        <is>
          <t>בוגר ומבוגר כלב Small&amp;Mini Dental - עוף</t>
        </is>
      </c>
      <c r="C403" t="inlineStr">
        <is>
          <t>שיניים</t>
        </is>
      </c>
      <c r="E403" t="inlineStr">
        <is>
          <t>2026-04</t>
        </is>
      </c>
      <c r="F403" t="n">
        <v>225</v>
      </c>
      <c r="G403" t="n">
        <v>265.5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Vet Essentials</t>
        </is>
      </c>
      <c r="B404" t="inlineStr">
        <is>
          <t>בוגר ומבוגר כלב גזע בינוני וגדול Dental - עוף</t>
        </is>
      </c>
      <c r="C404" t="inlineStr">
        <is>
          <t>שיניים</t>
        </is>
      </c>
      <c r="E404" t="inlineStr">
        <is>
          <t>2026-04</t>
        </is>
      </c>
      <c r="F404" t="n">
        <v>266</v>
      </c>
      <c r="G404" t="n">
        <v>313.88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Vet Essentials</t>
        </is>
      </c>
      <c r="B405" t="inlineStr">
        <is>
          <t>בוגר כלב Small&amp;Mini לבקרת משקל - עוף</t>
        </is>
      </c>
      <c r="C405" t="inlineStr">
        <is>
          <t>השמנה / ירידה במשקל</t>
        </is>
      </c>
      <c r="E405" t="inlineStr">
        <is>
          <t>2026-04</t>
        </is>
      </c>
      <c r="F405" t="n">
        <v>90</v>
      </c>
      <c r="G405" t="n">
        <v>106.2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Vet Essentials</t>
        </is>
      </c>
      <c r="B406" t="inlineStr">
        <is>
          <t>בוגר כלב Small&amp;Mini לבקרת משקל - עוף</t>
        </is>
      </c>
      <c r="C406" t="inlineStr">
        <is>
          <t>השמנה / ירידה במשקל</t>
        </is>
      </c>
      <c r="E406" t="inlineStr">
        <is>
          <t>2026-04</t>
        </is>
      </c>
      <c r="F406" t="n">
        <v>220</v>
      </c>
      <c r="G406" t="n">
        <v>259.6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Vet Essentials</t>
        </is>
      </c>
      <c r="B407" t="inlineStr">
        <is>
          <t>בוגר כלב גזע בינוני לבקרת משקל - עוף</t>
        </is>
      </c>
      <c r="C407" t="inlineStr">
        <is>
          <t>השמנה / ירידה במשקל</t>
        </is>
      </c>
      <c r="E407" t="inlineStr">
        <is>
          <t>2026-04</t>
        </is>
      </c>
      <c r="F407" t="n">
        <v>292</v>
      </c>
      <c r="G407" t="n">
        <v>344.56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Vet Essentials</t>
        </is>
      </c>
      <c r="B408" t="inlineStr">
        <is>
          <t>בוגר כלב גזע גדול לבקרת משקל - עוף</t>
        </is>
      </c>
      <c r="C408" t="inlineStr">
        <is>
          <t>השמנה / ירידה במשקל</t>
        </is>
      </c>
      <c r="E408" t="inlineStr">
        <is>
          <t>2026-04</t>
        </is>
      </c>
      <c r="F408" t="n">
        <v>374</v>
      </c>
      <c r="G408" t="n">
        <v>441.32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Vet Essentials</t>
        </is>
      </c>
      <c r="B409" t="inlineStr">
        <is>
          <t>סניור כלב מיני עוף לתמיכה בהזדקנות</t>
        </is>
      </c>
      <c r="C409" t="inlineStr">
        <is>
          <t>מזון רגיל</t>
        </is>
      </c>
      <c r="E409" t="inlineStr">
        <is>
          <t>2026-04</t>
        </is>
      </c>
      <c r="F409" t="n">
        <v>88</v>
      </c>
      <c r="G409" t="n">
        <v>103.84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Vet Essentials</t>
        </is>
      </c>
      <c r="B410" t="inlineStr">
        <is>
          <t>גור חתול - עוף</t>
        </is>
      </c>
      <c r="C410" t="inlineStr">
        <is>
          <t>גורים</t>
        </is>
      </c>
      <c r="E410" t="inlineStr">
        <is>
          <t>2026-04</t>
        </is>
      </c>
      <c r="F410" t="n">
        <v>81</v>
      </c>
      <c r="G410" t="n">
        <v>95.58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Vet Essentials</t>
        </is>
      </c>
      <c r="B411" t="inlineStr">
        <is>
          <t>גור חתול - עוף</t>
        </is>
      </c>
      <c r="C411" t="inlineStr">
        <is>
          <t>גורים</t>
        </is>
      </c>
      <c r="E411" t="inlineStr">
        <is>
          <t>2026-04</t>
        </is>
      </c>
      <c r="F411" t="n">
        <v>142</v>
      </c>
      <c r="G411" t="n">
        <v>167.56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Vet Essentials</t>
        </is>
      </c>
      <c r="B412" t="inlineStr">
        <is>
          <t>בוגר ומבוגר חתול Dental - עוף</t>
        </is>
      </c>
      <c r="C412" t="inlineStr">
        <is>
          <t>שיניים</t>
        </is>
      </c>
      <c r="E412" t="inlineStr">
        <is>
          <t>2026-04</t>
        </is>
      </c>
      <c r="F412" t="n">
        <v>148</v>
      </c>
      <c r="G412" t="n">
        <v>174.64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Vet Essentials</t>
        </is>
      </c>
      <c r="B413" t="inlineStr">
        <is>
          <t>בוגר ומבוגר חתול Dental - עוף</t>
        </is>
      </c>
      <c r="C413" t="inlineStr">
        <is>
          <t>שיניים</t>
        </is>
      </c>
      <c r="E413" t="inlineStr">
        <is>
          <t>2026-04</t>
        </is>
      </c>
      <c r="F413" t="n">
        <v>261</v>
      </c>
      <c r="G413" t="n">
        <v>307.98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Vet Essentials</t>
        </is>
      </c>
      <c r="B414" t="inlineStr">
        <is>
          <t>בוגר חתול לבקרת משקל - טונה</t>
        </is>
      </c>
      <c r="C414" t="inlineStr">
        <is>
          <t>השמנה / ירידה במשקל</t>
        </is>
      </c>
      <c r="E414" t="inlineStr">
        <is>
          <t>2026-04</t>
        </is>
      </c>
      <c r="F414" t="n">
        <v>145</v>
      </c>
      <c r="G414" t="n">
        <v>171.1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Vet Essentials</t>
        </is>
      </c>
      <c r="B415" t="inlineStr">
        <is>
          <t>סניור חתול לתמיכה בהזדקנות - עוף</t>
        </is>
      </c>
      <c r="C415" t="inlineStr">
        <is>
          <t>מזון רגיל</t>
        </is>
      </c>
      <c r="E415" t="inlineStr">
        <is>
          <t>2026-04</t>
        </is>
      </c>
      <c r="F415" t="n">
        <v>146</v>
      </c>
      <c r="G415" t="n">
        <v>172.28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Vet Essentials</t>
        </is>
      </c>
      <c r="B416" t="inlineStr">
        <is>
          <t>גור כלב Small &amp; Mini - עוף</t>
        </is>
      </c>
      <c r="C416" t="inlineStr">
        <is>
          <t>גורים</t>
        </is>
      </c>
      <c r="E416" t="inlineStr">
        <is>
          <t>2026-04</t>
        </is>
      </c>
      <c r="F416" t="n">
        <v>86</v>
      </c>
      <c r="G416" t="n">
        <v>101.48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Vet Essentials</t>
        </is>
      </c>
      <c r="B417" t="inlineStr">
        <is>
          <t>גור כלב Small &amp; Mini - עוף</t>
        </is>
      </c>
      <c r="C417" t="inlineStr">
        <is>
          <t>גורים</t>
        </is>
      </c>
      <c r="E417" t="inlineStr">
        <is>
          <t>2026-04</t>
        </is>
      </c>
      <c r="F417" t="n">
        <v>215</v>
      </c>
      <c r="G417" t="n">
        <v>253.7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Vet Essentials</t>
        </is>
      </c>
      <c r="B418" t="inlineStr">
        <is>
          <t>גור כלב גזע בינוני - עוף</t>
        </is>
      </c>
      <c r="C418" t="inlineStr">
        <is>
          <t>גורים</t>
        </is>
      </c>
      <c r="E418" t="inlineStr">
        <is>
          <t>2026-04</t>
        </is>
      </c>
      <c r="F418" t="n">
        <v>86</v>
      </c>
      <c r="G418" t="n">
        <v>101.48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Vet Essentials</t>
        </is>
      </c>
      <c r="B419" t="inlineStr">
        <is>
          <t>גור כלב גזע בינוני - עוף</t>
        </is>
      </c>
      <c r="C419" t="inlineStr">
        <is>
          <t>גורים</t>
        </is>
      </c>
      <c r="E419" t="inlineStr">
        <is>
          <t>2026-04</t>
        </is>
      </c>
      <c r="F419" t="n">
        <v>230</v>
      </c>
      <c r="G419" t="n">
        <v>271.4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Vet Essentials</t>
        </is>
      </c>
      <c r="B420" t="inlineStr">
        <is>
          <t>גור כלב גזע גדול - עוף</t>
        </is>
      </c>
      <c r="C420" t="inlineStr">
        <is>
          <t>גורים</t>
        </is>
      </c>
      <c r="E420" t="inlineStr">
        <is>
          <t>2026-04</t>
        </is>
      </c>
      <c r="F420" t="n">
        <v>343</v>
      </c>
      <c r="G420" t="n">
        <v>404.74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Vet Essentials</t>
        </is>
      </c>
      <c r="B421" t="inlineStr">
        <is>
          <t>בוגר כלב גזע מיני לבריאות העיכול - עוף</t>
        </is>
      </c>
      <c r="C421" t="inlineStr">
        <is>
          <t>מערכת עיכול</t>
        </is>
      </c>
      <c r="E421" t="inlineStr">
        <is>
          <t>2026-04</t>
        </is>
      </c>
      <c r="F421" t="n">
        <v>88</v>
      </c>
      <c r="G421" t="n">
        <v>103.84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Vet Essentials</t>
        </is>
      </c>
      <c r="B422" t="inlineStr">
        <is>
          <t>בוגר כלב גזע בינוני לבריאות העיכול - עוף</t>
        </is>
      </c>
      <c r="C422" t="inlineStr">
        <is>
          <t>מערכת עיכול</t>
        </is>
      </c>
      <c r="E422" t="inlineStr">
        <is>
          <t>2026-04</t>
        </is>
      </c>
      <c r="F422" t="n">
        <v>292</v>
      </c>
      <c r="G422" t="n">
        <v>344.56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Vet Essentials</t>
        </is>
      </c>
      <c r="B423" t="inlineStr">
        <is>
          <t>בוגר ומבוגר כלב Small&amp;Mini Dental - עוף</t>
        </is>
      </c>
      <c r="C423" t="inlineStr">
        <is>
          <t>שיניים</t>
        </is>
      </c>
      <c r="E423" t="inlineStr">
        <is>
          <t>2026-04</t>
        </is>
      </c>
      <c r="F423" t="n">
        <v>88</v>
      </c>
      <c r="G423" t="n">
        <v>103.84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Vet Essentials</t>
        </is>
      </c>
      <c r="B424" t="inlineStr">
        <is>
          <t>בוגר ומבוגר כלב Small&amp;Mini Dental - עוף</t>
        </is>
      </c>
      <c r="C424" t="inlineStr">
        <is>
          <t>שיניים</t>
        </is>
      </c>
      <c r="E424" t="inlineStr">
        <is>
          <t>2026-04</t>
        </is>
      </c>
      <c r="F424" t="n">
        <v>225</v>
      </c>
      <c r="G424" t="n">
        <v>265.5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Vet Essentials</t>
        </is>
      </c>
      <c r="B425" t="inlineStr">
        <is>
          <t>בוגר ומבוגר כלב גזע בינוני וגדול Dental - עוף</t>
        </is>
      </c>
      <c r="C425" t="inlineStr">
        <is>
          <t>שיניים</t>
        </is>
      </c>
      <c r="E425" t="inlineStr">
        <is>
          <t>2026-04</t>
        </is>
      </c>
      <c r="F425" t="n">
        <v>266</v>
      </c>
      <c r="G425" t="n">
        <v>313.88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Vet Essentials</t>
        </is>
      </c>
      <c r="B426" t="inlineStr">
        <is>
          <t>בוגר כלב Small&amp;Mini לבקרת משקל - עוף</t>
        </is>
      </c>
      <c r="C426" t="inlineStr">
        <is>
          <t>השמנה / ירידה במשקל</t>
        </is>
      </c>
      <c r="E426" t="inlineStr">
        <is>
          <t>2026-04</t>
        </is>
      </c>
      <c r="F426" t="n">
        <v>90</v>
      </c>
      <c r="G426" t="n">
        <v>106.2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Vet Essentials</t>
        </is>
      </c>
      <c r="B427" t="inlineStr">
        <is>
          <t>בוגר כלב Small&amp;Mini לבקרת משקל - עוף</t>
        </is>
      </c>
      <c r="C427" t="inlineStr">
        <is>
          <t>השמנה / ירידה במשקל</t>
        </is>
      </c>
      <c r="E427" t="inlineStr">
        <is>
          <t>2026-04</t>
        </is>
      </c>
      <c r="F427" t="n">
        <v>220</v>
      </c>
      <c r="G427" t="n">
        <v>259.6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Vet Essentials</t>
        </is>
      </c>
      <c r="B428" t="inlineStr">
        <is>
          <t>בוגר כלב גזע בינוני לבקרת משקל - עוף</t>
        </is>
      </c>
      <c r="C428" t="inlineStr">
        <is>
          <t>השמנה / ירידה במשקל</t>
        </is>
      </c>
      <c r="E428" t="inlineStr">
        <is>
          <t>2026-04</t>
        </is>
      </c>
      <c r="F428" t="n">
        <v>292</v>
      </c>
      <c r="G428" t="n">
        <v>344.56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Vet Essentials</t>
        </is>
      </c>
      <c r="B429" t="inlineStr">
        <is>
          <t>בוגר כלב גזע גדול לבקרת משקל - עוף</t>
        </is>
      </c>
      <c r="C429" t="inlineStr">
        <is>
          <t>השמנה / ירידה במשקל</t>
        </is>
      </c>
      <c r="E429" t="inlineStr">
        <is>
          <t>2026-04</t>
        </is>
      </c>
      <c r="F429" t="n">
        <v>374</v>
      </c>
      <c r="G429" t="n">
        <v>441.32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Vet Essentials</t>
        </is>
      </c>
      <c r="B430" t="inlineStr">
        <is>
          <t>סניור כלב מיני עוף לתמיכה בהזדקנות</t>
        </is>
      </c>
      <c r="C430" t="inlineStr">
        <is>
          <t>מזון רגיל</t>
        </is>
      </c>
      <c r="E430" t="inlineStr">
        <is>
          <t>2026-04</t>
        </is>
      </c>
      <c r="F430" t="n">
        <v>88</v>
      </c>
      <c r="G430" t="n">
        <v>103.84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Vet Essentials</t>
        </is>
      </c>
      <c r="B431" t="inlineStr">
        <is>
          <t>גור חתול - עוף</t>
        </is>
      </c>
      <c r="C431" t="inlineStr">
        <is>
          <t>גורים</t>
        </is>
      </c>
      <c r="E431" t="inlineStr">
        <is>
          <t>2026-04</t>
        </is>
      </c>
      <c r="F431" t="n">
        <v>81</v>
      </c>
      <c r="G431" t="n">
        <v>95.58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Hill's Vet Essentials</t>
        </is>
      </c>
      <c r="B432" t="inlineStr">
        <is>
          <t>גור חתול - עוף</t>
        </is>
      </c>
      <c r="C432" t="inlineStr">
        <is>
          <t>גורים</t>
        </is>
      </c>
      <c r="E432" t="inlineStr">
        <is>
          <t>2026-04</t>
        </is>
      </c>
      <c r="F432" t="n">
        <v>142</v>
      </c>
      <c r="G432" t="n">
        <v>167.56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Hill's Vet Essentials</t>
        </is>
      </c>
      <c r="B433" t="inlineStr">
        <is>
          <t>בוגר ומבוגר חתול Dental - עוף</t>
        </is>
      </c>
      <c r="C433" t="inlineStr">
        <is>
          <t>שיניים</t>
        </is>
      </c>
      <c r="E433" t="inlineStr">
        <is>
          <t>2026-04</t>
        </is>
      </c>
      <c r="F433" t="n">
        <v>148</v>
      </c>
      <c r="G433" t="n">
        <v>174.64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Hill's Vet Essentials</t>
        </is>
      </c>
      <c r="B434" t="inlineStr">
        <is>
          <t>בוגר ומבוגר חתול Dental - עוף</t>
        </is>
      </c>
      <c r="C434" t="inlineStr">
        <is>
          <t>שיניים</t>
        </is>
      </c>
      <c r="E434" t="inlineStr">
        <is>
          <t>2026-04</t>
        </is>
      </c>
      <c r="F434" t="n">
        <v>261</v>
      </c>
      <c r="G434" t="n">
        <v>307.98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Hill's Vet Essentials</t>
        </is>
      </c>
      <c r="B435" t="inlineStr">
        <is>
          <t>בוגר חתול לבקרת משקל - טונה</t>
        </is>
      </c>
      <c r="C435" t="inlineStr">
        <is>
          <t>השמנה / ירידה במשקל</t>
        </is>
      </c>
      <c r="E435" t="inlineStr">
        <is>
          <t>2026-04</t>
        </is>
      </c>
      <c r="F435" t="n">
        <v>145</v>
      </c>
      <c r="G435" t="n">
        <v>171.1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Hill's Vet Essentials</t>
        </is>
      </c>
      <c r="B436" t="inlineStr">
        <is>
          <t>סניור חתול לתמיכה בהזדקנות - עוף</t>
        </is>
      </c>
      <c r="C436" t="inlineStr">
        <is>
          <t>מזון רגיל</t>
        </is>
      </c>
      <c r="E436" t="inlineStr">
        <is>
          <t>2026-04</t>
        </is>
      </c>
      <c r="F436" t="n">
        <v>146</v>
      </c>
      <c r="G436" t="n">
        <v>172.28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VetLife</t>
        </is>
      </c>
      <c r="B437" t="inlineStr">
        <is>
          <t>היפואלרגני דג ותפו"א כלב</t>
        </is>
      </c>
      <c r="C437" t="inlineStr">
        <is>
          <t>אלרגיה למזון</t>
        </is>
      </c>
      <c r="E437" t="inlineStr">
        <is>
          <t>2025-02</t>
        </is>
      </c>
      <c r="F437" t="n">
        <v>539.74</v>
      </c>
      <c r="G437" t="n">
        <v>636.89</v>
      </c>
      <c r="H437">
        <f>הגדרות!B6</f>
        <v/>
      </c>
      <c r="I437">
        <f>F437*(1-H437/100)*1.18</f>
        <v/>
      </c>
      <c r="J437">
        <f>הגדרות!C6</f>
        <v/>
      </c>
      <c r="K437">
        <f>הגדרות!D6</f>
        <v/>
      </c>
      <c r="L437">
        <f>I437*(1+J437/100)+K437</f>
        <v/>
      </c>
    </row>
    <row r="438">
      <c r="A438" t="inlineStr">
        <is>
          <t>VetLife</t>
        </is>
      </c>
      <c r="B438" t="inlineStr">
        <is>
          <t>היפואלרגני ביצה ואורז כלב</t>
        </is>
      </c>
      <c r="C438" t="inlineStr">
        <is>
          <t>אלרגיה למזון</t>
        </is>
      </c>
      <c r="E438" t="inlineStr">
        <is>
          <t>2025-02</t>
        </is>
      </c>
      <c r="F438" t="n">
        <v>539.74</v>
      </c>
      <c r="G438" t="n">
        <v>636.89</v>
      </c>
      <c r="H438">
        <f>הגדרות!B6</f>
        <v/>
      </c>
      <c r="I438">
        <f>F438*(1-H438/100)*1.18</f>
        <v/>
      </c>
      <c r="J438">
        <f>הגדרות!C6</f>
        <v/>
      </c>
      <c r="K438">
        <f>הגדרות!D6</f>
        <v/>
      </c>
      <c r="L438">
        <f>I438*(1+J438/100)+K438</f>
        <v/>
      </c>
    </row>
    <row r="439">
      <c r="A439" t="inlineStr">
        <is>
          <t>VetLife</t>
        </is>
      </c>
      <c r="B439" t="inlineStr">
        <is>
          <t>אולטרהיפו כלב</t>
        </is>
      </c>
      <c r="C439" t="inlineStr">
        <is>
          <t>אלרגיה למזון</t>
        </is>
      </c>
      <c r="E439" t="inlineStr">
        <is>
          <t>2025-02</t>
        </is>
      </c>
      <c r="F439" t="n">
        <v>583.08</v>
      </c>
      <c r="G439" t="n">
        <v>688.03</v>
      </c>
      <c r="H439">
        <f>הגדרות!B6</f>
        <v/>
      </c>
      <c r="I439">
        <f>F439*(1-H439/100)*1.18</f>
        <v/>
      </c>
      <c r="J439">
        <f>הגדרות!C6</f>
        <v/>
      </c>
      <c r="K439">
        <f>הגדרות!D6</f>
        <v/>
      </c>
      <c r="L439">
        <f>I439*(1+J439/100)+K439</f>
        <v/>
      </c>
    </row>
    <row r="440">
      <c r="A440" t="inlineStr">
        <is>
          <t>VetLife</t>
        </is>
      </c>
      <c r="B440" t="inlineStr">
        <is>
          <t>גסטרו אינטסטינל כלב</t>
        </is>
      </c>
      <c r="C440" t="inlineStr">
        <is>
          <t>מערכת עיכול</t>
        </is>
      </c>
      <c r="E440" t="inlineStr">
        <is>
          <t>2025-02</t>
        </is>
      </c>
      <c r="F440" t="n">
        <v>539.74</v>
      </c>
      <c r="G440" t="n">
        <v>636.89</v>
      </c>
      <c r="H440">
        <f>הגדרות!B6</f>
        <v/>
      </c>
      <c r="I440">
        <f>F440*(1-H440/100)*1.18</f>
        <v/>
      </c>
      <c r="J440">
        <f>הגדרות!C6</f>
        <v/>
      </c>
      <c r="K440">
        <f>הגדרות!D6</f>
        <v/>
      </c>
      <c r="L440">
        <f>I440*(1+J440/100)+K440</f>
        <v/>
      </c>
    </row>
    <row r="441">
      <c r="A441" t="inlineStr">
        <is>
          <t>VetLife</t>
        </is>
      </c>
      <c r="B441" t="inlineStr">
        <is>
          <t>גסטרו אינטסטינל כלב</t>
        </is>
      </c>
      <c r="C441" t="inlineStr">
        <is>
          <t>מערכת עיכול</t>
        </is>
      </c>
      <c r="E441" t="inlineStr">
        <is>
          <t>2025-02</t>
        </is>
      </c>
      <c r="F441" t="n">
        <v>135.19</v>
      </c>
      <c r="G441" t="n">
        <v>159.52</v>
      </c>
      <c r="H441">
        <f>הגדרות!B6</f>
        <v/>
      </c>
      <c r="I441">
        <f>F441*(1-H441/100)*1.18</f>
        <v/>
      </c>
      <c r="J441">
        <f>הגדרות!C6</f>
        <v/>
      </c>
      <c r="K441">
        <f>הגדרות!D6</f>
        <v/>
      </c>
      <c r="L441">
        <f>I441*(1+J441/100)+K441</f>
        <v/>
      </c>
    </row>
    <row r="442">
      <c r="A442" t="inlineStr">
        <is>
          <t>VetLife</t>
        </is>
      </c>
      <c r="B442" t="inlineStr">
        <is>
          <t>אובסיטי כלב</t>
        </is>
      </c>
      <c r="C442" t="inlineStr">
        <is>
          <t>השמנה / ירידה במשקל</t>
        </is>
      </c>
      <c r="E442" t="inlineStr">
        <is>
          <t>2025-02</t>
        </is>
      </c>
      <c r="F442" t="n">
        <v>518.0599999999999</v>
      </c>
      <c r="G442" t="n">
        <v>611.3099999999999</v>
      </c>
      <c r="H442">
        <f>הגדרות!B6</f>
        <v/>
      </c>
      <c r="I442">
        <f>F442*(1-H442/100)*1.18</f>
        <v/>
      </c>
      <c r="J442">
        <f>הגדרות!C6</f>
        <v/>
      </c>
      <c r="K442">
        <f>הגדרות!D6</f>
        <v/>
      </c>
      <c r="L442">
        <f>I442*(1+J442/100)+K442</f>
        <v/>
      </c>
    </row>
    <row r="443">
      <c r="A443" t="inlineStr">
        <is>
          <t>VetLife</t>
        </is>
      </c>
      <c r="B443" t="inlineStr">
        <is>
          <t>רנאל כלב</t>
        </is>
      </c>
      <c r="C443" t="inlineStr">
        <is>
          <t>מחלות כליה</t>
        </is>
      </c>
      <c r="E443" t="inlineStr">
        <is>
          <t>2025-02</t>
        </is>
      </c>
      <c r="F443" t="n">
        <v>539.74</v>
      </c>
      <c r="G443" t="n">
        <v>636.89</v>
      </c>
      <c r="H443">
        <f>הגדרות!B6</f>
        <v/>
      </c>
      <c r="I443">
        <f>F443*(1-H443/100)*1.18</f>
        <v/>
      </c>
      <c r="J443">
        <f>הגדרות!C6</f>
        <v/>
      </c>
      <c r="K443">
        <f>הגדרות!D6</f>
        <v/>
      </c>
      <c r="L443">
        <f>I443*(1+J443/100)+K443</f>
        <v/>
      </c>
    </row>
    <row r="444">
      <c r="A444" t="inlineStr">
        <is>
          <t>VetLife</t>
        </is>
      </c>
      <c r="B444" t="inlineStr">
        <is>
          <t>סטרוויט כלב</t>
        </is>
      </c>
      <c r="C444" t="inlineStr">
        <is>
          <t>דרכי שתן</t>
        </is>
      </c>
      <c r="E444" t="inlineStr">
        <is>
          <t>2025-02</t>
        </is>
      </c>
      <c r="F444" t="n">
        <v>539.74</v>
      </c>
      <c r="G444" t="n">
        <v>636.89</v>
      </c>
      <c r="H444">
        <f>הגדרות!B6</f>
        <v/>
      </c>
      <c r="I444">
        <f>F444*(1-H444/100)*1.18</f>
        <v/>
      </c>
      <c r="J444">
        <f>הגדרות!C6</f>
        <v/>
      </c>
      <c r="K444">
        <f>הגדרות!D6</f>
        <v/>
      </c>
      <c r="L444">
        <f>I444*(1+J444/100)+K444</f>
        <v/>
      </c>
    </row>
    <row r="445">
      <c r="A445" t="inlineStr">
        <is>
          <t>VetLife</t>
        </is>
      </c>
      <c r="B445" t="inlineStr">
        <is>
          <t>סטרוויט כלב</t>
        </is>
      </c>
      <c r="C445" t="inlineStr">
        <is>
          <t>דרכי שתן</t>
        </is>
      </c>
      <c r="E445" t="inlineStr">
        <is>
          <t>2025-02</t>
        </is>
      </c>
      <c r="F445" t="n">
        <v>135.19</v>
      </c>
      <c r="G445" t="n">
        <v>159.52</v>
      </c>
      <c r="H445">
        <f>הגדרות!B6</f>
        <v/>
      </c>
      <c r="I445">
        <f>F445*(1-H445/100)*1.18</f>
        <v/>
      </c>
      <c r="J445">
        <f>הגדרות!C6</f>
        <v/>
      </c>
      <c r="K445">
        <f>הגדרות!D6</f>
        <v/>
      </c>
      <c r="L445">
        <f>I445*(1+J445/100)+K445</f>
        <v/>
      </c>
    </row>
    <row r="446">
      <c r="A446" t="inlineStr">
        <is>
          <t>VetLife</t>
        </is>
      </c>
      <c r="B446" t="inlineStr">
        <is>
          <t>אולטרהיפו כלב</t>
        </is>
      </c>
      <c r="C446" t="inlineStr">
        <is>
          <t>אלרגיה למזון</t>
        </is>
      </c>
      <c r="E446" t="inlineStr">
        <is>
          <t>2025-02</t>
        </is>
      </c>
      <c r="F446" t="n">
        <v>160.99</v>
      </c>
      <c r="G446" t="n">
        <v>189.97</v>
      </c>
      <c r="H446">
        <f>הגדרות!B6</f>
        <v/>
      </c>
      <c r="I446">
        <f>F446*(1-H446/100)*1.18</f>
        <v/>
      </c>
      <c r="J446">
        <f>הגדרות!C6</f>
        <v/>
      </c>
      <c r="K446">
        <f>הגדרות!D6</f>
        <v/>
      </c>
      <c r="L446">
        <f>I446*(1+J446/100)+K446</f>
        <v/>
      </c>
    </row>
    <row r="447">
      <c r="A447" t="inlineStr">
        <is>
          <t>VetLife</t>
        </is>
      </c>
      <c r="B447" t="inlineStr">
        <is>
          <t>היפואלרגני דג תפו"א כלב</t>
        </is>
      </c>
      <c r="C447" t="inlineStr">
        <is>
          <t>אלרגיה למזון</t>
        </is>
      </c>
      <c r="E447" t="inlineStr">
        <is>
          <t>2025-02</t>
        </is>
      </c>
      <c r="F447" t="n">
        <v>139.32</v>
      </c>
      <c r="G447" t="n">
        <v>164.4</v>
      </c>
      <c r="H447">
        <f>הגדרות!B6</f>
        <v/>
      </c>
      <c r="I447">
        <f>F447*(1-H447/100)*1.18</f>
        <v/>
      </c>
      <c r="J447">
        <f>הגדרות!C6</f>
        <v/>
      </c>
      <c r="K447">
        <f>הגדרות!D6</f>
        <v/>
      </c>
      <c r="L447">
        <f>I447*(1+J447/100)+K447</f>
        <v/>
      </c>
    </row>
    <row r="448">
      <c r="A448" t="inlineStr">
        <is>
          <t>VetLife</t>
        </is>
      </c>
      <c r="B448" t="inlineStr">
        <is>
          <t>סטרוויט מנג'מנט חתול</t>
        </is>
      </c>
      <c r="C448" t="inlineStr">
        <is>
          <t>דרכי שתן</t>
        </is>
      </c>
      <c r="E448" t="inlineStr">
        <is>
          <t>2025-02</t>
        </is>
      </c>
      <c r="F448" t="n">
        <v>298.25</v>
      </c>
      <c r="G448" t="n">
        <v>351.94</v>
      </c>
      <c r="H448">
        <f>הגדרות!B6</f>
        <v/>
      </c>
      <c r="I448">
        <f>F448*(1-H448/100)*1.18</f>
        <v/>
      </c>
      <c r="J448">
        <f>הגדרות!C6</f>
        <v/>
      </c>
      <c r="K448">
        <f>הגדרות!D6</f>
        <v/>
      </c>
      <c r="L448">
        <f>I448*(1+J448/100)+K448</f>
        <v/>
      </c>
    </row>
    <row r="449">
      <c r="A449" t="inlineStr">
        <is>
          <t>VetLife</t>
        </is>
      </c>
      <c r="B449" t="inlineStr">
        <is>
          <t>מנג'מנט סטרוויט כלב</t>
        </is>
      </c>
      <c r="C449" t="inlineStr">
        <is>
          <t>דרכי שתן</t>
        </is>
      </c>
      <c r="E449" t="inlineStr">
        <is>
          <t>2025-02</t>
        </is>
      </c>
      <c r="F449" t="n">
        <v>539.74</v>
      </c>
      <c r="G449" t="n">
        <v>636.89</v>
      </c>
      <c r="H449">
        <f>הגדרות!B6</f>
        <v/>
      </c>
      <c r="I449">
        <f>F449*(1-H449/100)*1.18</f>
        <v/>
      </c>
      <c r="J449">
        <f>הגדרות!C6</f>
        <v/>
      </c>
      <c r="K449">
        <f>הגדרות!D6</f>
        <v/>
      </c>
      <c r="L449">
        <f>I449*(1+J449/100)+K449</f>
        <v/>
      </c>
    </row>
    <row r="450">
      <c r="A450" t="inlineStr">
        <is>
          <t>VetLife</t>
        </is>
      </c>
      <c r="B450" t="inlineStr">
        <is>
          <t>חתולה מעוקרת</t>
        </is>
      </c>
      <c r="C450" t="inlineStr">
        <is>
          <t>מזון רגיל</t>
        </is>
      </c>
      <c r="E450" t="inlineStr">
        <is>
          <t>2025-02</t>
        </is>
      </c>
      <c r="F450" t="n">
        <v>323.02</v>
      </c>
      <c r="G450" t="n">
        <v>381.16</v>
      </c>
      <c r="H450">
        <f>הגדרות!B6</f>
        <v/>
      </c>
      <c r="I450">
        <f>F450*(1-H450/100)*1.18</f>
        <v/>
      </c>
      <c r="J450">
        <f>הגדרות!C6</f>
        <v/>
      </c>
      <c r="K450">
        <f>הגדרות!D6</f>
        <v/>
      </c>
      <c r="L450">
        <f>I450*(1+J450/100)+K450</f>
        <v/>
      </c>
    </row>
    <row r="451">
      <c r="A451" t="inlineStr">
        <is>
          <t>VetLife</t>
        </is>
      </c>
      <c r="B451" t="inlineStr">
        <is>
          <t>חתול מסורס</t>
        </is>
      </c>
      <c r="C451" t="inlineStr">
        <is>
          <t>מזון רגיל</t>
        </is>
      </c>
      <c r="E451" t="inlineStr">
        <is>
          <t>2025-02</t>
        </is>
      </c>
      <c r="F451" t="n">
        <v>323.02</v>
      </c>
      <c r="G451" t="n">
        <v>381.16</v>
      </c>
      <c r="H451">
        <f>הגדרות!B6</f>
        <v/>
      </c>
      <c r="I451">
        <f>F451*(1-H451/100)*1.18</f>
        <v/>
      </c>
      <c r="J451">
        <f>הגדרות!C6</f>
        <v/>
      </c>
      <c r="K451">
        <f>הגדרות!D6</f>
        <v/>
      </c>
      <c r="L451">
        <f>I451*(1+J451/100)+K451</f>
        <v/>
      </c>
    </row>
    <row r="452">
      <c r="A452" t="inlineStr">
        <is>
          <t>VetLife</t>
        </is>
      </c>
      <c r="B452" t="inlineStr">
        <is>
          <t>רנאל חתול</t>
        </is>
      </c>
      <c r="C452" t="inlineStr">
        <is>
          <t>מחלות כליה</t>
        </is>
      </c>
      <c r="E452" t="inlineStr">
        <is>
          <t>2025-02</t>
        </is>
      </c>
      <c r="F452" t="n">
        <v>323.02</v>
      </c>
      <c r="G452" t="n">
        <v>381.16</v>
      </c>
      <c r="H452">
        <f>הגדרות!B6</f>
        <v/>
      </c>
      <c r="I452">
        <f>F452*(1-H452/100)*1.18</f>
        <v/>
      </c>
      <c r="J452">
        <f>הגדרות!C6</f>
        <v/>
      </c>
      <c r="K452">
        <f>הגדרות!D6</f>
        <v/>
      </c>
      <c r="L452">
        <f>I452*(1+J452/100)+K452</f>
        <v/>
      </c>
    </row>
    <row r="453">
      <c r="A453" t="inlineStr">
        <is>
          <t>VetLife</t>
        </is>
      </c>
      <c r="B453" t="inlineStr">
        <is>
          <t>הפטיק כלב</t>
        </is>
      </c>
      <c r="C453" t="inlineStr">
        <is>
          <t>מחלות כבד</t>
        </is>
      </c>
      <c r="E453" t="inlineStr">
        <is>
          <t>2025-02</t>
        </is>
      </c>
      <c r="F453" t="n">
        <v>507.74</v>
      </c>
      <c r="G453" t="n">
        <v>599.13</v>
      </c>
      <c r="H453">
        <f>הגדרות!B6</f>
        <v/>
      </c>
      <c r="I453">
        <f>F453*(1-H453/100)*1.18</f>
        <v/>
      </c>
      <c r="J453">
        <f>הגדרות!C6</f>
        <v/>
      </c>
      <c r="K453">
        <f>הגדרות!D6</f>
        <v/>
      </c>
      <c r="L453">
        <f>I453*(1+J453/100)+K453</f>
        <v/>
      </c>
    </row>
    <row r="454">
      <c r="A454" t="inlineStr">
        <is>
          <t>VetLife</t>
        </is>
      </c>
      <c r="B454" t="inlineStr">
        <is>
          <t>גסטרו אינטסטינל חתול</t>
        </is>
      </c>
      <c r="C454" t="inlineStr">
        <is>
          <t>מערכת עיכול</t>
        </is>
      </c>
      <c r="E454" t="inlineStr">
        <is>
          <t>2025-02</t>
        </is>
      </c>
      <c r="F454" t="n">
        <v>323.02</v>
      </c>
      <c r="G454" t="n">
        <v>381.16</v>
      </c>
      <c r="H454">
        <f>הגדרות!B6</f>
        <v/>
      </c>
      <c r="I454">
        <f>F454*(1-H454/100)*1.18</f>
        <v/>
      </c>
      <c r="J454">
        <f>הגדרות!C6</f>
        <v/>
      </c>
      <c r="K454">
        <f>הגדרות!D6</f>
        <v/>
      </c>
      <c r="L454">
        <f>I454*(1+J454/100)+K454</f>
        <v/>
      </c>
    </row>
    <row r="455">
      <c r="A455" t="inlineStr">
        <is>
          <t>VetLife</t>
        </is>
      </c>
      <c r="B455" t="inlineStr">
        <is>
          <t>ג'וינט מפרקים כלב</t>
        </is>
      </c>
      <c r="C455" t="inlineStr">
        <is>
          <t>מפרקים / ניידות</t>
        </is>
      </c>
      <c r="E455" t="inlineStr">
        <is>
          <t>2025-02</t>
        </is>
      </c>
      <c r="F455" t="n">
        <v>539.74</v>
      </c>
      <c r="G455" t="n">
        <v>636.89</v>
      </c>
      <c r="H455">
        <f>הגדרות!B6</f>
        <v/>
      </c>
      <c r="I455">
        <f>F455*(1-H455/100)*1.18</f>
        <v/>
      </c>
      <c r="J455">
        <f>הגדרות!C6</f>
        <v/>
      </c>
      <c r="K455">
        <f>הגדרות!D6</f>
        <v/>
      </c>
      <c r="L455">
        <f>I455*(1+J455/100)+K455</f>
        <v/>
      </c>
    </row>
    <row r="456">
      <c r="A456" t="inlineStr">
        <is>
          <t>VetLife</t>
        </is>
      </c>
      <c r="B456" t="inlineStr">
        <is>
          <t>אובסיטי חתול</t>
        </is>
      </c>
      <c r="C456" t="inlineStr">
        <is>
          <t>השמנה / ירידה במשקל</t>
        </is>
      </c>
      <c r="E456" t="inlineStr">
        <is>
          <t>2025-02</t>
        </is>
      </c>
      <c r="F456" t="n">
        <v>323.02</v>
      </c>
      <c r="G456" t="n">
        <v>381.16</v>
      </c>
      <c r="H456">
        <f>הגדרות!B6</f>
        <v/>
      </c>
      <c r="I456">
        <f>F456*(1-H456/100)*1.18</f>
        <v/>
      </c>
      <c r="J456">
        <f>הגדרות!C6</f>
        <v/>
      </c>
      <c r="K456">
        <f>הגדרות!D6</f>
        <v/>
      </c>
      <c r="L456">
        <f>I456*(1+J456/100)+K456</f>
        <v/>
      </c>
    </row>
    <row r="457">
      <c r="A457" t="inlineStr">
        <is>
          <t>VetLife</t>
        </is>
      </c>
      <c r="B457" t="inlineStr">
        <is>
          <t>גסטרו אינטסטינל חתול</t>
        </is>
      </c>
      <c r="C457" t="inlineStr">
        <is>
          <t>מערכת עיכול</t>
        </is>
      </c>
      <c r="E457" t="inlineStr">
        <is>
          <t>2025-02</t>
        </is>
      </c>
      <c r="F457" t="n">
        <v>146.54</v>
      </c>
      <c r="G457" t="n">
        <v>172.92</v>
      </c>
      <c r="H457">
        <f>הגדרות!B6</f>
        <v/>
      </c>
      <c r="I457">
        <f>F457*(1-H457/100)*1.18</f>
        <v/>
      </c>
      <c r="J457">
        <f>הגדרות!C6</f>
        <v/>
      </c>
      <c r="K457">
        <f>הגדרות!D6</f>
        <v/>
      </c>
      <c r="L457">
        <f>I457*(1+J457/100)+K457</f>
        <v/>
      </c>
    </row>
    <row r="458">
      <c r="A458" t="inlineStr">
        <is>
          <t>VetLife</t>
        </is>
      </c>
      <c r="B458" t="inlineStr">
        <is>
          <t>אובסיטי חתול</t>
        </is>
      </c>
      <c r="C458" t="inlineStr">
        <is>
          <t>השמנה / ירידה במשקל</t>
        </is>
      </c>
      <c r="E458" t="inlineStr">
        <is>
          <t>2025-02</t>
        </is>
      </c>
      <c r="F458" t="n">
        <v>146.54</v>
      </c>
      <c r="G458" t="n">
        <v>172.92</v>
      </c>
      <c r="H458">
        <f>הגדרות!B6</f>
        <v/>
      </c>
      <c r="I458">
        <f>F458*(1-H458/100)*1.18</f>
        <v/>
      </c>
      <c r="J458">
        <f>הגדרות!C6</f>
        <v/>
      </c>
      <c r="K458">
        <f>הגדרות!D6</f>
        <v/>
      </c>
      <c r="L458">
        <f>I458*(1+J458/100)+K458</f>
        <v/>
      </c>
    </row>
    <row r="459">
      <c r="A459" t="inlineStr">
        <is>
          <t>VetLife</t>
        </is>
      </c>
      <c r="B459" t="inlineStr">
        <is>
          <t>רנאל חתול</t>
        </is>
      </c>
      <c r="C459" t="inlineStr">
        <is>
          <t>מחלות כליה</t>
        </is>
      </c>
      <c r="E459" t="inlineStr">
        <is>
          <t>2025-02</t>
        </is>
      </c>
      <c r="F459" t="n">
        <v>146.54</v>
      </c>
      <c r="G459" t="n">
        <v>172.92</v>
      </c>
      <c r="H459">
        <f>הגדרות!B6</f>
        <v/>
      </c>
      <c r="I459">
        <f>F459*(1-H459/100)*1.18</f>
        <v/>
      </c>
      <c r="J459">
        <f>הגדרות!C6</f>
        <v/>
      </c>
      <c r="K459">
        <f>הגדרות!D6</f>
        <v/>
      </c>
      <c r="L459">
        <f>I459*(1+J459/100)+K459</f>
        <v/>
      </c>
    </row>
    <row r="460">
      <c r="A460" t="inlineStr">
        <is>
          <t>VetLife</t>
        </is>
      </c>
      <c r="B460" t="inlineStr">
        <is>
          <t>סטרוויט חתול</t>
        </is>
      </c>
      <c r="C460" t="inlineStr">
        <is>
          <t>דרכי שתן</t>
        </is>
      </c>
      <c r="E460" t="inlineStr">
        <is>
          <t>2025-02</t>
        </is>
      </c>
      <c r="F460" t="n">
        <v>146.54</v>
      </c>
      <c r="G460" t="n">
        <v>172.92</v>
      </c>
      <c r="H460">
        <f>הגדרות!B6</f>
        <v/>
      </c>
      <c r="I460">
        <f>F460*(1-H460/100)*1.18</f>
        <v/>
      </c>
      <c r="J460">
        <f>הגדרות!C6</f>
        <v/>
      </c>
      <c r="K460">
        <f>הגדרות!D6</f>
        <v/>
      </c>
      <c r="L460">
        <f>I460*(1+J460/100)+K460</f>
        <v/>
      </c>
    </row>
    <row r="461">
      <c r="A461" t="inlineStr">
        <is>
          <t>VetLife</t>
        </is>
      </c>
      <c r="B461" t="inlineStr">
        <is>
          <t>דיאבטיק חתול</t>
        </is>
      </c>
      <c r="C461" t="inlineStr">
        <is>
          <t>סוכרת</t>
        </is>
      </c>
      <c r="E461" t="inlineStr">
        <is>
          <t>2025-02</t>
        </is>
      </c>
      <c r="F461" t="n">
        <v>146.54</v>
      </c>
      <c r="G461" t="n">
        <v>172.92</v>
      </c>
      <c r="H461">
        <f>הגדרות!B6</f>
        <v/>
      </c>
      <c r="I461">
        <f>F461*(1-H461/100)*1.18</f>
        <v/>
      </c>
      <c r="J461">
        <f>הגדרות!C6</f>
        <v/>
      </c>
      <c r="K461">
        <f>הגדרות!D6</f>
        <v/>
      </c>
      <c r="L461">
        <f>I461*(1+J461/100)+K461</f>
        <v/>
      </c>
    </row>
    <row r="462">
      <c r="A462" t="inlineStr">
        <is>
          <t>VetLife</t>
        </is>
      </c>
      <c r="B462" t="inlineStr">
        <is>
          <t>מנג'מנט סטרוויט כלב</t>
        </is>
      </c>
      <c r="C462" t="inlineStr">
        <is>
          <t>דרכי שתן</t>
        </is>
      </c>
      <c r="E462" t="inlineStr">
        <is>
          <t>2025-02</t>
        </is>
      </c>
      <c r="F462" t="n">
        <v>135.19</v>
      </c>
      <c r="G462" t="n">
        <v>159.52</v>
      </c>
      <c r="H462">
        <f>הגדרות!B6</f>
        <v/>
      </c>
      <c r="I462">
        <f>F462*(1-H462/100)*1.18</f>
        <v/>
      </c>
      <c r="J462">
        <f>הגדרות!C6</f>
        <v/>
      </c>
      <c r="K462">
        <f>הגדרות!D6</f>
        <v/>
      </c>
      <c r="L462">
        <f>I462*(1+J462/100)+K462</f>
        <v/>
      </c>
    </row>
    <row r="463">
      <c r="A463" t="inlineStr">
        <is>
          <t>VetLife</t>
        </is>
      </c>
      <c r="B463" t="inlineStr">
        <is>
          <t>ג'וינט מפרקים כלב</t>
        </is>
      </c>
      <c r="C463" t="inlineStr">
        <is>
          <t>מפרקים / ניידות</t>
        </is>
      </c>
      <c r="E463" t="inlineStr">
        <is>
          <t>2025-02</t>
        </is>
      </c>
      <c r="F463" t="n">
        <v>135.19</v>
      </c>
      <c r="G463" t="n">
        <v>159.52</v>
      </c>
      <c r="H463">
        <f>הגדרות!B6</f>
        <v/>
      </c>
      <c r="I463">
        <f>F463*(1-H463/100)*1.18</f>
        <v/>
      </c>
      <c r="J463">
        <f>הגדרות!C6</f>
        <v/>
      </c>
      <c r="K463">
        <f>הגדרות!D6</f>
        <v/>
      </c>
      <c r="L463">
        <f>I463*(1+J463/100)+K463</f>
        <v/>
      </c>
    </row>
    <row r="464">
      <c r="A464" t="inlineStr">
        <is>
          <t>VetLife</t>
        </is>
      </c>
      <c r="B464" t="inlineStr">
        <is>
          <t>אולטרהיפו חתול</t>
        </is>
      </c>
      <c r="C464" t="inlineStr">
        <is>
          <t>אלרגיה למזון</t>
        </is>
      </c>
      <c r="E464" t="inlineStr">
        <is>
          <t>2025-02</t>
        </is>
      </c>
      <c r="F464" t="n">
        <v>172.34</v>
      </c>
      <c r="G464" t="n">
        <v>203.36</v>
      </c>
      <c r="H464">
        <f>הגדרות!B6</f>
        <v/>
      </c>
      <c r="I464">
        <f>F464*(1-H464/100)*1.18</f>
        <v/>
      </c>
      <c r="J464">
        <f>הגדרות!C6</f>
        <v/>
      </c>
      <c r="K464">
        <f>הגדרות!D6</f>
        <v/>
      </c>
      <c r="L464">
        <f>I464*(1+J464/100)+K464</f>
        <v/>
      </c>
    </row>
    <row r="465">
      <c r="A465" t="inlineStr">
        <is>
          <t>VetLife</t>
        </is>
      </c>
      <c r="B465" t="inlineStr">
        <is>
          <t>סטרוויט מנג'מנט חתול</t>
        </is>
      </c>
      <c r="C465" t="inlineStr">
        <is>
          <t>דרכי שתן</t>
        </is>
      </c>
      <c r="E465" t="inlineStr">
        <is>
          <t>2025-02</t>
        </is>
      </c>
      <c r="F465" t="n">
        <v>146.54</v>
      </c>
      <c r="G465" t="n">
        <v>172.92</v>
      </c>
      <c r="H465">
        <f>הגדרות!B6</f>
        <v/>
      </c>
      <c r="I465">
        <f>F465*(1-H465/100)*1.18</f>
        <v/>
      </c>
      <c r="J465">
        <f>הגדרות!C6</f>
        <v/>
      </c>
      <c r="K465">
        <f>הגדרות!D6</f>
        <v/>
      </c>
      <c r="L465">
        <f>I465*(1+J465/100)+K465</f>
        <v/>
      </c>
    </row>
    <row r="466">
      <c r="A466" t="inlineStr">
        <is>
          <t>VetLife</t>
        </is>
      </c>
      <c r="B466" t="inlineStr">
        <is>
          <t>רנאל כלב</t>
        </is>
      </c>
      <c r="C466" t="inlineStr">
        <is>
          <t>מחלות כליה</t>
        </is>
      </c>
      <c r="E466" t="inlineStr">
        <is>
          <t>2025-02</t>
        </is>
      </c>
      <c r="F466" t="n">
        <v>135.19</v>
      </c>
      <c r="G466" t="n">
        <v>159.52</v>
      </c>
      <c r="H466">
        <f>הגדרות!B6</f>
        <v/>
      </c>
      <c r="I466">
        <f>F466*(1-H466/100)*1.18</f>
        <v/>
      </c>
      <c r="J466">
        <f>הגדרות!C6</f>
        <v/>
      </c>
      <c r="K466">
        <f>הגדרות!D6</f>
        <v/>
      </c>
      <c r="L466">
        <f>I466*(1+J466/100)+K466</f>
        <v/>
      </c>
    </row>
    <row r="467">
      <c r="A467" t="inlineStr">
        <is>
          <t>VetLife</t>
        </is>
      </c>
      <c r="B467" t="inlineStr">
        <is>
          <t>הפטיק חתול</t>
        </is>
      </c>
      <c r="C467" t="inlineStr">
        <is>
          <t>מחלות כבד</t>
        </is>
      </c>
      <c r="E467" t="inlineStr">
        <is>
          <t>2025-02</t>
        </is>
      </c>
      <c r="F467" t="n">
        <v>135.19</v>
      </c>
      <c r="G467" t="n">
        <v>159.52</v>
      </c>
      <c r="H467">
        <f>הגדרות!B6</f>
        <v/>
      </c>
      <c r="I467">
        <f>F467*(1-H467/100)*1.18</f>
        <v/>
      </c>
      <c r="J467">
        <f>הגדרות!C6</f>
        <v/>
      </c>
      <c r="K467">
        <f>הגדרות!D6</f>
        <v/>
      </c>
      <c r="L467">
        <f>I467*(1+J467/100)+K467</f>
        <v/>
      </c>
    </row>
    <row r="468">
      <c r="A468" t="inlineStr">
        <is>
          <t>VetLife</t>
        </is>
      </c>
      <c r="B468" t="inlineStr">
        <is>
          <t>סטרוויט מנג'מנט חתול</t>
        </is>
      </c>
      <c r="C468" t="inlineStr">
        <is>
          <t>דרכי שתן</t>
        </is>
      </c>
      <c r="E468" t="inlineStr">
        <is>
          <t>2025-02</t>
        </is>
      </c>
      <c r="F468" t="n">
        <v>535.61</v>
      </c>
      <c r="G468" t="n">
        <v>632.02</v>
      </c>
      <c r="H468">
        <f>הגדרות!B6</f>
        <v/>
      </c>
      <c r="I468">
        <f>F468*(1-H468/100)*1.18</f>
        <v/>
      </c>
      <c r="J468">
        <f>הגדרות!C6</f>
        <v/>
      </c>
      <c r="K468">
        <f>הגדרות!D6</f>
        <v/>
      </c>
      <c r="L468">
        <f>I468*(1+J468/100)+K468</f>
        <v/>
      </c>
    </row>
    <row r="469">
      <c r="A469" t="inlineStr">
        <is>
          <t>VetLife</t>
        </is>
      </c>
      <c r="B469" t="inlineStr">
        <is>
          <t>דיאבטיק כלב</t>
        </is>
      </c>
      <c r="C469" t="inlineStr">
        <is>
          <t>סוכרת</t>
        </is>
      </c>
      <c r="E469" t="inlineStr">
        <is>
          <t>2025-02</t>
        </is>
      </c>
      <c r="F469" t="n">
        <v>539.74</v>
      </c>
      <c r="G469" t="n">
        <v>636.89</v>
      </c>
      <c r="H469">
        <f>הגדרות!B6</f>
        <v/>
      </c>
      <c r="I469">
        <f>F469*(1-H469/100)*1.18</f>
        <v/>
      </c>
      <c r="J469">
        <f>הגדרות!C6</f>
        <v/>
      </c>
      <c r="K469">
        <f>הגדרות!D6</f>
        <v/>
      </c>
      <c r="L469">
        <f>I469*(1+J469/100)+K469</f>
        <v/>
      </c>
    </row>
    <row r="470">
      <c r="A470" t="inlineStr">
        <is>
          <t>VetLife</t>
        </is>
      </c>
      <c r="B470" t="inlineStr">
        <is>
          <t>דיאבטיק כלב</t>
        </is>
      </c>
      <c r="C470" t="inlineStr">
        <is>
          <t>סוכרת</t>
        </is>
      </c>
      <c r="E470" t="inlineStr">
        <is>
          <t>2025-02</t>
        </is>
      </c>
      <c r="F470" t="n">
        <v>135.19</v>
      </c>
      <c r="G470" t="n">
        <v>159.52</v>
      </c>
      <c r="H470">
        <f>הגדרות!B6</f>
        <v/>
      </c>
      <c r="I470">
        <f>F470*(1-H470/100)*1.18</f>
        <v/>
      </c>
      <c r="J470">
        <f>הגדרות!C6</f>
        <v/>
      </c>
      <c r="K470">
        <f>הגדרות!D6</f>
        <v/>
      </c>
      <c r="L470">
        <f>I470*(1+J470/100)+K470</f>
        <v/>
      </c>
    </row>
    <row r="471">
      <c r="A471" t="inlineStr">
        <is>
          <t>VetLife</t>
        </is>
      </c>
      <c r="B471" t="inlineStr">
        <is>
          <t>אובסיטי דגים כלב</t>
        </is>
      </c>
      <c r="C471" t="inlineStr">
        <is>
          <t>השמנה / ירידה במשקל</t>
        </is>
      </c>
      <c r="E471" t="inlineStr">
        <is>
          <t>2025-02</t>
        </is>
      </c>
      <c r="F471" t="n">
        <v>146.54</v>
      </c>
      <c r="G471" t="n">
        <v>172.92</v>
      </c>
      <c r="H471">
        <f>הגדרות!B6</f>
        <v/>
      </c>
      <c r="I471">
        <f>F471*(1-H471/100)*1.18</f>
        <v/>
      </c>
      <c r="J471">
        <f>הגדרות!C6</f>
        <v/>
      </c>
      <c r="K471">
        <f>הגדרות!D6</f>
        <v/>
      </c>
      <c r="L471">
        <f>I471*(1+J471/100)+K471</f>
        <v/>
      </c>
    </row>
    <row r="472">
      <c r="A472" t="inlineStr">
        <is>
          <t>VetLife</t>
        </is>
      </c>
      <c r="B472" t="inlineStr">
        <is>
          <t>היפואלרגני חזיר-תפו"א כלב</t>
        </is>
      </c>
      <c r="C472" t="inlineStr">
        <is>
          <t>אלרגיה למזון</t>
        </is>
      </c>
      <c r="E472" t="inlineStr">
        <is>
          <t>2025-02</t>
        </is>
      </c>
      <c r="F472" t="n">
        <v>139.32</v>
      </c>
      <c r="G472" t="n">
        <v>164.4</v>
      </c>
      <c r="H472">
        <f>הגדרות!B6</f>
        <v/>
      </c>
      <c r="I472">
        <f>F472*(1-H472/100)*1.18</f>
        <v/>
      </c>
      <c r="J472">
        <f>הגדרות!C6</f>
        <v/>
      </c>
      <c r="K472">
        <f>הגדרות!D6</f>
        <v/>
      </c>
      <c r="L472">
        <f>I472*(1+J472/100)+K472</f>
        <v/>
      </c>
    </row>
    <row r="473">
      <c r="A473" t="inlineStr">
        <is>
          <t>VetLife</t>
        </is>
      </c>
      <c r="B473" t="inlineStr">
        <is>
          <t>אובסיטי כלב</t>
        </is>
      </c>
      <c r="C473" t="inlineStr">
        <is>
          <t>השמנה / ירידה במשקל</t>
        </is>
      </c>
      <c r="E473" t="inlineStr">
        <is>
          <t>2025-02</t>
        </is>
      </c>
      <c r="F473" t="n">
        <v>124.87</v>
      </c>
      <c r="G473" t="n">
        <v>147.35</v>
      </c>
      <c r="H473">
        <f>הגדרות!B6</f>
        <v/>
      </c>
      <c r="I473">
        <f>F473*(1-H473/100)*1.18</f>
        <v/>
      </c>
      <c r="J473">
        <f>הגדרות!C6</f>
        <v/>
      </c>
      <c r="K473">
        <f>הגדרות!D6</f>
        <v/>
      </c>
      <c r="L473">
        <f>I473*(1+J473/100)+K473</f>
        <v/>
      </c>
    </row>
    <row r="474">
      <c r="A474" t="inlineStr">
        <is>
          <t>VetLife</t>
        </is>
      </c>
      <c r="B474" t="inlineStr">
        <is>
          <t>אובסיטי דג כלב</t>
        </is>
      </c>
      <c r="C474" t="inlineStr">
        <is>
          <t>השמנה / ירידה במשקל</t>
        </is>
      </c>
      <c r="E474" t="inlineStr">
        <is>
          <t>2025-02</t>
        </is>
      </c>
      <c r="F474" t="n">
        <v>539.74</v>
      </c>
      <c r="G474" t="n">
        <v>636.89</v>
      </c>
      <c r="H474">
        <f>הגדרות!B6</f>
        <v/>
      </c>
      <c r="I474">
        <f>F474*(1-H474/100)*1.18</f>
        <v/>
      </c>
      <c r="J474">
        <f>הגדרות!C6</f>
        <v/>
      </c>
      <c r="K474">
        <f>הגדרות!D6</f>
        <v/>
      </c>
      <c r="L474">
        <f>I474*(1+J474/100)+K474</f>
        <v/>
      </c>
    </row>
    <row r="475">
      <c r="A475" t="inlineStr">
        <is>
          <t>VetLife</t>
        </is>
      </c>
      <c r="B475" t="inlineStr">
        <is>
          <t>קרדיאק כלב</t>
        </is>
      </c>
      <c r="C475" t="inlineStr">
        <is>
          <t>לב</t>
        </is>
      </c>
      <c r="E475" t="inlineStr">
        <is>
          <t>2025-02</t>
        </is>
      </c>
      <c r="F475" t="n">
        <v>135.19</v>
      </c>
      <c r="G475" t="n">
        <v>159.52</v>
      </c>
      <c r="H475">
        <f>הגדרות!B6</f>
        <v/>
      </c>
      <c r="I475">
        <f>F475*(1-H475/100)*1.18</f>
        <v/>
      </c>
      <c r="J475">
        <f>הגדרות!C6</f>
        <v/>
      </c>
      <c r="K475">
        <f>הגדרות!D6</f>
        <v/>
      </c>
      <c r="L475">
        <f>I475*(1+J475/100)+K475</f>
        <v/>
      </c>
    </row>
    <row r="476">
      <c r="A476" t="inlineStr">
        <is>
          <t>VetLife</t>
        </is>
      </c>
      <c r="B476" t="inlineStr">
        <is>
          <t>גסטרואינטסטינל גורים כלב</t>
        </is>
      </c>
      <c r="C476" t="inlineStr">
        <is>
          <t>מערכת עיכול</t>
        </is>
      </c>
      <c r="E476" t="inlineStr">
        <is>
          <t>2025-02</t>
        </is>
      </c>
      <c r="F476" t="n">
        <v>135.19</v>
      </c>
      <c r="G476" t="n">
        <v>159.52</v>
      </c>
      <c r="H476">
        <f>הגדרות!B6</f>
        <v/>
      </c>
      <c r="I476">
        <f>F476*(1-H476/100)*1.18</f>
        <v/>
      </c>
      <c r="J476">
        <f>הגדרות!C6</f>
        <v/>
      </c>
      <c r="K476">
        <f>הגדרות!D6</f>
        <v/>
      </c>
      <c r="L476">
        <f>I476*(1+J476/100)+K476</f>
        <v/>
      </c>
    </row>
    <row r="477">
      <c r="A477" t="inlineStr">
        <is>
          <t>VetLife</t>
        </is>
      </c>
      <c r="B477" t="inlineStr">
        <is>
          <t>היפואלרגני חזיר תפוא חתול</t>
        </is>
      </c>
      <c r="C477" t="inlineStr">
        <is>
          <t>אלרגיה למזון</t>
        </is>
      </c>
      <c r="E477" t="inlineStr">
        <is>
          <t>2025-02</t>
        </is>
      </c>
      <c r="F477" t="n">
        <v>122.81</v>
      </c>
      <c r="G477" t="n">
        <v>144.92</v>
      </c>
      <c r="H477">
        <f>הגדרות!B6</f>
        <v/>
      </c>
      <c r="I477">
        <f>F477*(1-H477/100)*1.18</f>
        <v/>
      </c>
      <c r="J477">
        <f>הגדרות!C6</f>
        <v/>
      </c>
      <c r="K477">
        <f>הגדרות!D6</f>
        <v/>
      </c>
      <c r="L477">
        <f>I477*(1+J477/100)+K477</f>
        <v/>
      </c>
    </row>
    <row r="478">
      <c r="A478" t="inlineStr">
        <is>
          <t>VetLife</t>
        </is>
      </c>
      <c r="B478" t="inlineStr">
        <is>
          <t>אוקסלט כלב</t>
        </is>
      </c>
      <c r="C478" t="inlineStr">
        <is>
          <t>דרכי שתן</t>
        </is>
      </c>
      <c r="E478" t="inlineStr">
        <is>
          <t>2025-02</t>
        </is>
      </c>
      <c r="F478" t="n">
        <v>135.19</v>
      </c>
      <c r="G478" t="n">
        <v>159.52</v>
      </c>
      <c r="H478">
        <f>הגדרות!B6</f>
        <v/>
      </c>
      <c r="I478">
        <f>F478*(1-H478/100)*1.18</f>
        <v/>
      </c>
      <c r="J478">
        <f>הגדרות!C6</f>
        <v/>
      </c>
      <c r="K478">
        <f>הגדרות!D6</f>
        <v/>
      </c>
      <c r="L478">
        <f>I478*(1+J478/100)+K478</f>
        <v/>
      </c>
    </row>
    <row r="479">
      <c r="A479" t="inlineStr">
        <is>
          <t>VetLife</t>
        </is>
      </c>
      <c r="B479" t="inlineStr">
        <is>
          <t>שימור קונבלסנס חתול</t>
        </is>
      </c>
      <c r="C479" t="inlineStr">
        <is>
          <t>התאוששות</t>
        </is>
      </c>
      <c r="E479" t="inlineStr">
        <is>
          <t>2025-02</t>
        </is>
      </c>
      <c r="F479" t="n">
        <v>9.289999999999999</v>
      </c>
      <c r="G479" t="n">
        <v>10.96</v>
      </c>
      <c r="H479">
        <f>הגדרות!B6</f>
        <v/>
      </c>
      <c r="I479">
        <f>F479*(1-H479/100)*1.18</f>
        <v/>
      </c>
      <c r="J479">
        <f>הגדרות!C6</f>
        <v/>
      </c>
      <c r="K479">
        <f>הגדרות!D6</f>
        <v/>
      </c>
      <c r="L479">
        <f>I479*(1+J479/100)+K479</f>
        <v/>
      </c>
    </row>
    <row r="480">
      <c r="A480" t="inlineStr">
        <is>
          <t>VetLife</t>
        </is>
      </c>
      <c r="B480" t="inlineStr">
        <is>
          <t>שימורים גסטרו חתול</t>
        </is>
      </c>
      <c r="C480" t="inlineStr">
        <is>
          <t>מערכת עיכול</t>
        </is>
      </c>
      <c r="E480" t="inlineStr">
        <is>
          <t>2025-02</t>
        </is>
      </c>
      <c r="F480" t="n">
        <v>9.289999999999999</v>
      </c>
      <c r="G480" t="n">
        <v>10.96</v>
      </c>
      <c r="H480">
        <f>הגדרות!B6</f>
        <v/>
      </c>
      <c r="I480">
        <f>F480*(1-H480/100)*1.18</f>
        <v/>
      </c>
      <c r="J480">
        <f>הגדרות!C6</f>
        <v/>
      </c>
      <c r="K480">
        <f>הגדרות!D6</f>
        <v/>
      </c>
      <c r="L480">
        <f>I480*(1+J480/100)+K480</f>
        <v/>
      </c>
    </row>
    <row r="481">
      <c r="A481" t="inlineStr">
        <is>
          <t>VetLife</t>
        </is>
      </c>
      <c r="B481" t="inlineStr">
        <is>
          <t>שימורים רנאל חתול</t>
        </is>
      </c>
      <c r="C481" t="inlineStr">
        <is>
          <t>מחלות כליה</t>
        </is>
      </c>
      <c r="E481" t="inlineStr">
        <is>
          <t>2025-02</t>
        </is>
      </c>
      <c r="F481" t="n">
        <v>9.289999999999999</v>
      </c>
      <c r="G481" t="n">
        <v>10.96</v>
      </c>
      <c r="H481">
        <f>הגדרות!B6</f>
        <v/>
      </c>
      <c r="I481">
        <f>F481*(1-H481/100)*1.18</f>
        <v/>
      </c>
      <c r="J481">
        <f>הגדרות!C6</f>
        <v/>
      </c>
      <c r="K481">
        <f>הגדרות!D6</f>
        <v/>
      </c>
      <c r="L481">
        <f>I481*(1+J481/100)+K481</f>
        <v/>
      </c>
    </row>
    <row r="482">
      <c r="A482" t="inlineStr">
        <is>
          <t>VetLife</t>
        </is>
      </c>
      <c r="B482" t="inlineStr">
        <is>
          <t>שימורים סטרוויט חתול</t>
        </is>
      </c>
      <c r="C482" t="inlineStr">
        <is>
          <t>דרכי שתן</t>
        </is>
      </c>
      <c r="E482" t="inlineStr">
        <is>
          <t>2025-02</t>
        </is>
      </c>
      <c r="F482" t="n">
        <v>9.289999999999999</v>
      </c>
      <c r="G482" t="n">
        <v>10.96</v>
      </c>
      <c r="H482">
        <f>הגדרות!B6</f>
        <v/>
      </c>
      <c r="I482">
        <f>F482*(1-H482/100)*1.18</f>
        <v/>
      </c>
      <c r="J482">
        <f>הגדרות!C6</f>
        <v/>
      </c>
      <c r="K482">
        <f>הגדרות!D6</f>
        <v/>
      </c>
      <c r="L482">
        <f>I482*(1+J482/100)+K482</f>
        <v/>
      </c>
    </row>
    <row r="483">
      <c r="A483" t="inlineStr">
        <is>
          <t>VetLife</t>
        </is>
      </c>
      <c r="B483" t="inlineStr">
        <is>
          <t>שימורים אובסיטי חתול</t>
        </is>
      </c>
      <c r="C483" t="inlineStr">
        <is>
          <t>השמנה / ירידה במשקל</t>
        </is>
      </c>
      <c r="E483" t="inlineStr">
        <is>
          <t>2025-02</t>
        </is>
      </c>
      <c r="F483" t="n">
        <v>9.289999999999999</v>
      </c>
      <c r="G483" t="n">
        <v>10.96</v>
      </c>
      <c r="H483">
        <f>הגדרות!B6</f>
        <v/>
      </c>
      <c r="I483">
        <f>F483*(1-H483/100)*1.18</f>
        <v/>
      </c>
      <c r="J483">
        <f>הגדרות!C6</f>
        <v/>
      </c>
      <c r="K483">
        <f>הגדרות!D6</f>
        <v/>
      </c>
      <c r="L483">
        <f>I483*(1+J483/100)+K483</f>
        <v/>
      </c>
    </row>
    <row r="484">
      <c r="A484" t="inlineStr">
        <is>
          <t>VetLife</t>
        </is>
      </c>
      <c r="B484" t="inlineStr">
        <is>
          <t>שימור היפואלרגני חזיר חתול</t>
        </is>
      </c>
      <c r="C484" t="inlineStr">
        <is>
          <t>אלרגיה למזון</t>
        </is>
      </c>
      <c r="E484" t="inlineStr">
        <is>
          <t>2025-02</t>
        </is>
      </c>
      <c r="F484" t="n">
        <v>9.289999999999999</v>
      </c>
      <c r="G484" t="n">
        <v>10.96</v>
      </c>
      <c r="H484">
        <f>הגדרות!B6</f>
        <v/>
      </c>
      <c r="I484">
        <f>F484*(1-H484/100)*1.18</f>
        <v/>
      </c>
      <c r="J484">
        <f>הגדרות!C6</f>
        <v/>
      </c>
      <c r="K484">
        <f>הגדרות!D6</f>
        <v/>
      </c>
      <c r="L484">
        <f>I484*(1+J484/100)+K484</f>
        <v/>
      </c>
    </row>
    <row r="485">
      <c r="A485" t="inlineStr">
        <is>
          <t>VetLife</t>
        </is>
      </c>
      <c r="B485" t="inlineStr">
        <is>
          <t>שימור סטרוויט מנג'מנט חתול</t>
        </is>
      </c>
      <c r="C485" t="inlineStr">
        <is>
          <t>דרכי שתן</t>
        </is>
      </c>
      <c r="E485" t="inlineStr">
        <is>
          <t>2025-02</t>
        </is>
      </c>
      <c r="F485" t="n">
        <v>9.289999999999999</v>
      </c>
      <c r="G485" t="n">
        <v>10.96</v>
      </c>
      <c r="H485">
        <f>הגדרות!B6</f>
        <v/>
      </c>
      <c r="I485">
        <f>F485*(1-H485/100)*1.18</f>
        <v/>
      </c>
      <c r="J485">
        <f>הגדרות!C6</f>
        <v/>
      </c>
      <c r="K485">
        <f>הגדרות!D6</f>
        <v/>
      </c>
      <c r="L485">
        <f>I485*(1+J485/100)+K485</f>
        <v/>
      </c>
    </row>
    <row r="486">
      <c r="A486" t="inlineStr">
        <is>
          <t>VetLife</t>
        </is>
      </c>
      <c r="B486" t="inlineStr">
        <is>
          <t>שימור קונבלסנס כלב</t>
        </is>
      </c>
      <c r="C486" t="inlineStr">
        <is>
          <t>התאוששות</t>
        </is>
      </c>
      <c r="E486" t="inlineStr">
        <is>
          <t>2025-02</t>
        </is>
      </c>
      <c r="F486" t="n">
        <v>17.54</v>
      </c>
      <c r="G486" t="n">
        <v>20.7</v>
      </c>
      <c r="H486">
        <f>הגדרות!B6</f>
        <v/>
      </c>
      <c r="I486">
        <f>F486*(1-H486/100)*1.18</f>
        <v/>
      </c>
      <c r="J486">
        <f>הגדרות!C6</f>
        <v/>
      </c>
      <c r="K486">
        <f>הגדרות!D6</f>
        <v/>
      </c>
      <c r="L486">
        <f>I486*(1+J486/100)+K486</f>
        <v/>
      </c>
    </row>
    <row r="487">
      <c r="A487" t="inlineStr">
        <is>
          <t>VetLife</t>
        </is>
      </c>
      <c r="B487" t="inlineStr">
        <is>
          <t>שימורים גסטרו כלב</t>
        </is>
      </c>
      <c r="C487" t="inlineStr">
        <is>
          <t>מערכת עיכול</t>
        </is>
      </c>
      <c r="E487" t="inlineStr">
        <is>
          <t>2025-02</t>
        </is>
      </c>
      <c r="F487" t="n">
        <v>17.54</v>
      </c>
      <c r="G487" t="n">
        <v>20.7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VetLife</t>
        </is>
      </c>
      <c r="B488" t="inlineStr">
        <is>
          <t>שימורים היפואלרגני דג תפו"א כלב</t>
        </is>
      </c>
      <c r="C488" t="inlineStr">
        <is>
          <t>אלרגיה למזון</t>
        </is>
      </c>
      <c r="E488" t="inlineStr">
        <is>
          <t>2025-02</t>
        </is>
      </c>
      <c r="F488" t="n">
        <v>17.54</v>
      </c>
      <c r="G488" t="n">
        <v>20.7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VetLife</t>
        </is>
      </c>
      <c r="B489" t="inlineStr">
        <is>
          <t>שימורים רנאל כלב</t>
        </is>
      </c>
      <c r="C489" t="inlineStr">
        <is>
          <t>מחלות כליה</t>
        </is>
      </c>
      <c r="E489" t="inlineStr">
        <is>
          <t>2025-02</t>
        </is>
      </c>
      <c r="F489" t="n">
        <v>17.54</v>
      </c>
      <c r="G489" t="n">
        <v>20.7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VetLife</t>
        </is>
      </c>
      <c r="B490" t="inlineStr">
        <is>
          <t>שימורים סטרוויט כלב</t>
        </is>
      </c>
      <c r="C490" t="inlineStr">
        <is>
          <t>דרכי שתן</t>
        </is>
      </c>
      <c r="E490" t="inlineStr">
        <is>
          <t>2025-02</t>
        </is>
      </c>
      <c r="F490" t="n">
        <v>17.54</v>
      </c>
      <c r="G490" t="n">
        <v>20.7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VetLife</t>
        </is>
      </c>
      <c r="B491" t="inlineStr">
        <is>
          <t>שימורים אובסיטי כלב</t>
        </is>
      </c>
      <c r="C491" t="inlineStr">
        <is>
          <t>השמנה / ירידה במשקל</t>
        </is>
      </c>
      <c r="E491" t="inlineStr">
        <is>
          <t>2025-02</t>
        </is>
      </c>
      <c r="F491" t="n">
        <v>17.54</v>
      </c>
      <c r="G491" t="n">
        <v>20.7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VetLife</t>
        </is>
      </c>
      <c r="B492" t="inlineStr">
        <is>
          <t>שימור אולטרהיפו כלב</t>
        </is>
      </c>
      <c r="C492" t="inlineStr">
        <is>
          <t>אלרגיה למזון</t>
        </is>
      </c>
      <c r="E492" t="inlineStr">
        <is>
          <t>2025-02</t>
        </is>
      </c>
      <c r="F492" t="n">
        <v>17.54</v>
      </c>
      <c r="G492" t="n">
        <v>20.7</v>
      </c>
      <c r="H492">
        <f>הגדרות!B6</f>
        <v/>
      </c>
      <c r="I492">
        <f>F492*(1-H492/100)*1.18</f>
        <v/>
      </c>
      <c r="J492">
        <f>הגדרות!C6</f>
        <v/>
      </c>
      <c r="K492">
        <f>הגדרות!D6</f>
        <v/>
      </c>
      <c r="L492">
        <f>I492*(1+J492/100)+K492</f>
        <v/>
      </c>
    </row>
    <row r="493">
      <c r="A493" t="inlineStr">
        <is>
          <t>VetLife</t>
        </is>
      </c>
      <c r="B493" t="inlineStr">
        <is>
          <t>שימור סטרוויט מנג'מנט כלב</t>
        </is>
      </c>
      <c r="C493" t="inlineStr">
        <is>
          <t>דרכי שתן</t>
        </is>
      </c>
      <c r="E493" t="inlineStr">
        <is>
          <t>2025-02</t>
        </is>
      </c>
      <c r="F493" t="n">
        <v>17.54</v>
      </c>
      <c r="G493" t="n">
        <v>20.7</v>
      </c>
      <c r="H493">
        <f>הגדרות!B6</f>
        <v/>
      </c>
      <c r="I493">
        <f>F493*(1-H493/100)*1.18</f>
        <v/>
      </c>
      <c r="J493">
        <f>הגדרות!C6</f>
        <v/>
      </c>
      <c r="K493">
        <f>הגדרות!D6</f>
        <v/>
      </c>
      <c r="L493">
        <f>I493*(1+J493/100)+K493</f>
        <v/>
      </c>
    </row>
    <row r="494">
      <c r="A494" t="inlineStr">
        <is>
          <t>VetLife</t>
        </is>
      </c>
      <c r="B494" t="inlineStr">
        <is>
          <t>היפואלרגני דג ותפו"א כלב</t>
        </is>
      </c>
      <c r="C494" t="inlineStr">
        <is>
          <t>אלרגיה למזון</t>
        </is>
      </c>
      <c r="E494" t="inlineStr">
        <is>
          <t>2025-02</t>
        </is>
      </c>
      <c r="F494" t="n">
        <v>539.74</v>
      </c>
      <c r="G494" t="n">
        <v>636.89</v>
      </c>
      <c r="H494">
        <f>הגדרות!B6</f>
        <v/>
      </c>
      <c r="I494">
        <f>F494*(1-H494/100)*1.18</f>
        <v/>
      </c>
      <c r="J494">
        <f>הגדרות!C6</f>
        <v/>
      </c>
      <c r="K494">
        <f>הגדרות!D6</f>
        <v/>
      </c>
      <c r="L494">
        <f>I494*(1+J494/100)+K494</f>
        <v/>
      </c>
    </row>
    <row r="495">
      <c r="A495" t="inlineStr">
        <is>
          <t>VetLife</t>
        </is>
      </c>
      <c r="B495" t="inlineStr">
        <is>
          <t>היפואלרגני דג תפו"א כלב</t>
        </is>
      </c>
      <c r="C495" t="inlineStr">
        <is>
          <t>אלרגיה למזון</t>
        </is>
      </c>
      <c r="E495" t="inlineStr">
        <is>
          <t>2025-02</t>
        </is>
      </c>
      <c r="F495" t="n">
        <v>139.32</v>
      </c>
      <c r="G495" t="n">
        <v>164.4</v>
      </c>
      <c r="H495">
        <f>הגדרות!B6</f>
        <v/>
      </c>
      <c r="I495">
        <f>F495*(1-H495/100)*1.18</f>
        <v/>
      </c>
      <c r="J495">
        <f>הגדרות!C6</f>
        <v/>
      </c>
      <c r="K495">
        <f>הגדרות!D6</f>
        <v/>
      </c>
      <c r="L495">
        <f>I495*(1+J495/100)+K495</f>
        <v/>
      </c>
    </row>
    <row r="496">
      <c r="A496" t="inlineStr">
        <is>
          <t>VetLife</t>
        </is>
      </c>
      <c r="B496" t="inlineStr">
        <is>
          <t>היפואלרגני ביצה ואורז כלב</t>
        </is>
      </c>
      <c r="C496" t="inlineStr">
        <is>
          <t>אלרגיה למזון</t>
        </is>
      </c>
      <c r="E496" t="inlineStr">
        <is>
          <t>2025-02</t>
        </is>
      </c>
      <c r="F496" t="n">
        <v>539.74</v>
      </c>
      <c r="G496" t="n">
        <v>636.89</v>
      </c>
      <c r="H496">
        <f>הגדרות!B6</f>
        <v/>
      </c>
      <c r="I496">
        <f>F496*(1-H496/100)*1.18</f>
        <v/>
      </c>
      <c r="J496">
        <f>הגדרות!C6</f>
        <v/>
      </c>
      <c r="K496">
        <f>הגדרות!D6</f>
        <v/>
      </c>
      <c r="L496">
        <f>I496*(1+J496/100)+K496</f>
        <v/>
      </c>
    </row>
    <row r="497">
      <c r="A497" t="inlineStr">
        <is>
          <t>VetLife</t>
        </is>
      </c>
      <c r="B497" t="inlineStr">
        <is>
          <t>אולטרהיפו כלב</t>
        </is>
      </c>
      <c r="C497" t="inlineStr">
        <is>
          <t>אלרגיה למזון</t>
        </is>
      </c>
      <c r="E497" t="inlineStr">
        <is>
          <t>2025-02</t>
        </is>
      </c>
      <c r="F497" t="n">
        <v>583.08</v>
      </c>
      <c r="G497" t="n">
        <v>688.03</v>
      </c>
      <c r="H497">
        <f>הגדרות!B6</f>
        <v/>
      </c>
      <c r="I497">
        <f>F497*(1-H497/100)*1.18</f>
        <v/>
      </c>
      <c r="J497">
        <f>הגדרות!C6</f>
        <v/>
      </c>
      <c r="K497">
        <f>הגדרות!D6</f>
        <v/>
      </c>
      <c r="L497">
        <f>I497*(1+J497/100)+K497</f>
        <v/>
      </c>
    </row>
    <row r="498">
      <c r="A498" t="inlineStr">
        <is>
          <t>VetLife</t>
        </is>
      </c>
      <c r="B498" t="inlineStr">
        <is>
          <t>אולטרהיפו כלב</t>
        </is>
      </c>
      <c r="C498" t="inlineStr">
        <is>
          <t>אלרגיה למזון</t>
        </is>
      </c>
      <c r="E498" t="inlineStr">
        <is>
          <t>2025-02</t>
        </is>
      </c>
      <c r="F498" t="n">
        <v>160.99</v>
      </c>
      <c r="G498" t="n">
        <v>189.97</v>
      </c>
      <c r="H498">
        <f>הגדרות!B6</f>
        <v/>
      </c>
      <c r="I498">
        <f>F498*(1-H498/100)*1.18</f>
        <v/>
      </c>
      <c r="J498">
        <f>הגדרות!C6</f>
        <v/>
      </c>
      <c r="K498">
        <f>הגדרות!D6</f>
        <v/>
      </c>
      <c r="L498">
        <f>I498*(1+J498/100)+K498</f>
        <v/>
      </c>
    </row>
    <row r="499">
      <c r="A499" t="inlineStr">
        <is>
          <t>VetLife</t>
        </is>
      </c>
      <c r="B499" t="inlineStr">
        <is>
          <t>גסטרו אינטסטינל כלב</t>
        </is>
      </c>
      <c r="C499" t="inlineStr">
        <is>
          <t>מערכת עיכול</t>
        </is>
      </c>
      <c r="E499" t="inlineStr">
        <is>
          <t>2025-02</t>
        </is>
      </c>
      <c r="F499" t="n">
        <v>539.74</v>
      </c>
      <c r="G499" t="n">
        <v>636.89</v>
      </c>
      <c r="H499">
        <f>הגדרות!B6</f>
        <v/>
      </c>
      <c r="I499">
        <f>F499*(1-H499/100)*1.18</f>
        <v/>
      </c>
      <c r="J499">
        <f>הגדרות!C6</f>
        <v/>
      </c>
      <c r="K499">
        <f>הגדרות!D6</f>
        <v/>
      </c>
      <c r="L499">
        <f>I499*(1+J499/100)+K499</f>
        <v/>
      </c>
    </row>
    <row r="500">
      <c r="A500" t="inlineStr">
        <is>
          <t>VetLife</t>
        </is>
      </c>
      <c r="B500" t="inlineStr">
        <is>
          <t>גסטרו אינטסטינל כלב</t>
        </is>
      </c>
      <c r="C500" t="inlineStr">
        <is>
          <t>מערכת עיכול</t>
        </is>
      </c>
      <c r="E500" t="inlineStr">
        <is>
          <t>2025-02</t>
        </is>
      </c>
      <c r="F500" t="n">
        <v>135.19</v>
      </c>
      <c r="G500" t="n">
        <v>159.52</v>
      </c>
      <c r="H500">
        <f>הגדרות!B6</f>
        <v/>
      </c>
      <c r="I500">
        <f>F500*(1-H500/100)*1.18</f>
        <v/>
      </c>
      <c r="J500">
        <f>הגדרות!C6</f>
        <v/>
      </c>
      <c r="K500">
        <f>הגדרות!D6</f>
        <v/>
      </c>
      <c r="L500">
        <f>I500*(1+J500/100)+K500</f>
        <v/>
      </c>
    </row>
    <row r="501">
      <c r="A501" t="inlineStr">
        <is>
          <t>VetLife</t>
        </is>
      </c>
      <c r="B501" t="inlineStr">
        <is>
          <t>אובסיטי כלב</t>
        </is>
      </c>
      <c r="C501" t="inlineStr">
        <is>
          <t>השמנה / ירידה במשקל</t>
        </is>
      </c>
      <c r="E501" t="inlineStr">
        <is>
          <t>2025-02</t>
        </is>
      </c>
      <c r="F501" t="n">
        <v>518.0599999999999</v>
      </c>
      <c r="G501" t="n">
        <v>611.3099999999999</v>
      </c>
      <c r="H501">
        <f>הגדרות!B6</f>
        <v/>
      </c>
      <c r="I501">
        <f>F501*(1-H501/100)*1.18</f>
        <v/>
      </c>
      <c r="J501">
        <f>הגדרות!C6</f>
        <v/>
      </c>
      <c r="K501">
        <f>הגדרות!D6</f>
        <v/>
      </c>
      <c r="L501">
        <f>I501*(1+J501/100)+K501</f>
        <v/>
      </c>
    </row>
    <row r="502">
      <c r="A502" t="inlineStr">
        <is>
          <t>VetLife</t>
        </is>
      </c>
      <c r="B502" t="inlineStr">
        <is>
          <t>רנאל כלב</t>
        </is>
      </c>
      <c r="C502" t="inlineStr">
        <is>
          <t>מחלות כליה</t>
        </is>
      </c>
      <c r="E502" t="inlineStr">
        <is>
          <t>2025-02</t>
        </is>
      </c>
      <c r="F502" t="n">
        <v>539.74</v>
      </c>
      <c r="G502" t="n">
        <v>636.89</v>
      </c>
      <c r="H502">
        <f>הגדרות!B6</f>
        <v/>
      </c>
      <c r="I502">
        <f>F502*(1-H502/100)*1.18</f>
        <v/>
      </c>
      <c r="J502">
        <f>הגדרות!C6</f>
        <v/>
      </c>
      <c r="K502">
        <f>הגדרות!D6</f>
        <v/>
      </c>
      <c r="L502">
        <f>I502*(1+J502/100)+K502</f>
        <v/>
      </c>
    </row>
    <row r="503">
      <c r="A503" t="inlineStr">
        <is>
          <t>VetLife</t>
        </is>
      </c>
      <c r="B503" t="inlineStr">
        <is>
          <t>סטרוויט כלב</t>
        </is>
      </c>
      <c r="C503" t="inlineStr">
        <is>
          <t>דרכי שתן</t>
        </is>
      </c>
      <c r="E503" t="inlineStr">
        <is>
          <t>2025-02</t>
        </is>
      </c>
      <c r="F503" t="n">
        <v>539.74</v>
      </c>
      <c r="G503" t="n">
        <v>636.89</v>
      </c>
      <c r="H503">
        <f>הגדרות!B6</f>
        <v/>
      </c>
      <c r="I503">
        <f>F503*(1-H503/100)*1.18</f>
        <v/>
      </c>
      <c r="J503">
        <f>הגדרות!C6</f>
        <v/>
      </c>
      <c r="K503">
        <f>הגדרות!D6</f>
        <v/>
      </c>
      <c r="L503">
        <f>I503*(1+J503/100)+K503</f>
        <v/>
      </c>
    </row>
    <row r="504">
      <c r="A504" t="inlineStr">
        <is>
          <t>VetLife</t>
        </is>
      </c>
      <c r="B504" t="inlineStr">
        <is>
          <t>סטרוויט כלב</t>
        </is>
      </c>
      <c r="C504" t="inlineStr">
        <is>
          <t>דרכי שתן</t>
        </is>
      </c>
      <c r="E504" t="inlineStr">
        <is>
          <t>2025-02</t>
        </is>
      </c>
      <c r="F504" t="n">
        <v>135.19</v>
      </c>
      <c r="G504" t="n">
        <v>159.52</v>
      </c>
      <c r="H504">
        <f>הגדרות!B6</f>
        <v/>
      </c>
      <c r="I504">
        <f>F504*(1-H504/100)*1.18</f>
        <v/>
      </c>
      <c r="J504">
        <f>הגדרות!C6</f>
        <v/>
      </c>
      <c r="K504">
        <f>הגדרות!D6</f>
        <v/>
      </c>
      <c r="L504">
        <f>I504*(1+J504/100)+K504</f>
        <v/>
      </c>
    </row>
    <row r="505">
      <c r="A505" t="inlineStr">
        <is>
          <t>VetLife</t>
        </is>
      </c>
      <c r="B505" t="inlineStr">
        <is>
          <t>מנג'מנט סטרוויט כלב</t>
        </is>
      </c>
      <c r="C505" t="inlineStr">
        <is>
          <t>דרכי שתן</t>
        </is>
      </c>
      <c r="E505" t="inlineStr">
        <is>
          <t>2025-02</t>
        </is>
      </c>
      <c r="F505" t="n">
        <v>539.74</v>
      </c>
      <c r="G505" t="n">
        <v>636.89</v>
      </c>
      <c r="H505">
        <f>הגדרות!B6</f>
        <v/>
      </c>
      <c r="I505">
        <f>F505*(1-H505/100)*1.18</f>
        <v/>
      </c>
      <c r="J505">
        <f>הגדרות!C6</f>
        <v/>
      </c>
      <c r="K505">
        <f>הגדרות!D6</f>
        <v/>
      </c>
      <c r="L505">
        <f>I505*(1+J505/100)+K505</f>
        <v/>
      </c>
    </row>
    <row r="506">
      <c r="A506" t="inlineStr">
        <is>
          <t>VetLife</t>
        </is>
      </c>
      <c r="B506" t="inlineStr">
        <is>
          <t>מנג'מנט סטרוויט כלב</t>
        </is>
      </c>
      <c r="C506" t="inlineStr">
        <is>
          <t>דרכי שתן</t>
        </is>
      </c>
      <c r="E506" t="inlineStr">
        <is>
          <t>2025-02</t>
        </is>
      </c>
      <c r="F506" t="n">
        <v>135.19</v>
      </c>
      <c r="G506" t="n">
        <v>159.52</v>
      </c>
      <c r="H506">
        <f>הגדרות!B6</f>
        <v/>
      </c>
      <c r="I506">
        <f>F506*(1-H506/100)*1.18</f>
        <v/>
      </c>
      <c r="J506">
        <f>הגדרות!C6</f>
        <v/>
      </c>
      <c r="K506">
        <f>הגדרות!D6</f>
        <v/>
      </c>
      <c r="L506">
        <f>I506*(1+J506/100)+K506</f>
        <v/>
      </c>
    </row>
    <row r="507">
      <c r="A507" t="inlineStr">
        <is>
          <t>VetLife</t>
        </is>
      </c>
      <c r="B507" t="inlineStr">
        <is>
          <t>הפטיק כלב</t>
        </is>
      </c>
      <c r="C507" t="inlineStr">
        <is>
          <t>מחלות כבד</t>
        </is>
      </c>
      <c r="E507" t="inlineStr">
        <is>
          <t>2025-02</t>
        </is>
      </c>
      <c r="F507" t="n">
        <v>507.74</v>
      </c>
      <c r="G507" t="n">
        <v>599.13</v>
      </c>
      <c r="H507">
        <f>הגדרות!B6</f>
        <v/>
      </c>
      <c r="I507">
        <f>F507*(1-H507/100)*1.18</f>
        <v/>
      </c>
      <c r="J507">
        <f>הגדרות!C6</f>
        <v/>
      </c>
      <c r="K507">
        <f>הגדרות!D6</f>
        <v/>
      </c>
      <c r="L507">
        <f>I507*(1+J507/100)+K507</f>
        <v/>
      </c>
    </row>
    <row r="508">
      <c r="A508" t="inlineStr">
        <is>
          <t>VetLife</t>
        </is>
      </c>
      <c r="B508" t="inlineStr">
        <is>
          <t>ג'וינט מפרקים כלב</t>
        </is>
      </c>
      <c r="C508" t="inlineStr">
        <is>
          <t>מפרקים / ניידות</t>
        </is>
      </c>
      <c r="E508" t="inlineStr">
        <is>
          <t>2025-02</t>
        </is>
      </c>
      <c r="F508" t="n">
        <v>539.74</v>
      </c>
      <c r="G508" t="n">
        <v>636.89</v>
      </c>
      <c r="H508">
        <f>הגדרות!B6</f>
        <v/>
      </c>
      <c r="I508">
        <f>F508*(1-H508/100)*1.18</f>
        <v/>
      </c>
      <c r="J508">
        <f>הגדרות!C6</f>
        <v/>
      </c>
      <c r="K508">
        <f>הגדרות!D6</f>
        <v/>
      </c>
      <c r="L508">
        <f>I508*(1+J508/100)+K508</f>
        <v/>
      </c>
    </row>
    <row r="509">
      <c r="A509" t="inlineStr">
        <is>
          <t>VetLife</t>
        </is>
      </c>
      <c r="B509" t="inlineStr">
        <is>
          <t>ג'וינט מפרקים כלב</t>
        </is>
      </c>
      <c r="C509" t="inlineStr">
        <is>
          <t>מפרקים / ניידות</t>
        </is>
      </c>
      <c r="E509" t="inlineStr">
        <is>
          <t>2025-02</t>
        </is>
      </c>
      <c r="F509" t="n">
        <v>135.19</v>
      </c>
      <c r="G509" t="n">
        <v>159.52</v>
      </c>
      <c r="H509">
        <f>הגדרות!B6</f>
        <v/>
      </c>
      <c r="I509">
        <f>F509*(1-H509/100)*1.18</f>
        <v/>
      </c>
      <c r="J509">
        <f>הגדרות!C6</f>
        <v/>
      </c>
      <c r="K509">
        <f>הגדרות!D6</f>
        <v/>
      </c>
      <c r="L509">
        <f>I509*(1+J509/100)+K509</f>
        <v/>
      </c>
    </row>
    <row r="510">
      <c r="A510" t="inlineStr">
        <is>
          <t>VetLife</t>
        </is>
      </c>
      <c r="B510" t="inlineStr">
        <is>
          <t>סטרוויט מנג'מנט חתול</t>
        </is>
      </c>
      <c r="C510" t="inlineStr">
        <is>
          <t>דרכי שתן</t>
        </is>
      </c>
      <c r="E510" t="inlineStr">
        <is>
          <t>2025-02</t>
        </is>
      </c>
      <c r="F510" t="n">
        <v>298.25</v>
      </c>
      <c r="G510" t="n">
        <v>351.94</v>
      </c>
      <c r="H510">
        <f>הגדרות!B6</f>
        <v/>
      </c>
      <c r="I510">
        <f>F510*(1-H510/100)*1.18</f>
        <v/>
      </c>
      <c r="J510">
        <f>הגדרות!C6</f>
        <v/>
      </c>
      <c r="K510">
        <f>הגדרות!D6</f>
        <v/>
      </c>
      <c r="L510">
        <f>I510*(1+J510/100)+K510</f>
        <v/>
      </c>
    </row>
    <row r="511">
      <c r="A511" t="inlineStr">
        <is>
          <t>VetLife</t>
        </is>
      </c>
      <c r="B511" t="inlineStr">
        <is>
          <t>חתולה מעוקרת</t>
        </is>
      </c>
      <c r="C511" t="inlineStr">
        <is>
          <t>מזון רגיל</t>
        </is>
      </c>
      <c r="E511" t="inlineStr">
        <is>
          <t>2025-02</t>
        </is>
      </c>
      <c r="F511" t="n">
        <v>323.02</v>
      </c>
      <c r="G511" t="n">
        <v>381.16</v>
      </c>
      <c r="H511">
        <f>הגדרות!B6</f>
        <v/>
      </c>
      <c r="I511">
        <f>F511*(1-H511/100)*1.18</f>
        <v/>
      </c>
      <c r="J511">
        <f>הגדרות!C6</f>
        <v/>
      </c>
      <c r="K511">
        <f>הגדרות!D6</f>
        <v/>
      </c>
      <c r="L511">
        <f>I511*(1+J511/100)+K511</f>
        <v/>
      </c>
    </row>
    <row r="512">
      <c r="A512" t="inlineStr">
        <is>
          <t>VetLife</t>
        </is>
      </c>
      <c r="B512" t="inlineStr">
        <is>
          <t>חתול מסורס</t>
        </is>
      </c>
      <c r="C512" t="inlineStr">
        <is>
          <t>מזון רגיל</t>
        </is>
      </c>
      <c r="E512" t="inlineStr">
        <is>
          <t>2025-02</t>
        </is>
      </c>
      <c r="F512" t="n">
        <v>323.02</v>
      </c>
      <c r="G512" t="n">
        <v>381.16</v>
      </c>
      <c r="H512">
        <f>הגדרות!B6</f>
        <v/>
      </c>
      <c r="I512">
        <f>F512*(1-H512/100)*1.18</f>
        <v/>
      </c>
      <c r="J512">
        <f>הגדרות!C6</f>
        <v/>
      </c>
      <c r="K512">
        <f>הגדרות!D6</f>
        <v/>
      </c>
      <c r="L512">
        <f>I512*(1+J512/100)+K512</f>
        <v/>
      </c>
    </row>
    <row r="513">
      <c r="A513" t="inlineStr">
        <is>
          <t>VetLife</t>
        </is>
      </c>
      <c r="B513" t="inlineStr">
        <is>
          <t>רנאל חתול</t>
        </is>
      </c>
      <c r="C513" t="inlineStr">
        <is>
          <t>מחלות כליה</t>
        </is>
      </c>
      <c r="E513" t="inlineStr">
        <is>
          <t>2025-02</t>
        </is>
      </c>
      <c r="F513" t="n">
        <v>323.02</v>
      </c>
      <c r="G513" t="n">
        <v>381.16</v>
      </c>
      <c r="H513">
        <f>הגדרות!B6</f>
        <v/>
      </c>
      <c r="I513">
        <f>F513*(1-H513/100)*1.18</f>
        <v/>
      </c>
      <c r="J513">
        <f>הגדרות!C6</f>
        <v/>
      </c>
      <c r="K513">
        <f>הגדרות!D6</f>
        <v/>
      </c>
      <c r="L513">
        <f>I513*(1+J513/100)+K513</f>
        <v/>
      </c>
    </row>
    <row r="514">
      <c r="A514" t="inlineStr">
        <is>
          <t>VetLife</t>
        </is>
      </c>
      <c r="B514" t="inlineStr">
        <is>
          <t>רנאל חתול</t>
        </is>
      </c>
      <c r="C514" t="inlineStr">
        <is>
          <t>מחלות כליה</t>
        </is>
      </c>
      <c r="E514" t="inlineStr">
        <is>
          <t>2025-02</t>
        </is>
      </c>
      <c r="F514" t="n">
        <v>146.54</v>
      </c>
      <c r="G514" t="n">
        <v>172.92</v>
      </c>
      <c r="H514">
        <f>הגדרות!B6</f>
        <v/>
      </c>
      <c r="I514">
        <f>F514*(1-H514/100)*1.18</f>
        <v/>
      </c>
      <c r="J514">
        <f>הגדרות!C6</f>
        <v/>
      </c>
      <c r="K514">
        <f>הגדרות!D6</f>
        <v/>
      </c>
      <c r="L514">
        <f>I514*(1+J514/100)+K514</f>
        <v/>
      </c>
    </row>
    <row r="515">
      <c r="A515" t="inlineStr">
        <is>
          <t>VetLife</t>
        </is>
      </c>
      <c r="B515" t="inlineStr">
        <is>
          <t>גסטרו אינטסטינל חתול</t>
        </is>
      </c>
      <c r="C515" t="inlineStr">
        <is>
          <t>מערכת עיכול</t>
        </is>
      </c>
      <c r="E515" t="inlineStr">
        <is>
          <t>2025-02</t>
        </is>
      </c>
      <c r="F515" t="n">
        <v>323.02</v>
      </c>
      <c r="G515" t="n">
        <v>381.16</v>
      </c>
      <c r="H515">
        <f>הגדרות!B6</f>
        <v/>
      </c>
      <c r="I515">
        <f>F515*(1-H515/100)*1.18</f>
        <v/>
      </c>
      <c r="J515">
        <f>הגדרות!C6</f>
        <v/>
      </c>
      <c r="K515">
        <f>הגדרות!D6</f>
        <v/>
      </c>
      <c r="L515">
        <f>I515*(1+J515/100)+K515</f>
        <v/>
      </c>
    </row>
    <row r="516">
      <c r="A516" t="inlineStr">
        <is>
          <t>VetLife</t>
        </is>
      </c>
      <c r="B516" t="inlineStr">
        <is>
          <t>גסטרו אינטסטינל חתול</t>
        </is>
      </c>
      <c r="C516" t="inlineStr">
        <is>
          <t>מערכת עיכול</t>
        </is>
      </c>
      <c r="E516" t="inlineStr">
        <is>
          <t>2025-02</t>
        </is>
      </c>
      <c r="F516" t="n">
        <v>146.54</v>
      </c>
      <c r="G516" t="n">
        <v>172.92</v>
      </c>
      <c r="H516">
        <f>הגדרות!B6</f>
        <v/>
      </c>
      <c r="I516">
        <f>F516*(1-H516/100)*1.18</f>
        <v/>
      </c>
      <c r="J516">
        <f>הגדרות!C6</f>
        <v/>
      </c>
      <c r="K516">
        <f>הגדרות!D6</f>
        <v/>
      </c>
      <c r="L516">
        <f>I516*(1+J516/100)+K516</f>
        <v/>
      </c>
    </row>
    <row r="517">
      <c r="A517" t="inlineStr">
        <is>
          <t>VetLife</t>
        </is>
      </c>
      <c r="B517" t="inlineStr">
        <is>
          <t>אובסיטי חתול</t>
        </is>
      </c>
      <c r="C517" t="inlineStr">
        <is>
          <t>השמנה / ירידה במשקל</t>
        </is>
      </c>
      <c r="E517" t="inlineStr">
        <is>
          <t>2025-02</t>
        </is>
      </c>
      <c r="F517" t="n">
        <v>323.02</v>
      </c>
      <c r="G517" t="n">
        <v>381.16</v>
      </c>
      <c r="H517">
        <f>הגדרות!B6</f>
        <v/>
      </c>
      <c r="I517">
        <f>F517*(1-H517/100)*1.18</f>
        <v/>
      </c>
      <c r="J517">
        <f>הגדרות!C6</f>
        <v/>
      </c>
      <c r="K517">
        <f>הגדרות!D6</f>
        <v/>
      </c>
      <c r="L517">
        <f>I517*(1+J517/100)+K517</f>
        <v/>
      </c>
    </row>
    <row r="518">
      <c r="A518" t="inlineStr">
        <is>
          <t>VetLife</t>
        </is>
      </c>
      <c r="B518" t="inlineStr">
        <is>
          <t>אובסיטי חתול</t>
        </is>
      </c>
      <c r="C518" t="inlineStr">
        <is>
          <t>השמנה / ירידה במשקל</t>
        </is>
      </c>
      <c r="E518" t="inlineStr">
        <is>
          <t>2025-02</t>
        </is>
      </c>
      <c r="F518" t="n">
        <v>146.54</v>
      </c>
      <c r="G518" t="n">
        <v>172.92</v>
      </c>
      <c r="H518">
        <f>הגדרות!B6</f>
        <v/>
      </c>
      <c r="I518">
        <f>F518*(1-H518/100)*1.18</f>
        <v/>
      </c>
      <c r="J518">
        <f>הגדרות!C6</f>
        <v/>
      </c>
      <c r="K518">
        <f>הגדרות!D6</f>
        <v/>
      </c>
      <c r="L518">
        <f>I518*(1+J518/100)+K518</f>
        <v/>
      </c>
    </row>
    <row r="519">
      <c r="A519" t="inlineStr">
        <is>
          <t>VetLife</t>
        </is>
      </c>
      <c r="B519" t="inlineStr">
        <is>
          <t>סטרוויט חתול</t>
        </is>
      </c>
      <c r="C519" t="inlineStr">
        <is>
          <t>דרכי שתן</t>
        </is>
      </c>
      <c r="E519" t="inlineStr">
        <is>
          <t>2025-02</t>
        </is>
      </c>
      <c r="F519" t="n">
        <v>146.54</v>
      </c>
      <c r="G519" t="n">
        <v>172.92</v>
      </c>
      <c r="H519">
        <f>הגדרות!B6</f>
        <v/>
      </c>
      <c r="I519">
        <f>F519*(1-H519/100)*1.18</f>
        <v/>
      </c>
      <c r="J519">
        <f>הגדרות!C6</f>
        <v/>
      </c>
      <c r="K519">
        <f>הגדרות!D6</f>
        <v/>
      </c>
      <c r="L519">
        <f>I519*(1+J519/100)+K519</f>
        <v/>
      </c>
    </row>
    <row r="520">
      <c r="A520" t="inlineStr">
        <is>
          <t>VetLife</t>
        </is>
      </c>
      <c r="B520" t="inlineStr">
        <is>
          <t>דיאבטיק חתול</t>
        </is>
      </c>
      <c r="C520" t="inlineStr">
        <is>
          <t>סוכרת</t>
        </is>
      </c>
      <c r="E520" t="inlineStr">
        <is>
          <t>2025-02</t>
        </is>
      </c>
      <c r="F520" t="n">
        <v>146.54</v>
      </c>
      <c r="G520" t="n">
        <v>172.92</v>
      </c>
      <c r="H520">
        <f>הגדרות!B6</f>
        <v/>
      </c>
      <c r="I520">
        <f>F520*(1-H520/100)*1.18</f>
        <v/>
      </c>
      <c r="J520">
        <f>הגדרות!C6</f>
        <v/>
      </c>
      <c r="K520">
        <f>הגדרות!D6</f>
        <v/>
      </c>
      <c r="L520">
        <f>I520*(1+J520/100)+K520</f>
        <v/>
      </c>
    </row>
    <row r="521">
      <c r="A521" t="inlineStr">
        <is>
          <t>VetLife</t>
        </is>
      </c>
      <c r="B521" t="inlineStr">
        <is>
          <t>אולטרהיפו חתול</t>
        </is>
      </c>
      <c r="C521" t="inlineStr">
        <is>
          <t>אלרגיה למזון</t>
        </is>
      </c>
      <c r="E521" t="inlineStr">
        <is>
          <t>2025-02</t>
        </is>
      </c>
      <c r="F521" t="n">
        <v>172.34</v>
      </c>
      <c r="G521" t="n">
        <v>203.36</v>
      </c>
      <c r="H521">
        <f>הגדרות!B6</f>
        <v/>
      </c>
      <c r="I521">
        <f>F521*(1-H521/100)*1.18</f>
        <v/>
      </c>
      <c r="J521">
        <f>הגדרות!C6</f>
        <v/>
      </c>
      <c r="K521">
        <f>הגדרות!D6</f>
        <v/>
      </c>
      <c r="L521">
        <f>I521*(1+J521/100)+K521</f>
        <v/>
      </c>
    </row>
    <row r="522">
      <c r="A522" t="inlineStr">
        <is>
          <t>VetLife</t>
        </is>
      </c>
      <c r="B522" t="inlineStr">
        <is>
          <t>היפואלרגני דג תפו"א חתול</t>
        </is>
      </c>
      <c r="C522" t="inlineStr">
        <is>
          <t>אלרגיה למזון</t>
        </is>
      </c>
      <c r="E522" t="inlineStr">
        <is>
          <t>2025-02</t>
        </is>
      </c>
      <c r="F522" t="n">
        <v>154.65</v>
      </c>
      <c r="G522" t="n">
        <v>182.49</v>
      </c>
      <c r="H522">
        <f>הגדרות!B6</f>
        <v/>
      </c>
      <c r="I522">
        <f>F522*(1-H522/100)*1.18</f>
        <v/>
      </c>
      <c r="J522">
        <f>הגדרות!C6</f>
        <v/>
      </c>
      <c r="K522">
        <f>הגדרות!D6</f>
        <v/>
      </c>
      <c r="L522">
        <f>I522*(1+J522/100)+K522</f>
        <v/>
      </c>
    </row>
    <row r="523">
      <c r="A523" t="inlineStr">
        <is>
          <t>VetLife</t>
        </is>
      </c>
      <c r="B523" t="inlineStr">
        <is>
          <t>שימורים גסטרו חתול</t>
        </is>
      </c>
      <c r="C523" t="inlineStr">
        <is>
          <t>מערכת עיכול</t>
        </is>
      </c>
      <c r="E523" t="inlineStr">
        <is>
          <t>2025-02</t>
        </is>
      </c>
      <c r="F523" t="n">
        <v>7.95</v>
      </c>
      <c r="G523" t="n">
        <v>9.380000000000001</v>
      </c>
      <c r="H523">
        <f>הגדרות!B6</f>
        <v/>
      </c>
      <c r="I523">
        <f>F523*(1-H523/100)*1.18</f>
        <v/>
      </c>
      <c r="J523">
        <f>הגדרות!C6</f>
        <v/>
      </c>
      <c r="K523">
        <f>הגדרות!D6</f>
        <v/>
      </c>
      <c r="L523">
        <f>I523*(1+J523/100)+K523</f>
        <v/>
      </c>
    </row>
    <row r="524">
      <c r="A524" t="inlineStr">
        <is>
          <t>VetLife</t>
        </is>
      </c>
      <c r="B524" t="inlineStr">
        <is>
          <t>שימורים היפואלרגני דג תפו"א חתול</t>
        </is>
      </c>
      <c r="C524" t="inlineStr">
        <is>
          <t>אלרגיה למזון</t>
        </is>
      </c>
      <c r="E524" t="inlineStr">
        <is>
          <t>2025-02</t>
        </is>
      </c>
      <c r="F524" t="n">
        <v>7.95</v>
      </c>
      <c r="G524" t="n">
        <v>9.380000000000001</v>
      </c>
      <c r="H524">
        <f>הגדרות!B6</f>
        <v/>
      </c>
      <c r="I524">
        <f>F524*(1-H524/100)*1.18</f>
        <v/>
      </c>
      <c r="J524">
        <f>הגדרות!C6</f>
        <v/>
      </c>
      <c r="K524">
        <f>הגדרות!D6</f>
        <v/>
      </c>
      <c r="L524">
        <f>I524*(1+J524/100)+K524</f>
        <v/>
      </c>
    </row>
    <row r="525">
      <c r="A525" t="inlineStr">
        <is>
          <t>VetLife</t>
        </is>
      </c>
      <c r="B525" t="inlineStr">
        <is>
          <t>שימורים רנאל חתול</t>
        </is>
      </c>
      <c r="C525" t="inlineStr">
        <is>
          <t>מחלות כליה</t>
        </is>
      </c>
      <c r="E525" t="inlineStr">
        <is>
          <t>2025-02</t>
        </is>
      </c>
      <c r="F525" t="n">
        <v>7.95</v>
      </c>
      <c r="G525" t="n">
        <v>9.380000000000001</v>
      </c>
      <c r="H525">
        <f>הגדרות!B6</f>
        <v/>
      </c>
      <c r="I525">
        <f>F525*(1-H525/100)*1.18</f>
        <v/>
      </c>
      <c r="J525">
        <f>הגדרות!C6</f>
        <v/>
      </c>
      <c r="K525">
        <f>הגדרות!D6</f>
        <v/>
      </c>
      <c r="L525">
        <f>I525*(1+J525/100)+K525</f>
        <v/>
      </c>
    </row>
    <row r="526">
      <c r="A526" t="inlineStr">
        <is>
          <t>VetLife</t>
        </is>
      </c>
      <c r="B526" t="inlineStr">
        <is>
          <t>שימורים סטרוויט חתול</t>
        </is>
      </c>
      <c r="C526" t="inlineStr">
        <is>
          <t>דרכי שתן</t>
        </is>
      </c>
      <c r="E526" t="inlineStr">
        <is>
          <t>2025-02</t>
        </is>
      </c>
      <c r="F526" t="n">
        <v>7.95</v>
      </c>
      <c r="G526" t="n">
        <v>9.380000000000001</v>
      </c>
      <c r="H526">
        <f>הגדרות!B6</f>
        <v/>
      </c>
      <c r="I526">
        <f>F526*(1-H526/100)*1.18</f>
        <v/>
      </c>
      <c r="J526">
        <f>הגדרות!C6</f>
        <v/>
      </c>
      <c r="K526">
        <f>הגדרות!D6</f>
        <v/>
      </c>
      <c r="L526">
        <f>I526*(1+J526/100)+K526</f>
        <v/>
      </c>
    </row>
    <row r="527">
      <c r="A527" t="inlineStr">
        <is>
          <t>VetLife</t>
        </is>
      </c>
      <c r="B527" t="inlineStr">
        <is>
          <t>שימורים אובסיטי חתול</t>
        </is>
      </c>
      <c r="C527" t="inlineStr">
        <is>
          <t>השמנה / ירידה במשקל</t>
        </is>
      </c>
      <c r="E527" t="inlineStr">
        <is>
          <t>2025-02</t>
        </is>
      </c>
      <c r="F527" t="n">
        <v>7.95</v>
      </c>
      <c r="G527" t="n">
        <v>9.380000000000001</v>
      </c>
      <c r="H527">
        <f>הגדרות!B6</f>
        <v/>
      </c>
      <c r="I527">
        <f>F527*(1-H527/100)*1.18</f>
        <v/>
      </c>
      <c r="J527">
        <f>הגדרות!C6</f>
        <v/>
      </c>
      <c r="K527">
        <f>הגדרות!D6</f>
        <v/>
      </c>
      <c r="L527">
        <f>I527*(1+J527/100)+K527</f>
        <v/>
      </c>
    </row>
    <row r="528">
      <c r="A528" t="inlineStr">
        <is>
          <t>VetLife</t>
        </is>
      </c>
      <c r="B528" t="inlineStr">
        <is>
          <t>שימורים הפטיק חתול</t>
        </is>
      </c>
      <c r="C528" t="inlineStr">
        <is>
          <t>מחלות כבד</t>
        </is>
      </c>
      <c r="E528" t="inlineStr">
        <is>
          <t>2025-02</t>
        </is>
      </c>
      <c r="F528" t="n">
        <v>7.95</v>
      </c>
      <c r="G528" t="n">
        <v>9.380000000000001</v>
      </c>
      <c r="H528">
        <f>הגדרות!B6</f>
        <v/>
      </c>
      <c r="I528">
        <f>F528*(1-H528/100)*1.18</f>
        <v/>
      </c>
      <c r="J528">
        <f>הגדרות!C6</f>
        <v/>
      </c>
      <c r="K528">
        <f>הגדרות!D6</f>
        <v/>
      </c>
      <c r="L528">
        <f>I528*(1+J528/100)+K528</f>
        <v/>
      </c>
    </row>
    <row r="529">
      <c r="A529" t="inlineStr">
        <is>
          <t>VetLife</t>
        </is>
      </c>
      <c r="B529" t="inlineStr">
        <is>
          <t>שימורים סטרוויט מנג'מנט חתול</t>
        </is>
      </c>
      <c r="C529" t="inlineStr">
        <is>
          <t>דרכי שתן</t>
        </is>
      </c>
      <c r="E529" t="inlineStr">
        <is>
          <t>2025-02</t>
        </is>
      </c>
      <c r="F529" t="n">
        <v>7.95</v>
      </c>
      <c r="G529" t="n">
        <v>9.380000000000001</v>
      </c>
      <c r="H529">
        <f>הגדרות!B6</f>
        <v/>
      </c>
      <c r="I529">
        <f>F529*(1-H529/100)*1.18</f>
        <v/>
      </c>
      <c r="J529">
        <f>הגדרות!C6</f>
        <v/>
      </c>
      <c r="K529">
        <f>הגדרות!D6</f>
        <v/>
      </c>
      <c r="L529">
        <f>I529*(1+J529/100)+K529</f>
        <v/>
      </c>
    </row>
    <row r="530">
      <c r="A530" t="inlineStr">
        <is>
          <t>VetLife</t>
        </is>
      </c>
      <c r="B530" t="inlineStr">
        <is>
          <t>שימורים דיאבטיק חתול</t>
        </is>
      </c>
      <c r="C530" t="inlineStr">
        <is>
          <t>סוכרת</t>
        </is>
      </c>
      <c r="E530" t="inlineStr">
        <is>
          <t>2025-02</t>
        </is>
      </c>
      <c r="F530" t="n">
        <v>7.95</v>
      </c>
      <c r="G530" t="n">
        <v>9.380000000000001</v>
      </c>
      <c r="H530">
        <f>הגדרות!B6</f>
        <v/>
      </c>
      <c r="I530">
        <f>F530*(1-H530/100)*1.18</f>
        <v/>
      </c>
      <c r="J530">
        <f>הגדרות!C6</f>
        <v/>
      </c>
      <c r="K530">
        <f>הגדרות!D6</f>
        <v/>
      </c>
      <c r="L530">
        <f>I530*(1+J530/100)+K530</f>
        <v/>
      </c>
    </row>
    <row r="531">
      <c r="A531" t="inlineStr">
        <is>
          <t>VetLife</t>
        </is>
      </c>
      <c r="B531" t="inlineStr">
        <is>
          <t>שימורים גסטרו כלב</t>
        </is>
      </c>
      <c r="C531" t="inlineStr">
        <is>
          <t>מערכת עיכול</t>
        </is>
      </c>
      <c r="E531" t="inlineStr">
        <is>
          <t>2025-02</t>
        </is>
      </c>
      <c r="F531" t="n">
        <v>17.54</v>
      </c>
      <c r="G531" t="n">
        <v>20.7</v>
      </c>
      <c r="H531">
        <f>הגדרות!B6</f>
        <v/>
      </c>
      <c r="I531">
        <f>F531*(1-H531/100)*1.18</f>
        <v/>
      </c>
      <c r="J531">
        <f>הגדרות!C6</f>
        <v/>
      </c>
      <c r="K531">
        <f>הגדרות!D6</f>
        <v/>
      </c>
      <c r="L531">
        <f>I531*(1+J531/100)+K531</f>
        <v/>
      </c>
    </row>
    <row r="532">
      <c r="A532" t="inlineStr">
        <is>
          <t>VetLife</t>
        </is>
      </c>
      <c r="B532" t="inlineStr">
        <is>
          <t>שימורים היפואלרגני דג תפו"א כלב</t>
        </is>
      </c>
      <c r="C532" t="inlineStr">
        <is>
          <t>אלרגיה למזון</t>
        </is>
      </c>
      <c r="E532" t="inlineStr">
        <is>
          <t>2025-02</t>
        </is>
      </c>
      <c r="F532" t="n">
        <v>17.54</v>
      </c>
      <c r="G532" t="n">
        <v>20.7</v>
      </c>
      <c r="H532">
        <f>הגדרות!B6</f>
        <v/>
      </c>
      <c r="I532">
        <f>F532*(1-H532/100)*1.18</f>
        <v/>
      </c>
      <c r="J532">
        <f>הגדרות!C6</f>
        <v/>
      </c>
      <c r="K532">
        <f>הגדרות!D6</f>
        <v/>
      </c>
      <c r="L532">
        <f>I532*(1+J532/100)+K532</f>
        <v/>
      </c>
    </row>
    <row r="533">
      <c r="A533" t="inlineStr">
        <is>
          <t>VetLife</t>
        </is>
      </c>
      <c r="B533" t="inlineStr">
        <is>
          <t>שימורים רנאל כלב</t>
        </is>
      </c>
      <c r="C533" t="inlineStr">
        <is>
          <t>מחלות כליה</t>
        </is>
      </c>
      <c r="E533" t="inlineStr">
        <is>
          <t>2025-02</t>
        </is>
      </c>
      <c r="F533" t="n">
        <v>17.54</v>
      </c>
      <c r="G533" t="n">
        <v>20.7</v>
      </c>
      <c r="H533">
        <f>הגדרות!B6</f>
        <v/>
      </c>
      <c r="I533">
        <f>F533*(1-H533/100)*1.18</f>
        <v/>
      </c>
      <c r="J533">
        <f>הגדרות!C6</f>
        <v/>
      </c>
      <c r="K533">
        <f>הגדרות!D6</f>
        <v/>
      </c>
      <c r="L533">
        <f>I533*(1+J533/100)+K533</f>
        <v/>
      </c>
    </row>
    <row r="534">
      <c r="A534" t="inlineStr">
        <is>
          <t>VetLife</t>
        </is>
      </c>
      <c r="B534" t="inlineStr">
        <is>
          <t>שימורים סטרוויט כלב</t>
        </is>
      </c>
      <c r="C534" t="inlineStr">
        <is>
          <t>דרכי שתן</t>
        </is>
      </c>
      <c r="E534" t="inlineStr">
        <is>
          <t>2025-02</t>
        </is>
      </c>
      <c r="F534" t="n">
        <v>17.54</v>
      </c>
      <c r="G534" t="n">
        <v>20.7</v>
      </c>
      <c r="H534">
        <f>הגדרות!B6</f>
        <v/>
      </c>
      <c r="I534">
        <f>F534*(1-H534/100)*1.18</f>
        <v/>
      </c>
      <c r="J534">
        <f>הגדרות!C6</f>
        <v/>
      </c>
      <c r="K534">
        <f>הגדרות!D6</f>
        <v/>
      </c>
      <c r="L534">
        <f>I534*(1+J534/100)+K534</f>
        <v/>
      </c>
    </row>
    <row r="535">
      <c r="A535" t="inlineStr">
        <is>
          <t>VetLife</t>
        </is>
      </c>
      <c r="B535" t="inlineStr">
        <is>
          <t>שימורים אובסיטי כלב</t>
        </is>
      </c>
      <c r="C535" t="inlineStr">
        <is>
          <t>השמנה / ירידה במשקל</t>
        </is>
      </c>
      <c r="E535" t="inlineStr">
        <is>
          <t>2025-02</t>
        </is>
      </c>
      <c r="F535" t="n">
        <v>17.54</v>
      </c>
      <c r="G535" t="n">
        <v>20.7</v>
      </c>
      <c r="H535">
        <f>הגדרות!B6</f>
        <v/>
      </c>
      <c r="I535">
        <f>F535*(1-H535/100)*1.18</f>
        <v/>
      </c>
      <c r="J535">
        <f>הגדרות!C6</f>
        <v/>
      </c>
      <c r="K535">
        <f>הגדרות!D6</f>
        <v/>
      </c>
      <c r="L535">
        <f>I535*(1+J535/100)+K535</f>
        <v/>
      </c>
    </row>
    <row r="536">
      <c r="A536" t="inlineStr">
        <is>
          <t>VetLife</t>
        </is>
      </c>
      <c r="B536" t="inlineStr">
        <is>
          <t>שימור אולטרהיפו כלב</t>
        </is>
      </c>
      <c r="C536" t="inlineStr">
        <is>
          <t>אלרגיה למזון</t>
        </is>
      </c>
      <c r="E536" t="inlineStr">
        <is>
          <t>2025-02</t>
        </is>
      </c>
      <c r="F536" t="n">
        <v>17.54</v>
      </c>
      <c r="G536" t="n">
        <v>20.7</v>
      </c>
      <c r="H536">
        <f>הגדרות!B6</f>
        <v/>
      </c>
      <c r="I536">
        <f>F536*(1-H536/100)*1.18</f>
        <v/>
      </c>
      <c r="J536">
        <f>הגדרות!C6</f>
        <v/>
      </c>
      <c r="K536">
        <f>הגדרות!D6</f>
        <v/>
      </c>
      <c r="L536">
        <f>I536*(1+J536/100)+K536</f>
        <v/>
      </c>
    </row>
    <row r="537">
      <c r="A537" t="inlineStr">
        <is>
          <t>VetLife</t>
        </is>
      </c>
      <c r="B537" t="inlineStr">
        <is>
          <t>שימור סטרוויט מנג'מנט כלב</t>
        </is>
      </c>
      <c r="C537" t="inlineStr">
        <is>
          <t>דרכי שתן</t>
        </is>
      </c>
      <c r="E537" t="inlineStr">
        <is>
          <t>2025-02</t>
        </is>
      </c>
      <c r="F537" t="n">
        <v>17.54</v>
      </c>
      <c r="G537" t="n">
        <v>20.7</v>
      </c>
      <c r="H537">
        <f>הגדרות!B6</f>
        <v/>
      </c>
      <c r="I537">
        <f>F537*(1-H537/100)*1.18</f>
        <v/>
      </c>
      <c r="J537">
        <f>הגדרות!C6</f>
        <v/>
      </c>
      <c r="K537">
        <f>הגדרות!D6</f>
        <v/>
      </c>
      <c r="L537">
        <f>I537*(1+J537/100)+K537</f>
        <v/>
      </c>
    </row>
    <row r="538">
      <c r="A538" t="inlineStr">
        <is>
          <t>Purina Pro Plan VET</t>
        </is>
      </c>
      <c r="B538" t="inlineStr">
        <is>
          <t>פרו פלאן פאוצ' HYDRA CARE לחתול 75*10 גרם</t>
        </is>
      </c>
      <c r="D538" t="inlineStr">
        <is>
          <t>12619091</t>
        </is>
      </c>
      <c r="E538" t="inlineStr">
        <is>
          <t>2026-06</t>
        </is>
      </c>
      <c r="F538" t="n">
        <v>5.92</v>
      </c>
      <c r="G538" t="n">
        <v>6.99</v>
      </c>
      <c r="H538">
        <f>הגדרות!B7</f>
        <v/>
      </c>
      <c r="I538">
        <f>F538*(1-H538/100)*1.18</f>
        <v/>
      </c>
      <c r="J538">
        <f>הגדרות!C7</f>
        <v/>
      </c>
      <c r="K538">
        <f>הגדרות!D7</f>
        <v/>
      </c>
      <c r="L538">
        <f>I538*(1+J538/100)+K538</f>
        <v/>
      </c>
    </row>
    <row r="539">
      <c r="A539" t="inlineStr">
        <is>
          <t>Purina Pro Plan VET</t>
        </is>
      </c>
      <c r="B539" t="inlineStr">
        <is>
          <t>פרו פלאן "מזון יעודי" לחתול DM - לסיוע בטיפול בסוכרת</t>
        </is>
      </c>
      <c r="D539" t="inlineStr">
        <is>
          <t>12483229</t>
        </is>
      </c>
      <c r="E539" t="inlineStr">
        <is>
          <t>2026-06</t>
        </is>
      </c>
      <c r="F539" t="n">
        <v>76.06999999999999</v>
      </c>
      <c r="G539" t="n">
        <v>89.76000000000001</v>
      </c>
      <c r="H539">
        <f>הגדרות!B7</f>
        <v/>
      </c>
      <c r="I539">
        <f>F539*(1-H539/100)*1.18</f>
        <v/>
      </c>
      <c r="J539">
        <f>הגדרות!C7</f>
        <v/>
      </c>
      <c r="K539">
        <f>הגדרות!D7</f>
        <v/>
      </c>
      <c r="L539">
        <f>I539*(1+J539/100)+K539</f>
        <v/>
      </c>
    </row>
    <row r="540">
      <c r="A540" t="inlineStr">
        <is>
          <t>Purina Pro Plan VET</t>
        </is>
      </c>
      <c r="B540" t="inlineStr">
        <is>
          <t>פרו פלאן "מזון יעודי" לחתול DM - לסיוע בטיפול בסוכרת</t>
        </is>
      </c>
      <c r="D540" t="inlineStr">
        <is>
          <t>12500438</t>
        </is>
      </c>
      <c r="E540" t="inlineStr">
        <is>
          <t>2026-06</t>
        </is>
      </c>
      <c r="F540" t="n">
        <v>241.53</v>
      </c>
      <c r="G540" t="n">
        <v>285.01</v>
      </c>
      <c r="H540">
        <f>הגדרות!B7</f>
        <v/>
      </c>
      <c r="I540">
        <f>F540*(1-H540/100)*1.18</f>
        <v/>
      </c>
      <c r="J540">
        <f>הגדרות!C7</f>
        <v/>
      </c>
      <c r="K540">
        <f>הגדרות!D7</f>
        <v/>
      </c>
      <c r="L540">
        <f>I540*(1+J540/100)+K540</f>
        <v/>
      </c>
    </row>
    <row r="541">
      <c r="A541" t="inlineStr">
        <is>
          <t>Purina Pro Plan VET</t>
        </is>
      </c>
      <c r="B541" t="inlineStr">
        <is>
          <t>פרו פלאן "מזון יעודי" לחתול NF לטיפול במחלות כליה</t>
        </is>
      </c>
      <c r="D541" t="inlineStr">
        <is>
          <t>12499695</t>
        </is>
      </c>
      <c r="E541" t="inlineStr">
        <is>
          <t>2026-06</t>
        </is>
      </c>
      <c r="F541" t="n">
        <v>89.95</v>
      </c>
      <c r="G541" t="n">
        <v>106.14</v>
      </c>
      <c r="H541">
        <f>הגדרות!B7</f>
        <v/>
      </c>
      <c r="I541">
        <f>F541*(1-H541/100)*1.18</f>
        <v/>
      </c>
      <c r="J541">
        <f>הגדרות!C7</f>
        <v/>
      </c>
      <c r="K541">
        <f>הגדרות!D7</f>
        <v/>
      </c>
      <c r="L541">
        <f>I541*(1+J541/100)+K541</f>
        <v/>
      </c>
    </row>
    <row r="542">
      <c r="A542" t="inlineStr">
        <is>
          <t>Purina Pro Plan VET</t>
        </is>
      </c>
      <c r="B542" t="inlineStr">
        <is>
          <t>פרו פלאן "מזון יעודי" לחתול NF - לטיפול במחלות כליה</t>
        </is>
      </c>
      <c r="D542" t="inlineStr">
        <is>
          <t>12499857</t>
        </is>
      </c>
      <c r="E542" t="inlineStr">
        <is>
          <t>2026-06</t>
        </is>
      </c>
      <c r="F542" t="n">
        <v>187.43</v>
      </c>
      <c r="G542" t="n">
        <v>221.17</v>
      </c>
      <c r="H542">
        <f>הגדרות!B7</f>
        <v/>
      </c>
      <c r="I542">
        <f>F542*(1-H542/100)*1.18</f>
        <v/>
      </c>
      <c r="J542">
        <f>הגדרות!C7</f>
        <v/>
      </c>
      <c r="K542">
        <f>הגדרות!D7</f>
        <v/>
      </c>
      <c r="L542">
        <f>I542*(1+J542/100)+K542</f>
        <v/>
      </c>
    </row>
    <row r="543">
      <c r="A543" t="inlineStr">
        <is>
          <t>Purina Pro Plan VET</t>
        </is>
      </c>
      <c r="B543" t="inlineStr">
        <is>
          <t>פרו פלאן "מזון יעודי" לחתול HA לסיוע במניעת אלרגיה למזון</t>
        </is>
      </c>
      <c r="D543" t="inlineStr">
        <is>
          <t>12485187</t>
        </is>
      </c>
      <c r="E543" t="inlineStr">
        <is>
          <t>2026-06</t>
        </is>
      </c>
      <c r="F543" t="n">
        <v>104.48</v>
      </c>
      <c r="G543" t="n">
        <v>123.29</v>
      </c>
      <c r="H543">
        <f>הגדרות!B7</f>
        <v/>
      </c>
      <c r="I543">
        <f>F543*(1-H543/100)*1.18</f>
        <v/>
      </c>
      <c r="J543">
        <f>הגדרות!C7</f>
        <v/>
      </c>
      <c r="K543">
        <f>הגדרות!D7</f>
        <v/>
      </c>
      <c r="L543">
        <f>I543*(1+J543/100)+K543</f>
        <v/>
      </c>
    </row>
    <row r="544">
      <c r="A544" t="inlineStr">
        <is>
          <t>Purina Pro Plan VET</t>
        </is>
      </c>
      <c r="B544" t="inlineStr">
        <is>
          <t>פרו פלאן "מזון יעודי" לחתול HA לסיוע במניעת אלרגיה למזון</t>
        </is>
      </c>
      <c r="D544" t="inlineStr">
        <is>
          <t>12619882</t>
        </is>
      </c>
      <c r="E544" t="inlineStr">
        <is>
          <t>2026-06</t>
        </is>
      </c>
      <c r="F544" t="n">
        <v>247.74</v>
      </c>
      <c r="G544" t="n">
        <v>292.33</v>
      </c>
      <c r="H544">
        <f>הגדרות!B7</f>
        <v/>
      </c>
      <c r="I544">
        <f>F544*(1-H544/100)*1.18</f>
        <v/>
      </c>
      <c r="J544">
        <f>הגדרות!C7</f>
        <v/>
      </c>
      <c r="K544">
        <f>הגדרות!D7</f>
        <v/>
      </c>
      <c r="L544">
        <f>I544*(1+J544/100)+K544</f>
        <v/>
      </c>
    </row>
    <row r="545">
      <c r="A545" t="inlineStr">
        <is>
          <t>Purina Pro Plan VET</t>
        </is>
      </c>
      <c r="B545" t="inlineStr">
        <is>
          <t>פרו פלאן "מזון יעודי" לחתול דגי ים UR למניעת היווצרות קריסטלים בדרכי השתן</t>
        </is>
      </c>
      <c r="D545" t="inlineStr">
        <is>
          <t>12483400</t>
        </is>
      </c>
      <c r="E545" t="inlineStr">
        <is>
          <t>2026-06</t>
        </is>
      </c>
      <c r="F545" t="n">
        <v>79.08</v>
      </c>
      <c r="G545" t="n">
        <v>93.31</v>
      </c>
      <c r="H545">
        <f>הגדרות!B7</f>
        <v/>
      </c>
      <c r="I545">
        <f>F545*(1-H545/100)*1.18</f>
        <v/>
      </c>
      <c r="J545">
        <f>הגדרות!C7</f>
        <v/>
      </c>
      <c r="K545">
        <f>הגדרות!D7</f>
        <v/>
      </c>
      <c r="L545">
        <f>I545*(1+J545/100)+K545</f>
        <v/>
      </c>
    </row>
    <row r="546">
      <c r="A546" t="inlineStr">
        <is>
          <t>Purina Pro Plan VET</t>
        </is>
      </c>
      <c r="B546" t="inlineStr">
        <is>
          <t>פרו פלאן "מזון יעודי" לחתול דגי ים UR - למניעת היווצרות קריסטלים בדרכי השתן</t>
        </is>
      </c>
      <c r="D546" t="inlineStr">
        <is>
          <t>12484139</t>
        </is>
      </c>
      <c r="E546" t="inlineStr">
        <is>
          <t>2026-06</t>
        </is>
      </c>
      <c r="F546" t="n">
        <v>187.43</v>
      </c>
      <c r="G546" t="n">
        <v>221.17</v>
      </c>
      <c r="H546">
        <f>הגדרות!B7</f>
        <v/>
      </c>
      <c r="I546">
        <f>F546*(1-H546/100)*1.18</f>
        <v/>
      </c>
      <c r="J546">
        <f>הגדרות!C7</f>
        <v/>
      </c>
      <c r="K546">
        <f>הגדרות!D7</f>
        <v/>
      </c>
      <c r="L546">
        <f>I546*(1+J546/100)+K546</f>
        <v/>
      </c>
    </row>
    <row r="547">
      <c r="A547" t="inlineStr">
        <is>
          <t>Purina Pro Plan VET</t>
        </is>
      </c>
      <c r="B547" t="inlineStr">
        <is>
          <t>פרו פלאן "מזון יעודי" לחתול OM - לירידה ושמירה על משקל תקין</t>
        </is>
      </c>
      <c r="D547" t="inlineStr">
        <is>
          <t>12484875</t>
        </is>
      </c>
      <c r="E547" t="inlineStr">
        <is>
          <t>2026-06</t>
        </is>
      </c>
      <c r="F547" t="n">
        <v>198.45</v>
      </c>
      <c r="G547" t="n">
        <v>234.17</v>
      </c>
      <c r="H547">
        <f>הגדרות!B7</f>
        <v/>
      </c>
      <c r="I547">
        <f>F547*(1-H547/100)*1.18</f>
        <v/>
      </c>
      <c r="J547">
        <f>הגדרות!C7</f>
        <v/>
      </c>
      <c r="K547">
        <f>הגדרות!D7</f>
        <v/>
      </c>
      <c r="L547">
        <f>I547*(1+J547/100)+K547</f>
        <v/>
      </c>
    </row>
    <row r="548">
      <c r="A548" t="inlineStr">
        <is>
          <t>Purina Pro Plan VET</t>
        </is>
      </c>
      <c r="B548" t="inlineStr">
        <is>
          <t>פרו פלאן "מזון יעודי" לחתול EN - לתמיכה במערכת העיכול</t>
        </is>
      </c>
      <c r="D548" t="inlineStr">
        <is>
          <t>12483237</t>
        </is>
      </c>
      <c r="E548" t="inlineStr">
        <is>
          <t>2026-06</t>
        </is>
      </c>
      <c r="F548" t="n">
        <v>76.06999999999999</v>
      </c>
      <c r="G548" t="n">
        <v>89.76000000000001</v>
      </c>
      <c r="H548">
        <f>הגדרות!B7</f>
        <v/>
      </c>
      <c r="I548">
        <f>F548*(1-H548/100)*1.18</f>
        <v/>
      </c>
      <c r="J548">
        <f>הגדרות!C7</f>
        <v/>
      </c>
      <c r="K548">
        <f>הגדרות!D7</f>
        <v/>
      </c>
      <c r="L548">
        <f>I548*(1+J548/100)+K548</f>
        <v/>
      </c>
    </row>
    <row r="549">
      <c r="A549" t="inlineStr">
        <is>
          <t>Purina Pro Plan VET</t>
        </is>
      </c>
      <c r="B549" t="inlineStr">
        <is>
          <t>פרו פלאן "מזון יעודי" לחתול EN - לתמיכה במערכת העיכול</t>
        </is>
      </c>
      <c r="D549" t="inlineStr">
        <is>
          <t>12620304</t>
        </is>
      </c>
      <c r="E549" t="inlineStr">
        <is>
          <t>2026-06</t>
        </is>
      </c>
      <c r="F549" t="n">
        <v>253.56</v>
      </c>
      <c r="G549" t="n">
        <v>299.2</v>
      </c>
      <c r="H549">
        <f>הגדרות!B7</f>
        <v/>
      </c>
      <c r="I549">
        <f>F549*(1-H549/100)*1.18</f>
        <v/>
      </c>
      <c r="J549">
        <f>הגדרות!C7</f>
        <v/>
      </c>
      <c r="K549">
        <f>הגדרות!D7</f>
        <v/>
      </c>
      <c r="L549">
        <f>I549*(1+J549/100)+K549</f>
        <v/>
      </c>
    </row>
    <row r="550">
      <c r="A550" t="inlineStr">
        <is>
          <t>Purina Pro Plan VET</t>
        </is>
      </c>
      <c r="B550" t="inlineStr">
        <is>
          <t>פרו פלאן "מזון יעודי" לכלב UR - למניעת היווצרות קריסטלים בדרכי השתן</t>
        </is>
      </c>
      <c r="D550" t="inlineStr">
        <is>
          <t>12500925</t>
        </is>
      </c>
      <c r="E550" t="inlineStr">
        <is>
          <t>2026-06</t>
        </is>
      </c>
      <c r="F550" t="n">
        <v>407.12</v>
      </c>
      <c r="G550" t="n">
        <v>480.4</v>
      </c>
      <c r="H550">
        <f>הגדרות!B7</f>
        <v/>
      </c>
      <c r="I550">
        <f>F550*(1-H550/100)*1.18</f>
        <v/>
      </c>
      <c r="J550">
        <f>הגדרות!C7</f>
        <v/>
      </c>
      <c r="K550">
        <f>הגדרות!D7</f>
        <v/>
      </c>
      <c r="L550">
        <f>I550*(1+J550/100)+K550</f>
        <v/>
      </c>
    </row>
    <row r="551">
      <c r="A551" t="inlineStr">
        <is>
          <t>Purina Pro Plan VET</t>
        </is>
      </c>
      <c r="B551" t="inlineStr">
        <is>
          <t>פרו פלאן "מזון יעודי" לכלב JM - לתמיכה בדלקות פרקים</t>
        </is>
      </c>
      <c r="D551" t="inlineStr">
        <is>
          <t>12620192</t>
        </is>
      </c>
      <c r="E551" t="inlineStr">
        <is>
          <t>2026-06</t>
        </is>
      </c>
      <c r="F551" t="n">
        <v>383.67</v>
      </c>
      <c r="G551" t="n">
        <v>452.73</v>
      </c>
      <c r="H551">
        <f>הגדרות!B7</f>
        <v/>
      </c>
      <c r="I551">
        <f>F551*(1-H551/100)*1.18</f>
        <v/>
      </c>
      <c r="J551">
        <f>הגדרות!C7</f>
        <v/>
      </c>
      <c r="K551">
        <f>הגדרות!D7</f>
        <v/>
      </c>
      <c r="L551">
        <f>I551*(1+J551/100)+K551</f>
        <v/>
      </c>
    </row>
    <row r="552">
      <c r="A552" t="inlineStr">
        <is>
          <t>Purina Pro Plan VET</t>
        </is>
      </c>
      <c r="B552" t="inlineStr">
        <is>
          <t>פרו פלאן "מזון יעודי" לכלב NC - לסיוע בהתקפי אפילפסיה ותמיכה במערכת העצבים</t>
        </is>
      </c>
      <c r="D552" t="inlineStr">
        <is>
          <t>12484885</t>
        </is>
      </c>
      <c r="E552" t="inlineStr">
        <is>
          <t>2026-06</t>
        </is>
      </c>
      <c r="F552" t="n">
        <v>407.12</v>
      </c>
      <c r="G552" t="n">
        <v>480.4</v>
      </c>
      <c r="H552">
        <f>הגדרות!B7</f>
        <v/>
      </c>
      <c r="I552">
        <f>F552*(1-H552/100)*1.18</f>
        <v/>
      </c>
      <c r="J552">
        <f>הגדרות!C7</f>
        <v/>
      </c>
      <c r="K552">
        <f>הגדרות!D7</f>
        <v/>
      </c>
      <c r="L552">
        <f>I552*(1+J552/100)+K552</f>
        <v/>
      </c>
    </row>
    <row r="553">
      <c r="A553" t="inlineStr">
        <is>
          <t>Purina Pro Plan VET</t>
        </is>
      </c>
      <c r="B553" t="inlineStr">
        <is>
          <t>פרו פלאן "מזון יעודי" לכלב OM - לירידה ושמירה על משקל תקין</t>
        </is>
      </c>
      <c r="D553" t="inlineStr">
        <is>
          <t>12483425</t>
        </is>
      </c>
      <c r="E553" t="inlineStr">
        <is>
          <t>2026-06</t>
        </is>
      </c>
      <c r="F553" t="n">
        <v>130.91</v>
      </c>
      <c r="G553" t="n">
        <v>154.47</v>
      </c>
      <c r="H553">
        <f>הגדרות!B7</f>
        <v/>
      </c>
      <c r="I553">
        <f>F553*(1-H553/100)*1.18</f>
        <v/>
      </c>
      <c r="J553">
        <f>הגדרות!C7</f>
        <v/>
      </c>
      <c r="K553">
        <f>הגדרות!D7</f>
        <v/>
      </c>
      <c r="L553">
        <f>I553*(1+J553/100)+K553</f>
        <v/>
      </c>
    </row>
    <row r="554">
      <c r="A554" t="inlineStr">
        <is>
          <t>Purina Pro Plan VET</t>
        </is>
      </c>
      <c r="B554" t="inlineStr">
        <is>
          <t>פרו פלאן "מזון יעודי" לכלב OM - לירידה ושמירה על משקל תקין</t>
        </is>
      </c>
      <c r="D554" t="inlineStr">
        <is>
          <t>12484887</t>
        </is>
      </c>
      <c r="E554" t="inlineStr">
        <is>
          <t>2026-06</t>
        </is>
      </c>
      <c r="F554" t="n">
        <v>361.62</v>
      </c>
      <c r="G554" t="n">
        <v>426.71</v>
      </c>
      <c r="H554">
        <f>הגדרות!B7</f>
        <v/>
      </c>
      <c r="I554">
        <f>F554*(1-H554/100)*1.18</f>
        <v/>
      </c>
      <c r="J554">
        <f>הגדרות!C7</f>
        <v/>
      </c>
      <c r="K554">
        <f>הגדרות!D7</f>
        <v/>
      </c>
      <c r="L554">
        <f>I554*(1+J554/100)+K554</f>
        <v/>
      </c>
    </row>
    <row r="555">
      <c r="A555" t="inlineStr">
        <is>
          <t>Purina Pro Plan VET</t>
        </is>
      </c>
      <c r="B555" t="inlineStr">
        <is>
          <t>פרו פלאן "מזון יעודי" לכלב HA - לסיוע במניעת אלרגיה למזון</t>
        </is>
      </c>
      <c r="D555" t="inlineStr">
        <is>
          <t>12484160</t>
        </is>
      </c>
      <c r="E555" t="inlineStr">
        <is>
          <t>2026-06</t>
        </is>
      </c>
      <c r="F555" t="n">
        <v>79.23</v>
      </c>
      <c r="G555" t="n">
        <v>93.48999999999999</v>
      </c>
      <c r="H555">
        <f>הגדרות!B7</f>
        <v/>
      </c>
      <c r="I555">
        <f>F555*(1-H555/100)*1.18</f>
        <v/>
      </c>
      <c r="J555">
        <f>הגדרות!C7</f>
        <v/>
      </c>
      <c r="K555">
        <f>הגדרות!D7</f>
        <v/>
      </c>
      <c r="L555">
        <f>I555*(1+J555/100)+K555</f>
        <v/>
      </c>
    </row>
    <row r="556">
      <c r="A556" t="inlineStr">
        <is>
          <t>Purina Pro Plan VET</t>
        </is>
      </c>
      <c r="B556" t="inlineStr">
        <is>
          <t>פרו פלאן "מזון יעודי" לכלב HA - לסיוע במניעת אלרגיה למזון</t>
        </is>
      </c>
      <c r="D556" t="inlineStr">
        <is>
          <t>12483245</t>
        </is>
      </c>
      <c r="E556" t="inlineStr">
        <is>
          <t>2026-06</t>
        </is>
      </c>
      <c r="F556" t="n">
        <v>152.25</v>
      </c>
      <c r="G556" t="n">
        <v>179.66</v>
      </c>
      <c r="H556">
        <f>הגדרות!B7</f>
        <v/>
      </c>
      <c r="I556">
        <f>F556*(1-H556/100)*1.18</f>
        <v/>
      </c>
      <c r="J556">
        <f>הגדרות!C7</f>
        <v/>
      </c>
      <c r="K556">
        <f>הגדרות!D7</f>
        <v/>
      </c>
      <c r="L556">
        <f>I556*(1+J556/100)+K556</f>
        <v/>
      </c>
    </row>
    <row r="557">
      <c r="A557" t="inlineStr">
        <is>
          <t>Purina Pro Plan VET</t>
        </is>
      </c>
      <c r="B557" t="inlineStr">
        <is>
          <t>פרו פלאן "מזון יעודי" לכלב HA - לסיוע במניעת אלרגיה למזון</t>
        </is>
      </c>
      <c r="D557" t="inlineStr">
        <is>
          <t>12484156</t>
        </is>
      </c>
      <c r="E557" t="inlineStr">
        <is>
          <t>2026-06</t>
        </is>
      </c>
      <c r="F557" t="n">
        <v>448.28</v>
      </c>
      <c r="G557" t="n">
        <v>528.97</v>
      </c>
      <c r="H557">
        <f>הגדרות!B7</f>
        <v/>
      </c>
      <c r="I557">
        <f>F557*(1-H557/100)*1.18</f>
        <v/>
      </c>
      <c r="J557">
        <f>הגדרות!C7</f>
        <v/>
      </c>
      <c r="K557">
        <f>הגדרות!D7</f>
        <v/>
      </c>
      <c r="L557">
        <f>I557*(1+J557/100)+K557</f>
        <v/>
      </c>
    </row>
    <row r="558">
      <c r="A558" t="inlineStr">
        <is>
          <t>Purina Pro Plan VET</t>
        </is>
      </c>
      <c r="B558" t="inlineStr">
        <is>
          <t>פרו פלאן "מזון יעודי" לכלב EN - לתמיכה במערכת העיכול</t>
        </is>
      </c>
      <c r="D558" t="inlineStr">
        <is>
          <t>12483402</t>
        </is>
      </c>
      <c r="E558" t="inlineStr">
        <is>
          <t>2026-06</t>
        </is>
      </c>
      <c r="F558" t="n">
        <v>81.89</v>
      </c>
      <c r="G558" t="n">
        <v>96.63</v>
      </c>
      <c r="H558">
        <f>הגדרות!B7</f>
        <v/>
      </c>
      <c r="I558">
        <f>F558*(1-H558/100)*1.18</f>
        <v/>
      </c>
      <c r="J558">
        <f>הגדרות!C7</f>
        <v/>
      </c>
      <c r="K558">
        <f>הגדרות!D7</f>
        <v/>
      </c>
      <c r="L558">
        <f>I558*(1+J558/100)+K558</f>
        <v/>
      </c>
    </row>
    <row r="559">
      <c r="A559" t="inlineStr">
        <is>
          <t>Purina Pro Plan VET</t>
        </is>
      </c>
      <c r="B559" t="inlineStr">
        <is>
          <t>פרו פלאן "מזון יעודי" לכלב EN - לתמיכה במערכת העיכול</t>
        </is>
      </c>
      <c r="D559" t="inlineStr">
        <is>
          <t>12484151</t>
        </is>
      </c>
      <c r="E559" t="inlineStr">
        <is>
          <t>2026-06</t>
        </is>
      </c>
      <c r="F559" t="n">
        <v>183.86</v>
      </c>
      <c r="G559" t="n">
        <v>216.95</v>
      </c>
      <c r="H559">
        <f>הגדרות!B7</f>
        <v/>
      </c>
      <c r="I559">
        <f>F559*(1-H559/100)*1.18</f>
        <v/>
      </c>
      <c r="J559">
        <f>הגדרות!C7</f>
        <v/>
      </c>
      <c r="K559">
        <f>הגדרות!D7</f>
        <v/>
      </c>
      <c r="L559">
        <f>I559*(1+J559/100)+K559</f>
        <v/>
      </c>
    </row>
    <row r="560">
      <c r="A560" t="inlineStr">
        <is>
          <t>Purina Pro Plan VET</t>
        </is>
      </c>
      <c r="B560" t="inlineStr">
        <is>
          <t>פרו פלאן "מזון יעודי" לכלב EN - לתמיכה במערכת העיכול</t>
        </is>
      </c>
      <c r="D560" t="inlineStr">
        <is>
          <t>12484218</t>
        </is>
      </c>
      <c r="E560" t="inlineStr">
        <is>
          <t>2026-06</t>
        </is>
      </c>
      <c r="F560" t="n">
        <v>383.67</v>
      </c>
      <c r="G560" t="n">
        <v>452.73</v>
      </c>
      <c r="H560">
        <f>הגדרות!B7</f>
        <v/>
      </c>
      <c r="I560">
        <f>F560*(1-H560/100)*1.18</f>
        <v/>
      </c>
      <c r="J560">
        <f>הגדרות!C7</f>
        <v/>
      </c>
      <c r="K560">
        <f>הגדרות!D7</f>
        <v/>
      </c>
      <c r="L560">
        <f>I560*(1+J560/100)+K560</f>
        <v/>
      </c>
    </row>
    <row r="561">
      <c r="A561" t="inlineStr">
        <is>
          <t>Purina Pro Plan VET</t>
        </is>
      </c>
      <c r="B561" t="inlineStr">
        <is>
          <t>פרו פלאן "מזון יעודי" לכלב DRM - לטיפול ברגישות / אלרגיה עורית</t>
        </is>
      </c>
      <c r="D561" t="inlineStr">
        <is>
          <t>12483405</t>
        </is>
      </c>
      <c r="E561" t="inlineStr">
        <is>
          <t>2026-06</t>
        </is>
      </c>
      <c r="F561" t="n">
        <v>115.1</v>
      </c>
      <c r="G561" t="n">
        <v>135.82</v>
      </c>
      <c r="H561">
        <f>הגדרות!B7</f>
        <v/>
      </c>
      <c r="I561">
        <f>F561*(1-H561/100)*1.18</f>
        <v/>
      </c>
      <c r="J561">
        <f>הגדרות!C7</f>
        <v/>
      </c>
      <c r="K561">
        <f>הגדרות!D7</f>
        <v/>
      </c>
      <c r="L561">
        <f>I561*(1+J561/100)+K561</f>
        <v/>
      </c>
    </row>
    <row r="562">
      <c r="A562" t="inlineStr">
        <is>
          <t>Purina Pro Plan VET</t>
        </is>
      </c>
      <c r="B562" t="inlineStr">
        <is>
          <t>פרו פלאן "מזון יעודי" לכלב DRM - לטיפול ברגישות / אלרגיה עורית</t>
        </is>
      </c>
      <c r="D562" t="inlineStr">
        <is>
          <t>12483541</t>
        </is>
      </c>
      <c r="E562" t="inlineStr">
        <is>
          <t>2026-06</t>
        </is>
      </c>
      <c r="F562" t="n">
        <v>383.67</v>
      </c>
      <c r="G562" t="n">
        <v>452.73</v>
      </c>
      <c r="H562">
        <f>הגדרות!B7</f>
        <v/>
      </c>
      <c r="I562">
        <f>F562*(1-H562/100)*1.18</f>
        <v/>
      </c>
      <c r="J562">
        <f>הגדרות!C7</f>
        <v/>
      </c>
      <c r="K562">
        <f>הגדרות!D7</f>
        <v/>
      </c>
      <c r="L562">
        <f>I562*(1+J562/100)+K562</f>
        <v/>
      </c>
    </row>
    <row r="563">
      <c r="A563" t="inlineStr">
        <is>
          <t>Purina Pro Plan VET</t>
        </is>
      </c>
      <c r="B563" t="inlineStr">
        <is>
          <t>פרו פלאן "מזון יעודי" לכלב NF - לטיפול במחלות כליה</t>
        </is>
      </c>
      <c r="D563" t="inlineStr">
        <is>
          <t>12484894</t>
        </is>
      </c>
      <c r="E563" t="inlineStr">
        <is>
          <t>2026-06</t>
        </is>
      </c>
      <c r="F563" t="n">
        <v>365.4</v>
      </c>
      <c r="G563" t="n">
        <v>431.17</v>
      </c>
      <c r="H563">
        <f>הגדרות!B7</f>
        <v/>
      </c>
      <c r="I563">
        <f>F563*(1-H563/100)*1.18</f>
        <v/>
      </c>
      <c r="J563">
        <f>הגדרות!C7</f>
        <v/>
      </c>
      <c r="K563">
        <f>הגדרות!D7</f>
        <v/>
      </c>
      <c r="L563">
        <f>I563*(1+J563/100)+K563</f>
        <v/>
      </c>
    </row>
    <row r="564">
      <c r="A564" t="inlineStr">
        <is>
          <t>Purina Pro Plan VET</t>
        </is>
      </c>
      <c r="B564" t="inlineStr">
        <is>
          <t>פרו פלאן "מזון יעודי" לכלב NF - לטיפול במחלות כליה</t>
        </is>
      </c>
      <c r="D564" t="inlineStr">
        <is>
          <t>12483420</t>
        </is>
      </c>
      <c r="E564" t="inlineStr">
        <is>
          <t>2026-06</t>
        </is>
      </c>
      <c r="F564" t="n">
        <v>118.89</v>
      </c>
      <c r="G564" t="n">
        <v>140.29</v>
      </c>
      <c r="H564">
        <f>הגדרות!B7</f>
        <v/>
      </c>
      <c r="I564">
        <f>F564*(1-H564/100)*1.18</f>
        <v/>
      </c>
      <c r="J564">
        <f>הגדרות!C7</f>
        <v/>
      </c>
      <c r="K564">
        <f>הגדרות!D7</f>
        <v/>
      </c>
      <c r="L564">
        <f>I564*(1+J564/100)+K564</f>
        <v/>
      </c>
    </row>
    <row r="565">
      <c r="A565" t="inlineStr">
        <is>
          <t>Purina Pro Plan VET</t>
        </is>
      </c>
      <c r="B565" t="inlineStr">
        <is>
          <t>פרו פלאן "מזון יעודי" לחתול ולכלב CN - לסיוע בהתאוששת לאחר ניתוח ומחלות</t>
        </is>
      </c>
      <c r="D565" t="inlineStr">
        <is>
          <t>12603084</t>
        </is>
      </c>
      <c r="E565" t="inlineStr">
        <is>
          <t>2026-06</t>
        </is>
      </c>
      <c r="F565" t="n">
        <v>9.130000000000001</v>
      </c>
      <c r="G565" t="n">
        <v>10.77</v>
      </c>
      <c r="H565">
        <f>הגדרות!B7</f>
        <v/>
      </c>
      <c r="I565">
        <f>F565*(1-H565/100)*1.18</f>
        <v/>
      </c>
      <c r="J565">
        <f>הגדרות!C7</f>
        <v/>
      </c>
      <c r="K565">
        <f>הגדרות!D7</f>
        <v/>
      </c>
      <c r="L565">
        <f>I565*(1+J565/100)+K565</f>
        <v/>
      </c>
    </row>
    <row r="566">
      <c r="A566" t="inlineStr">
        <is>
          <t>Purina Pro Plan VET</t>
        </is>
      </c>
      <c r="B566" t="inlineStr">
        <is>
          <t>פרו פלאן "מזון יעודי" לחתול UR - למניעת היווצרות קריסטלים בדרכי השתן</t>
        </is>
      </c>
      <c r="D566" t="inlineStr">
        <is>
          <t>13672647</t>
        </is>
      </c>
      <c r="E566" t="inlineStr">
        <is>
          <t>2026-06</t>
        </is>
      </c>
      <c r="F566" t="n">
        <v>8.039999999999999</v>
      </c>
      <c r="G566" t="n">
        <v>9.49</v>
      </c>
      <c r="H566">
        <f>הגדרות!B7</f>
        <v/>
      </c>
      <c r="I566">
        <f>F566*(1-H566/100)*1.18</f>
        <v/>
      </c>
      <c r="J566">
        <f>הגדרות!C7</f>
        <v/>
      </c>
      <c r="K566">
        <f>הגדרות!D7</f>
        <v/>
      </c>
      <c r="L566">
        <f>I566*(1+J566/100)+K566</f>
        <v/>
      </c>
    </row>
    <row r="567">
      <c r="A567" t="inlineStr">
        <is>
          <t>Purina Pro Plan VET</t>
        </is>
      </c>
      <c r="B567" t="inlineStr">
        <is>
          <t>פרו פלאן "מזון יעודי" לחתול UR - למניעת היווצרות קריסטלים בדרכי השתן</t>
        </is>
      </c>
      <c r="D567" t="inlineStr">
        <is>
          <t>12603144</t>
        </is>
      </c>
      <c r="E567" t="inlineStr">
        <is>
          <t>2026-06</t>
        </is>
      </c>
      <c r="F567" t="n">
        <v>9.130000000000001</v>
      </c>
      <c r="G567" t="n">
        <v>10.77</v>
      </c>
      <c r="H567">
        <f>הגדרות!B7</f>
        <v/>
      </c>
      <c r="I567">
        <f>F567*(1-H567/100)*1.18</f>
        <v/>
      </c>
      <c r="J567">
        <f>הגדרות!C7</f>
        <v/>
      </c>
      <c r="K567">
        <f>הגדרות!D7</f>
        <v/>
      </c>
      <c r="L567">
        <f>I567*(1+J567/100)+K567</f>
        <v/>
      </c>
    </row>
    <row r="568">
      <c r="A568" t="inlineStr">
        <is>
          <t>Purina Pro Plan VET</t>
        </is>
      </c>
      <c r="B568" t="inlineStr">
        <is>
          <t>פרו פלאן "מזון יעודי" לחתול NF - לטיפול במחלות כליה</t>
        </is>
      </c>
      <c r="D568" t="inlineStr">
        <is>
          <t>13670077</t>
        </is>
      </c>
      <c r="E568" t="inlineStr">
        <is>
          <t>2026-06</t>
        </is>
      </c>
      <c r="F568" t="n">
        <v>8.039999999999999</v>
      </c>
      <c r="G568" t="n">
        <v>9.49</v>
      </c>
      <c r="H568">
        <f>הגדרות!B7</f>
        <v/>
      </c>
      <c r="I568">
        <f>F568*(1-H568/100)*1.18</f>
        <v/>
      </c>
      <c r="J568">
        <f>הגדרות!C7</f>
        <v/>
      </c>
      <c r="K568">
        <f>הגדרות!D7</f>
        <v/>
      </c>
      <c r="L568">
        <f>I568*(1+J568/100)+K568</f>
        <v/>
      </c>
    </row>
    <row r="569">
      <c r="A569" t="inlineStr">
        <is>
          <t>Purina Pro Plan VET</t>
        </is>
      </c>
      <c r="B569" t="inlineStr">
        <is>
          <t>פרו פלאן "מזון יעודי" לחתול NF - לטיפול במחלות כליה</t>
        </is>
      </c>
      <c r="D569" t="inlineStr">
        <is>
          <t>12603137</t>
        </is>
      </c>
      <c r="E569" t="inlineStr">
        <is>
          <t>2026-06</t>
        </is>
      </c>
      <c r="F569" t="n">
        <v>9.130000000000001</v>
      </c>
      <c r="G569" t="n">
        <v>10.77</v>
      </c>
      <c r="H569">
        <f>הגדרות!B7</f>
        <v/>
      </c>
      <c r="I569">
        <f>F569*(1-H569/100)*1.18</f>
        <v/>
      </c>
      <c r="J569">
        <f>הגדרות!C7</f>
        <v/>
      </c>
      <c r="K569">
        <f>הגדרות!D7</f>
        <v/>
      </c>
      <c r="L569">
        <f>I569*(1+J569/100)+K569</f>
        <v/>
      </c>
    </row>
    <row r="570">
      <c r="A570" t="inlineStr">
        <is>
          <t>Purina Pro Plan VET</t>
        </is>
      </c>
      <c r="B570" t="inlineStr">
        <is>
          <t>פרו פלאן "מזון יעודי" לחתול EN - לתמיכה במערכת העיכול</t>
        </is>
      </c>
      <c r="D570" t="inlineStr">
        <is>
          <t>13669496</t>
        </is>
      </c>
      <c r="E570" t="inlineStr">
        <is>
          <t>2026-06</t>
        </is>
      </c>
      <c r="F570" t="n">
        <v>8.039999999999999</v>
      </c>
      <c r="G570" t="n">
        <v>9.49</v>
      </c>
      <c r="H570">
        <f>הגדרות!B7</f>
        <v/>
      </c>
      <c r="I570">
        <f>F570*(1-H570/100)*1.18</f>
        <v/>
      </c>
      <c r="J570">
        <f>הגדרות!C7</f>
        <v/>
      </c>
      <c r="K570">
        <f>הגדרות!D7</f>
        <v/>
      </c>
      <c r="L570">
        <f>I570*(1+J570/100)+K570</f>
        <v/>
      </c>
    </row>
    <row r="571">
      <c r="A571" t="inlineStr">
        <is>
          <t>Purina Pro Plan VET</t>
        </is>
      </c>
      <c r="B571" t="inlineStr">
        <is>
          <t>פרו פלאן "מזון יעודי" לחתול EN - לתמיכה במערכת העיכול</t>
        </is>
      </c>
      <c r="D571" t="inlineStr">
        <is>
          <t>12621842</t>
        </is>
      </c>
      <c r="E571" t="inlineStr">
        <is>
          <t>2026-06</t>
        </is>
      </c>
      <c r="F571" t="n">
        <v>10.92</v>
      </c>
      <c r="G571" t="n">
        <v>12.89</v>
      </c>
      <c r="H571">
        <f>הגדרות!B7</f>
        <v/>
      </c>
      <c r="I571">
        <f>F571*(1-H571/100)*1.18</f>
        <v/>
      </c>
      <c r="J571">
        <f>הגדרות!C7</f>
        <v/>
      </c>
      <c r="K571">
        <f>הגדרות!D7</f>
        <v/>
      </c>
      <c r="L571">
        <f>I571*(1+J571/100)+K571</f>
        <v/>
      </c>
    </row>
    <row r="572">
      <c r="A572" t="inlineStr">
        <is>
          <t>Purina Pro Plan VET</t>
        </is>
      </c>
      <c r="B572" t="inlineStr">
        <is>
          <t>פרו פלאן "מזון יעודי" לכלב EN - לתמיכה במערכת העיכול</t>
        </is>
      </c>
      <c r="D572" t="inlineStr">
        <is>
          <t>12617132</t>
        </is>
      </c>
      <c r="E572" t="inlineStr">
        <is>
          <t>2026-06</t>
        </is>
      </c>
      <c r="F572" t="n">
        <v>17.69</v>
      </c>
      <c r="G572" t="n">
        <v>20.87</v>
      </c>
      <c r="H572">
        <f>הגדרות!B7</f>
        <v/>
      </c>
      <c r="I572">
        <f>F572*(1-H572/100)*1.18</f>
        <v/>
      </c>
      <c r="J572">
        <f>הגדרות!C7</f>
        <v/>
      </c>
      <c r="K572">
        <f>הגדרות!D7</f>
        <v/>
      </c>
      <c r="L572">
        <f>I572*(1+J572/100)+K572</f>
        <v/>
      </c>
    </row>
    <row r="573">
      <c r="A573" t="inlineStr">
        <is>
          <t>Purina Pro Plan VET</t>
        </is>
      </c>
      <c r="B573" t="inlineStr">
        <is>
          <t>פרו פלאן "מזון יעודי" לכלב NF - לטיפול במחלות כליה</t>
        </is>
      </c>
      <c r="D573" t="inlineStr">
        <is>
          <t>12570828</t>
        </is>
      </c>
      <c r="E573" t="inlineStr">
        <is>
          <t>2026-06</t>
        </is>
      </c>
      <c r="F573" t="n">
        <v>17.69</v>
      </c>
      <c r="G573" t="n">
        <v>20.87</v>
      </c>
      <c r="H573">
        <f>הגדרות!B7</f>
        <v/>
      </c>
      <c r="I573">
        <f>F573*(1-H573/100)*1.18</f>
        <v/>
      </c>
      <c r="J573">
        <f>הגדרות!C7</f>
        <v/>
      </c>
      <c r="K573">
        <f>הגדרות!D7</f>
        <v/>
      </c>
      <c r="L573">
        <f>I573*(1+J573/100)+K573</f>
        <v/>
      </c>
    </row>
    <row r="574">
      <c r="A574" t="inlineStr">
        <is>
          <t>Purina Pro Plan VET</t>
        </is>
      </c>
      <c r="B574" t="inlineStr">
        <is>
          <t>פרו פלאן "מזון יעודי" לכלב HA - לסיוע במניעת אלרגיה למזון</t>
        </is>
      </c>
      <c r="D574" t="inlineStr">
        <is>
          <t>12603193</t>
        </is>
      </c>
      <c r="E574" t="inlineStr">
        <is>
          <t>2026-06</t>
        </is>
      </c>
      <c r="F574" t="n">
        <v>18.57</v>
      </c>
      <c r="G574" t="n">
        <v>21.91</v>
      </c>
      <c r="H574">
        <f>הגדרות!B7</f>
        <v/>
      </c>
      <c r="I574">
        <f>F574*(1-H574/100)*1.18</f>
        <v/>
      </c>
      <c r="J574">
        <f>הגדרות!C7</f>
        <v/>
      </c>
      <c r="K574">
        <f>הגדרות!D7</f>
        <v/>
      </c>
      <c r="L574">
        <f>I574*(1+J574/100)+K574</f>
        <v/>
      </c>
    </row>
    <row r="575">
      <c r="A575" t="inlineStr">
        <is>
          <t>Purina Pro Plan חנויות</t>
        </is>
      </c>
      <c r="B575" t="inlineStr">
        <is>
          <t>HA חתול - מניעת אלרגיה למזון</t>
        </is>
      </c>
      <c r="C575" t="inlineStr">
        <is>
          <t>אלרגיה למזון</t>
        </is>
      </c>
      <c r="F575" t="n">
        <v>99.5</v>
      </c>
      <c r="G575" t="n">
        <v>117.41</v>
      </c>
      <c r="H575">
        <f>הגדרות!B8</f>
        <v/>
      </c>
      <c r="I575">
        <f>F575*(1-H575/100)*1.18</f>
        <v/>
      </c>
      <c r="J575">
        <f>הגדרות!C8</f>
        <v/>
      </c>
      <c r="K575">
        <f>הגדרות!D8</f>
        <v/>
      </c>
      <c r="L575">
        <f>I575*(1+J575/100)+K575</f>
        <v/>
      </c>
    </row>
    <row r="576">
      <c r="A576" t="inlineStr">
        <is>
          <t>Purina Pro Plan חנויות</t>
        </is>
      </c>
      <c r="B576" t="inlineStr">
        <is>
          <t>DM חתול - סוכרת</t>
        </is>
      </c>
      <c r="C576" t="inlineStr">
        <is>
          <t>סוכרת</t>
        </is>
      </c>
      <c r="F576" t="n">
        <v>72.45</v>
      </c>
      <c r="G576" t="n">
        <v>85.48999999999999</v>
      </c>
      <c r="H576">
        <f>הגדרות!B8</f>
        <v/>
      </c>
      <c r="I576">
        <f>F576*(1-H576/100)*1.18</f>
        <v/>
      </c>
      <c r="J576">
        <f>הגדרות!C8</f>
        <v/>
      </c>
      <c r="K576">
        <f>הגדרות!D8</f>
        <v/>
      </c>
      <c r="L576">
        <f>I576*(1+J576/100)+K576</f>
        <v/>
      </c>
    </row>
    <row r="577">
      <c r="A577" t="inlineStr">
        <is>
          <t>Purina Pro Plan חנויות</t>
        </is>
      </c>
      <c r="B577" t="inlineStr">
        <is>
          <t>EN חתול - מערכת עיכול</t>
        </is>
      </c>
      <c r="C577" t="inlineStr">
        <is>
          <t>מערכת עיכול</t>
        </is>
      </c>
      <c r="F577" t="n">
        <v>72.45</v>
      </c>
      <c r="G577" t="n">
        <v>85.48999999999999</v>
      </c>
      <c r="H577">
        <f>הגדרות!B8</f>
        <v/>
      </c>
      <c r="I577">
        <f>F577*(1-H577/100)*1.18</f>
        <v/>
      </c>
      <c r="J577">
        <f>הגדרות!C8</f>
        <v/>
      </c>
      <c r="K577">
        <f>הגדרות!D8</f>
        <v/>
      </c>
      <c r="L577">
        <f>I577*(1+J577/100)+K577</f>
        <v/>
      </c>
    </row>
    <row r="578">
      <c r="A578" t="inlineStr">
        <is>
          <t>Purina Pro Plan חנויות</t>
        </is>
      </c>
      <c r="B578" t="inlineStr">
        <is>
          <t>NF חתול - מחלות כליה</t>
        </is>
      </c>
      <c r="C578" t="inlineStr">
        <is>
          <t>מחלות כליה</t>
        </is>
      </c>
      <c r="F578" t="n">
        <v>85.67</v>
      </c>
      <c r="G578" t="n">
        <v>101.09</v>
      </c>
      <c r="H578">
        <f>הגדרות!B8</f>
        <v/>
      </c>
      <c r="I578">
        <f>F578*(1-H578/100)*1.18</f>
        <v/>
      </c>
      <c r="J578">
        <f>הגדרות!C8</f>
        <v/>
      </c>
      <c r="K578">
        <f>הגדרות!D8</f>
        <v/>
      </c>
      <c r="L578">
        <f>I578*(1+J578/100)+K578</f>
        <v/>
      </c>
    </row>
    <row r="579">
      <c r="A579" t="inlineStr">
        <is>
          <t>Purina Pro Plan חנויות</t>
        </is>
      </c>
      <c r="B579" t="inlineStr">
        <is>
          <t>UR חתול דגי ים - דרכי שתן</t>
        </is>
      </c>
      <c r="C579" t="inlineStr">
        <is>
          <t>דרכי שתן</t>
        </is>
      </c>
      <c r="F579" t="n">
        <v>75.31</v>
      </c>
      <c r="G579" t="n">
        <v>88.87</v>
      </c>
      <c r="H579">
        <f>הגדרות!B8</f>
        <v/>
      </c>
      <c r="I579">
        <f>F579*(1-H579/100)*1.18</f>
        <v/>
      </c>
      <c r="J579">
        <f>הגדרות!C8</f>
        <v/>
      </c>
      <c r="K579">
        <f>הגדרות!D8</f>
        <v/>
      </c>
      <c r="L579">
        <f>I579*(1+J579/100)+K579</f>
        <v/>
      </c>
    </row>
    <row r="580">
      <c r="A580" t="inlineStr">
        <is>
          <t>Purina Pro Plan חנויות</t>
        </is>
      </c>
      <c r="B580" t="inlineStr">
        <is>
          <t>HA חתול - מניעת אלרגיה למזון</t>
        </is>
      </c>
      <c r="C580" t="inlineStr">
        <is>
          <t>אלרגיה למזון</t>
        </is>
      </c>
      <c r="F580" t="n">
        <v>235.94</v>
      </c>
      <c r="G580" t="n">
        <v>278.41</v>
      </c>
      <c r="H580">
        <f>הגדרות!B8</f>
        <v/>
      </c>
      <c r="I580">
        <f>F580*(1-H580/100)*1.18</f>
        <v/>
      </c>
      <c r="J580">
        <f>הגדרות!C8</f>
        <v/>
      </c>
      <c r="K580">
        <f>הגדרות!D8</f>
        <v/>
      </c>
      <c r="L580">
        <f>I580*(1+J580/100)+K580</f>
        <v/>
      </c>
    </row>
    <row r="581">
      <c r="A581" t="inlineStr">
        <is>
          <t>Purina Pro Plan חנויות</t>
        </is>
      </c>
      <c r="B581" t="inlineStr">
        <is>
          <t>NF חתול - מחלות כליה</t>
        </is>
      </c>
      <c r="C581" t="inlineStr">
        <is>
          <t>מחלות כליה</t>
        </is>
      </c>
      <c r="F581" t="n">
        <v>178.5</v>
      </c>
      <c r="G581" t="n">
        <v>210.63</v>
      </c>
      <c r="H581">
        <f>הגדרות!B8</f>
        <v/>
      </c>
      <c r="I581">
        <f>F581*(1-H581/100)*1.18</f>
        <v/>
      </c>
      <c r="J581">
        <f>הגדרות!C8</f>
        <v/>
      </c>
      <c r="K581">
        <f>הגדרות!D8</f>
        <v/>
      </c>
      <c r="L581">
        <f>I581*(1+J581/100)+K581</f>
        <v/>
      </c>
    </row>
    <row r="582">
      <c r="A582" t="inlineStr">
        <is>
          <t>Purina Pro Plan חנויות</t>
        </is>
      </c>
      <c r="B582" t="inlineStr">
        <is>
          <t>OM חתול - ירידה במשקל</t>
        </is>
      </c>
      <c r="C582" t="inlineStr">
        <is>
          <t>השמנה / ירידה במשקל</t>
        </is>
      </c>
      <c r="F582" t="n">
        <v>189</v>
      </c>
      <c r="G582" t="n">
        <v>223.02</v>
      </c>
      <c r="H582">
        <f>הגדרות!B8</f>
        <v/>
      </c>
      <c r="I582">
        <f>F582*(1-H582/100)*1.18</f>
        <v/>
      </c>
      <c r="J582">
        <f>הגדרות!C8</f>
        <v/>
      </c>
      <c r="K582">
        <f>הגדרות!D8</f>
        <v/>
      </c>
      <c r="L582">
        <f>I582*(1+J582/100)+K582</f>
        <v/>
      </c>
    </row>
    <row r="583">
      <c r="A583" t="inlineStr">
        <is>
          <t>Purina Pro Plan חנויות</t>
        </is>
      </c>
      <c r="B583" t="inlineStr">
        <is>
          <t>UR חתול דגי ים - דרכי שתן</t>
        </is>
      </c>
      <c r="C583" t="inlineStr">
        <is>
          <t>דרכי שתן</t>
        </is>
      </c>
      <c r="F583" t="n">
        <v>178.5</v>
      </c>
      <c r="G583" t="n">
        <v>210.63</v>
      </c>
      <c r="H583">
        <f>הגדרות!B8</f>
        <v/>
      </c>
      <c r="I583">
        <f>F583*(1-H583/100)*1.18</f>
        <v/>
      </c>
      <c r="J583">
        <f>הגדרות!C8</f>
        <v/>
      </c>
      <c r="K583">
        <f>הגדרות!D8</f>
        <v/>
      </c>
      <c r="L583">
        <f>I583*(1+J583/100)+K583</f>
        <v/>
      </c>
    </row>
    <row r="584">
      <c r="A584" t="inlineStr">
        <is>
          <t>Purina Pro Plan חנויות</t>
        </is>
      </c>
      <c r="B584" t="inlineStr">
        <is>
          <t>UR חתול לח - דרכי שתן</t>
        </is>
      </c>
      <c r="C584" t="inlineStr">
        <is>
          <t>דרכי שתן</t>
        </is>
      </c>
      <c r="F584" t="n">
        <v>8.69</v>
      </c>
      <c r="G584" t="n">
        <v>10.25</v>
      </c>
      <c r="H584">
        <f>הגדרות!B8</f>
        <v/>
      </c>
      <c r="I584">
        <f>F584*(1-H584/100)*1.18</f>
        <v/>
      </c>
      <c r="J584">
        <f>הגדרות!C8</f>
        <v/>
      </c>
      <c r="K584">
        <f>הגדרות!D8</f>
        <v/>
      </c>
      <c r="L584">
        <f>I584*(1+J584/100)+K584</f>
        <v/>
      </c>
    </row>
    <row r="585">
      <c r="A585" t="inlineStr">
        <is>
          <t>Purina Pro Plan חנויות</t>
        </is>
      </c>
      <c r="B585" t="inlineStr">
        <is>
          <t>NF חתול לח - כליה</t>
        </is>
      </c>
      <c r="C585" t="inlineStr">
        <is>
          <t>מחלות כליה</t>
        </is>
      </c>
      <c r="F585" t="n">
        <v>8.69</v>
      </c>
      <c r="G585" t="n">
        <v>10.25</v>
      </c>
      <c r="H585">
        <f>הגדרות!B8</f>
        <v/>
      </c>
      <c r="I585">
        <f>F585*(1-H585/100)*1.18</f>
        <v/>
      </c>
      <c r="J585">
        <f>הגדרות!C8</f>
        <v/>
      </c>
      <c r="K585">
        <f>הגדרות!D8</f>
        <v/>
      </c>
      <c r="L585">
        <f>I585*(1+J585/100)+K585</f>
        <v/>
      </c>
    </row>
    <row r="586">
      <c r="A586" t="inlineStr">
        <is>
          <t>Purina Pro Plan חנויות</t>
        </is>
      </c>
      <c r="B586" t="inlineStr">
        <is>
          <t>EN חתול לח - עיכול</t>
        </is>
      </c>
      <c r="C586" t="inlineStr">
        <is>
          <t>מערכת עיכול</t>
        </is>
      </c>
      <c r="F586" t="n">
        <v>10.4</v>
      </c>
      <c r="G586" t="n">
        <v>12.27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Purina Pro Plan חנויות</t>
        </is>
      </c>
      <c r="B587" t="inlineStr">
        <is>
          <t>CN חתול/כלב לח - התאוששות</t>
        </is>
      </c>
      <c r="C587" t="inlineStr">
        <is>
          <t>התאוששות</t>
        </is>
      </c>
      <c r="F587" t="n">
        <v>8.69</v>
      </c>
      <c r="G587" t="n">
        <v>10.25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Purina Pro Plan חנויות</t>
        </is>
      </c>
      <c r="B588" t="inlineStr">
        <is>
          <t>HA כלב - מניעת אלרגיה למזון</t>
        </is>
      </c>
      <c r="C588" t="inlineStr">
        <is>
          <t>אלרגיה למזון</t>
        </is>
      </c>
      <c r="F588" t="n">
        <v>75.45999999999999</v>
      </c>
      <c r="G588" t="n">
        <v>89.04000000000001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Purina Pro Plan חנויות</t>
        </is>
      </c>
      <c r="B589" t="inlineStr">
        <is>
          <t>EN כלב - מערכת עיכול</t>
        </is>
      </c>
      <c r="C589" t="inlineStr">
        <is>
          <t>מערכת עיכול</t>
        </is>
      </c>
      <c r="F589" t="n">
        <v>77.98999999999999</v>
      </c>
      <c r="G589" t="n">
        <v>92.03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Purina Pro Plan חנויות</t>
        </is>
      </c>
      <c r="B590" t="inlineStr">
        <is>
          <t>OM כלב - ירידה במשקל</t>
        </is>
      </c>
      <c r="C590" t="inlineStr">
        <is>
          <t>השמנה / ירידה במשקל</t>
        </is>
      </c>
      <c r="F590" t="n">
        <v>124.86</v>
      </c>
      <c r="G590" t="n">
        <v>147.33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Purina Pro Plan חנויות</t>
        </is>
      </c>
      <c r="B591" t="inlineStr">
        <is>
          <t>HA כלב - מניעת אלרגיה</t>
        </is>
      </c>
      <c r="C591" t="inlineStr">
        <is>
          <t>אלרגיה למזון</t>
        </is>
      </c>
      <c r="F591" t="n">
        <v>145</v>
      </c>
      <c r="G591" t="n">
        <v>171.1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Purina Pro Plan חנויות</t>
        </is>
      </c>
      <c r="B592" t="inlineStr">
        <is>
          <t>DRM כלב - אלרגיה עורית</t>
        </is>
      </c>
      <c r="C592" t="inlineStr">
        <is>
          <t>עור ופרווה</t>
        </is>
      </c>
      <c r="F592" t="n">
        <v>109.62</v>
      </c>
      <c r="G592" t="n">
        <v>129.35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Purina Pro Plan חנויות</t>
        </is>
      </c>
      <c r="B593" t="inlineStr">
        <is>
          <t>EN כלב - מערכת עיכול</t>
        </is>
      </c>
      <c r="C593" t="inlineStr">
        <is>
          <t>מערכת עיכול</t>
        </is>
      </c>
      <c r="F593" t="n">
        <v>175.1</v>
      </c>
      <c r="G593" t="n">
        <v>206.62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Purina Pro Plan חנויות</t>
        </is>
      </c>
      <c r="B594" t="inlineStr">
        <is>
          <t>HA כלב - מניעת אלרגיה למזון</t>
        </is>
      </c>
      <c r="C594" t="inlineStr">
        <is>
          <t>אלרגיה למזון</t>
        </is>
      </c>
      <c r="F594" t="n">
        <v>426.93</v>
      </c>
      <c r="G594" t="n">
        <v>503.78</v>
      </c>
      <c r="H594">
        <f>הגדרות!B8</f>
        <v/>
      </c>
      <c r="I594">
        <f>F594*(1-H594/100)*1.18</f>
        <v/>
      </c>
      <c r="J594">
        <f>הגדרות!C8</f>
        <v/>
      </c>
      <c r="K594">
        <f>הגדרות!D8</f>
        <v/>
      </c>
      <c r="L594">
        <f>I594*(1+J594/100)+K594</f>
        <v/>
      </c>
    </row>
    <row r="595">
      <c r="A595" t="inlineStr">
        <is>
          <t>Purina Pro Plan חנויות</t>
        </is>
      </c>
      <c r="B595" t="inlineStr">
        <is>
          <t>NF כלב - מחלות כליה</t>
        </is>
      </c>
      <c r="C595" t="inlineStr">
        <is>
          <t>מחלות כליה</t>
        </is>
      </c>
      <c r="F595" t="n">
        <v>348</v>
      </c>
      <c r="G595" t="n">
        <v>410.64</v>
      </c>
      <c r="H595">
        <f>הגדרות!B8</f>
        <v/>
      </c>
      <c r="I595">
        <f>F595*(1-H595/100)*1.18</f>
        <v/>
      </c>
      <c r="J595">
        <f>הגדרות!C8</f>
        <v/>
      </c>
      <c r="K595">
        <f>הגדרות!D8</f>
        <v/>
      </c>
      <c r="L595">
        <f>I595*(1+J595/100)+K595</f>
        <v/>
      </c>
    </row>
    <row r="596">
      <c r="A596" t="inlineStr">
        <is>
          <t>Purina Pro Plan חנויות</t>
        </is>
      </c>
      <c r="B596" t="inlineStr">
        <is>
          <t>EN כלב - מערכת עיכול</t>
        </is>
      </c>
      <c r="C596" t="inlineStr">
        <is>
          <t>מערכת עיכול</t>
        </is>
      </c>
      <c r="F596" t="n">
        <v>365.4</v>
      </c>
      <c r="G596" t="n">
        <v>431.17</v>
      </c>
      <c r="H596">
        <f>הגדרות!B8</f>
        <v/>
      </c>
      <c r="I596">
        <f>F596*(1-H596/100)*1.18</f>
        <v/>
      </c>
      <c r="J596">
        <f>הגדרות!C8</f>
        <v/>
      </c>
      <c r="K596">
        <f>הגדרות!D8</f>
        <v/>
      </c>
      <c r="L596">
        <f>I596*(1+J596/100)+K596</f>
        <v/>
      </c>
    </row>
    <row r="597">
      <c r="A597" t="inlineStr">
        <is>
          <t>Purina Pro Plan חנויות</t>
        </is>
      </c>
      <c r="B597" t="inlineStr">
        <is>
          <t>DRM כלב - אלרגיה עורית</t>
        </is>
      </c>
      <c r="C597" t="inlineStr">
        <is>
          <t>עור ופרווה</t>
        </is>
      </c>
      <c r="F597" t="n">
        <v>365.4</v>
      </c>
      <c r="G597" t="n">
        <v>431.17</v>
      </c>
      <c r="H597">
        <f>הגדרות!B8</f>
        <v/>
      </c>
      <c r="I597">
        <f>F597*(1-H597/100)*1.18</f>
        <v/>
      </c>
      <c r="J597">
        <f>הגדרות!C8</f>
        <v/>
      </c>
      <c r="K597">
        <f>הגדרות!D8</f>
        <v/>
      </c>
      <c r="L597">
        <f>I597*(1+J597/100)+K597</f>
        <v/>
      </c>
    </row>
    <row r="598">
      <c r="A598" t="inlineStr">
        <is>
          <t>Purina Pro Plan חנויות</t>
        </is>
      </c>
      <c r="B598" t="inlineStr">
        <is>
          <t>UR כלב - דרכי שתן</t>
        </is>
      </c>
      <c r="C598" t="inlineStr">
        <is>
          <t>דרכי שתן</t>
        </is>
      </c>
      <c r="F598" t="n">
        <v>387.73</v>
      </c>
      <c r="G598" t="n">
        <v>457.52</v>
      </c>
      <c r="H598">
        <f>הגדרות!B8</f>
        <v/>
      </c>
      <c r="I598">
        <f>F598*(1-H598/100)*1.18</f>
        <v/>
      </c>
      <c r="J598">
        <f>הגדרות!C8</f>
        <v/>
      </c>
      <c r="K598">
        <f>הגדרות!D8</f>
        <v/>
      </c>
      <c r="L598">
        <f>I598*(1+J598/100)+K598</f>
        <v/>
      </c>
    </row>
    <row r="599">
      <c r="A599" t="inlineStr">
        <is>
          <t>Purina Pro Plan חנויות</t>
        </is>
      </c>
      <c r="B599" t="inlineStr">
        <is>
          <t>OM כלב - ירידה במשקל</t>
        </is>
      </c>
      <c r="C599" t="inlineStr">
        <is>
          <t>השמנה / ירידה במשקל</t>
        </is>
      </c>
      <c r="F599" t="n">
        <v>344.4</v>
      </c>
      <c r="G599" t="n">
        <v>406.39</v>
      </c>
      <c r="H599">
        <f>הגדרות!B8</f>
        <v/>
      </c>
      <c r="I599">
        <f>F599*(1-H599/100)*1.18</f>
        <v/>
      </c>
      <c r="J599">
        <f>הגדרות!C8</f>
        <v/>
      </c>
      <c r="K599">
        <f>הגדרות!D8</f>
        <v/>
      </c>
      <c r="L599">
        <f>I599*(1+J599/100)+K599</f>
        <v/>
      </c>
    </row>
    <row r="600">
      <c r="A600" t="inlineStr">
        <is>
          <t>Purina Pro Plan חנויות</t>
        </is>
      </c>
      <c r="B600" t="inlineStr">
        <is>
          <t>JM כלב - פרקים</t>
        </is>
      </c>
      <c r="C600" t="inlineStr">
        <is>
          <t>מפרקים / ניידות</t>
        </is>
      </c>
      <c r="F600" t="n">
        <v>365.4</v>
      </c>
      <c r="G600" t="n">
        <v>431.17</v>
      </c>
      <c r="H600">
        <f>הגדרות!B8</f>
        <v/>
      </c>
      <c r="I600">
        <f>F600*(1-H600/100)*1.18</f>
        <v/>
      </c>
      <c r="J600">
        <f>הגדרות!C8</f>
        <v/>
      </c>
      <c r="K600">
        <f>הגדרות!D8</f>
        <v/>
      </c>
      <c r="L600">
        <f>I600*(1+J600/100)+K600</f>
        <v/>
      </c>
    </row>
    <row r="601">
      <c r="A601" t="inlineStr">
        <is>
          <t>Purina Pro Plan חנויות</t>
        </is>
      </c>
      <c r="B601" t="inlineStr">
        <is>
          <t>NC כלב - מערכת עצבים</t>
        </is>
      </c>
      <c r="C601" t="inlineStr">
        <is>
          <t>אפילפסיה / מערכת עצבים</t>
        </is>
      </c>
      <c r="F601" t="n">
        <v>387.73</v>
      </c>
      <c r="G601" t="n">
        <v>457.52</v>
      </c>
      <c r="H601">
        <f>הגדרות!B8</f>
        <v/>
      </c>
      <c r="I601">
        <f>F601*(1-H601/100)*1.18</f>
        <v/>
      </c>
      <c r="J601">
        <f>הגדרות!C8</f>
        <v/>
      </c>
      <c r="K601">
        <f>הגדרות!D8</f>
        <v/>
      </c>
      <c r="L601">
        <f>I601*(1+J601/100)+K601</f>
        <v/>
      </c>
    </row>
    <row r="602">
      <c r="A602" t="inlineStr">
        <is>
          <t>Purina Pro Plan חנויות</t>
        </is>
      </c>
      <c r="B602" t="inlineStr">
        <is>
          <t>CN כלב/חתול לח - התאוששות</t>
        </is>
      </c>
      <c r="C602" t="inlineStr">
        <is>
          <t>התאוששות</t>
        </is>
      </c>
      <c r="F602" t="n">
        <v>8.69</v>
      </c>
      <c r="G602" t="n">
        <v>10.25</v>
      </c>
      <c r="H602">
        <f>הגדרות!B8</f>
        <v/>
      </c>
      <c r="I602">
        <f>F602*(1-H602/100)*1.18</f>
        <v/>
      </c>
      <c r="J602">
        <f>הגדרות!C8</f>
        <v/>
      </c>
      <c r="K602">
        <f>הגדרות!D8</f>
        <v/>
      </c>
      <c r="L602">
        <f>I602*(1+J602/100)+K602</f>
        <v/>
      </c>
    </row>
    <row r="603">
      <c r="A603" t="inlineStr">
        <is>
          <t>Purina Pro Plan חנויות</t>
        </is>
      </c>
      <c r="B603" t="inlineStr">
        <is>
          <t>EN כלב לח - עיכול</t>
        </is>
      </c>
      <c r="C603" t="inlineStr">
        <is>
          <t>מערכת עיכול</t>
        </is>
      </c>
      <c r="F603" t="n">
        <v>16.85</v>
      </c>
      <c r="G603" t="n">
        <v>19.88</v>
      </c>
      <c r="H603">
        <f>הגדרות!B8</f>
        <v/>
      </c>
      <c r="I603">
        <f>F603*(1-H603/100)*1.18</f>
        <v/>
      </c>
      <c r="J603">
        <f>הגדרות!C8</f>
        <v/>
      </c>
      <c r="K603">
        <f>הגדרות!D8</f>
        <v/>
      </c>
      <c r="L603">
        <f>I603*(1+J603/100)+K603</f>
        <v/>
      </c>
    </row>
    <row r="604">
      <c r="A604" t="inlineStr">
        <is>
          <t>Purina Pro Plan חנויות</t>
        </is>
      </c>
      <c r="B604" t="inlineStr">
        <is>
          <t>NF כלב לח - כליה</t>
        </is>
      </c>
      <c r="C604" t="inlineStr">
        <is>
          <t>מחלות כליה</t>
        </is>
      </c>
      <c r="F604" t="n">
        <v>16.85</v>
      </c>
      <c r="G604" t="n">
        <v>19.88</v>
      </c>
      <c r="H604">
        <f>הגדרות!B8</f>
        <v/>
      </c>
      <c r="I604">
        <f>F604*(1-H604/100)*1.18</f>
        <v/>
      </c>
      <c r="J604">
        <f>הגדרות!C8</f>
        <v/>
      </c>
      <c r="K604">
        <f>הגדרות!D8</f>
        <v/>
      </c>
      <c r="L604">
        <f>I604*(1+J604/100)+K604</f>
        <v/>
      </c>
    </row>
    <row r="605">
      <c r="A605" t="inlineStr">
        <is>
          <t>Purina Pro Plan חנויות</t>
        </is>
      </c>
      <c r="B605" t="inlineStr">
        <is>
          <t>HA כלב לח - אלרגיה</t>
        </is>
      </c>
      <c r="C605" t="inlineStr">
        <is>
          <t>אלרגיה למזון</t>
        </is>
      </c>
      <c r="F605" t="n">
        <v>17.69</v>
      </c>
      <c r="G605" t="n">
        <v>20.87</v>
      </c>
      <c r="H605">
        <f>הגדרות!B8</f>
        <v/>
      </c>
      <c r="I605">
        <f>F605*(1-H605/100)*1.18</f>
        <v/>
      </c>
      <c r="J605">
        <f>הגדרות!C8</f>
        <v/>
      </c>
      <c r="K605">
        <f>הגדרות!D8</f>
        <v/>
      </c>
      <c r="L605">
        <f>I605*(1+J605/100)+K605</f>
        <v/>
      </c>
    </row>
    <row r="606">
      <c r="A606" t="inlineStr">
        <is>
          <t>Monge Vet Solution</t>
        </is>
      </c>
      <c r="B606" t="inlineStr">
        <is>
          <t>אובסיטי כלב</t>
        </is>
      </c>
      <c r="C606" t="inlineStr">
        <is>
          <t>השמנה / ירידה במשקל</t>
        </is>
      </c>
      <c r="E606" t="inlineStr">
        <is>
          <t>2025-01</t>
        </is>
      </c>
      <c r="F606" t="n">
        <v>409</v>
      </c>
      <c r="G606" t="n">
        <v>482.62</v>
      </c>
      <c r="H606">
        <f>הגדרות!B9</f>
        <v/>
      </c>
      <c r="I606">
        <f>F606*(1-H606/100)*1.18</f>
        <v/>
      </c>
      <c r="J606">
        <f>הגדרות!C9</f>
        <v/>
      </c>
      <c r="K606">
        <f>הגדרות!D9</f>
        <v/>
      </c>
      <c r="L606">
        <f>I606*(1+J606/100)+K606</f>
        <v/>
      </c>
    </row>
    <row r="607">
      <c r="A607" t="inlineStr">
        <is>
          <t>Monge Vet Solution</t>
        </is>
      </c>
      <c r="B607" t="inlineStr">
        <is>
          <t>אובסיטי כלב</t>
        </is>
      </c>
      <c r="C607" t="inlineStr">
        <is>
          <t>השמנה / ירידה במשקל</t>
        </is>
      </c>
      <c r="E607" t="inlineStr">
        <is>
          <t>2025-01</t>
        </is>
      </c>
      <c r="F607" t="n">
        <v>116</v>
      </c>
      <c r="G607" t="n">
        <v>136.88</v>
      </c>
      <c r="H607">
        <f>הגדרות!B9</f>
        <v/>
      </c>
      <c r="I607">
        <f>F607*(1-H607/100)*1.18</f>
        <v/>
      </c>
      <c r="J607">
        <f>הגדרות!C9</f>
        <v/>
      </c>
      <c r="K607">
        <f>הגדרות!D9</f>
        <v/>
      </c>
      <c r="L607">
        <f>I607*(1+J607/100)+K607</f>
        <v/>
      </c>
    </row>
    <row r="608">
      <c r="A608" t="inlineStr">
        <is>
          <t>Monge Vet Solution</t>
        </is>
      </c>
      <c r="B608" t="inlineStr">
        <is>
          <t>אינטסטינל כלב</t>
        </is>
      </c>
      <c r="C608" t="inlineStr">
        <is>
          <t>מערכת עיכול</t>
        </is>
      </c>
      <c r="E608" t="inlineStr">
        <is>
          <t>2025-01</t>
        </is>
      </c>
      <c r="F608" t="n">
        <v>409</v>
      </c>
      <c r="G608" t="n">
        <v>482.62</v>
      </c>
      <c r="H608">
        <f>הגדרות!B9</f>
        <v/>
      </c>
      <c r="I608">
        <f>F608*(1-H608/100)*1.18</f>
        <v/>
      </c>
      <c r="J608">
        <f>הגדרות!C9</f>
        <v/>
      </c>
      <c r="K608">
        <f>הגדרות!D9</f>
        <v/>
      </c>
      <c r="L608">
        <f>I608*(1+J608/100)+K608</f>
        <v/>
      </c>
    </row>
    <row r="609">
      <c r="A609" t="inlineStr">
        <is>
          <t>Monge Vet Solution</t>
        </is>
      </c>
      <c r="B609" t="inlineStr">
        <is>
          <t>אינטסטינל כלב</t>
        </is>
      </c>
      <c r="C609" t="inlineStr">
        <is>
          <t>מערכת עיכול</t>
        </is>
      </c>
      <c r="E609" t="inlineStr">
        <is>
          <t>2025-01</t>
        </is>
      </c>
      <c r="F609" t="n">
        <v>116</v>
      </c>
      <c r="G609" t="n">
        <v>136.88</v>
      </c>
      <c r="H609">
        <f>הגדרות!B9</f>
        <v/>
      </c>
      <c r="I609">
        <f>F609*(1-H609/100)*1.18</f>
        <v/>
      </c>
      <c r="J609">
        <f>הגדרות!C9</f>
        <v/>
      </c>
      <c r="K609">
        <f>הגדרות!D9</f>
        <v/>
      </c>
      <c r="L609">
        <f>I609*(1+J609/100)+K609</f>
        <v/>
      </c>
    </row>
    <row r="610">
      <c r="A610" t="inlineStr">
        <is>
          <t>Monge Vet Solution</t>
        </is>
      </c>
      <c r="B610" t="inlineStr">
        <is>
          <t>אינטסטינל פפי כלב</t>
        </is>
      </c>
      <c r="C610" t="inlineStr">
        <is>
          <t>מערכת עיכול</t>
        </is>
      </c>
      <c r="E610" t="inlineStr">
        <is>
          <t>2025-01</t>
        </is>
      </c>
      <c r="F610" t="n">
        <v>103</v>
      </c>
      <c r="G610" t="n">
        <v>121.54</v>
      </c>
      <c r="H610">
        <f>הגדרות!B9</f>
        <v/>
      </c>
      <c r="I610">
        <f>F610*(1-H610/100)*1.18</f>
        <v/>
      </c>
      <c r="J610">
        <f>הגדרות!C9</f>
        <v/>
      </c>
      <c r="K610">
        <f>הגדרות!D9</f>
        <v/>
      </c>
      <c r="L610">
        <f>I610*(1+J610/100)+K610</f>
        <v/>
      </c>
    </row>
    <row r="611">
      <c r="A611" t="inlineStr">
        <is>
          <t>Monge Vet Solution</t>
        </is>
      </c>
      <c r="B611" t="inlineStr">
        <is>
          <t>אינטסטינל פפי כלב</t>
        </is>
      </c>
      <c r="C611" t="inlineStr">
        <is>
          <t>מערכת עיכול</t>
        </is>
      </c>
      <c r="E611" t="inlineStr">
        <is>
          <t>2025-01</t>
        </is>
      </c>
      <c r="F611" t="n">
        <v>210</v>
      </c>
      <c r="G611" t="n">
        <v>247.8</v>
      </c>
      <c r="H611">
        <f>הגדרות!B9</f>
        <v/>
      </c>
      <c r="I611">
        <f>F611*(1-H611/100)*1.18</f>
        <v/>
      </c>
      <c r="J611">
        <f>הגדרות!C9</f>
        <v/>
      </c>
      <c r="K611">
        <f>הגדרות!D9</f>
        <v/>
      </c>
      <c r="L611">
        <f>I611*(1+J611/100)+K611</f>
        <v/>
      </c>
    </row>
    <row r="612">
      <c r="A612" t="inlineStr">
        <is>
          <t>Monge Vet Solution</t>
        </is>
      </c>
      <c r="B612" t="inlineStr">
        <is>
          <t>דיאבטיק חתול</t>
        </is>
      </c>
      <c r="C612" t="inlineStr">
        <is>
          <t>סוכרת</t>
        </is>
      </c>
      <c r="E612" t="inlineStr">
        <is>
          <t>2025-01</t>
        </is>
      </c>
      <c r="F612" t="n">
        <v>101</v>
      </c>
      <c r="G612" t="n">
        <v>119.18</v>
      </c>
      <c r="H612">
        <f>הגדרות!B9</f>
        <v/>
      </c>
      <c r="I612">
        <f>F612*(1-H612/100)*1.18</f>
        <v/>
      </c>
      <c r="J612">
        <f>הגדרות!C9</f>
        <v/>
      </c>
      <c r="K612">
        <f>הגדרות!D9</f>
        <v/>
      </c>
      <c r="L612">
        <f>I612*(1+J612/100)+K612</f>
        <v/>
      </c>
    </row>
    <row r="613">
      <c r="A613" t="inlineStr">
        <is>
          <t>Monge Vet Solution</t>
        </is>
      </c>
      <c r="B613" t="inlineStr">
        <is>
          <t>דיאבטיק כלב</t>
        </is>
      </c>
      <c r="C613" t="inlineStr">
        <is>
          <t>סוכרת</t>
        </is>
      </c>
      <c r="E613" t="inlineStr">
        <is>
          <t>2025-01</t>
        </is>
      </c>
      <c r="F613" t="n">
        <v>448</v>
      </c>
      <c r="G613" t="n">
        <v>528.64</v>
      </c>
      <c r="H613">
        <f>הגדרות!B9</f>
        <v/>
      </c>
      <c r="I613">
        <f>F613*(1-H613/100)*1.18</f>
        <v/>
      </c>
      <c r="J613">
        <f>הגדרות!C9</f>
        <v/>
      </c>
      <c r="K613">
        <f>הגדרות!D9</f>
        <v/>
      </c>
      <c r="L613">
        <f>I613*(1+J613/100)+K613</f>
        <v/>
      </c>
    </row>
    <row r="614">
      <c r="A614" t="inlineStr">
        <is>
          <t>Monge Vet Solution</t>
        </is>
      </c>
      <c r="B614" t="inlineStr">
        <is>
          <t>דיאבטיק כלב</t>
        </is>
      </c>
      <c r="C614" t="inlineStr">
        <is>
          <t>סוכרת</t>
        </is>
      </c>
      <c r="E614" t="inlineStr">
        <is>
          <t>2025-01</t>
        </is>
      </c>
      <c r="F614" t="n">
        <v>116</v>
      </c>
      <c r="G614" t="n">
        <v>136.88</v>
      </c>
      <c r="H614">
        <f>הגדרות!B9</f>
        <v/>
      </c>
      <c r="I614">
        <f>F614*(1-H614/100)*1.18</f>
        <v/>
      </c>
      <c r="J614">
        <f>הגדרות!C9</f>
        <v/>
      </c>
      <c r="K614">
        <f>הגדרות!D9</f>
        <v/>
      </c>
      <c r="L614">
        <f>I614*(1+J614/100)+K614</f>
        <v/>
      </c>
    </row>
    <row r="615">
      <c r="A615" t="inlineStr">
        <is>
          <t>Monge Vet Solution</t>
        </is>
      </c>
      <c r="B615" t="inlineStr">
        <is>
          <t>דרמטוזיס כלב</t>
        </is>
      </c>
      <c r="C615" t="inlineStr">
        <is>
          <t>עור ופרווה</t>
        </is>
      </c>
      <c r="E615" t="inlineStr">
        <is>
          <t>2025-01</t>
        </is>
      </c>
      <c r="F615" t="n">
        <v>406</v>
      </c>
      <c r="G615" t="n">
        <v>479.08</v>
      </c>
      <c r="H615">
        <f>הגדרות!B9</f>
        <v/>
      </c>
      <c r="I615">
        <f>F615*(1-H615/100)*1.18</f>
        <v/>
      </c>
      <c r="J615">
        <f>הגדרות!C9</f>
        <v/>
      </c>
      <c r="K615">
        <f>הגדרות!D9</f>
        <v/>
      </c>
      <c r="L615">
        <f>I615*(1+J615/100)+K615</f>
        <v/>
      </c>
    </row>
    <row r="616">
      <c r="A616" t="inlineStr">
        <is>
          <t>Monge Vet Solution</t>
        </is>
      </c>
      <c r="B616" t="inlineStr">
        <is>
          <t>דרמטוזיס כלב</t>
        </is>
      </c>
      <c r="C616" t="inlineStr">
        <is>
          <t>עור ופרווה</t>
        </is>
      </c>
      <c r="E616" t="inlineStr">
        <is>
          <t>2025-01</t>
        </is>
      </c>
      <c r="F616" t="n">
        <v>116</v>
      </c>
      <c r="G616" t="n">
        <v>136.88</v>
      </c>
      <c r="H616">
        <f>הגדרות!B9</f>
        <v/>
      </c>
      <c r="I616">
        <f>F616*(1-H616/100)*1.18</f>
        <v/>
      </c>
      <c r="J616">
        <f>הגדרות!C9</f>
        <v/>
      </c>
      <c r="K616">
        <f>הגדרות!D9</f>
        <v/>
      </c>
      <c r="L616">
        <f>I616*(1+J616/100)+K616</f>
        <v/>
      </c>
    </row>
    <row r="617">
      <c r="A617" t="inlineStr">
        <is>
          <t>Monge Vet Solution</t>
        </is>
      </c>
      <c r="B617" t="inlineStr">
        <is>
          <t>הפטיק חתול</t>
        </is>
      </c>
      <c r="C617" t="inlineStr">
        <is>
          <t>מחלות כבד</t>
        </is>
      </c>
      <c r="E617" t="inlineStr">
        <is>
          <t>2025-01</t>
        </is>
      </c>
      <c r="F617" t="n">
        <v>101</v>
      </c>
      <c r="G617" t="n">
        <v>119.18</v>
      </c>
      <c r="H617">
        <f>הגדרות!B9</f>
        <v/>
      </c>
      <c r="I617">
        <f>F617*(1-H617/100)*1.18</f>
        <v/>
      </c>
      <c r="J617">
        <f>הגדרות!C9</f>
        <v/>
      </c>
      <c r="K617">
        <f>הגדרות!D9</f>
        <v/>
      </c>
      <c r="L617">
        <f>I617*(1+J617/100)+K617</f>
        <v/>
      </c>
    </row>
    <row r="618">
      <c r="A618" t="inlineStr">
        <is>
          <t>Monge Vet Solution</t>
        </is>
      </c>
      <c r="B618" t="inlineStr">
        <is>
          <t>הפטיק כלב</t>
        </is>
      </c>
      <c r="C618" t="inlineStr">
        <is>
          <t>מחלות כבד</t>
        </is>
      </c>
      <c r="E618" t="inlineStr">
        <is>
          <t>2025-01</t>
        </is>
      </c>
      <c r="F618" t="n">
        <v>448</v>
      </c>
      <c r="G618" t="n">
        <v>528.64</v>
      </c>
      <c r="H618">
        <f>הגדרות!B9</f>
        <v/>
      </c>
      <c r="I618">
        <f>F618*(1-H618/100)*1.18</f>
        <v/>
      </c>
      <c r="J618">
        <f>הגדרות!C9</f>
        <v/>
      </c>
      <c r="K618">
        <f>הגדרות!D9</f>
        <v/>
      </c>
      <c r="L618">
        <f>I618*(1+J618/100)+K618</f>
        <v/>
      </c>
    </row>
    <row r="619">
      <c r="A619" t="inlineStr">
        <is>
          <t>Monge Vet Solution</t>
        </is>
      </c>
      <c r="B619" t="inlineStr">
        <is>
          <t>הפטיק כלב</t>
        </is>
      </c>
      <c r="C619" t="inlineStr">
        <is>
          <t>מחלות כבד</t>
        </is>
      </c>
      <c r="E619" t="inlineStr">
        <is>
          <t>2025-01</t>
        </is>
      </c>
      <c r="F619" t="n">
        <v>116</v>
      </c>
      <c r="G619" t="n">
        <v>136.88</v>
      </c>
      <c r="H619">
        <f>הגדרות!B9</f>
        <v/>
      </c>
      <c r="I619">
        <f>F619*(1-H619/100)*1.18</f>
        <v/>
      </c>
      <c r="J619">
        <f>הגדרות!C9</f>
        <v/>
      </c>
      <c r="K619">
        <f>הגדרות!D9</f>
        <v/>
      </c>
      <c r="L619">
        <f>I619*(1+J619/100)+K619</f>
        <v/>
      </c>
    </row>
    <row r="620">
      <c r="A620" t="inlineStr">
        <is>
          <t>Monge Vet Solution</t>
        </is>
      </c>
      <c r="B620" t="inlineStr">
        <is>
          <t>אובסיטי חתול</t>
        </is>
      </c>
      <c r="C620" t="inlineStr">
        <is>
          <t>השמנה / ירידה במשקל</t>
        </is>
      </c>
      <c r="E620" t="inlineStr">
        <is>
          <t>2025-01</t>
        </is>
      </c>
      <c r="F620" t="n">
        <v>97</v>
      </c>
      <c r="G620" t="n">
        <v>114.46</v>
      </c>
      <c r="H620">
        <f>הגדרות!B9</f>
        <v/>
      </c>
      <c r="I620">
        <f>F620*(1-H620/100)*1.18</f>
        <v/>
      </c>
      <c r="J620">
        <f>הגדרות!C9</f>
        <v/>
      </c>
      <c r="K620">
        <f>הגדרות!D9</f>
        <v/>
      </c>
      <c r="L620">
        <f>I620*(1+J620/100)+K620</f>
        <v/>
      </c>
    </row>
    <row r="621">
      <c r="A621" t="inlineStr">
        <is>
          <t>Monge Vet Solution</t>
        </is>
      </c>
      <c r="B621" t="inlineStr">
        <is>
          <t>אינטסטינל חתול</t>
        </is>
      </c>
      <c r="C621" t="inlineStr">
        <is>
          <t>מערכת עיכול</t>
        </is>
      </c>
      <c r="E621" t="inlineStr">
        <is>
          <t>2025-01</t>
        </is>
      </c>
      <c r="F621" t="n">
        <v>97</v>
      </c>
      <c r="G621" t="n">
        <v>114.46</v>
      </c>
      <c r="H621">
        <f>הגדרות!B9</f>
        <v/>
      </c>
      <c r="I621">
        <f>F621*(1-H621/100)*1.18</f>
        <v/>
      </c>
      <c r="J621">
        <f>הגדרות!C9</f>
        <v/>
      </c>
      <c r="K621">
        <f>הגדרות!D9</f>
        <v/>
      </c>
      <c r="L621">
        <f>I621*(1+J621/100)+K621</f>
        <v/>
      </c>
    </row>
    <row r="622">
      <c r="A622" t="inlineStr">
        <is>
          <t>Monge Vet Solution</t>
        </is>
      </c>
      <c r="B622" t="inlineStr">
        <is>
          <t>דרמטוזיס חתול</t>
        </is>
      </c>
      <c r="C622" t="inlineStr">
        <is>
          <t>עור ופרווה</t>
        </is>
      </c>
      <c r="E622" t="inlineStr">
        <is>
          <t>2025-01</t>
        </is>
      </c>
      <c r="F622" t="n">
        <v>97</v>
      </c>
      <c r="G622" t="n">
        <v>114.46</v>
      </c>
      <c r="H622">
        <f>הגדרות!B9</f>
        <v/>
      </c>
      <c r="I622">
        <f>F622*(1-H622/100)*1.18</f>
        <v/>
      </c>
      <c r="J622">
        <f>הגדרות!C9</f>
        <v/>
      </c>
      <c r="K622">
        <f>הגדרות!D9</f>
        <v/>
      </c>
      <c r="L622">
        <f>I622*(1+J622/100)+K622</f>
        <v/>
      </c>
    </row>
    <row r="623">
      <c r="A623" t="inlineStr">
        <is>
          <t>Monge Vet Solution</t>
        </is>
      </c>
      <c r="B623" t="inlineStr">
        <is>
          <t>יורינרי אוקסלייט חתול</t>
        </is>
      </c>
      <c r="C623" t="inlineStr">
        <is>
          <t>דרכי שתן</t>
        </is>
      </c>
      <c r="E623" t="inlineStr">
        <is>
          <t>2025-01</t>
        </is>
      </c>
      <c r="F623" t="n">
        <v>97</v>
      </c>
      <c r="G623" t="n">
        <v>114.46</v>
      </c>
      <c r="H623">
        <f>הגדרות!B9</f>
        <v/>
      </c>
      <c r="I623">
        <f>F623*(1-H623/100)*1.18</f>
        <v/>
      </c>
      <c r="J623">
        <f>הגדרות!C9</f>
        <v/>
      </c>
      <c r="K623">
        <f>הגדרות!D9</f>
        <v/>
      </c>
      <c r="L623">
        <f>I623*(1+J623/100)+K623</f>
        <v/>
      </c>
    </row>
    <row r="624">
      <c r="A624" t="inlineStr">
        <is>
          <t>Monge Vet Solution</t>
        </is>
      </c>
      <c r="B624" t="inlineStr">
        <is>
          <t>יורינרי סטרווויט חתול</t>
        </is>
      </c>
      <c r="C624" t="inlineStr">
        <is>
          <t>דרכי שתן</t>
        </is>
      </c>
      <c r="E624" t="inlineStr">
        <is>
          <t>2025-01</t>
        </is>
      </c>
      <c r="F624" t="n">
        <v>97</v>
      </c>
      <c r="G624" t="n">
        <v>114.46</v>
      </c>
      <c r="H624">
        <f>הגדרות!B9</f>
        <v/>
      </c>
      <c r="I624">
        <f>F624*(1-H624/100)*1.18</f>
        <v/>
      </c>
      <c r="J624">
        <f>הגדרות!C9</f>
        <v/>
      </c>
      <c r="K624">
        <f>הגדרות!D9</f>
        <v/>
      </c>
      <c r="L624">
        <f>I624*(1+J624/100)+K624</f>
        <v/>
      </c>
    </row>
    <row r="625">
      <c r="A625" t="inlineStr">
        <is>
          <t>Monge Vet Solution</t>
        </is>
      </c>
      <c r="B625" t="inlineStr">
        <is>
          <t>רנל חתול</t>
        </is>
      </c>
      <c r="C625" t="inlineStr">
        <is>
          <t>מחלות כליה</t>
        </is>
      </c>
      <c r="E625" t="inlineStr">
        <is>
          <t>2025-01</t>
        </is>
      </c>
      <c r="F625" t="n">
        <v>97</v>
      </c>
      <c r="G625" t="n">
        <v>114.46</v>
      </c>
      <c r="H625">
        <f>הגדרות!B9</f>
        <v/>
      </c>
      <c r="I625">
        <f>F625*(1-H625/100)*1.18</f>
        <v/>
      </c>
      <c r="J625">
        <f>הגדרות!C9</f>
        <v/>
      </c>
      <c r="K625">
        <f>הגדרות!D9</f>
        <v/>
      </c>
      <c r="L625">
        <f>I625*(1+J625/100)+K625</f>
        <v/>
      </c>
    </row>
    <row r="626">
      <c r="A626" t="inlineStr">
        <is>
          <t>Monge Vet Solution</t>
        </is>
      </c>
      <c r="B626" t="inlineStr">
        <is>
          <t>מוביליטי כלב</t>
        </is>
      </c>
      <c r="C626" t="inlineStr">
        <is>
          <t>מפרקים / ניידות</t>
        </is>
      </c>
      <c r="E626" t="inlineStr">
        <is>
          <t>2025-01</t>
        </is>
      </c>
      <c r="F626" t="n">
        <v>448</v>
      </c>
      <c r="G626" t="n">
        <v>528.64</v>
      </c>
      <c r="H626">
        <f>הגדרות!B9</f>
        <v/>
      </c>
      <c r="I626">
        <f>F626*(1-H626/100)*1.18</f>
        <v/>
      </c>
      <c r="J626">
        <f>הגדרות!C9</f>
        <v/>
      </c>
      <c r="K626">
        <f>הגדרות!D9</f>
        <v/>
      </c>
      <c r="L626">
        <f>I626*(1+J626/100)+K626</f>
        <v/>
      </c>
    </row>
    <row r="627">
      <c r="A627" t="inlineStr">
        <is>
          <t>Monge Vet Solution</t>
        </is>
      </c>
      <c r="B627" t="inlineStr">
        <is>
          <t>קרדיאק כלב</t>
        </is>
      </c>
      <c r="C627" t="inlineStr">
        <is>
          <t>לב</t>
        </is>
      </c>
      <c r="E627" t="inlineStr">
        <is>
          <t>2025-01</t>
        </is>
      </c>
      <c r="F627" t="n">
        <v>448</v>
      </c>
      <c r="G627" t="n">
        <v>528.64</v>
      </c>
      <c r="H627">
        <f>הגדרות!B9</f>
        <v/>
      </c>
      <c r="I627">
        <f>F627*(1-H627/100)*1.18</f>
        <v/>
      </c>
      <c r="J627">
        <f>הגדרות!C9</f>
        <v/>
      </c>
      <c r="K627">
        <f>הגדרות!D9</f>
        <v/>
      </c>
      <c r="L627">
        <f>I627*(1+J627/100)+K627</f>
        <v/>
      </c>
    </row>
    <row r="628">
      <c r="A628" t="inlineStr">
        <is>
          <t>Monge Vet Solution</t>
        </is>
      </c>
      <c r="B628" t="inlineStr">
        <is>
          <t>קרדיאק כלב</t>
        </is>
      </c>
      <c r="C628" t="inlineStr">
        <is>
          <t>לב</t>
        </is>
      </c>
      <c r="E628" t="inlineStr">
        <is>
          <t>2025-01</t>
        </is>
      </c>
      <c r="F628" t="n">
        <v>116</v>
      </c>
      <c r="G628" t="n">
        <v>136.88</v>
      </c>
      <c r="H628">
        <f>הגדרות!B9</f>
        <v/>
      </c>
      <c r="I628">
        <f>F628*(1-H628/100)*1.18</f>
        <v/>
      </c>
      <c r="J628">
        <f>הגדרות!C9</f>
        <v/>
      </c>
      <c r="K628">
        <f>הגדרות!D9</f>
        <v/>
      </c>
      <c r="L628">
        <f>I628*(1+J628/100)+K628</f>
        <v/>
      </c>
    </row>
    <row r="629">
      <c r="A629" t="inlineStr">
        <is>
          <t>Monge Vet Solution</t>
        </is>
      </c>
      <c r="B629" t="inlineStr">
        <is>
          <t>רנל כלב</t>
        </is>
      </c>
      <c r="C629" t="inlineStr">
        <is>
          <t>מחלות כליה</t>
        </is>
      </c>
      <c r="E629" t="inlineStr">
        <is>
          <t>2025-01</t>
        </is>
      </c>
      <c r="F629" t="n">
        <v>431</v>
      </c>
      <c r="G629" t="n">
        <v>508.58</v>
      </c>
      <c r="H629">
        <f>הגדרות!B9</f>
        <v/>
      </c>
      <c r="I629">
        <f>F629*(1-H629/100)*1.18</f>
        <v/>
      </c>
      <c r="J629">
        <f>הגדרות!C9</f>
        <v/>
      </c>
      <c r="K629">
        <f>הגדרות!D9</f>
        <v/>
      </c>
      <c r="L629">
        <f>I629*(1+J629/100)+K629</f>
        <v/>
      </c>
    </row>
    <row r="630">
      <c r="A630" t="inlineStr">
        <is>
          <t>Monge Vet Solution</t>
        </is>
      </c>
      <c r="B630" t="inlineStr">
        <is>
          <t>רנל כלב</t>
        </is>
      </c>
      <c r="C630" t="inlineStr">
        <is>
          <t>מחלות כליה</t>
        </is>
      </c>
      <c r="E630" t="inlineStr">
        <is>
          <t>2025-01</t>
        </is>
      </c>
      <c r="F630" t="n">
        <v>116</v>
      </c>
      <c r="G630" t="n">
        <v>136.88</v>
      </c>
      <c r="H630">
        <f>הגדרות!B9</f>
        <v/>
      </c>
      <c r="I630">
        <f>F630*(1-H630/100)*1.18</f>
        <v/>
      </c>
      <c r="J630">
        <f>הגדרות!C9</f>
        <v/>
      </c>
      <c r="K630">
        <f>הגדרות!D9</f>
        <v/>
      </c>
      <c r="L630">
        <f>I630*(1+J630/100)+K630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2026-08-26T09:35:18Z</dcterms:created>
  <dcterms:modified xmlns:dcterms="http://purl.org/dc/terms/" xmlns:xsi="http://www.w3.org/2001/XMLSchema-instance" xsi:type="dcterms:W3CDTF">2026-08-26T09:35:18Z</dcterms:modified>
</cp:coreProperties>
</file>