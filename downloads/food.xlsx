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 (פרמינה)</t>
        </is>
      </c>
      <c r="B7" t="n">
        <v>0</v>
      </c>
      <c r="C7" t="n">
        <v>0</v>
      </c>
      <c r="D7" t="n">
        <v>0</v>
      </c>
    </row>
    <row r="8">
      <c r="A8" t="inlineStr">
        <is>
          <t>פרמינה N&amp;D</t>
        </is>
      </c>
      <c r="B8" t="n">
        <v>0</v>
      </c>
      <c r="C8" t="n">
        <v>0</v>
      </c>
      <c r="D8" t="n">
        <v>0</v>
      </c>
    </row>
    <row r="9">
      <c r="A9" t="inlineStr">
        <is>
          <t>Purina Pro Plan VET</t>
        </is>
      </c>
      <c r="B9" t="n">
        <v>0</v>
      </c>
      <c r="C9" t="n">
        <v>0</v>
      </c>
      <c r="D9" t="n">
        <v>0</v>
      </c>
    </row>
    <row r="10">
      <c r="A10" t="inlineStr">
        <is>
          <t>פורינה (חנויות)</t>
        </is>
      </c>
      <c r="B10" t="n">
        <v>0</v>
      </c>
      <c r="C10" t="n">
        <v>0</v>
      </c>
      <c r="D10" t="n">
        <v>0</v>
      </c>
    </row>
    <row r="11">
      <c r="A11" t="inlineStr">
        <is>
          <t>Monge Vet Solution</t>
        </is>
      </c>
      <c r="B11" t="n">
        <v>0</v>
      </c>
      <c r="C11" t="n">
        <v>0</v>
      </c>
      <c r="D11" t="n">
        <v>0</v>
      </c>
    </row>
    <row r="12">
      <c r="A12" t="inlineStr">
        <is>
          <t>Monge</t>
        </is>
      </c>
      <c r="B12" t="n">
        <v>0</v>
      </c>
      <c r="C12" t="n">
        <v>0</v>
      </c>
      <c r="D12" t="n">
        <v>0</v>
      </c>
    </row>
    <row r="14">
      <c r="A14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35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14" customWidth="1" min="12" max="12"/>
    <col width="9" customWidth="1" min="13" max="13"/>
    <col width="18" customWidth="1" min="14" max="14"/>
    <col width="9" customWidth="1" min="15" max="15"/>
    <col width="9" customWidth="1" min="16" max="16"/>
    <col width="14" customWidth="1" min="17" max="17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סוג המזון</t>
        </is>
      </c>
      <c r="F1" s="2" t="inlineStr">
        <is>
          <t>יבש / רטוב</t>
        </is>
      </c>
      <c r="G1" s="2" t="inlineStr">
        <is>
          <t>שלב חיים</t>
        </is>
      </c>
      <c r="H1" s="2" t="inlineStr">
        <is>
          <t>חיה</t>
        </is>
      </c>
      <c r="I1" s="2" t="inlineStr">
        <is>
          <t>גודל הכלב</t>
        </is>
      </c>
      <c r="J1" s="2" t="inlineStr">
        <is>
          <t>תאריך מחירון</t>
        </is>
      </c>
      <c r="K1" s="2" t="inlineStr">
        <is>
          <t>מחיר ללא מע"מ</t>
        </is>
      </c>
      <c r="L1" s="2" t="inlineStr">
        <is>
          <t>מחיר כולל מע"מ</t>
        </is>
      </c>
      <c r="M1" s="2" t="inlineStr">
        <is>
          <t>הנחה %</t>
        </is>
      </c>
      <c r="N1" s="2" t="inlineStr">
        <is>
          <t>עלות אחרי הנחה (כולל מע"מ)</t>
        </is>
      </c>
      <c r="O1" s="2" t="inlineStr">
        <is>
          <t>מרווח %</t>
        </is>
      </c>
      <c r="P1" s="2" t="inlineStr">
        <is>
          <t>מרווח ₪</t>
        </is>
      </c>
      <c r="Q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וטרינרי / רפואי</t>
        </is>
      </c>
      <c r="F2" t="inlineStr">
        <is>
          <t>רטוב</t>
        </is>
      </c>
      <c r="G2" t="inlineStr">
        <is>
          <t>גורים</t>
        </is>
      </c>
      <c r="H2" t="inlineStr"/>
      <c r="I2" t="inlineStr"/>
      <c r="J2" t="inlineStr">
        <is>
          <t>2026-06</t>
        </is>
      </c>
      <c r="K2" t="n">
        <v>89</v>
      </c>
      <c r="L2" t="n">
        <v>105.02</v>
      </c>
      <c r="M2">
        <f>הגדרות!B2</f>
        <v/>
      </c>
      <c r="N2">
        <f>K2*(1-M2/100)*1.18</f>
        <v/>
      </c>
      <c r="O2">
        <f>הגדרות!C2</f>
        <v/>
      </c>
      <c r="P2">
        <f>הגדרות!D2</f>
        <v/>
      </c>
      <c r="Q2">
        <f>N2*(1+O2/100)+P2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וטרינרי / רפואי</t>
        </is>
      </c>
      <c r="F3" t="inlineStr">
        <is>
          <t>רטוב</t>
        </is>
      </c>
      <c r="G3" t="inlineStr">
        <is>
          <t>גורים</t>
        </is>
      </c>
      <c r="H3" t="inlineStr"/>
      <c r="I3" t="inlineStr"/>
      <c r="J3" t="inlineStr">
        <is>
          <t>2026-06</t>
        </is>
      </c>
      <c r="K3" t="n">
        <v>89</v>
      </c>
      <c r="L3" t="n">
        <v>105.02</v>
      </c>
      <c r="M3">
        <f>הגדרות!B2</f>
        <v/>
      </c>
      <c r="N3">
        <f>K3*(1-M3/100)*1.18</f>
        <v/>
      </c>
      <c r="O3">
        <f>הגדרות!C2</f>
        <v/>
      </c>
      <c r="P3">
        <f>הגדרות!D2</f>
        <v/>
      </c>
      <c r="Q3">
        <f>N3*(1+O3/100)+P3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וטרינרי / רפואי</t>
        </is>
      </c>
      <c r="F4" t="inlineStr">
        <is>
          <t>רטוב</t>
        </is>
      </c>
      <c r="G4" t="inlineStr">
        <is>
          <t>גורים</t>
        </is>
      </c>
      <c r="H4" t="inlineStr"/>
      <c r="I4" t="inlineStr"/>
      <c r="J4" t="inlineStr">
        <is>
          <t>2026-06</t>
        </is>
      </c>
      <c r="K4" t="n">
        <v>89</v>
      </c>
      <c r="L4" t="n">
        <v>105.02</v>
      </c>
      <c r="M4">
        <f>הגדרות!B2</f>
        <v/>
      </c>
      <c r="N4">
        <f>K4*(1-M4/100)*1.18</f>
        <v/>
      </c>
      <c r="O4">
        <f>הגדרות!C2</f>
        <v/>
      </c>
      <c r="P4">
        <f>הגדרות!D2</f>
        <v/>
      </c>
      <c r="Q4">
        <f>N4*(1+O4/100)+P4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וטרינרי / רפואי</t>
        </is>
      </c>
      <c r="F5" t="inlineStr">
        <is>
          <t>רטוב</t>
        </is>
      </c>
      <c r="G5" t="inlineStr">
        <is>
          <t>גורים</t>
        </is>
      </c>
      <c r="H5" t="inlineStr">
        <is>
          <t>חתול</t>
        </is>
      </c>
      <c r="I5" t="inlineStr"/>
      <c r="J5" t="inlineStr">
        <is>
          <t>2026-06</t>
        </is>
      </c>
      <c r="K5" t="n">
        <v>89</v>
      </c>
      <c r="L5" t="n">
        <v>105.02</v>
      </c>
      <c r="M5">
        <f>הגדרות!B2</f>
        <v/>
      </c>
      <c r="N5">
        <f>K5*(1-M5/100)*1.18</f>
        <v/>
      </c>
      <c r="O5">
        <f>הגדרות!C2</f>
        <v/>
      </c>
      <c r="P5">
        <f>הגדרות!D2</f>
        <v/>
      </c>
      <c r="Q5">
        <f>N5*(1+O5/100)+P5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וטרינרי / רפואי</t>
        </is>
      </c>
      <c r="F6" t="inlineStr">
        <is>
          <t>רטוב</t>
        </is>
      </c>
      <c r="G6" t="inlineStr">
        <is>
          <t>גורים</t>
        </is>
      </c>
      <c r="H6" t="inlineStr">
        <is>
          <t>כלב</t>
        </is>
      </c>
      <c r="I6" t="inlineStr"/>
      <c r="J6" t="inlineStr">
        <is>
          <t>2026-06</t>
        </is>
      </c>
      <c r="K6" t="n">
        <v>115</v>
      </c>
      <c r="L6" t="n">
        <v>135.7</v>
      </c>
      <c r="M6">
        <f>הגדרות!B2</f>
        <v/>
      </c>
      <c r="N6">
        <f>K6*(1-M6/100)*1.18</f>
        <v/>
      </c>
      <c r="O6">
        <f>הגדרות!C2</f>
        <v/>
      </c>
      <c r="P6">
        <f>הגדרות!D2</f>
        <v/>
      </c>
      <c r="Q6">
        <f>N6*(1+O6/100)+P6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וטרינרי / רפואי</t>
        </is>
      </c>
      <c r="F7" t="inlineStr">
        <is>
          <t>יבש</t>
        </is>
      </c>
      <c r="G7" t="inlineStr"/>
      <c r="H7" t="inlineStr">
        <is>
          <t>חתול</t>
        </is>
      </c>
      <c r="I7" t="inlineStr"/>
      <c r="J7" t="inlineStr">
        <is>
          <t>2026-06</t>
        </is>
      </c>
      <c r="K7" t="n">
        <v>179</v>
      </c>
      <c r="L7" t="n">
        <v>211.22</v>
      </c>
      <c r="M7">
        <f>הגדרות!B2</f>
        <v/>
      </c>
      <c r="N7">
        <f>K7*(1-M7/100)*1.18</f>
        <v/>
      </c>
      <c r="O7">
        <f>הגדרות!C2</f>
        <v/>
      </c>
      <c r="P7">
        <f>הגדרות!D2</f>
        <v/>
      </c>
      <c r="Q7">
        <f>N7*(1+O7/100)+P7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וטרינרי / רפואי</t>
        </is>
      </c>
      <c r="F8" t="inlineStr">
        <is>
          <t>יבש</t>
        </is>
      </c>
      <c r="G8" t="inlineStr"/>
      <c r="H8" t="inlineStr">
        <is>
          <t>חתול</t>
        </is>
      </c>
      <c r="I8" t="inlineStr"/>
      <c r="J8" t="inlineStr">
        <is>
          <t>2026-06</t>
        </is>
      </c>
      <c r="K8" t="n">
        <v>139</v>
      </c>
      <c r="L8" t="n">
        <v>164.02</v>
      </c>
      <c r="M8">
        <f>הגדרות!B2</f>
        <v/>
      </c>
      <c r="N8">
        <f>K8*(1-M8/100)*1.18</f>
        <v/>
      </c>
      <c r="O8">
        <f>הגדרות!C2</f>
        <v/>
      </c>
      <c r="P8">
        <f>הגדרות!D2</f>
        <v/>
      </c>
      <c r="Q8">
        <f>N8*(1+O8/100)+P8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וטרינרי / רפואי</t>
        </is>
      </c>
      <c r="F9" t="inlineStr">
        <is>
          <t>יבש</t>
        </is>
      </c>
      <c r="G9" t="inlineStr"/>
      <c r="H9" t="inlineStr">
        <is>
          <t>חתול</t>
        </is>
      </c>
      <c r="I9" t="inlineStr"/>
      <c r="J9" t="inlineStr">
        <is>
          <t>2026-06</t>
        </is>
      </c>
      <c r="K9" t="n">
        <v>196</v>
      </c>
      <c r="L9" t="n">
        <v>231.28</v>
      </c>
      <c r="M9">
        <f>הגדרות!B2</f>
        <v/>
      </c>
      <c r="N9">
        <f>K9*(1-M9/100)*1.18</f>
        <v/>
      </c>
      <c r="O9">
        <f>הגדרות!C2</f>
        <v/>
      </c>
      <c r="P9">
        <f>הגדרות!D2</f>
        <v/>
      </c>
      <c r="Q9">
        <f>N9*(1+O9/100)+P9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וטרינרי / רפואי</t>
        </is>
      </c>
      <c r="F10" t="inlineStr">
        <is>
          <t>יבש</t>
        </is>
      </c>
      <c r="G10" t="inlineStr"/>
      <c r="H10" t="inlineStr">
        <is>
          <t>חתול</t>
        </is>
      </c>
      <c r="I10" t="inlineStr"/>
      <c r="J10" t="inlineStr">
        <is>
          <t>2026-06</t>
        </is>
      </c>
      <c r="K10" t="n">
        <v>139</v>
      </c>
      <c r="L10" t="n">
        <v>164.02</v>
      </c>
      <c r="M10">
        <f>הגדרות!B2</f>
        <v/>
      </c>
      <c r="N10">
        <f>K10*(1-M10/100)*1.18</f>
        <v/>
      </c>
      <c r="O10">
        <f>הגדרות!C2</f>
        <v/>
      </c>
      <c r="P10">
        <f>הגדרות!D2</f>
        <v/>
      </c>
      <c r="Q10">
        <f>N10*(1+O10/100)+P10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וטרינרי / רפואי</t>
        </is>
      </c>
      <c r="F11" t="inlineStr">
        <is>
          <t>יבש</t>
        </is>
      </c>
      <c r="G11" t="inlineStr"/>
      <c r="H11" t="inlineStr">
        <is>
          <t>חתול</t>
        </is>
      </c>
      <c r="I11" t="inlineStr"/>
      <c r="J11" t="inlineStr">
        <is>
          <t>2026-06</t>
        </is>
      </c>
      <c r="K11" t="n">
        <v>196</v>
      </c>
      <c r="L11" t="n">
        <v>231.28</v>
      </c>
      <c r="M11">
        <f>הגדרות!B2</f>
        <v/>
      </c>
      <c r="N11">
        <f>K11*(1-M11/100)*1.18</f>
        <v/>
      </c>
      <c r="O11">
        <f>הגדרות!C2</f>
        <v/>
      </c>
      <c r="P11">
        <f>הגדרות!D2</f>
        <v/>
      </c>
      <c r="Q11">
        <f>N11*(1+O11/100)+P11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וטרינרי / רפואי</t>
        </is>
      </c>
      <c r="F12" t="inlineStr">
        <is>
          <t>יבש</t>
        </is>
      </c>
      <c r="G12" t="inlineStr"/>
      <c r="H12" t="inlineStr">
        <is>
          <t>חתול</t>
        </is>
      </c>
      <c r="I12" t="inlineStr"/>
      <c r="J12" t="inlineStr">
        <is>
          <t>2026-06</t>
        </is>
      </c>
      <c r="K12" t="n">
        <v>139</v>
      </c>
      <c r="L12" t="n">
        <v>164.02</v>
      </c>
      <c r="M12">
        <f>הגדרות!B2</f>
        <v/>
      </c>
      <c r="N12">
        <f>K12*(1-M12/100)*1.18</f>
        <v/>
      </c>
      <c r="O12">
        <f>הגדרות!C2</f>
        <v/>
      </c>
      <c r="P12">
        <f>הגדרות!D2</f>
        <v/>
      </c>
      <c r="Q12">
        <f>N12*(1+O12/100)+P12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וטרינרי / רפואי</t>
        </is>
      </c>
      <c r="F13" t="inlineStr">
        <is>
          <t>יבש</t>
        </is>
      </c>
      <c r="G13" t="inlineStr"/>
      <c r="H13" t="inlineStr">
        <is>
          <t>חתול</t>
        </is>
      </c>
      <c r="I13" t="inlineStr"/>
      <c r="J13" t="inlineStr">
        <is>
          <t>2026-06</t>
        </is>
      </c>
      <c r="K13" t="n">
        <v>196</v>
      </c>
      <c r="L13" t="n">
        <v>231.28</v>
      </c>
      <c r="M13">
        <f>הגדרות!B2</f>
        <v/>
      </c>
      <c r="N13">
        <f>K13*(1-M13/100)*1.18</f>
        <v/>
      </c>
      <c r="O13">
        <f>הגדרות!C2</f>
        <v/>
      </c>
      <c r="P13">
        <f>הגדרות!D2</f>
        <v/>
      </c>
      <c r="Q13">
        <f>N13*(1+O13/100)+P13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וטרינרי / רפואי</t>
        </is>
      </c>
      <c r="F14" t="inlineStr">
        <is>
          <t>יבש</t>
        </is>
      </c>
      <c r="G14" t="inlineStr"/>
      <c r="H14" t="inlineStr">
        <is>
          <t>חתול</t>
        </is>
      </c>
      <c r="I14" t="inlineStr"/>
      <c r="J14" t="inlineStr">
        <is>
          <t>2026-06</t>
        </is>
      </c>
      <c r="K14" t="n">
        <v>139</v>
      </c>
      <c r="L14" t="n">
        <v>164.02</v>
      </c>
      <c r="M14">
        <f>הגדרות!B2</f>
        <v/>
      </c>
      <c r="N14">
        <f>K14*(1-M14/100)*1.18</f>
        <v/>
      </c>
      <c r="O14">
        <f>הגדרות!C2</f>
        <v/>
      </c>
      <c r="P14">
        <f>הגדרות!D2</f>
        <v/>
      </c>
      <c r="Q14">
        <f>N14*(1+O14/100)+P14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וטרינרי / רפואי</t>
        </is>
      </c>
      <c r="F15" t="inlineStr">
        <is>
          <t>יבש</t>
        </is>
      </c>
      <c r="G15" t="inlineStr"/>
      <c r="H15" t="inlineStr">
        <is>
          <t>חתול</t>
        </is>
      </c>
      <c r="I15" t="inlineStr"/>
      <c r="J15" t="inlineStr">
        <is>
          <t>2026-06</t>
        </is>
      </c>
      <c r="K15" t="n">
        <v>179</v>
      </c>
      <c r="L15" t="n">
        <v>211.22</v>
      </c>
      <c r="M15">
        <f>הגדרות!B2</f>
        <v/>
      </c>
      <c r="N15">
        <f>K15*(1-M15/100)*1.18</f>
        <v/>
      </c>
      <c r="O15">
        <f>הגדרות!C2</f>
        <v/>
      </c>
      <c r="P15">
        <f>הגדרות!D2</f>
        <v/>
      </c>
      <c r="Q15">
        <f>N15*(1+O15/100)+P15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וטרינרי / רפואי</t>
        </is>
      </c>
      <c r="F16" t="inlineStr">
        <is>
          <t>יבש</t>
        </is>
      </c>
      <c r="G16" t="inlineStr"/>
      <c r="H16" t="inlineStr">
        <is>
          <t>חתול</t>
        </is>
      </c>
      <c r="I16" t="inlineStr"/>
      <c r="J16" t="inlineStr">
        <is>
          <t>2026-06</t>
        </is>
      </c>
      <c r="K16" t="n">
        <v>288</v>
      </c>
      <c r="L16" t="n">
        <v>339.84</v>
      </c>
      <c r="M16">
        <f>הגדרות!B2</f>
        <v/>
      </c>
      <c r="N16">
        <f>K16*(1-M16/100)*1.18</f>
        <v/>
      </c>
      <c r="O16">
        <f>הגדרות!C2</f>
        <v/>
      </c>
      <c r="P16">
        <f>הגדרות!D2</f>
        <v/>
      </c>
      <c r="Q16">
        <f>N16*(1+O16/100)+P16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וטרינרי / רפואי</t>
        </is>
      </c>
      <c r="F17" t="inlineStr">
        <is>
          <t>יבש</t>
        </is>
      </c>
      <c r="G17" t="inlineStr"/>
      <c r="H17" t="inlineStr">
        <is>
          <t>חתול</t>
        </is>
      </c>
      <c r="I17" t="inlineStr"/>
      <c r="J17" t="inlineStr">
        <is>
          <t>2026-06</t>
        </is>
      </c>
      <c r="K17" t="n">
        <v>179</v>
      </c>
      <c r="L17" t="n">
        <v>211.22</v>
      </c>
      <c r="M17">
        <f>הגדרות!B2</f>
        <v/>
      </c>
      <c r="N17">
        <f>K17*(1-M17/100)*1.18</f>
        <v/>
      </c>
      <c r="O17">
        <f>הגדרות!C2</f>
        <v/>
      </c>
      <c r="P17">
        <f>הגדרות!D2</f>
        <v/>
      </c>
      <c r="Q17">
        <f>N17*(1+O17/100)+P17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וטרינרי / רפואי</t>
        </is>
      </c>
      <c r="F18" t="inlineStr">
        <is>
          <t>יבש</t>
        </is>
      </c>
      <c r="G18" t="inlineStr"/>
      <c r="H18" t="inlineStr">
        <is>
          <t>חתול</t>
        </is>
      </c>
      <c r="I18" t="inlineStr"/>
      <c r="J18" t="inlineStr">
        <is>
          <t>2026-06</t>
        </is>
      </c>
      <c r="K18" t="n">
        <v>159</v>
      </c>
      <c r="L18" t="n">
        <v>187.62</v>
      </c>
      <c r="M18">
        <f>הגדרות!B2</f>
        <v/>
      </c>
      <c r="N18">
        <f>K18*(1-M18/100)*1.18</f>
        <v/>
      </c>
      <c r="O18">
        <f>הגדרות!C2</f>
        <v/>
      </c>
      <c r="P18">
        <f>הגדרות!D2</f>
        <v/>
      </c>
      <c r="Q18">
        <f>N18*(1+O18/100)+P18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וטרינרי / רפואי</t>
        </is>
      </c>
      <c r="F19" t="inlineStr">
        <is>
          <t>יבש</t>
        </is>
      </c>
      <c r="G19" t="inlineStr">
        <is>
          <t>גורים</t>
        </is>
      </c>
      <c r="H19" t="inlineStr">
        <is>
          <t>חתול</t>
        </is>
      </c>
      <c r="I19" t="inlineStr"/>
      <c r="J19" t="inlineStr">
        <is>
          <t>2026-06</t>
        </is>
      </c>
      <c r="K19" t="n">
        <v>143</v>
      </c>
      <c r="L19" t="n">
        <v>168.74</v>
      </c>
      <c r="M19">
        <f>הגדרות!B2</f>
        <v/>
      </c>
      <c r="N19">
        <f>K19*(1-M19/100)*1.18</f>
        <v/>
      </c>
      <c r="O19">
        <f>הגדרות!C2</f>
        <v/>
      </c>
      <c r="P19">
        <f>הגדרות!D2</f>
        <v/>
      </c>
      <c r="Q19">
        <f>N19*(1+O19/100)+P19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וטרינרי / רפואי</t>
        </is>
      </c>
      <c r="F20" t="inlineStr">
        <is>
          <t>יבש</t>
        </is>
      </c>
      <c r="G20" t="inlineStr"/>
      <c r="H20" t="inlineStr">
        <is>
          <t>חתול</t>
        </is>
      </c>
      <c r="I20" t="inlineStr"/>
      <c r="J20" t="inlineStr">
        <is>
          <t>2026-06</t>
        </is>
      </c>
      <c r="K20" t="n">
        <v>139</v>
      </c>
      <c r="L20" t="n">
        <v>164.02</v>
      </c>
      <c r="M20">
        <f>הגדרות!B2</f>
        <v/>
      </c>
      <c r="N20">
        <f>K20*(1-M20/100)*1.18</f>
        <v/>
      </c>
      <c r="O20">
        <f>הגדרות!C2</f>
        <v/>
      </c>
      <c r="P20">
        <f>הגדרות!D2</f>
        <v/>
      </c>
      <c r="Q20">
        <f>N20*(1+O20/100)+P20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וטרינרי / רפואי</t>
        </is>
      </c>
      <c r="F21" t="inlineStr">
        <is>
          <t>יבש</t>
        </is>
      </c>
      <c r="G21" t="inlineStr"/>
      <c r="H21" t="inlineStr">
        <is>
          <t>חתול</t>
        </is>
      </c>
      <c r="I21" t="inlineStr"/>
      <c r="J21" t="inlineStr">
        <is>
          <t>2026-06</t>
        </is>
      </c>
      <c r="K21" t="n">
        <v>215</v>
      </c>
      <c r="L21" t="n">
        <v>253.7</v>
      </c>
      <c r="M21">
        <f>הגדרות!B2</f>
        <v/>
      </c>
      <c r="N21">
        <f>K21*(1-M21/100)*1.18</f>
        <v/>
      </c>
      <c r="O21">
        <f>הגדרות!C2</f>
        <v/>
      </c>
      <c r="P21">
        <f>הגדרות!D2</f>
        <v/>
      </c>
      <c r="Q21">
        <f>N21*(1+O21/100)+P21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וטרינרי / רפואי</t>
        </is>
      </c>
      <c r="F22" t="inlineStr">
        <is>
          <t>יבש</t>
        </is>
      </c>
      <c r="G22" t="inlineStr"/>
      <c r="H22" t="inlineStr">
        <is>
          <t>חתול</t>
        </is>
      </c>
      <c r="I22" t="inlineStr"/>
      <c r="J22" t="inlineStr">
        <is>
          <t>2026-06</t>
        </is>
      </c>
      <c r="K22" t="n">
        <v>139</v>
      </c>
      <c r="L22" t="n">
        <v>164.02</v>
      </c>
      <c r="M22">
        <f>הגדרות!B2</f>
        <v/>
      </c>
      <c r="N22">
        <f>K22*(1-M22/100)*1.18</f>
        <v/>
      </c>
      <c r="O22">
        <f>הגדרות!C2</f>
        <v/>
      </c>
      <c r="P22">
        <f>הגדרות!D2</f>
        <v/>
      </c>
      <c r="Q22">
        <f>N22*(1+O22/100)+P22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וטרינרי / רפואי</t>
        </is>
      </c>
      <c r="F23" t="inlineStr">
        <is>
          <t>יבש</t>
        </is>
      </c>
      <c r="G23" t="inlineStr"/>
      <c r="H23" t="inlineStr">
        <is>
          <t>חתול</t>
        </is>
      </c>
      <c r="I23" t="inlineStr"/>
      <c r="J23" t="inlineStr">
        <is>
          <t>2026-06</t>
        </is>
      </c>
      <c r="K23" t="n">
        <v>223</v>
      </c>
      <c r="L23" t="n">
        <v>263.14</v>
      </c>
      <c r="M23">
        <f>הגדרות!B2</f>
        <v/>
      </c>
      <c r="N23">
        <f>K23*(1-M23/100)*1.18</f>
        <v/>
      </c>
      <c r="O23">
        <f>הגדרות!C2</f>
        <v/>
      </c>
      <c r="P23">
        <f>הגדרות!D2</f>
        <v/>
      </c>
      <c r="Q23">
        <f>N23*(1+O23/100)+P23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וטרינרי / רפואי</t>
        </is>
      </c>
      <c r="F24" t="inlineStr">
        <is>
          <t>יבש</t>
        </is>
      </c>
      <c r="G24" t="inlineStr"/>
      <c r="H24" t="inlineStr">
        <is>
          <t>חתול</t>
        </is>
      </c>
      <c r="I24" t="inlineStr"/>
      <c r="J24" t="inlineStr">
        <is>
          <t>2026-06</t>
        </is>
      </c>
      <c r="K24" t="n">
        <v>139</v>
      </c>
      <c r="L24" t="n">
        <v>164.02</v>
      </c>
      <c r="M24">
        <f>הגדרות!B2</f>
        <v/>
      </c>
      <c r="N24">
        <f>K24*(1-M24/100)*1.18</f>
        <v/>
      </c>
      <c r="O24">
        <f>הגדרות!C2</f>
        <v/>
      </c>
      <c r="P24">
        <f>הגדרות!D2</f>
        <v/>
      </c>
      <c r="Q24">
        <f>N24*(1+O24/100)+P24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וטרינרי / רפואי</t>
        </is>
      </c>
      <c r="F25" t="inlineStr">
        <is>
          <t>יבש</t>
        </is>
      </c>
      <c r="G25" t="inlineStr"/>
      <c r="H25" t="inlineStr">
        <is>
          <t>חתול</t>
        </is>
      </c>
      <c r="I25" t="inlineStr"/>
      <c r="J25" t="inlineStr">
        <is>
          <t>2026-06</t>
        </is>
      </c>
      <c r="K25" t="n">
        <v>179</v>
      </c>
      <c r="L25" t="n">
        <v>211.22</v>
      </c>
      <c r="M25">
        <f>הגדרות!B2</f>
        <v/>
      </c>
      <c r="N25">
        <f>K25*(1-M25/100)*1.18</f>
        <v/>
      </c>
      <c r="O25">
        <f>הגדרות!C2</f>
        <v/>
      </c>
      <c r="P25">
        <f>הגדרות!D2</f>
        <v/>
      </c>
      <c r="Q25">
        <f>N25*(1+O25/100)+P25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וטרינרי / רפואי</t>
        </is>
      </c>
      <c r="F26" t="inlineStr">
        <is>
          <t>יבש</t>
        </is>
      </c>
      <c r="G26" t="inlineStr"/>
      <c r="H26" t="inlineStr">
        <is>
          <t>חתול</t>
        </is>
      </c>
      <c r="I26" t="inlineStr"/>
      <c r="J26" t="inlineStr">
        <is>
          <t>2026-06</t>
        </is>
      </c>
      <c r="K26" t="n">
        <v>145</v>
      </c>
      <c r="L26" t="n">
        <v>171.1</v>
      </c>
      <c r="M26">
        <f>הגדרות!B2</f>
        <v/>
      </c>
      <c r="N26">
        <f>K26*(1-M26/100)*1.18</f>
        <v/>
      </c>
      <c r="O26">
        <f>הגדרות!C2</f>
        <v/>
      </c>
      <c r="P26">
        <f>הגדרות!D2</f>
        <v/>
      </c>
      <c r="Q26">
        <f>N26*(1+O26/100)+P26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וטרינרי / רפואי</t>
        </is>
      </c>
      <c r="F27" t="inlineStr">
        <is>
          <t>יבש</t>
        </is>
      </c>
      <c r="G27" t="inlineStr"/>
      <c r="H27" t="inlineStr">
        <is>
          <t>חתול</t>
        </is>
      </c>
      <c r="I27" t="inlineStr"/>
      <c r="J27" t="inlineStr">
        <is>
          <t>2026-06</t>
        </is>
      </c>
      <c r="K27" t="n">
        <v>153</v>
      </c>
      <c r="L27" t="n">
        <v>180.54</v>
      </c>
      <c r="M27">
        <f>הגדרות!B2</f>
        <v/>
      </c>
      <c r="N27">
        <f>K27*(1-M27/100)*1.18</f>
        <v/>
      </c>
      <c r="O27">
        <f>הגדרות!C2</f>
        <v/>
      </c>
      <c r="P27">
        <f>הגדרות!D2</f>
        <v/>
      </c>
      <c r="Q27">
        <f>N27*(1+O27/100)+P27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וטרינרי / רפואי</t>
        </is>
      </c>
      <c r="F28" t="inlineStr">
        <is>
          <t>יבש</t>
        </is>
      </c>
      <c r="G28" t="inlineStr"/>
      <c r="H28" t="inlineStr">
        <is>
          <t>חתול</t>
        </is>
      </c>
      <c r="I28" t="inlineStr"/>
      <c r="J28" t="inlineStr">
        <is>
          <t>2026-06</t>
        </is>
      </c>
      <c r="K28" t="n">
        <v>264</v>
      </c>
      <c r="L28" t="n">
        <v>311.52</v>
      </c>
      <c r="M28">
        <f>הגדרות!B2</f>
        <v/>
      </c>
      <c r="N28">
        <f>K28*(1-M28/100)*1.18</f>
        <v/>
      </c>
      <c r="O28">
        <f>הגדרות!C2</f>
        <v/>
      </c>
      <c r="P28">
        <f>הגדרות!D2</f>
        <v/>
      </c>
      <c r="Q28">
        <f>N28*(1+O28/100)+P28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וטרינרי / רפואי</t>
        </is>
      </c>
      <c r="F29" t="inlineStr">
        <is>
          <t>יבש</t>
        </is>
      </c>
      <c r="G29" t="inlineStr"/>
      <c r="H29" t="inlineStr">
        <is>
          <t>חתול</t>
        </is>
      </c>
      <c r="I29" t="inlineStr"/>
      <c r="J29" t="inlineStr">
        <is>
          <t>2026-06</t>
        </is>
      </c>
      <c r="K29" t="n">
        <v>159</v>
      </c>
      <c r="L29" t="n">
        <v>187.62</v>
      </c>
      <c r="M29">
        <f>הגדרות!B2</f>
        <v/>
      </c>
      <c r="N29">
        <f>K29*(1-M29/100)*1.18</f>
        <v/>
      </c>
      <c r="O29">
        <f>הגדרות!C2</f>
        <v/>
      </c>
      <c r="P29">
        <f>הגדרות!D2</f>
        <v/>
      </c>
      <c r="Q29">
        <f>N29*(1+O29/100)+P29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וטרינרי / רפואי</t>
        </is>
      </c>
      <c r="F30" t="inlineStr">
        <is>
          <t>יבש</t>
        </is>
      </c>
      <c r="G30" t="inlineStr"/>
      <c r="H30" t="inlineStr">
        <is>
          <t>חתול</t>
        </is>
      </c>
      <c r="I30" t="inlineStr"/>
      <c r="J30" t="inlineStr">
        <is>
          <t>2026-06</t>
        </is>
      </c>
      <c r="K30" t="n">
        <v>215</v>
      </c>
      <c r="L30" t="n">
        <v>253.7</v>
      </c>
      <c r="M30">
        <f>הגדרות!B2</f>
        <v/>
      </c>
      <c r="N30">
        <f>K30*(1-M30/100)*1.18</f>
        <v/>
      </c>
      <c r="O30">
        <f>הגדרות!C2</f>
        <v/>
      </c>
      <c r="P30">
        <f>הגדרות!D2</f>
        <v/>
      </c>
      <c r="Q30">
        <f>N30*(1+O30/100)+P30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וטרינרי / רפואי</t>
        </is>
      </c>
      <c r="F31" t="inlineStr">
        <is>
          <t>יבש</t>
        </is>
      </c>
      <c r="G31" t="inlineStr"/>
      <c r="H31" t="inlineStr">
        <is>
          <t>חתול</t>
        </is>
      </c>
      <c r="I31" t="inlineStr"/>
      <c r="J31" t="inlineStr">
        <is>
          <t>2026-06</t>
        </is>
      </c>
      <c r="K31" t="n">
        <v>109</v>
      </c>
      <c r="L31" t="n">
        <v>128.62</v>
      </c>
      <c r="M31">
        <f>הגדרות!B2</f>
        <v/>
      </c>
      <c r="N31">
        <f>K31*(1-M31/100)*1.18</f>
        <v/>
      </c>
      <c r="O31">
        <f>הגדרות!C2</f>
        <v/>
      </c>
      <c r="P31">
        <f>הגדרות!D2</f>
        <v/>
      </c>
      <c r="Q31">
        <f>N31*(1+O31/100)+P31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וטרינרי / רפואי</t>
        </is>
      </c>
      <c r="F32" t="inlineStr">
        <is>
          <t>יבש</t>
        </is>
      </c>
      <c r="G32" t="inlineStr"/>
      <c r="H32" t="inlineStr">
        <is>
          <t>חתול</t>
        </is>
      </c>
      <c r="I32" t="inlineStr"/>
      <c r="J32" t="inlineStr">
        <is>
          <t>2026-06</t>
        </is>
      </c>
      <c r="K32" t="n">
        <v>179</v>
      </c>
      <c r="L32" t="n">
        <v>211.22</v>
      </c>
      <c r="M32">
        <f>הגדרות!B2</f>
        <v/>
      </c>
      <c r="N32">
        <f>K32*(1-M32/100)*1.18</f>
        <v/>
      </c>
      <c r="O32">
        <f>הגדרות!C2</f>
        <v/>
      </c>
      <c r="P32">
        <f>הגדרות!D2</f>
        <v/>
      </c>
      <c r="Q32">
        <f>N32*(1+O32/100)+P32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וטרינרי / רפואי</t>
        </is>
      </c>
      <c r="F33" t="inlineStr">
        <is>
          <t>יבש</t>
        </is>
      </c>
      <c r="G33" t="inlineStr"/>
      <c r="H33" t="inlineStr">
        <is>
          <t>חתול</t>
        </is>
      </c>
      <c r="I33" t="inlineStr"/>
      <c r="J33" t="inlineStr">
        <is>
          <t>2026-06</t>
        </is>
      </c>
      <c r="K33" t="n">
        <v>299</v>
      </c>
      <c r="L33" t="n">
        <v>352.82</v>
      </c>
      <c r="M33">
        <f>הגדרות!B2</f>
        <v/>
      </c>
      <c r="N33">
        <f>K33*(1-M33/100)*1.18</f>
        <v/>
      </c>
      <c r="O33">
        <f>הגדרות!C2</f>
        <v/>
      </c>
      <c r="P33">
        <f>הגדרות!D2</f>
        <v/>
      </c>
      <c r="Q33">
        <f>N33*(1+O33/100)+P33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וטרינרי / רפואי</t>
        </is>
      </c>
      <c r="F34" t="inlineStr">
        <is>
          <t>יבש</t>
        </is>
      </c>
      <c r="G34" t="inlineStr"/>
      <c r="H34" t="inlineStr">
        <is>
          <t>חתול</t>
        </is>
      </c>
      <c r="I34" t="inlineStr"/>
      <c r="J34" t="inlineStr">
        <is>
          <t>2026-06</t>
        </is>
      </c>
      <c r="K34" t="n">
        <v>352</v>
      </c>
      <c r="L34" t="n">
        <v>415.36</v>
      </c>
      <c r="M34">
        <f>הגדרות!B2</f>
        <v/>
      </c>
      <c r="N34">
        <f>K34*(1-M34/100)*1.18</f>
        <v/>
      </c>
      <c r="O34">
        <f>הגדרות!C2</f>
        <v/>
      </c>
      <c r="P34">
        <f>הגדרות!D2</f>
        <v/>
      </c>
      <c r="Q34">
        <f>N34*(1+O34/100)+P34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וטרינרי / רפואי</t>
        </is>
      </c>
      <c r="F35" t="inlineStr">
        <is>
          <t>יבש</t>
        </is>
      </c>
      <c r="G35" t="inlineStr"/>
      <c r="H35" t="inlineStr">
        <is>
          <t>חתול</t>
        </is>
      </c>
      <c r="I35" t="inlineStr"/>
      <c r="J35" t="inlineStr">
        <is>
          <t>2026-06</t>
        </is>
      </c>
      <c r="K35" t="n">
        <v>179</v>
      </c>
      <c r="L35" t="n">
        <v>211.22</v>
      </c>
      <c r="M35">
        <f>הגדרות!B2</f>
        <v/>
      </c>
      <c r="N35">
        <f>K35*(1-M35/100)*1.18</f>
        <v/>
      </c>
      <c r="O35">
        <f>הגדרות!C2</f>
        <v/>
      </c>
      <c r="P35">
        <f>הגדרות!D2</f>
        <v/>
      </c>
      <c r="Q35">
        <f>N35*(1+O35/100)+P35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וטרינרי / רפואי</t>
        </is>
      </c>
      <c r="F36" t="inlineStr">
        <is>
          <t>רטוב</t>
        </is>
      </c>
      <c r="G36" t="inlineStr"/>
      <c r="H36" t="inlineStr">
        <is>
          <t>חתול</t>
        </is>
      </c>
      <c r="I36" t="inlineStr"/>
      <c r="J36" t="inlineStr">
        <is>
          <t>2026-06</t>
        </is>
      </c>
      <c r="K36" t="n">
        <v>179</v>
      </c>
      <c r="L36" t="n">
        <v>211.22</v>
      </c>
      <c r="M36">
        <f>הגדרות!B2</f>
        <v/>
      </c>
      <c r="N36">
        <f>K36*(1-M36/100)*1.18</f>
        <v/>
      </c>
      <c r="O36">
        <f>הגדרות!C2</f>
        <v/>
      </c>
      <c r="P36">
        <f>הגדרות!D2</f>
        <v/>
      </c>
      <c r="Q36">
        <f>N36*(1+O36/100)+P36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וטרינרי / רפואי</t>
        </is>
      </c>
      <c r="F37" t="inlineStr">
        <is>
          <t>רטוב</t>
        </is>
      </c>
      <c r="G37" t="inlineStr">
        <is>
          <t>גורים</t>
        </is>
      </c>
      <c r="H37" t="inlineStr">
        <is>
          <t>חתול</t>
        </is>
      </c>
      <c r="I37" t="inlineStr"/>
      <c r="J37" t="inlineStr">
        <is>
          <t>2026-06</t>
        </is>
      </c>
      <c r="K37" t="n">
        <v>139</v>
      </c>
      <c r="L37" t="n">
        <v>164.02</v>
      </c>
      <c r="M37">
        <f>הגדרות!B2</f>
        <v/>
      </c>
      <c r="N37">
        <f>K37*(1-M37/100)*1.18</f>
        <v/>
      </c>
      <c r="O37">
        <f>הגדרות!C2</f>
        <v/>
      </c>
      <c r="P37">
        <f>הגדרות!D2</f>
        <v/>
      </c>
      <c r="Q37">
        <f>N37*(1+O37/100)+P37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וטרינרי / רפואי</t>
        </is>
      </c>
      <c r="F38" t="inlineStr">
        <is>
          <t>רטוב</t>
        </is>
      </c>
      <c r="G38" t="inlineStr"/>
      <c r="H38" t="inlineStr">
        <is>
          <t>חתול</t>
        </is>
      </c>
      <c r="I38" t="inlineStr"/>
      <c r="J38" t="inlineStr">
        <is>
          <t>2026-06</t>
        </is>
      </c>
      <c r="K38" t="n">
        <v>89</v>
      </c>
      <c r="L38" t="n">
        <v>105.02</v>
      </c>
      <c r="M38">
        <f>הגדרות!B2</f>
        <v/>
      </c>
      <c r="N38">
        <f>K38*(1-M38/100)*1.18</f>
        <v/>
      </c>
      <c r="O38">
        <f>הגדרות!C2</f>
        <v/>
      </c>
      <c r="P38">
        <f>הגדרות!D2</f>
        <v/>
      </c>
      <c r="Q38">
        <f>N38*(1+O38/100)+P38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וטרינרי / רפואי</t>
        </is>
      </c>
      <c r="F39" t="inlineStr">
        <is>
          <t>רטוב</t>
        </is>
      </c>
      <c r="G39" t="inlineStr"/>
      <c r="H39" t="inlineStr">
        <is>
          <t>חתול</t>
        </is>
      </c>
      <c r="I39" t="inlineStr"/>
      <c r="J39" t="inlineStr">
        <is>
          <t>2026-06</t>
        </is>
      </c>
      <c r="K39" t="n">
        <v>89</v>
      </c>
      <c r="L39" t="n">
        <v>105.02</v>
      </c>
      <c r="M39">
        <f>הגדרות!B2</f>
        <v/>
      </c>
      <c r="N39">
        <f>K39*(1-M39/100)*1.18</f>
        <v/>
      </c>
      <c r="O39">
        <f>הגדרות!C2</f>
        <v/>
      </c>
      <c r="P39">
        <f>הגדרות!D2</f>
        <v/>
      </c>
      <c r="Q39">
        <f>N39*(1+O39/100)+P39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וטרינרי / רפואי</t>
        </is>
      </c>
      <c r="F40" t="inlineStr">
        <is>
          <t>רטוב</t>
        </is>
      </c>
      <c r="G40" t="inlineStr"/>
      <c r="H40" t="inlineStr">
        <is>
          <t>חתול</t>
        </is>
      </c>
      <c r="I40" t="inlineStr"/>
      <c r="J40" t="inlineStr">
        <is>
          <t>2026-06</t>
        </is>
      </c>
      <c r="K40" t="n">
        <v>89</v>
      </c>
      <c r="L40" t="n">
        <v>105.02</v>
      </c>
      <c r="M40">
        <f>הגדרות!B2</f>
        <v/>
      </c>
      <c r="N40">
        <f>K40*(1-M40/100)*1.18</f>
        <v/>
      </c>
      <c r="O40">
        <f>הגדרות!C2</f>
        <v/>
      </c>
      <c r="P40">
        <f>הגדרות!D2</f>
        <v/>
      </c>
      <c r="Q40">
        <f>N40*(1+O40/100)+P40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וטרינרי / רפואי</t>
        </is>
      </c>
      <c r="F41" t="inlineStr">
        <is>
          <t>רטוב</t>
        </is>
      </c>
      <c r="G41" t="inlineStr"/>
      <c r="H41" t="inlineStr">
        <is>
          <t>חתול</t>
        </is>
      </c>
      <c r="I41" t="inlineStr"/>
      <c r="J41" t="inlineStr">
        <is>
          <t>2026-06</t>
        </is>
      </c>
      <c r="K41" t="n">
        <v>89</v>
      </c>
      <c r="L41" t="n">
        <v>105.02</v>
      </c>
      <c r="M41">
        <f>הגדרות!B2</f>
        <v/>
      </c>
      <c r="N41">
        <f>K41*(1-M41/100)*1.18</f>
        <v/>
      </c>
      <c r="O41">
        <f>הגדרות!C2</f>
        <v/>
      </c>
      <c r="P41">
        <f>הגדרות!D2</f>
        <v/>
      </c>
      <c r="Q41">
        <f>N41*(1+O41/100)+P41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וטרינרי / רפואי</t>
        </is>
      </c>
      <c r="F42" t="inlineStr">
        <is>
          <t>רטוב</t>
        </is>
      </c>
      <c r="G42" t="inlineStr"/>
      <c r="H42" t="inlineStr">
        <is>
          <t>חתול</t>
        </is>
      </c>
      <c r="I42" t="inlineStr"/>
      <c r="J42" t="inlineStr">
        <is>
          <t>2026-06</t>
        </is>
      </c>
      <c r="K42" t="n">
        <v>89</v>
      </c>
      <c r="L42" t="n">
        <v>105.02</v>
      </c>
      <c r="M42">
        <f>הגדרות!B2</f>
        <v/>
      </c>
      <c r="N42">
        <f>K42*(1-M42/100)*1.18</f>
        <v/>
      </c>
      <c r="O42">
        <f>הגדרות!C2</f>
        <v/>
      </c>
      <c r="P42">
        <f>הגדרות!D2</f>
        <v/>
      </c>
      <c r="Q42">
        <f>N42*(1+O42/100)+P42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וטרינרי / רפואי</t>
        </is>
      </c>
      <c r="F43" t="inlineStr">
        <is>
          <t>רטוב</t>
        </is>
      </c>
      <c r="G43" t="inlineStr"/>
      <c r="H43" t="inlineStr">
        <is>
          <t>חתול</t>
        </is>
      </c>
      <c r="I43" t="inlineStr"/>
      <c r="J43" t="inlineStr">
        <is>
          <t>2026-06</t>
        </is>
      </c>
      <c r="K43" t="n">
        <v>89</v>
      </c>
      <c r="L43" t="n">
        <v>105.02</v>
      </c>
      <c r="M43">
        <f>הגדרות!B2</f>
        <v/>
      </c>
      <c r="N43">
        <f>K43*(1-M43/100)*1.18</f>
        <v/>
      </c>
      <c r="O43">
        <f>הגדרות!C2</f>
        <v/>
      </c>
      <c r="P43">
        <f>הגדרות!D2</f>
        <v/>
      </c>
      <c r="Q43">
        <f>N43*(1+O43/100)+P43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וטרינרי / רפואי</t>
        </is>
      </c>
      <c r="F44" t="inlineStr">
        <is>
          <t>רטוב</t>
        </is>
      </c>
      <c r="G44" t="inlineStr"/>
      <c r="H44" t="inlineStr">
        <is>
          <t>חתול</t>
        </is>
      </c>
      <c r="I44" t="inlineStr"/>
      <c r="J44" t="inlineStr">
        <is>
          <t>2026-06</t>
        </is>
      </c>
      <c r="K44" t="n">
        <v>89</v>
      </c>
      <c r="L44" t="n">
        <v>105.02</v>
      </c>
      <c r="M44">
        <f>הגדרות!B2</f>
        <v/>
      </c>
      <c r="N44">
        <f>K44*(1-M44/100)*1.18</f>
        <v/>
      </c>
      <c r="O44">
        <f>הגדרות!C2</f>
        <v/>
      </c>
      <c r="P44">
        <f>הגדרות!D2</f>
        <v/>
      </c>
      <c r="Q44">
        <f>N44*(1+O44/100)+P44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וטרינרי / רפואי</t>
        </is>
      </c>
      <c r="F45" t="inlineStr">
        <is>
          <t>רטוב</t>
        </is>
      </c>
      <c r="G45" t="inlineStr"/>
      <c r="H45" t="inlineStr">
        <is>
          <t>חתול</t>
        </is>
      </c>
      <c r="I45" t="inlineStr"/>
      <c r="J45" t="inlineStr">
        <is>
          <t>2026-06</t>
        </is>
      </c>
      <c r="K45" t="n">
        <v>89</v>
      </c>
      <c r="L45" t="n">
        <v>105.02</v>
      </c>
      <c r="M45">
        <f>הגדרות!B2</f>
        <v/>
      </c>
      <c r="N45">
        <f>K45*(1-M45/100)*1.18</f>
        <v/>
      </c>
      <c r="O45">
        <f>הגדרות!C2</f>
        <v/>
      </c>
      <c r="P45">
        <f>הגדרות!D2</f>
        <v/>
      </c>
      <c r="Q45">
        <f>N45*(1+O45/100)+P45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וטרינרי / רפואי</t>
        </is>
      </c>
      <c r="F46" t="inlineStr">
        <is>
          <t>רטוב</t>
        </is>
      </c>
      <c r="G46" t="inlineStr"/>
      <c r="H46" t="inlineStr">
        <is>
          <t>חתול</t>
        </is>
      </c>
      <c r="I46" t="inlineStr"/>
      <c r="J46" t="inlineStr">
        <is>
          <t>2026-06</t>
        </is>
      </c>
      <c r="K46" t="n">
        <v>89</v>
      </c>
      <c r="L46" t="n">
        <v>105.02</v>
      </c>
      <c r="M46">
        <f>הגדרות!B2</f>
        <v/>
      </c>
      <c r="N46">
        <f>K46*(1-M46/100)*1.18</f>
        <v/>
      </c>
      <c r="O46">
        <f>הגדרות!C2</f>
        <v/>
      </c>
      <c r="P46">
        <f>הגדרות!D2</f>
        <v/>
      </c>
      <c r="Q46">
        <f>N46*(1+O46/100)+P46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וטרינרי / רפואי</t>
        </is>
      </c>
      <c r="F47" t="inlineStr">
        <is>
          <t>רטוב</t>
        </is>
      </c>
      <c r="G47" t="inlineStr"/>
      <c r="H47" t="inlineStr">
        <is>
          <t>חתול</t>
        </is>
      </c>
      <c r="I47" t="inlineStr"/>
      <c r="J47" t="inlineStr">
        <is>
          <t>2026-06</t>
        </is>
      </c>
      <c r="K47" t="n">
        <v>89</v>
      </c>
      <c r="L47" t="n">
        <v>105.02</v>
      </c>
      <c r="M47">
        <f>הגדרות!B2</f>
        <v/>
      </c>
      <c r="N47">
        <f>K47*(1-M47/100)*1.18</f>
        <v/>
      </c>
      <c r="O47">
        <f>הגדרות!C2</f>
        <v/>
      </c>
      <c r="P47">
        <f>הגדרות!D2</f>
        <v/>
      </c>
      <c r="Q47">
        <f>N47*(1+O47/100)+P47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וטרינרי / רפואי</t>
        </is>
      </c>
      <c r="F48" t="inlineStr">
        <is>
          <t>רטוב</t>
        </is>
      </c>
      <c r="G48" t="inlineStr"/>
      <c r="H48" t="inlineStr">
        <is>
          <t>חתול</t>
        </is>
      </c>
      <c r="I48" t="inlineStr"/>
      <c r="J48" t="inlineStr">
        <is>
          <t>2026-06</t>
        </is>
      </c>
      <c r="K48" t="n">
        <v>89</v>
      </c>
      <c r="L48" t="n">
        <v>105.02</v>
      </c>
      <c r="M48">
        <f>הגדרות!B2</f>
        <v/>
      </c>
      <c r="N48">
        <f>K48*(1-M48/100)*1.18</f>
        <v/>
      </c>
      <c r="O48">
        <f>הגדרות!C2</f>
        <v/>
      </c>
      <c r="P48">
        <f>הגדרות!D2</f>
        <v/>
      </c>
      <c r="Q48">
        <f>N48*(1+O48/100)+P48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וטרינרי / רפואי</t>
        </is>
      </c>
      <c r="F49" t="inlineStr">
        <is>
          <t>רטוב</t>
        </is>
      </c>
      <c r="G49" t="inlineStr"/>
      <c r="H49" t="inlineStr">
        <is>
          <t>חתול</t>
        </is>
      </c>
      <c r="I49" t="inlineStr"/>
      <c r="J49" t="inlineStr">
        <is>
          <t>2026-06</t>
        </is>
      </c>
      <c r="K49" t="n">
        <v>89</v>
      </c>
      <c r="L49" t="n">
        <v>105.02</v>
      </c>
      <c r="M49">
        <f>הגדרות!B2</f>
        <v/>
      </c>
      <c r="N49">
        <f>K49*(1-M49/100)*1.18</f>
        <v/>
      </c>
      <c r="O49">
        <f>הגדרות!C2</f>
        <v/>
      </c>
      <c r="P49">
        <f>הגדרות!D2</f>
        <v/>
      </c>
      <c r="Q49">
        <f>N49*(1+O49/100)+P49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וטרינרי / רפואי</t>
        </is>
      </c>
      <c r="F50" t="inlineStr">
        <is>
          <t>יבש</t>
        </is>
      </c>
      <c r="G50" t="inlineStr"/>
      <c r="H50" t="inlineStr">
        <is>
          <t>כלב</t>
        </is>
      </c>
      <c r="I50" t="inlineStr">
        <is>
          <t>עד 7 ק"ג</t>
        </is>
      </c>
      <c r="J50" t="inlineStr">
        <is>
          <t>2026-06</t>
        </is>
      </c>
      <c r="K50" t="n">
        <v>174</v>
      </c>
      <c r="L50" t="n">
        <v>205.32</v>
      </c>
      <c r="M50">
        <f>הגדרות!B2</f>
        <v/>
      </c>
      <c r="N50">
        <f>K50*(1-M50/100)*1.18</f>
        <v/>
      </c>
      <c r="O50">
        <f>הגדרות!C2</f>
        <v/>
      </c>
      <c r="P50">
        <f>הגדרות!D2</f>
        <v/>
      </c>
      <c r="Q50">
        <f>N50*(1+O50/100)+P50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וטרינרי / רפואי</t>
        </is>
      </c>
      <c r="F51" t="inlineStr">
        <is>
          <t>יבש</t>
        </is>
      </c>
      <c r="G51" t="inlineStr"/>
      <c r="H51" t="inlineStr">
        <is>
          <t>כלב</t>
        </is>
      </c>
      <c r="I51" t="inlineStr"/>
      <c r="J51" t="inlineStr">
        <is>
          <t>2026-06</t>
        </is>
      </c>
      <c r="K51" t="n">
        <v>269</v>
      </c>
      <c r="L51" t="n">
        <v>317.42</v>
      </c>
      <c r="M51">
        <f>הגדרות!B2</f>
        <v/>
      </c>
      <c r="N51">
        <f>K51*(1-M51/100)*1.18</f>
        <v/>
      </c>
      <c r="O51">
        <f>הגדרות!C2</f>
        <v/>
      </c>
      <c r="P51">
        <f>הגדרות!D2</f>
        <v/>
      </c>
      <c r="Q51">
        <f>N51*(1+O51/100)+P51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וטרינרי / רפואי</t>
        </is>
      </c>
      <c r="F52" t="inlineStr">
        <is>
          <t>יבש</t>
        </is>
      </c>
      <c r="G52" t="inlineStr"/>
      <c r="H52" t="inlineStr">
        <is>
          <t>כלב</t>
        </is>
      </c>
      <c r="I52" t="inlineStr"/>
      <c r="J52" t="inlineStr">
        <is>
          <t>2026-06</t>
        </is>
      </c>
      <c r="K52" t="n">
        <v>115</v>
      </c>
      <c r="L52" t="n">
        <v>135.7</v>
      </c>
      <c r="M52">
        <f>הגדרות!B2</f>
        <v/>
      </c>
      <c r="N52">
        <f>K52*(1-M52/100)*1.18</f>
        <v/>
      </c>
      <c r="O52">
        <f>הגדרות!C2</f>
        <v/>
      </c>
      <c r="P52">
        <f>הגדרות!D2</f>
        <v/>
      </c>
      <c r="Q52">
        <f>N52*(1+O52/100)+P52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וטרינרי / רפואי</t>
        </is>
      </c>
      <c r="F53" t="inlineStr">
        <is>
          <t>יבש</t>
        </is>
      </c>
      <c r="G53" t="inlineStr"/>
      <c r="H53" t="inlineStr">
        <is>
          <t>כלב</t>
        </is>
      </c>
      <c r="I53" t="inlineStr"/>
      <c r="J53" t="inlineStr">
        <is>
          <t>2026-06</t>
        </is>
      </c>
      <c r="K53" t="n">
        <v>321</v>
      </c>
      <c r="L53" t="n">
        <v>378.78</v>
      </c>
      <c r="M53">
        <f>הגדרות!B2</f>
        <v/>
      </c>
      <c r="N53">
        <f>K53*(1-M53/100)*1.18</f>
        <v/>
      </c>
      <c r="O53">
        <f>הגדרות!C2</f>
        <v/>
      </c>
      <c r="P53">
        <f>הגדרות!D2</f>
        <v/>
      </c>
      <c r="Q53">
        <f>N53*(1+O53/100)+P53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וטרינרי / רפואי</t>
        </is>
      </c>
      <c r="F54" t="inlineStr">
        <is>
          <t>יבש</t>
        </is>
      </c>
      <c r="G54" t="inlineStr"/>
      <c r="H54" t="inlineStr">
        <is>
          <t>כלב</t>
        </is>
      </c>
      <c r="I54" t="inlineStr"/>
      <c r="J54" t="inlineStr">
        <is>
          <t>2026-06</t>
        </is>
      </c>
      <c r="K54" t="n">
        <v>515</v>
      </c>
      <c r="L54" t="n">
        <v>607.7</v>
      </c>
      <c r="M54">
        <f>הגדרות!B2</f>
        <v/>
      </c>
      <c r="N54">
        <f>K54*(1-M54/100)*1.18</f>
        <v/>
      </c>
      <c r="O54">
        <f>הגדרות!C2</f>
        <v/>
      </c>
      <c r="P54">
        <f>הגדרות!D2</f>
        <v/>
      </c>
      <c r="Q54">
        <f>N54*(1+O54/100)+P54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וטרינרי / רפואי</t>
        </is>
      </c>
      <c r="F55" t="inlineStr">
        <is>
          <t>יבש</t>
        </is>
      </c>
      <c r="G55" t="inlineStr"/>
      <c r="H55" t="inlineStr">
        <is>
          <t>כלב</t>
        </is>
      </c>
      <c r="I55" t="inlineStr"/>
      <c r="J55" t="inlineStr">
        <is>
          <t>2026-06</t>
        </is>
      </c>
      <c r="K55" t="n">
        <v>115</v>
      </c>
      <c r="L55" t="n">
        <v>135.7</v>
      </c>
      <c r="M55">
        <f>הגדרות!B2</f>
        <v/>
      </c>
      <c r="N55">
        <f>K55*(1-M55/100)*1.18</f>
        <v/>
      </c>
      <c r="O55">
        <f>הגדרות!C2</f>
        <v/>
      </c>
      <c r="P55">
        <f>הגדרות!D2</f>
        <v/>
      </c>
      <c r="Q55">
        <f>N55*(1+O55/100)+P55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וטרינרי / רפואי</t>
        </is>
      </c>
      <c r="F56" t="inlineStr">
        <is>
          <t>יבש</t>
        </is>
      </c>
      <c r="G56" t="inlineStr"/>
      <c r="H56" t="inlineStr">
        <is>
          <t>כלב</t>
        </is>
      </c>
      <c r="I56" t="inlineStr"/>
      <c r="J56" t="inlineStr">
        <is>
          <t>2026-06</t>
        </is>
      </c>
      <c r="K56" t="n">
        <v>115</v>
      </c>
      <c r="L56" t="n">
        <v>135.7</v>
      </c>
      <c r="M56">
        <f>הגדרות!B2</f>
        <v/>
      </c>
      <c r="N56">
        <f>K56*(1-M56/100)*1.18</f>
        <v/>
      </c>
      <c r="O56">
        <f>הגדרות!C2</f>
        <v/>
      </c>
      <c r="P56">
        <f>הגדרות!D2</f>
        <v/>
      </c>
      <c r="Q56">
        <f>N56*(1+O56/100)+P56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וטרינרי / רפואי</t>
        </is>
      </c>
      <c r="F57" t="inlineStr">
        <is>
          <t>יבש</t>
        </is>
      </c>
      <c r="G57" t="inlineStr"/>
      <c r="H57" t="inlineStr">
        <is>
          <t>כלב</t>
        </is>
      </c>
      <c r="I57" t="inlineStr"/>
      <c r="J57" t="inlineStr">
        <is>
          <t>2026-06</t>
        </is>
      </c>
      <c r="K57" t="n">
        <v>399</v>
      </c>
      <c r="L57" t="n">
        <v>470.82</v>
      </c>
      <c r="M57">
        <f>הגדרות!B2</f>
        <v/>
      </c>
      <c r="N57">
        <f>K57*(1-M57/100)*1.18</f>
        <v/>
      </c>
      <c r="O57">
        <f>הגדרות!C2</f>
        <v/>
      </c>
      <c r="P57">
        <f>הגדרות!D2</f>
        <v/>
      </c>
      <c r="Q57">
        <f>N57*(1+O57/100)+P57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וטרינרי / רפואי</t>
        </is>
      </c>
      <c r="F58" t="inlineStr">
        <is>
          <t>יבש</t>
        </is>
      </c>
      <c r="G58" t="inlineStr"/>
      <c r="H58" t="inlineStr">
        <is>
          <t>כלב</t>
        </is>
      </c>
      <c r="I58" t="inlineStr">
        <is>
          <t>עד 7 ק"ג</t>
        </is>
      </c>
      <c r="J58" t="inlineStr">
        <is>
          <t>2026-06</t>
        </is>
      </c>
      <c r="K58" t="n">
        <v>169</v>
      </c>
      <c r="L58" t="n">
        <v>199.42</v>
      </c>
      <c r="M58">
        <f>הגדרות!B2</f>
        <v/>
      </c>
      <c r="N58">
        <f>K58*(1-M58/100)*1.18</f>
        <v/>
      </c>
      <c r="O58">
        <f>הגדרות!C2</f>
        <v/>
      </c>
      <c r="P58">
        <f>הגדרות!D2</f>
        <v/>
      </c>
      <c r="Q58">
        <f>N58*(1+O58/100)+P58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וטרינרי / רפואי</t>
        </is>
      </c>
      <c r="F59" t="inlineStr">
        <is>
          <t>יבש</t>
        </is>
      </c>
      <c r="G59" t="inlineStr"/>
      <c r="H59" t="inlineStr">
        <is>
          <t>כלב</t>
        </is>
      </c>
      <c r="I59" t="inlineStr">
        <is>
          <t>עד 7 ק"ג</t>
        </is>
      </c>
      <c r="J59" t="inlineStr">
        <is>
          <t>2026-06</t>
        </is>
      </c>
      <c r="K59" t="n">
        <v>359</v>
      </c>
      <c r="L59" t="n">
        <v>423.62</v>
      </c>
      <c r="M59">
        <f>הגדרות!B2</f>
        <v/>
      </c>
      <c r="N59">
        <f>K59*(1-M59/100)*1.18</f>
        <v/>
      </c>
      <c r="O59">
        <f>הגדרות!C2</f>
        <v/>
      </c>
      <c r="P59">
        <f>הגדרות!D2</f>
        <v/>
      </c>
      <c r="Q59">
        <f>N59*(1+O59/100)+P59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וטרינרי / רפואי</t>
        </is>
      </c>
      <c r="F60" t="inlineStr">
        <is>
          <t>יבש</t>
        </is>
      </c>
      <c r="G60" t="inlineStr"/>
      <c r="H60" t="inlineStr">
        <is>
          <t>כלב</t>
        </is>
      </c>
      <c r="I60" t="inlineStr"/>
      <c r="J60" t="inlineStr">
        <is>
          <t>2026-06</t>
        </is>
      </c>
      <c r="K60" t="n">
        <v>289</v>
      </c>
      <c r="L60" t="n">
        <v>341.02</v>
      </c>
      <c r="M60">
        <f>הגדרות!B2</f>
        <v/>
      </c>
      <c r="N60">
        <f>K60*(1-M60/100)*1.18</f>
        <v/>
      </c>
      <c r="O60">
        <f>הגדרות!C2</f>
        <v/>
      </c>
      <c r="P60">
        <f>הגדרות!D2</f>
        <v/>
      </c>
      <c r="Q60">
        <f>N60*(1+O60/100)+P60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וטרינרי / רפואי</t>
        </is>
      </c>
      <c r="F61" t="inlineStr">
        <is>
          <t>יבש</t>
        </is>
      </c>
      <c r="G61" t="inlineStr"/>
      <c r="H61" t="inlineStr">
        <is>
          <t>כלב</t>
        </is>
      </c>
      <c r="I61" t="inlineStr"/>
      <c r="J61" t="inlineStr">
        <is>
          <t>2026-06</t>
        </is>
      </c>
      <c r="K61" t="n">
        <v>504</v>
      </c>
      <c r="L61" t="n">
        <v>594.72</v>
      </c>
      <c r="M61">
        <f>הגדרות!B2</f>
        <v/>
      </c>
      <c r="N61">
        <f>K61*(1-M61/100)*1.18</f>
        <v/>
      </c>
      <c r="O61">
        <f>הגדרות!C2</f>
        <v/>
      </c>
      <c r="P61">
        <f>הגדרות!D2</f>
        <v/>
      </c>
      <c r="Q61">
        <f>N61*(1+O61/100)+P61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וטרינרי / רפואי</t>
        </is>
      </c>
      <c r="F62" t="inlineStr">
        <is>
          <t>יבש</t>
        </is>
      </c>
      <c r="G62" t="inlineStr"/>
      <c r="H62" t="inlineStr">
        <is>
          <t>כלב</t>
        </is>
      </c>
      <c r="I62" t="inlineStr">
        <is>
          <t>עד 7 ק"ג</t>
        </is>
      </c>
      <c r="J62" t="inlineStr">
        <is>
          <t>2026-06</t>
        </is>
      </c>
      <c r="K62" t="n">
        <v>215</v>
      </c>
      <c r="L62" t="n">
        <v>253.7</v>
      </c>
      <c r="M62">
        <f>הגדרות!B2</f>
        <v/>
      </c>
      <c r="N62">
        <f>K62*(1-M62/100)*1.18</f>
        <v/>
      </c>
      <c r="O62">
        <f>הגדרות!C2</f>
        <v/>
      </c>
      <c r="P62">
        <f>הגדרות!D2</f>
        <v/>
      </c>
      <c r="Q62">
        <f>N62*(1+O62/100)+P62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וטרינרי / רפואי</t>
        </is>
      </c>
      <c r="F63" t="inlineStr">
        <is>
          <t>יבש</t>
        </is>
      </c>
      <c r="G63" t="inlineStr"/>
      <c r="H63" t="inlineStr">
        <is>
          <t>כלב</t>
        </is>
      </c>
      <c r="I63" t="inlineStr"/>
      <c r="J63" t="inlineStr">
        <is>
          <t>2026-06</t>
        </is>
      </c>
      <c r="K63" t="n">
        <v>330</v>
      </c>
      <c r="L63" t="n">
        <v>389.4</v>
      </c>
      <c r="M63">
        <f>הגדרות!B2</f>
        <v/>
      </c>
      <c r="N63">
        <f>K63*(1-M63/100)*1.18</f>
        <v/>
      </c>
      <c r="O63">
        <f>הגדרות!C2</f>
        <v/>
      </c>
      <c r="P63">
        <f>הגדרות!D2</f>
        <v/>
      </c>
      <c r="Q63">
        <f>N63*(1+O63/100)+P63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וטרינרי / רפואי</t>
        </is>
      </c>
      <c r="F64" t="inlineStr">
        <is>
          <t>יבש</t>
        </is>
      </c>
      <c r="G64" t="inlineStr"/>
      <c r="H64" t="inlineStr">
        <is>
          <t>כלב</t>
        </is>
      </c>
      <c r="I64" t="inlineStr"/>
      <c r="J64" t="inlineStr">
        <is>
          <t>2026-06</t>
        </is>
      </c>
      <c r="K64" t="n">
        <v>504</v>
      </c>
      <c r="L64" t="n">
        <v>594.72</v>
      </c>
      <c r="M64">
        <f>הגדרות!B2</f>
        <v/>
      </c>
      <c r="N64">
        <f>K64*(1-M64/100)*1.18</f>
        <v/>
      </c>
      <c r="O64">
        <f>הגדרות!C2</f>
        <v/>
      </c>
      <c r="P64">
        <f>הגדרות!D2</f>
        <v/>
      </c>
      <c r="Q64">
        <f>N64*(1+O64/100)+P64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וטרינרי / רפואי</t>
        </is>
      </c>
      <c r="F65" t="inlineStr">
        <is>
          <t>יבש</t>
        </is>
      </c>
      <c r="G65" t="inlineStr">
        <is>
          <t>גורים</t>
        </is>
      </c>
      <c r="H65" t="inlineStr">
        <is>
          <t>כלב</t>
        </is>
      </c>
      <c r="I65" t="inlineStr"/>
      <c r="J65" t="inlineStr">
        <is>
          <t>2026-06</t>
        </is>
      </c>
      <c r="K65" t="n">
        <v>155</v>
      </c>
      <c r="L65" t="n">
        <v>182.9</v>
      </c>
      <c r="M65">
        <f>הגדרות!B2</f>
        <v/>
      </c>
      <c r="N65">
        <f>K65*(1-M65/100)*1.18</f>
        <v/>
      </c>
      <c r="O65">
        <f>הגדרות!C2</f>
        <v/>
      </c>
      <c r="P65">
        <f>הגדרות!D2</f>
        <v/>
      </c>
      <c r="Q65">
        <f>N65*(1+O65/100)+P65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וטרינרי / רפואי</t>
        </is>
      </c>
      <c r="F66" t="inlineStr">
        <is>
          <t>יבש</t>
        </is>
      </c>
      <c r="G66" t="inlineStr">
        <is>
          <t>גורים</t>
        </is>
      </c>
      <c r="H66" t="inlineStr">
        <is>
          <t>כלב</t>
        </is>
      </c>
      <c r="I66" t="inlineStr"/>
      <c r="J66" t="inlineStr">
        <is>
          <t>2026-06</t>
        </is>
      </c>
      <c r="K66" t="n">
        <v>504</v>
      </c>
      <c r="L66" t="n">
        <v>594.72</v>
      </c>
      <c r="M66">
        <f>הגדרות!B2</f>
        <v/>
      </c>
      <c r="N66">
        <f>K66*(1-M66/100)*1.18</f>
        <v/>
      </c>
      <c r="O66">
        <f>הגדרות!C2</f>
        <v/>
      </c>
      <c r="P66">
        <f>הגדרות!D2</f>
        <v/>
      </c>
      <c r="Q66">
        <f>N66*(1+O66/100)+P66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וטרינרי / רפואי</t>
        </is>
      </c>
      <c r="F67" t="inlineStr">
        <is>
          <t>יבש</t>
        </is>
      </c>
      <c r="G67" t="inlineStr"/>
      <c r="H67" t="inlineStr">
        <is>
          <t>כלב</t>
        </is>
      </c>
      <c r="I67" t="inlineStr"/>
      <c r="J67" t="inlineStr">
        <is>
          <t>2026-06</t>
        </is>
      </c>
      <c r="K67" t="n">
        <v>115</v>
      </c>
      <c r="L67" t="n">
        <v>135.7</v>
      </c>
      <c r="M67">
        <f>הגדרות!B2</f>
        <v/>
      </c>
      <c r="N67">
        <f>K67*(1-M67/100)*1.18</f>
        <v/>
      </c>
      <c r="O67">
        <f>הגדרות!C2</f>
        <v/>
      </c>
      <c r="P67">
        <f>הגדרות!D2</f>
        <v/>
      </c>
      <c r="Q67">
        <f>N67*(1+O67/100)+P67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וטרינרי / רפואי</t>
        </is>
      </c>
      <c r="F68" t="inlineStr">
        <is>
          <t>יבש</t>
        </is>
      </c>
      <c r="G68" t="inlineStr"/>
      <c r="H68" t="inlineStr">
        <is>
          <t>כלב</t>
        </is>
      </c>
      <c r="I68" t="inlineStr"/>
      <c r="J68" t="inlineStr">
        <is>
          <t>2026-06</t>
        </is>
      </c>
      <c r="K68" t="n">
        <v>315</v>
      </c>
      <c r="L68" t="n">
        <v>371.7</v>
      </c>
      <c r="M68">
        <f>הגדרות!B2</f>
        <v/>
      </c>
      <c r="N68">
        <f>K68*(1-M68/100)*1.18</f>
        <v/>
      </c>
      <c r="O68">
        <f>הגדרות!C2</f>
        <v/>
      </c>
      <c r="P68">
        <f>הגדרות!D2</f>
        <v/>
      </c>
      <c r="Q68">
        <f>N68*(1+O68/100)+P68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וטרינרי / רפואי</t>
        </is>
      </c>
      <c r="F69" t="inlineStr">
        <is>
          <t>יבש</t>
        </is>
      </c>
      <c r="G69" t="inlineStr"/>
      <c r="H69" t="inlineStr">
        <is>
          <t>כלב</t>
        </is>
      </c>
      <c r="I69" t="inlineStr"/>
      <c r="J69" t="inlineStr">
        <is>
          <t>2026-06</t>
        </is>
      </c>
      <c r="K69" t="n">
        <v>519</v>
      </c>
      <c r="L69" t="n">
        <v>612.42</v>
      </c>
      <c r="M69">
        <f>הגדרות!B2</f>
        <v/>
      </c>
      <c r="N69">
        <f>K69*(1-M69/100)*1.18</f>
        <v/>
      </c>
      <c r="O69">
        <f>הגדרות!C2</f>
        <v/>
      </c>
      <c r="P69">
        <f>הגדרות!D2</f>
        <v/>
      </c>
      <c r="Q69">
        <f>N69*(1+O69/100)+P69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וטרינרי / רפואי</t>
        </is>
      </c>
      <c r="F70" t="inlineStr">
        <is>
          <t>יבש</t>
        </is>
      </c>
      <c r="G70" t="inlineStr"/>
      <c r="H70" t="inlineStr">
        <is>
          <t>כלב</t>
        </is>
      </c>
      <c r="I70" t="inlineStr"/>
      <c r="J70" t="inlineStr">
        <is>
          <t>2026-06</t>
        </is>
      </c>
      <c r="K70" t="n">
        <v>115</v>
      </c>
      <c r="L70" t="n">
        <v>135.7</v>
      </c>
      <c r="M70">
        <f>הגדרות!B2</f>
        <v/>
      </c>
      <c r="N70">
        <f>K70*(1-M70/100)*1.18</f>
        <v/>
      </c>
      <c r="O70">
        <f>הגדרות!C2</f>
        <v/>
      </c>
      <c r="P70">
        <f>הגדרות!D2</f>
        <v/>
      </c>
      <c r="Q70">
        <f>N70*(1+O70/100)+P70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וטרינרי / רפואי</t>
        </is>
      </c>
      <c r="F71" t="inlineStr">
        <is>
          <t>יבש</t>
        </is>
      </c>
      <c r="G71" t="inlineStr"/>
      <c r="H71" t="inlineStr">
        <is>
          <t>כלב</t>
        </is>
      </c>
      <c r="I71" t="inlineStr"/>
      <c r="J71" t="inlineStr">
        <is>
          <t>2026-06</t>
        </is>
      </c>
      <c r="K71" t="n">
        <v>289</v>
      </c>
      <c r="L71" t="n">
        <v>341.02</v>
      </c>
      <c r="M71">
        <f>הגדרות!B2</f>
        <v/>
      </c>
      <c r="N71">
        <f>K71*(1-M71/100)*1.18</f>
        <v/>
      </c>
      <c r="O71">
        <f>הגדרות!C2</f>
        <v/>
      </c>
      <c r="P71">
        <f>הגדרות!D2</f>
        <v/>
      </c>
      <c r="Q71">
        <f>N71*(1+O71/100)+P71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וטרינרי / רפואי</t>
        </is>
      </c>
      <c r="F72" t="inlineStr">
        <is>
          <t>יבש</t>
        </is>
      </c>
      <c r="G72" t="inlineStr"/>
      <c r="H72" t="inlineStr">
        <is>
          <t>כלב</t>
        </is>
      </c>
      <c r="I72" t="inlineStr"/>
      <c r="J72" t="inlineStr">
        <is>
          <t>2026-06</t>
        </is>
      </c>
      <c r="K72" t="n">
        <v>504</v>
      </c>
      <c r="L72" t="n">
        <v>594.72</v>
      </c>
      <c r="M72">
        <f>הגדרות!B2</f>
        <v/>
      </c>
      <c r="N72">
        <f>K72*(1-M72/100)*1.18</f>
        <v/>
      </c>
      <c r="O72">
        <f>הגדרות!C2</f>
        <v/>
      </c>
      <c r="P72">
        <f>הגדרות!D2</f>
        <v/>
      </c>
      <c r="Q72">
        <f>N72*(1+O72/100)+P72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וטרינרי / רפואי</t>
        </is>
      </c>
      <c r="F73" t="inlineStr">
        <is>
          <t>יבש</t>
        </is>
      </c>
      <c r="G73" t="inlineStr"/>
      <c r="H73" t="inlineStr">
        <is>
          <t>כלב</t>
        </is>
      </c>
      <c r="I73" t="inlineStr">
        <is>
          <t>עד 7 ק"ג</t>
        </is>
      </c>
      <c r="J73" t="inlineStr">
        <is>
          <t>2026-06</t>
        </is>
      </c>
      <c r="K73" t="n">
        <v>174</v>
      </c>
      <c r="L73" t="n">
        <v>205.32</v>
      </c>
      <c r="M73">
        <f>הגדרות!B2</f>
        <v/>
      </c>
      <c r="N73">
        <f>K73*(1-M73/100)*1.18</f>
        <v/>
      </c>
      <c r="O73">
        <f>הגדרות!C2</f>
        <v/>
      </c>
      <c r="P73">
        <f>הגדרות!D2</f>
        <v/>
      </c>
      <c r="Q73">
        <f>N73*(1+O73/100)+P73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וטרינרי / רפואי</t>
        </is>
      </c>
      <c r="F74" t="inlineStr">
        <is>
          <t>יבש</t>
        </is>
      </c>
      <c r="G74" t="inlineStr"/>
      <c r="H74" t="inlineStr">
        <is>
          <t>כלב</t>
        </is>
      </c>
      <c r="I74" t="inlineStr"/>
      <c r="J74" t="inlineStr">
        <is>
          <t>2026-06</t>
        </is>
      </c>
      <c r="K74" t="n">
        <v>115</v>
      </c>
      <c r="L74" t="n">
        <v>135.7</v>
      </c>
      <c r="M74">
        <f>הגדרות!B2</f>
        <v/>
      </c>
      <c r="N74">
        <f>K74*(1-M74/100)*1.18</f>
        <v/>
      </c>
      <c r="O74">
        <f>הגדרות!C2</f>
        <v/>
      </c>
      <c r="P74">
        <f>הגדרות!D2</f>
        <v/>
      </c>
      <c r="Q74">
        <f>N74*(1+O74/100)+P74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וטרינרי / רפואי</t>
        </is>
      </c>
      <c r="F75" t="inlineStr">
        <is>
          <t>יבש</t>
        </is>
      </c>
      <c r="G75" t="inlineStr"/>
      <c r="H75" t="inlineStr">
        <is>
          <t>כלב</t>
        </is>
      </c>
      <c r="I75" t="inlineStr"/>
      <c r="J75" t="inlineStr">
        <is>
          <t>2026-06</t>
        </is>
      </c>
      <c r="K75" t="n">
        <v>319</v>
      </c>
      <c r="L75" t="n">
        <v>376.42</v>
      </c>
      <c r="M75">
        <f>הגדרות!B2</f>
        <v/>
      </c>
      <c r="N75">
        <f>K75*(1-M75/100)*1.18</f>
        <v/>
      </c>
      <c r="O75">
        <f>הגדרות!C2</f>
        <v/>
      </c>
      <c r="P75">
        <f>הגדרות!D2</f>
        <v/>
      </c>
      <c r="Q75">
        <f>N75*(1+O75/100)+P75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וטרינרי / רפואי</t>
        </is>
      </c>
      <c r="F76" t="inlineStr">
        <is>
          <t>יבש</t>
        </is>
      </c>
      <c r="G76" t="inlineStr"/>
      <c r="H76" t="inlineStr">
        <is>
          <t>כלב</t>
        </is>
      </c>
      <c r="I76" t="inlineStr"/>
      <c r="J76" t="inlineStr">
        <is>
          <t>2026-06</t>
        </is>
      </c>
      <c r="K76" t="n">
        <v>315</v>
      </c>
      <c r="L76" t="n">
        <v>371.7</v>
      </c>
      <c r="M76">
        <f>הגדרות!B2</f>
        <v/>
      </c>
      <c r="N76">
        <f>K76*(1-M76/100)*1.18</f>
        <v/>
      </c>
      <c r="O76">
        <f>הגדרות!C2</f>
        <v/>
      </c>
      <c r="P76">
        <f>הגדרות!D2</f>
        <v/>
      </c>
      <c r="Q76">
        <f>N76*(1+O76/100)+P76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וטרינרי / רפואי</t>
        </is>
      </c>
      <c r="F77" t="inlineStr">
        <is>
          <t>יבש</t>
        </is>
      </c>
      <c r="G77" t="inlineStr"/>
      <c r="H77" t="inlineStr">
        <is>
          <t>כלב</t>
        </is>
      </c>
      <c r="I77" t="inlineStr"/>
      <c r="J77" t="inlineStr">
        <is>
          <t>2026-06</t>
        </is>
      </c>
      <c r="K77" t="n">
        <v>504</v>
      </c>
      <c r="L77" t="n">
        <v>594.72</v>
      </c>
      <c r="M77">
        <f>הגדרות!B2</f>
        <v/>
      </c>
      <c r="N77">
        <f>K77*(1-M77/100)*1.18</f>
        <v/>
      </c>
      <c r="O77">
        <f>הגדרות!C2</f>
        <v/>
      </c>
      <c r="P77">
        <f>הגדרות!D2</f>
        <v/>
      </c>
      <c r="Q77">
        <f>N77*(1+O77/100)+P77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וטרינרי / רפואי</t>
        </is>
      </c>
      <c r="F78" t="inlineStr">
        <is>
          <t>יבש</t>
        </is>
      </c>
      <c r="G78" t="inlineStr"/>
      <c r="H78" t="inlineStr">
        <is>
          <t>כלב</t>
        </is>
      </c>
      <c r="I78" t="inlineStr"/>
      <c r="J78" t="inlineStr">
        <is>
          <t>2026-06</t>
        </is>
      </c>
      <c r="K78" t="n">
        <v>315</v>
      </c>
      <c r="L78" t="n">
        <v>371.7</v>
      </c>
      <c r="M78">
        <f>הגדרות!B2</f>
        <v/>
      </c>
      <c r="N78">
        <f>K78*(1-M78/100)*1.18</f>
        <v/>
      </c>
      <c r="O78">
        <f>הגדרות!C2</f>
        <v/>
      </c>
      <c r="P78">
        <f>הגדרות!D2</f>
        <v/>
      </c>
      <c r="Q78">
        <f>N78*(1+O78/100)+P78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וטרינרי / רפואי</t>
        </is>
      </c>
      <c r="F79" t="inlineStr">
        <is>
          <t>יבש</t>
        </is>
      </c>
      <c r="G79" t="inlineStr"/>
      <c r="H79" t="inlineStr">
        <is>
          <t>כלב</t>
        </is>
      </c>
      <c r="I79" t="inlineStr"/>
      <c r="J79" t="inlineStr">
        <is>
          <t>2026-06</t>
        </is>
      </c>
      <c r="K79" t="n">
        <v>115</v>
      </c>
      <c r="L79" t="n">
        <v>135.7</v>
      </c>
      <c r="M79">
        <f>הגדרות!B2</f>
        <v/>
      </c>
      <c r="N79">
        <f>K79*(1-M79/100)*1.18</f>
        <v/>
      </c>
      <c r="O79">
        <f>הגדרות!C2</f>
        <v/>
      </c>
      <c r="P79">
        <f>הגדרות!D2</f>
        <v/>
      </c>
      <c r="Q79">
        <f>N79*(1+O79/100)+P79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וטרינרי / רפואי</t>
        </is>
      </c>
      <c r="F80" t="inlineStr">
        <is>
          <t>יבש</t>
        </is>
      </c>
      <c r="G80" t="inlineStr"/>
      <c r="H80" t="inlineStr">
        <is>
          <t>כלב</t>
        </is>
      </c>
      <c r="I80" t="inlineStr"/>
      <c r="J80" t="inlineStr">
        <is>
          <t>2026-06</t>
        </is>
      </c>
      <c r="K80" t="n">
        <v>315</v>
      </c>
      <c r="L80" t="n">
        <v>371.7</v>
      </c>
      <c r="M80">
        <f>הגדרות!B2</f>
        <v/>
      </c>
      <c r="N80">
        <f>K80*(1-M80/100)*1.18</f>
        <v/>
      </c>
      <c r="O80">
        <f>הגדרות!C2</f>
        <v/>
      </c>
      <c r="P80">
        <f>הגדרות!D2</f>
        <v/>
      </c>
      <c r="Q80">
        <f>N80*(1+O80/100)+P80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וטרינרי / רפואי</t>
        </is>
      </c>
      <c r="F81" t="inlineStr">
        <is>
          <t>יבש</t>
        </is>
      </c>
      <c r="G81" t="inlineStr"/>
      <c r="H81" t="inlineStr">
        <is>
          <t>כלב</t>
        </is>
      </c>
      <c r="I81" t="inlineStr">
        <is>
          <t>עד 7 ק"ג</t>
        </is>
      </c>
      <c r="J81" t="inlineStr">
        <is>
          <t>2026-06</t>
        </is>
      </c>
      <c r="K81" t="n">
        <v>215</v>
      </c>
      <c r="L81" t="n">
        <v>253.7</v>
      </c>
      <c r="M81">
        <f>הגדרות!B2</f>
        <v/>
      </c>
      <c r="N81">
        <f>K81*(1-M81/100)*1.18</f>
        <v/>
      </c>
      <c r="O81">
        <f>הגדרות!C2</f>
        <v/>
      </c>
      <c r="P81">
        <f>הגדרות!D2</f>
        <v/>
      </c>
      <c r="Q81">
        <f>N81*(1+O81/100)+P81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וטרינרי / רפואי</t>
        </is>
      </c>
      <c r="F82" t="inlineStr">
        <is>
          <t>יבש</t>
        </is>
      </c>
      <c r="G82" t="inlineStr"/>
      <c r="H82" t="inlineStr">
        <is>
          <t>כלב</t>
        </is>
      </c>
      <c r="I82" t="inlineStr">
        <is>
          <t>עד 7 ק"ג</t>
        </is>
      </c>
      <c r="J82" t="inlineStr">
        <is>
          <t>2026-06</t>
        </is>
      </c>
      <c r="K82" t="n">
        <v>115</v>
      </c>
      <c r="L82" t="n">
        <v>135.7</v>
      </c>
      <c r="M82">
        <f>הגדרות!B2</f>
        <v/>
      </c>
      <c r="N82">
        <f>K82*(1-M82/100)*1.18</f>
        <v/>
      </c>
      <c r="O82">
        <f>הגדרות!C2</f>
        <v/>
      </c>
      <c r="P82">
        <f>הגדרות!D2</f>
        <v/>
      </c>
      <c r="Q82">
        <f>N82*(1+O82/100)+P82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וטרינרי / רפואי</t>
        </is>
      </c>
      <c r="F83" t="inlineStr">
        <is>
          <t>יבש</t>
        </is>
      </c>
      <c r="G83" t="inlineStr"/>
      <c r="H83" t="inlineStr">
        <is>
          <t>כלב</t>
        </is>
      </c>
      <c r="I83" t="inlineStr"/>
      <c r="J83" t="inlineStr">
        <is>
          <t>2026-06</t>
        </is>
      </c>
      <c r="K83" t="n">
        <v>215</v>
      </c>
      <c r="L83" t="n">
        <v>253.7</v>
      </c>
      <c r="M83">
        <f>הגדרות!B2</f>
        <v/>
      </c>
      <c r="N83">
        <f>K83*(1-M83/100)*1.18</f>
        <v/>
      </c>
      <c r="O83">
        <f>הגדרות!C2</f>
        <v/>
      </c>
      <c r="P83">
        <f>הגדרות!D2</f>
        <v/>
      </c>
      <c r="Q83">
        <f>N83*(1+O83/100)+P83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וטרינרי / רפואי</t>
        </is>
      </c>
      <c r="F84" t="inlineStr">
        <is>
          <t>יבש</t>
        </is>
      </c>
      <c r="G84" t="inlineStr"/>
      <c r="H84" t="inlineStr">
        <is>
          <t>כלב</t>
        </is>
      </c>
      <c r="I84" t="inlineStr"/>
      <c r="J84" t="inlineStr">
        <is>
          <t>2026-06</t>
        </is>
      </c>
      <c r="K84" t="n">
        <v>499</v>
      </c>
      <c r="L84" t="n">
        <v>588.8200000000001</v>
      </c>
      <c r="M84">
        <f>הגדרות!B2</f>
        <v/>
      </c>
      <c r="N84">
        <f>K84*(1-M84/100)*1.18</f>
        <v/>
      </c>
      <c r="O84">
        <f>הגדרות!C2</f>
        <v/>
      </c>
      <c r="P84">
        <f>הגדרות!D2</f>
        <v/>
      </c>
      <c r="Q84">
        <f>N84*(1+O84/100)+P84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וטרינרי / רפואי</t>
        </is>
      </c>
      <c r="F85" t="inlineStr">
        <is>
          <t>יבש</t>
        </is>
      </c>
      <c r="G85" t="inlineStr">
        <is>
          <t>גורים</t>
        </is>
      </c>
      <c r="H85" t="inlineStr">
        <is>
          <t>כלב</t>
        </is>
      </c>
      <c r="I85" t="inlineStr"/>
      <c r="J85" t="inlineStr">
        <is>
          <t>2026-06</t>
        </is>
      </c>
      <c r="K85" t="n">
        <v>205</v>
      </c>
      <c r="L85" t="n">
        <v>241.9</v>
      </c>
      <c r="M85">
        <f>הגדרות!B2</f>
        <v/>
      </c>
      <c r="N85">
        <f>K85*(1-M85/100)*1.18</f>
        <v/>
      </c>
      <c r="O85">
        <f>הגדרות!C2</f>
        <v/>
      </c>
      <c r="P85">
        <f>הגדרות!D2</f>
        <v/>
      </c>
      <c r="Q85">
        <f>N85*(1+O85/100)+P85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וטרינרי / רפואי</t>
        </is>
      </c>
      <c r="F86" t="inlineStr">
        <is>
          <t>יבש</t>
        </is>
      </c>
      <c r="G86" t="inlineStr"/>
      <c r="H86" t="inlineStr">
        <is>
          <t>כלב</t>
        </is>
      </c>
      <c r="I86" t="inlineStr"/>
      <c r="J86" t="inlineStr">
        <is>
          <t>2026-06</t>
        </is>
      </c>
      <c r="K86" t="n">
        <v>129</v>
      </c>
      <c r="L86" t="n">
        <v>152.22</v>
      </c>
      <c r="M86">
        <f>הגדרות!B2</f>
        <v/>
      </c>
      <c r="N86">
        <f>K86*(1-M86/100)*1.18</f>
        <v/>
      </c>
      <c r="O86">
        <f>הגדרות!C2</f>
        <v/>
      </c>
      <c r="P86">
        <f>הגדרות!D2</f>
        <v/>
      </c>
      <c r="Q86">
        <f>N86*(1+O86/100)+P86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וטרינרי / רפואי</t>
        </is>
      </c>
      <c r="F87" t="inlineStr">
        <is>
          <t>יבש</t>
        </is>
      </c>
      <c r="G87" t="inlineStr"/>
      <c r="H87" t="inlineStr">
        <is>
          <t>כלב</t>
        </is>
      </c>
      <c r="I87" t="inlineStr"/>
      <c r="J87" t="inlineStr">
        <is>
          <t>2026-06</t>
        </is>
      </c>
      <c r="K87" t="n">
        <v>324</v>
      </c>
      <c r="L87" t="n">
        <v>382.32</v>
      </c>
      <c r="M87">
        <f>הגדרות!B2</f>
        <v/>
      </c>
      <c r="N87">
        <f>K87*(1-M87/100)*1.18</f>
        <v/>
      </c>
      <c r="O87">
        <f>הגדרות!C2</f>
        <v/>
      </c>
      <c r="P87">
        <f>הגדרות!D2</f>
        <v/>
      </c>
      <c r="Q87">
        <f>N87*(1+O87/100)+P87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וטרינרי / רפואי</t>
        </is>
      </c>
      <c r="F88" t="inlineStr">
        <is>
          <t>יבש</t>
        </is>
      </c>
      <c r="G88" t="inlineStr"/>
      <c r="H88" t="inlineStr">
        <is>
          <t>כלב</t>
        </is>
      </c>
      <c r="I88" t="inlineStr"/>
      <c r="J88" t="inlineStr">
        <is>
          <t>2026-06</t>
        </is>
      </c>
      <c r="K88" t="n">
        <v>559</v>
      </c>
      <c r="L88" t="n">
        <v>659.62</v>
      </c>
      <c r="M88">
        <f>הגדרות!B2</f>
        <v/>
      </c>
      <c r="N88">
        <f>K88*(1-M88/100)*1.18</f>
        <v/>
      </c>
      <c r="O88">
        <f>הגדרות!C2</f>
        <v/>
      </c>
      <c r="P88">
        <f>הגדרות!D2</f>
        <v/>
      </c>
      <c r="Q88">
        <f>N88*(1+O88/100)+P88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וטרינרי / רפואי</t>
        </is>
      </c>
      <c r="F89" t="inlineStr">
        <is>
          <t>יבש</t>
        </is>
      </c>
      <c r="G89" t="inlineStr"/>
      <c r="H89" t="inlineStr">
        <is>
          <t>כלב</t>
        </is>
      </c>
      <c r="I89" t="inlineStr">
        <is>
          <t>עד 7 ק"ג</t>
        </is>
      </c>
      <c r="J89" t="inlineStr">
        <is>
          <t>2026-06</t>
        </is>
      </c>
      <c r="K89" t="n">
        <v>74</v>
      </c>
      <c r="L89" t="n">
        <v>87.31999999999999</v>
      </c>
      <c r="M89">
        <f>הגדרות!B2</f>
        <v/>
      </c>
      <c r="N89">
        <f>K89*(1-M89/100)*1.18</f>
        <v/>
      </c>
      <c r="O89">
        <f>הגדרות!C2</f>
        <v/>
      </c>
      <c r="P89">
        <f>הגדרות!D2</f>
        <v/>
      </c>
      <c r="Q89">
        <f>N89*(1+O89/100)+P89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וטרינרי / רפואי</t>
        </is>
      </c>
      <c r="F90" t="inlineStr">
        <is>
          <t>יבש</t>
        </is>
      </c>
      <c r="G90" t="inlineStr"/>
      <c r="H90" t="inlineStr">
        <is>
          <t>כלב</t>
        </is>
      </c>
      <c r="I90" t="inlineStr">
        <is>
          <t>עד 7 ק"ג</t>
        </is>
      </c>
      <c r="J90" t="inlineStr">
        <is>
          <t>2026-06</t>
        </is>
      </c>
      <c r="K90" t="n">
        <v>205</v>
      </c>
      <c r="L90" t="n">
        <v>241.9</v>
      </c>
      <c r="M90">
        <f>הגדרות!B2</f>
        <v/>
      </c>
      <c r="N90">
        <f>K90*(1-M90/100)*1.18</f>
        <v/>
      </c>
      <c r="O90">
        <f>הגדרות!C2</f>
        <v/>
      </c>
      <c r="P90">
        <f>הגדרות!D2</f>
        <v/>
      </c>
      <c r="Q90">
        <f>N90*(1+O90/100)+P90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וטרינרי / רפואי</t>
        </is>
      </c>
      <c r="F91" t="inlineStr">
        <is>
          <t>יבש</t>
        </is>
      </c>
      <c r="G91" t="inlineStr"/>
      <c r="H91" t="inlineStr">
        <is>
          <t>כלב</t>
        </is>
      </c>
      <c r="I91" t="inlineStr"/>
      <c r="J91" t="inlineStr">
        <is>
          <t>2026-06</t>
        </is>
      </c>
      <c r="K91" t="n">
        <v>359</v>
      </c>
      <c r="L91" t="n">
        <v>423.62</v>
      </c>
      <c r="M91">
        <f>הגדרות!B2</f>
        <v/>
      </c>
      <c r="N91">
        <f>K91*(1-M91/100)*1.18</f>
        <v/>
      </c>
      <c r="O91">
        <f>הגדרות!C2</f>
        <v/>
      </c>
      <c r="P91">
        <f>הגדרות!D2</f>
        <v/>
      </c>
      <c r="Q91">
        <f>N91*(1+O91/100)+P91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וטרינרי / רפואי</t>
        </is>
      </c>
      <c r="F92" t="inlineStr">
        <is>
          <t>יבש</t>
        </is>
      </c>
      <c r="G92" t="inlineStr"/>
      <c r="H92" t="inlineStr">
        <is>
          <t>כלב</t>
        </is>
      </c>
      <c r="I92" t="inlineStr">
        <is>
          <t>עד 7 ק"ג</t>
        </is>
      </c>
      <c r="J92" t="inlineStr">
        <is>
          <t>2026-06</t>
        </is>
      </c>
      <c r="K92" t="n">
        <v>215</v>
      </c>
      <c r="L92" t="n">
        <v>253.7</v>
      </c>
      <c r="M92">
        <f>הגדרות!B2</f>
        <v/>
      </c>
      <c r="N92">
        <f>K92*(1-M92/100)*1.18</f>
        <v/>
      </c>
      <c r="O92">
        <f>הגדרות!C2</f>
        <v/>
      </c>
      <c r="P92">
        <f>הגדרות!D2</f>
        <v/>
      </c>
      <c r="Q92">
        <f>N92*(1+O92/100)+P92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וטרינרי / רפואי</t>
        </is>
      </c>
      <c r="F93" t="inlineStr">
        <is>
          <t>יבש</t>
        </is>
      </c>
      <c r="G93" t="inlineStr"/>
      <c r="H93" t="inlineStr">
        <is>
          <t>כלב</t>
        </is>
      </c>
      <c r="I93" t="inlineStr"/>
      <c r="J93" t="inlineStr">
        <is>
          <t>2026-06</t>
        </is>
      </c>
      <c r="K93" t="n">
        <v>115</v>
      </c>
      <c r="L93" t="n">
        <v>135.7</v>
      </c>
      <c r="M93">
        <f>הגדרות!B2</f>
        <v/>
      </c>
      <c r="N93">
        <f>K93*(1-M93/100)*1.18</f>
        <v/>
      </c>
      <c r="O93">
        <f>הגדרות!C2</f>
        <v/>
      </c>
      <c r="P93">
        <f>הגדרות!D2</f>
        <v/>
      </c>
      <c r="Q93">
        <f>N93*(1+O93/100)+P93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וטרינרי / רפואי</t>
        </is>
      </c>
      <c r="F94" t="inlineStr">
        <is>
          <t>יבש</t>
        </is>
      </c>
      <c r="G94" t="inlineStr"/>
      <c r="H94" t="inlineStr">
        <is>
          <t>כלב</t>
        </is>
      </c>
      <c r="I94" t="inlineStr"/>
      <c r="J94" t="inlineStr">
        <is>
          <t>2026-06</t>
        </is>
      </c>
      <c r="K94" t="n">
        <v>315</v>
      </c>
      <c r="L94" t="n">
        <v>371.7</v>
      </c>
      <c r="M94">
        <f>הגדרות!B2</f>
        <v/>
      </c>
      <c r="N94">
        <f>K94*(1-M94/100)*1.18</f>
        <v/>
      </c>
      <c r="O94">
        <f>הגדרות!C2</f>
        <v/>
      </c>
      <c r="P94">
        <f>הגדרות!D2</f>
        <v/>
      </c>
      <c r="Q94">
        <f>N94*(1+O94/100)+P94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וטרינרי / רפואי</t>
        </is>
      </c>
      <c r="F95" t="inlineStr">
        <is>
          <t>יבש</t>
        </is>
      </c>
      <c r="G95" t="inlineStr"/>
      <c r="H95" t="inlineStr">
        <is>
          <t>כלב</t>
        </is>
      </c>
      <c r="I95" t="inlineStr"/>
      <c r="J95" t="inlineStr">
        <is>
          <t>2026-06</t>
        </is>
      </c>
      <c r="K95" t="n">
        <v>499</v>
      </c>
      <c r="L95" t="n">
        <v>588.8200000000001</v>
      </c>
      <c r="M95">
        <f>הגדרות!B2</f>
        <v/>
      </c>
      <c r="N95">
        <f>K95*(1-M95/100)*1.18</f>
        <v/>
      </c>
      <c r="O95">
        <f>הגדרות!C2</f>
        <v/>
      </c>
      <c r="P95">
        <f>הגדרות!D2</f>
        <v/>
      </c>
      <c r="Q95">
        <f>N95*(1+O95/100)+P95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וטרינרי / רפואי</t>
        </is>
      </c>
      <c r="F96" t="inlineStr">
        <is>
          <t>יבש</t>
        </is>
      </c>
      <c r="G96" t="inlineStr"/>
      <c r="H96" t="inlineStr">
        <is>
          <t>כלב</t>
        </is>
      </c>
      <c r="I96" t="inlineStr"/>
      <c r="J96" t="inlineStr">
        <is>
          <t>2026-06</t>
        </is>
      </c>
      <c r="K96" t="n">
        <v>315</v>
      </c>
      <c r="L96" t="n">
        <v>371.7</v>
      </c>
      <c r="M96">
        <f>הגדרות!B2</f>
        <v/>
      </c>
      <c r="N96">
        <f>K96*(1-M96/100)*1.18</f>
        <v/>
      </c>
      <c r="O96">
        <f>הגדרות!C2</f>
        <v/>
      </c>
      <c r="P96">
        <f>הגדרות!D2</f>
        <v/>
      </c>
      <c r="Q96">
        <f>N96*(1+O96/100)+P96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וטרינרי / רפואי</t>
        </is>
      </c>
      <c r="F97" t="inlineStr">
        <is>
          <t>יבש</t>
        </is>
      </c>
      <c r="G97" t="inlineStr"/>
      <c r="H97" t="inlineStr">
        <is>
          <t>כלב</t>
        </is>
      </c>
      <c r="I97" t="inlineStr"/>
      <c r="J97" t="inlineStr">
        <is>
          <t>2026-06</t>
        </is>
      </c>
      <c r="K97" t="n">
        <v>449</v>
      </c>
      <c r="L97" t="n">
        <v>529.8200000000001</v>
      </c>
      <c r="M97">
        <f>הגדרות!B2</f>
        <v/>
      </c>
      <c r="N97">
        <f>K97*(1-M97/100)*1.18</f>
        <v/>
      </c>
      <c r="O97">
        <f>הגדרות!C2</f>
        <v/>
      </c>
      <c r="P97">
        <f>הגדרות!D2</f>
        <v/>
      </c>
      <c r="Q97">
        <f>N97*(1+O97/100)+P97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וטרינרי / רפואי</t>
        </is>
      </c>
      <c r="F98" t="inlineStr">
        <is>
          <t>יבש</t>
        </is>
      </c>
      <c r="G98" t="inlineStr"/>
      <c r="H98" t="inlineStr">
        <is>
          <t>כלב</t>
        </is>
      </c>
      <c r="I98" t="inlineStr"/>
      <c r="J98" t="inlineStr">
        <is>
          <t>2026-06</t>
        </is>
      </c>
      <c r="K98" t="n">
        <v>115</v>
      </c>
      <c r="L98" t="n">
        <v>135.7</v>
      </c>
      <c r="M98">
        <f>הגדרות!B2</f>
        <v/>
      </c>
      <c r="N98">
        <f>K98*(1-M98/100)*1.18</f>
        <v/>
      </c>
      <c r="O98">
        <f>הגדרות!C2</f>
        <v/>
      </c>
      <c r="P98">
        <f>הגדרות!D2</f>
        <v/>
      </c>
      <c r="Q98">
        <f>N98*(1+O98/100)+P98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וטרינרי / רפואי</t>
        </is>
      </c>
      <c r="F99" t="inlineStr">
        <is>
          <t>יבש</t>
        </is>
      </c>
      <c r="G99" t="inlineStr"/>
      <c r="H99" t="inlineStr">
        <is>
          <t>כלב</t>
        </is>
      </c>
      <c r="I99" t="inlineStr"/>
      <c r="J99" t="inlineStr">
        <is>
          <t>2026-06</t>
        </is>
      </c>
      <c r="K99" t="n">
        <v>315</v>
      </c>
      <c r="L99" t="n">
        <v>371.7</v>
      </c>
      <c r="M99">
        <f>הגדרות!B2</f>
        <v/>
      </c>
      <c r="N99">
        <f>K99*(1-M99/100)*1.18</f>
        <v/>
      </c>
      <c r="O99">
        <f>הגדרות!C2</f>
        <v/>
      </c>
      <c r="P99">
        <f>הגדרות!D2</f>
        <v/>
      </c>
      <c r="Q99">
        <f>N99*(1+O99/100)+P99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וטרינרי / רפואי</t>
        </is>
      </c>
      <c r="F100" t="inlineStr">
        <is>
          <t>רטוב</t>
        </is>
      </c>
      <c r="G100" t="inlineStr"/>
      <c r="H100" t="inlineStr">
        <is>
          <t>כלב</t>
        </is>
      </c>
      <c r="I100" t="inlineStr"/>
      <c r="J100" t="inlineStr">
        <is>
          <t>2026-06</t>
        </is>
      </c>
      <c r="K100" t="n">
        <v>224</v>
      </c>
      <c r="L100" t="n">
        <v>264.32</v>
      </c>
      <c r="M100">
        <f>הגדרות!B2</f>
        <v/>
      </c>
      <c r="N100">
        <f>K100*(1-M100/100)*1.18</f>
        <v/>
      </c>
      <c r="O100">
        <f>הגדרות!C2</f>
        <v/>
      </c>
      <c r="P100">
        <f>הגדרות!D2</f>
        <v/>
      </c>
      <c r="Q100">
        <f>N100*(1+O100/100)+P100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וטרינרי / רפואי</t>
        </is>
      </c>
      <c r="F101" t="inlineStr">
        <is>
          <t>רטוב</t>
        </is>
      </c>
      <c r="G101" t="inlineStr"/>
      <c r="H101" t="inlineStr">
        <is>
          <t>כלב</t>
        </is>
      </c>
      <c r="I101" t="inlineStr"/>
      <c r="J101" t="inlineStr">
        <is>
          <t>2026-06</t>
        </is>
      </c>
      <c r="K101" t="n">
        <v>224</v>
      </c>
      <c r="L101" t="n">
        <v>264.32</v>
      </c>
      <c r="M101">
        <f>הגדרות!B2</f>
        <v/>
      </c>
      <c r="N101">
        <f>K101*(1-M101/100)*1.18</f>
        <v/>
      </c>
      <c r="O101">
        <f>הגדרות!C2</f>
        <v/>
      </c>
      <c r="P101">
        <f>הגדרות!D2</f>
        <v/>
      </c>
      <c r="Q101">
        <f>N101*(1+O101/100)+P101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וטרינרי / רפואי</t>
        </is>
      </c>
      <c r="F102" t="inlineStr">
        <is>
          <t>רטוב</t>
        </is>
      </c>
      <c r="G102" t="inlineStr">
        <is>
          <t>גורים</t>
        </is>
      </c>
      <c r="H102" t="inlineStr">
        <is>
          <t>כלב</t>
        </is>
      </c>
      <c r="I102" t="inlineStr"/>
      <c r="J102" t="inlineStr">
        <is>
          <t>2026-06</t>
        </is>
      </c>
      <c r="K102" t="n">
        <v>139</v>
      </c>
      <c r="L102" t="n">
        <v>164.02</v>
      </c>
      <c r="M102">
        <f>הגדרות!B2</f>
        <v/>
      </c>
      <c r="N102">
        <f>K102*(1-M102/100)*1.18</f>
        <v/>
      </c>
      <c r="O102">
        <f>הגדרות!C2</f>
        <v/>
      </c>
      <c r="P102">
        <f>הגדרות!D2</f>
        <v/>
      </c>
      <c r="Q102">
        <f>N102*(1+O102/100)+P102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וטרינרי / רפואי</t>
        </is>
      </c>
      <c r="F103" t="inlineStr">
        <is>
          <t>רטוב</t>
        </is>
      </c>
      <c r="G103" t="inlineStr"/>
      <c r="H103" t="inlineStr">
        <is>
          <t>כלב</t>
        </is>
      </c>
      <c r="I103" t="inlineStr"/>
      <c r="J103" t="inlineStr">
        <is>
          <t>2026-06</t>
        </is>
      </c>
      <c r="K103" t="n">
        <v>224</v>
      </c>
      <c r="L103" t="n">
        <v>264.32</v>
      </c>
      <c r="M103">
        <f>הגדרות!B2</f>
        <v/>
      </c>
      <c r="N103">
        <f>K103*(1-M103/100)*1.18</f>
        <v/>
      </c>
      <c r="O103">
        <f>הגדרות!C2</f>
        <v/>
      </c>
      <c r="P103">
        <f>הגדרות!D2</f>
        <v/>
      </c>
      <c r="Q103">
        <f>N103*(1+O103/100)+P103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וטרינרי / רפואי</t>
        </is>
      </c>
      <c r="F104" t="inlineStr">
        <is>
          <t>רטוב</t>
        </is>
      </c>
      <c r="G104" t="inlineStr"/>
      <c r="H104" t="inlineStr">
        <is>
          <t>כלב</t>
        </is>
      </c>
      <c r="I104" t="inlineStr"/>
      <c r="J104" t="inlineStr">
        <is>
          <t>2026-06</t>
        </is>
      </c>
      <c r="K104" t="n">
        <v>224</v>
      </c>
      <c r="L104" t="n">
        <v>264.32</v>
      </c>
      <c r="M104">
        <f>הגדרות!B2</f>
        <v/>
      </c>
      <c r="N104">
        <f>K104*(1-M104/100)*1.18</f>
        <v/>
      </c>
      <c r="O104">
        <f>הגדרות!C2</f>
        <v/>
      </c>
      <c r="P104">
        <f>הגדרות!D2</f>
        <v/>
      </c>
      <c r="Q104">
        <f>N104*(1+O104/100)+P104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וטרינרי / רפואי</t>
        </is>
      </c>
      <c r="F105" t="inlineStr">
        <is>
          <t>רטוב</t>
        </is>
      </c>
      <c r="G105" t="inlineStr"/>
      <c r="H105" t="inlineStr">
        <is>
          <t>כלב</t>
        </is>
      </c>
      <c r="I105" t="inlineStr"/>
      <c r="J105" t="inlineStr">
        <is>
          <t>2026-06</t>
        </is>
      </c>
      <c r="K105" t="n">
        <v>224</v>
      </c>
      <c r="L105" t="n">
        <v>264.32</v>
      </c>
      <c r="M105">
        <f>הגדרות!B2</f>
        <v/>
      </c>
      <c r="N105">
        <f>K105*(1-M105/100)*1.18</f>
        <v/>
      </c>
      <c r="O105">
        <f>הגדרות!C2</f>
        <v/>
      </c>
      <c r="P105">
        <f>הגדרות!D2</f>
        <v/>
      </c>
      <c r="Q105">
        <f>N105*(1+O105/100)+P105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וטרינרי / רפואי</t>
        </is>
      </c>
      <c r="F106" t="inlineStr">
        <is>
          <t>רטוב</t>
        </is>
      </c>
      <c r="G106" t="inlineStr"/>
      <c r="H106" t="inlineStr">
        <is>
          <t>כלב</t>
        </is>
      </c>
      <c r="I106" t="inlineStr"/>
      <c r="J106" t="inlineStr">
        <is>
          <t>2026-06</t>
        </is>
      </c>
      <c r="K106" t="n">
        <v>224</v>
      </c>
      <c r="L106" t="n">
        <v>264.32</v>
      </c>
      <c r="M106">
        <f>הגדרות!B2</f>
        <v/>
      </c>
      <c r="N106">
        <f>K106*(1-M106/100)*1.18</f>
        <v/>
      </c>
      <c r="O106">
        <f>הגדרות!C2</f>
        <v/>
      </c>
      <c r="P106">
        <f>הגדרות!D2</f>
        <v/>
      </c>
      <c r="Q106">
        <f>N106*(1+O106/100)+P106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וטרינרי / רפואי</t>
        </is>
      </c>
      <c r="F107" t="inlineStr">
        <is>
          <t>רטוב</t>
        </is>
      </c>
      <c r="G107" t="inlineStr"/>
      <c r="H107" t="inlineStr">
        <is>
          <t>כלב</t>
        </is>
      </c>
      <c r="I107" t="inlineStr"/>
      <c r="J107" t="inlineStr">
        <is>
          <t>2026-06</t>
        </is>
      </c>
      <c r="K107" t="n">
        <v>224</v>
      </c>
      <c r="L107" t="n">
        <v>264.32</v>
      </c>
      <c r="M107">
        <f>הגדרות!B2</f>
        <v/>
      </c>
      <c r="N107">
        <f>K107*(1-M107/100)*1.18</f>
        <v/>
      </c>
      <c r="O107">
        <f>הגדרות!C2</f>
        <v/>
      </c>
      <c r="P107">
        <f>הגדרות!D2</f>
        <v/>
      </c>
      <c r="Q107">
        <f>N107*(1+O107/100)+P107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וטרינרי / רפואי</t>
        </is>
      </c>
      <c r="F108" t="inlineStr">
        <is>
          <t>רטוב</t>
        </is>
      </c>
      <c r="G108" t="inlineStr"/>
      <c r="H108" t="inlineStr">
        <is>
          <t>כלב</t>
        </is>
      </c>
      <c r="I108" t="inlineStr"/>
      <c r="J108" t="inlineStr">
        <is>
          <t>2026-06</t>
        </is>
      </c>
      <c r="K108" t="n">
        <v>224</v>
      </c>
      <c r="L108" t="n">
        <v>264.32</v>
      </c>
      <c r="M108">
        <f>הגדרות!B2</f>
        <v/>
      </c>
      <c r="N108">
        <f>K108*(1-M108/100)*1.18</f>
        <v/>
      </c>
      <c r="O108">
        <f>הגדרות!C2</f>
        <v/>
      </c>
      <c r="P108">
        <f>הגדרות!D2</f>
        <v/>
      </c>
      <c r="Q108">
        <f>N108*(1+O108/100)+P108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וטרינרי / רפואי</t>
        </is>
      </c>
      <c r="F109" t="inlineStr">
        <is>
          <t>רטוב</t>
        </is>
      </c>
      <c r="G109" t="inlineStr"/>
      <c r="H109" t="inlineStr">
        <is>
          <t>כלב</t>
        </is>
      </c>
      <c r="I109" t="inlineStr"/>
      <c r="J109" t="inlineStr">
        <is>
          <t>2026-06</t>
        </is>
      </c>
      <c r="K109" t="n">
        <v>224</v>
      </c>
      <c r="L109" t="n">
        <v>264.32</v>
      </c>
      <c r="M109">
        <f>הגדרות!B2</f>
        <v/>
      </c>
      <c r="N109">
        <f>K109*(1-M109/100)*1.18</f>
        <v/>
      </c>
      <c r="O109">
        <f>הגדרות!C2</f>
        <v/>
      </c>
      <c r="P109">
        <f>הגדרות!D2</f>
        <v/>
      </c>
      <c r="Q109">
        <f>N109*(1+O109/100)+P109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רגיל</t>
        </is>
      </c>
      <c r="F110" t="inlineStr">
        <is>
          <t>יבש</t>
        </is>
      </c>
      <c r="G110" t="inlineStr">
        <is>
          <t>גורים</t>
        </is>
      </c>
      <c r="H110" t="inlineStr">
        <is>
          <t>כלב</t>
        </is>
      </c>
      <c r="I110" t="inlineStr">
        <is>
          <t>עד 7 ק"ג</t>
        </is>
      </c>
      <c r="J110" t="inlineStr">
        <is>
          <t>2026-01</t>
        </is>
      </c>
      <c r="K110" t="n">
        <v>95</v>
      </c>
      <c r="L110" t="n">
        <v>112.1</v>
      </c>
      <c r="M110">
        <f>הגדרות!B3</f>
        <v/>
      </c>
      <c r="N110">
        <f>K110*(1-M110/100)*1.18</f>
        <v/>
      </c>
      <c r="O110">
        <f>הגדרות!C3</f>
        <v/>
      </c>
      <c r="P110">
        <f>הגדרות!D3</f>
        <v/>
      </c>
      <c r="Q110">
        <f>N110*(1+O110/100)+P110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רגיל</t>
        </is>
      </c>
      <c r="F111" t="inlineStr">
        <is>
          <t>יבש</t>
        </is>
      </c>
      <c r="G111" t="inlineStr">
        <is>
          <t>גורים</t>
        </is>
      </c>
      <c r="H111" t="inlineStr">
        <is>
          <t>כלב</t>
        </is>
      </c>
      <c r="I111" t="inlineStr">
        <is>
          <t>עד 7 ק"ג</t>
        </is>
      </c>
      <c r="J111" t="inlineStr">
        <is>
          <t>2026-01</t>
        </is>
      </c>
      <c r="K111" t="n">
        <v>139</v>
      </c>
      <c r="L111" t="n">
        <v>164.02</v>
      </c>
      <c r="M111">
        <f>הגדרות!B3</f>
        <v/>
      </c>
      <c r="N111">
        <f>K111*(1-M111/100)*1.18</f>
        <v/>
      </c>
      <c r="O111">
        <f>הגדרות!C3</f>
        <v/>
      </c>
      <c r="P111">
        <f>הגדרות!D3</f>
        <v/>
      </c>
      <c r="Q111">
        <f>N111*(1+O111/100)+P111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רגיל</t>
        </is>
      </c>
      <c r="F112" t="inlineStr">
        <is>
          <t>יבש</t>
        </is>
      </c>
      <c r="G112" t="inlineStr">
        <is>
          <t>בוגר</t>
        </is>
      </c>
      <c r="H112" t="inlineStr">
        <is>
          <t>כלב</t>
        </is>
      </c>
      <c r="I112" t="inlineStr">
        <is>
          <t>עד 7 ק"ג</t>
        </is>
      </c>
      <c r="J112" t="inlineStr">
        <is>
          <t>2026-01</t>
        </is>
      </c>
      <c r="K112" t="n">
        <v>89</v>
      </c>
      <c r="L112" t="n">
        <v>105.02</v>
      </c>
      <c r="M112">
        <f>הגדרות!B3</f>
        <v/>
      </c>
      <c r="N112">
        <f>K112*(1-M112/100)*1.18</f>
        <v/>
      </c>
      <c r="O112">
        <f>הגדרות!C3</f>
        <v/>
      </c>
      <c r="P112">
        <f>הגדרות!D3</f>
        <v/>
      </c>
      <c r="Q112">
        <f>N112*(1+O112/100)+P112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רגיל</t>
        </is>
      </c>
      <c r="F113" t="inlineStr">
        <is>
          <t>יבש</t>
        </is>
      </c>
      <c r="G113" t="inlineStr">
        <is>
          <t>בוגר</t>
        </is>
      </c>
      <c r="H113" t="inlineStr">
        <is>
          <t>כלב</t>
        </is>
      </c>
      <c r="I113" t="inlineStr">
        <is>
          <t>עד 7 ק"ג</t>
        </is>
      </c>
      <c r="J113" t="inlineStr">
        <is>
          <t>2026-01</t>
        </is>
      </c>
      <c r="K113" t="n">
        <v>129</v>
      </c>
      <c r="L113" t="n">
        <v>152.22</v>
      </c>
      <c r="M113">
        <f>הגדרות!B3</f>
        <v/>
      </c>
      <c r="N113">
        <f>K113*(1-M113/100)*1.18</f>
        <v/>
      </c>
      <c r="O113">
        <f>הגדרות!C3</f>
        <v/>
      </c>
      <c r="P113">
        <f>הגדרות!D3</f>
        <v/>
      </c>
      <c r="Q113">
        <f>N113*(1+O113/100)+P113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רגיל</t>
        </is>
      </c>
      <c r="F114" t="inlineStr">
        <is>
          <t>יבש</t>
        </is>
      </c>
      <c r="G114" t="inlineStr">
        <is>
          <t>בוגר</t>
        </is>
      </c>
      <c r="H114" t="inlineStr">
        <is>
          <t>כלב</t>
        </is>
      </c>
      <c r="I114" t="inlineStr">
        <is>
          <t>עד 7 ק"ג</t>
        </is>
      </c>
      <c r="J114" t="inlineStr">
        <is>
          <t>2026-01</t>
        </is>
      </c>
      <c r="K114" t="n">
        <v>139</v>
      </c>
      <c r="L114" t="n">
        <v>164.02</v>
      </c>
      <c r="M114">
        <f>הגדרות!B3</f>
        <v/>
      </c>
      <c r="N114">
        <f>K114*(1-M114/100)*1.18</f>
        <v/>
      </c>
      <c r="O114">
        <f>הגדרות!C3</f>
        <v/>
      </c>
      <c r="P114">
        <f>הגדרות!D3</f>
        <v/>
      </c>
      <c r="Q114">
        <f>N114*(1+O114/100)+P114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רגיל</t>
        </is>
      </c>
      <c r="F115" t="inlineStr">
        <is>
          <t>יבש</t>
        </is>
      </c>
      <c r="G115" t="inlineStr">
        <is>
          <t>גורים</t>
        </is>
      </c>
      <c r="H115" t="inlineStr">
        <is>
          <t>כלב</t>
        </is>
      </c>
      <c r="I115" t="inlineStr">
        <is>
          <t>עד 7 ק"ג</t>
        </is>
      </c>
      <c r="J115" t="inlineStr">
        <is>
          <t>2026-01</t>
        </is>
      </c>
      <c r="K115" t="n">
        <v>165</v>
      </c>
      <c r="L115" t="n">
        <v>194.7</v>
      </c>
      <c r="M115">
        <f>הגדרות!B3</f>
        <v/>
      </c>
      <c r="N115">
        <f>K115*(1-M115/100)*1.18</f>
        <v/>
      </c>
      <c r="O115">
        <f>הגדרות!C3</f>
        <v/>
      </c>
      <c r="P115">
        <f>הגדרות!D3</f>
        <v/>
      </c>
      <c r="Q115">
        <f>N115*(1+O115/100)+P115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רגיל</t>
        </is>
      </c>
      <c r="F116" t="inlineStr">
        <is>
          <t>יבש</t>
        </is>
      </c>
      <c r="G116" t="inlineStr">
        <is>
          <t>גורים</t>
        </is>
      </c>
      <c r="H116" t="inlineStr">
        <is>
          <t>כלב</t>
        </is>
      </c>
      <c r="I116" t="inlineStr">
        <is>
          <t>עד 7 ק"ג</t>
        </is>
      </c>
      <c r="J116" t="inlineStr">
        <is>
          <t>2026-01</t>
        </is>
      </c>
      <c r="K116" t="n">
        <v>329</v>
      </c>
      <c r="L116" t="n">
        <v>388.22</v>
      </c>
      <c r="M116">
        <f>הגדרות!B3</f>
        <v/>
      </c>
      <c r="N116">
        <f>K116*(1-M116/100)*1.18</f>
        <v/>
      </c>
      <c r="O116">
        <f>הגדרות!C3</f>
        <v/>
      </c>
      <c r="P116">
        <f>הגדרות!D3</f>
        <v/>
      </c>
      <c r="Q116">
        <f>N116*(1+O116/100)+P116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רגיל</t>
        </is>
      </c>
      <c r="F117" t="inlineStr">
        <is>
          <t>יבש</t>
        </is>
      </c>
      <c r="G117" t="inlineStr">
        <is>
          <t>גורים</t>
        </is>
      </c>
      <c r="H117" t="inlineStr">
        <is>
          <t>כלב</t>
        </is>
      </c>
      <c r="I117" t="inlineStr">
        <is>
          <t>עד 7 ק"ג</t>
        </is>
      </c>
      <c r="J117" t="inlineStr">
        <is>
          <t>2026-01</t>
        </is>
      </c>
      <c r="K117" t="n">
        <v>95</v>
      </c>
      <c r="L117" t="n">
        <v>112.1</v>
      </c>
      <c r="M117">
        <f>הגדרות!B3</f>
        <v/>
      </c>
      <c r="N117">
        <f>K117*(1-M117/100)*1.18</f>
        <v/>
      </c>
      <c r="O117">
        <f>הגדרות!C3</f>
        <v/>
      </c>
      <c r="P117">
        <f>הגדרות!D3</f>
        <v/>
      </c>
      <c r="Q117">
        <f>N117*(1+O117/100)+P117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רגיל</t>
        </is>
      </c>
      <c r="F118" t="inlineStr">
        <is>
          <t>יבש</t>
        </is>
      </c>
      <c r="G118" t="inlineStr">
        <is>
          <t>גורים</t>
        </is>
      </c>
      <c r="H118" t="inlineStr">
        <is>
          <t>כלב</t>
        </is>
      </c>
      <c r="I118" t="inlineStr">
        <is>
          <t>עד 7 ק"ג</t>
        </is>
      </c>
      <c r="J118" t="inlineStr">
        <is>
          <t>2026-01</t>
        </is>
      </c>
      <c r="K118" t="n">
        <v>155</v>
      </c>
      <c r="L118" t="n">
        <v>182.9</v>
      </c>
      <c r="M118">
        <f>הגדרות!B3</f>
        <v/>
      </c>
      <c r="N118">
        <f>K118*(1-M118/100)*1.18</f>
        <v/>
      </c>
      <c r="O118">
        <f>הגדרות!C3</f>
        <v/>
      </c>
      <c r="P118">
        <f>הגדרות!D3</f>
        <v/>
      </c>
      <c r="Q118">
        <f>N118*(1+O118/100)+P118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רגיל</t>
        </is>
      </c>
      <c r="F119" t="inlineStr">
        <is>
          <t>יבש</t>
        </is>
      </c>
      <c r="G119" t="inlineStr">
        <is>
          <t>גורים</t>
        </is>
      </c>
      <c r="H119" t="inlineStr">
        <is>
          <t>כלב</t>
        </is>
      </c>
      <c r="I119" t="inlineStr">
        <is>
          <t>עד 7 ק"ג</t>
        </is>
      </c>
      <c r="J119" t="inlineStr">
        <is>
          <t>2026-01</t>
        </is>
      </c>
      <c r="K119" t="n">
        <v>239</v>
      </c>
      <c r="L119" t="n">
        <v>282.02</v>
      </c>
      <c r="M119">
        <f>הגדרות!B3</f>
        <v/>
      </c>
      <c r="N119">
        <f>K119*(1-M119/100)*1.18</f>
        <v/>
      </c>
      <c r="O119">
        <f>הגדרות!C3</f>
        <v/>
      </c>
      <c r="P119">
        <f>הגדרות!D3</f>
        <v/>
      </c>
      <c r="Q119">
        <f>N119*(1+O119/100)+P119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רגיל</t>
        </is>
      </c>
      <c r="F120" t="inlineStr">
        <is>
          <t>יבש</t>
        </is>
      </c>
      <c r="G120" t="inlineStr">
        <is>
          <t>בוגר</t>
        </is>
      </c>
      <c r="H120" t="inlineStr">
        <is>
          <t>כלב</t>
        </is>
      </c>
      <c r="I120" t="inlineStr">
        <is>
          <t>עד 7 ק"ג</t>
        </is>
      </c>
      <c r="J120" t="inlineStr">
        <is>
          <t>2026-01</t>
        </is>
      </c>
      <c r="K120" t="n">
        <v>85</v>
      </c>
      <c r="L120" t="n">
        <v>100.3</v>
      </c>
      <c r="M120">
        <f>הגדרות!B3</f>
        <v/>
      </c>
      <c r="N120">
        <f>K120*(1-M120/100)*1.18</f>
        <v/>
      </c>
      <c r="O120">
        <f>הגדרות!C3</f>
        <v/>
      </c>
      <c r="P120">
        <f>הגדרות!D3</f>
        <v/>
      </c>
      <c r="Q120">
        <f>N120*(1+O120/100)+P120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רגיל</t>
        </is>
      </c>
      <c r="F121" t="inlineStr">
        <is>
          <t>יבש</t>
        </is>
      </c>
      <c r="G121" t="inlineStr">
        <is>
          <t>בוגר</t>
        </is>
      </c>
      <c r="H121" t="inlineStr">
        <is>
          <t>כלב</t>
        </is>
      </c>
      <c r="I121" t="inlineStr">
        <is>
          <t>עד 7 ק"ג</t>
        </is>
      </c>
      <c r="J121" t="inlineStr">
        <is>
          <t>2026-01</t>
        </is>
      </c>
      <c r="K121" t="n">
        <v>149</v>
      </c>
      <c r="L121" t="n">
        <v>175.82</v>
      </c>
      <c r="M121">
        <f>הגדרות!B3</f>
        <v/>
      </c>
      <c r="N121">
        <f>K121*(1-M121/100)*1.18</f>
        <v/>
      </c>
      <c r="O121">
        <f>הגדרות!C3</f>
        <v/>
      </c>
      <c r="P121">
        <f>הגדרות!D3</f>
        <v/>
      </c>
      <c r="Q121">
        <f>N121*(1+O121/100)+P121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רגיל</t>
        </is>
      </c>
      <c r="F122" t="inlineStr">
        <is>
          <t>יבש</t>
        </is>
      </c>
      <c r="G122" t="inlineStr">
        <is>
          <t>בוגר</t>
        </is>
      </c>
      <c r="H122" t="inlineStr">
        <is>
          <t>כלב</t>
        </is>
      </c>
      <c r="I122" t="inlineStr">
        <is>
          <t>עד 7 ק"ג</t>
        </is>
      </c>
      <c r="J122" t="inlineStr">
        <is>
          <t>2026-01</t>
        </is>
      </c>
      <c r="K122" t="n">
        <v>229</v>
      </c>
      <c r="L122" t="n">
        <v>270.22</v>
      </c>
      <c r="M122">
        <f>הגדרות!B3</f>
        <v/>
      </c>
      <c r="N122">
        <f>K122*(1-M122/100)*1.18</f>
        <v/>
      </c>
      <c r="O122">
        <f>הגדרות!C3</f>
        <v/>
      </c>
      <c r="P122">
        <f>הגדרות!D3</f>
        <v/>
      </c>
      <c r="Q122">
        <f>N122*(1+O122/100)+P122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רגיל</t>
        </is>
      </c>
      <c r="F123" t="inlineStr">
        <is>
          <t>יבש</t>
        </is>
      </c>
      <c r="G123" t="inlineStr">
        <is>
          <t>בוגר</t>
        </is>
      </c>
      <c r="H123" t="inlineStr">
        <is>
          <t>כלב</t>
        </is>
      </c>
      <c r="I123" t="inlineStr">
        <is>
          <t>עד 7 ק"ג</t>
        </is>
      </c>
      <c r="J123" t="inlineStr">
        <is>
          <t>2026-01</t>
        </is>
      </c>
      <c r="K123" t="n">
        <v>95</v>
      </c>
      <c r="L123" t="n">
        <v>112.1</v>
      </c>
      <c r="M123">
        <f>הגדרות!B3</f>
        <v/>
      </c>
      <c r="N123">
        <f>K123*(1-M123/100)*1.18</f>
        <v/>
      </c>
      <c r="O123">
        <f>הגדרות!C3</f>
        <v/>
      </c>
      <c r="P123">
        <f>הגדרות!D3</f>
        <v/>
      </c>
      <c r="Q123">
        <f>N123*(1+O123/100)+P123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רגיל</t>
        </is>
      </c>
      <c r="F124" t="inlineStr">
        <is>
          <t>יבש</t>
        </is>
      </c>
      <c r="G124" t="inlineStr">
        <is>
          <t>בוגר</t>
        </is>
      </c>
      <c r="H124" t="inlineStr">
        <is>
          <t>כלב</t>
        </is>
      </c>
      <c r="I124" t="inlineStr">
        <is>
          <t>עד 7 ק"ג</t>
        </is>
      </c>
      <c r="J124" t="inlineStr">
        <is>
          <t>2026-01</t>
        </is>
      </c>
      <c r="K124" t="n">
        <v>155</v>
      </c>
      <c r="L124" t="n">
        <v>182.9</v>
      </c>
      <c r="M124">
        <f>הגדרות!B3</f>
        <v/>
      </c>
      <c r="N124">
        <f>K124*(1-M124/100)*1.18</f>
        <v/>
      </c>
      <c r="O124">
        <f>הגדרות!C3</f>
        <v/>
      </c>
      <c r="P124">
        <f>הגדרות!D3</f>
        <v/>
      </c>
      <c r="Q124">
        <f>N124*(1+O124/100)+P124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רגיל</t>
        </is>
      </c>
      <c r="F125" t="inlineStr">
        <is>
          <t>יבש</t>
        </is>
      </c>
      <c r="G125" t="inlineStr">
        <is>
          <t>בוגר</t>
        </is>
      </c>
      <c r="H125" t="inlineStr">
        <is>
          <t>כלב</t>
        </is>
      </c>
      <c r="I125" t="inlineStr">
        <is>
          <t>עד 7 ק"ג</t>
        </is>
      </c>
      <c r="J125" t="inlineStr">
        <is>
          <t>2026-01</t>
        </is>
      </c>
      <c r="K125" t="n">
        <v>255</v>
      </c>
      <c r="L125" t="n">
        <v>300.9</v>
      </c>
      <c r="M125">
        <f>הגדרות!B3</f>
        <v/>
      </c>
      <c r="N125">
        <f>K125*(1-M125/100)*1.18</f>
        <v/>
      </c>
      <c r="O125">
        <f>הגדרות!C3</f>
        <v/>
      </c>
      <c r="P125">
        <f>הגדרות!D3</f>
        <v/>
      </c>
      <c r="Q125">
        <f>N125*(1+O125/100)+P125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רגיל</t>
        </is>
      </c>
      <c r="F126" t="inlineStr">
        <is>
          <t>יבש</t>
        </is>
      </c>
      <c r="G126" t="inlineStr">
        <is>
          <t>מבוגר</t>
        </is>
      </c>
      <c r="H126" t="inlineStr">
        <is>
          <t>כלב</t>
        </is>
      </c>
      <c r="I126" t="inlineStr">
        <is>
          <t>עד 7 ק"ג</t>
        </is>
      </c>
      <c r="J126" t="inlineStr">
        <is>
          <t>2026-01</t>
        </is>
      </c>
      <c r="K126" t="n">
        <v>159</v>
      </c>
      <c r="L126" t="n">
        <v>187.62</v>
      </c>
      <c r="M126">
        <f>הגדרות!B3</f>
        <v/>
      </c>
      <c r="N126">
        <f>K126*(1-M126/100)*1.18</f>
        <v/>
      </c>
      <c r="O126">
        <f>הגדרות!C3</f>
        <v/>
      </c>
      <c r="P126">
        <f>הגדרות!D3</f>
        <v/>
      </c>
      <c r="Q126">
        <f>N126*(1+O126/100)+P126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רגיל</t>
        </is>
      </c>
      <c r="F127" t="inlineStr">
        <is>
          <t>יבש</t>
        </is>
      </c>
      <c r="G127" t="inlineStr">
        <is>
          <t>גורים</t>
        </is>
      </c>
      <c r="H127" t="inlineStr">
        <is>
          <t>כלב</t>
        </is>
      </c>
      <c r="I127" t="inlineStr">
        <is>
          <t>מעל 7 ק"ג</t>
        </is>
      </c>
      <c r="J127" t="inlineStr">
        <is>
          <t>2026-01</t>
        </is>
      </c>
      <c r="K127" t="n">
        <v>155</v>
      </c>
      <c r="L127" t="n">
        <v>182.9</v>
      </c>
      <c r="M127">
        <f>הגדרות!B3</f>
        <v/>
      </c>
      <c r="N127">
        <f>K127*(1-M127/100)*1.18</f>
        <v/>
      </c>
      <c r="O127">
        <f>הגדרות!C3</f>
        <v/>
      </c>
      <c r="P127">
        <f>הגדרות!D3</f>
        <v/>
      </c>
      <c r="Q127">
        <f>N127*(1+O127/100)+P127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רגיל</t>
        </is>
      </c>
      <c r="F128" t="inlineStr">
        <is>
          <t>יבש</t>
        </is>
      </c>
      <c r="G128" t="inlineStr">
        <is>
          <t>גורים</t>
        </is>
      </c>
      <c r="H128" t="inlineStr">
        <is>
          <t>כלב</t>
        </is>
      </c>
      <c r="I128" t="inlineStr">
        <is>
          <t>מעל 7 ק"ג</t>
        </is>
      </c>
      <c r="J128" t="inlineStr">
        <is>
          <t>2026-01</t>
        </is>
      </c>
      <c r="K128" t="n">
        <v>359</v>
      </c>
      <c r="L128" t="n">
        <v>423.62</v>
      </c>
      <c r="M128">
        <f>הגדרות!B3</f>
        <v/>
      </c>
      <c r="N128">
        <f>K128*(1-M128/100)*1.18</f>
        <v/>
      </c>
      <c r="O128">
        <f>הגדרות!C3</f>
        <v/>
      </c>
      <c r="P128">
        <f>הגדרות!D3</f>
        <v/>
      </c>
      <c r="Q128">
        <f>N128*(1+O128/100)+P128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רגיל</t>
        </is>
      </c>
      <c r="F129" t="inlineStr">
        <is>
          <t>יבש</t>
        </is>
      </c>
      <c r="G129" t="inlineStr">
        <is>
          <t>גורים</t>
        </is>
      </c>
      <c r="H129" t="inlineStr">
        <is>
          <t>כלב</t>
        </is>
      </c>
      <c r="I129" t="inlineStr">
        <is>
          <t>מעל 7 ק"ג</t>
        </is>
      </c>
      <c r="J129" t="inlineStr">
        <is>
          <t>2026-01</t>
        </is>
      </c>
      <c r="K129" t="n">
        <v>155</v>
      </c>
      <c r="L129" t="n">
        <v>182.9</v>
      </c>
      <c r="M129">
        <f>הגדרות!B3</f>
        <v/>
      </c>
      <c r="N129">
        <f>K129*(1-M129/100)*1.18</f>
        <v/>
      </c>
      <c r="O129">
        <f>הגדרות!C3</f>
        <v/>
      </c>
      <c r="P129">
        <f>הגדרות!D3</f>
        <v/>
      </c>
      <c r="Q129">
        <f>N129*(1+O129/100)+P129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רגיל</t>
        </is>
      </c>
      <c r="F130" t="inlineStr">
        <is>
          <t>יבש</t>
        </is>
      </c>
      <c r="G130" t="inlineStr">
        <is>
          <t>גורים</t>
        </is>
      </c>
      <c r="H130" t="inlineStr">
        <is>
          <t>כלב</t>
        </is>
      </c>
      <c r="I130" t="inlineStr">
        <is>
          <t>מעל 7 ק"ג</t>
        </is>
      </c>
      <c r="J130" t="inlineStr">
        <is>
          <t>2026-01</t>
        </is>
      </c>
      <c r="K130" t="n">
        <v>279</v>
      </c>
      <c r="L130" t="n">
        <v>329.22</v>
      </c>
      <c r="M130">
        <f>הגדרות!B3</f>
        <v/>
      </c>
      <c r="N130">
        <f>K130*(1-M130/100)*1.18</f>
        <v/>
      </c>
      <c r="O130">
        <f>הגדרות!C3</f>
        <v/>
      </c>
      <c r="P130">
        <f>הגדרות!D3</f>
        <v/>
      </c>
      <c r="Q130">
        <f>N130*(1+O130/100)+P130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רגיל</t>
        </is>
      </c>
      <c r="F131" t="inlineStr">
        <is>
          <t>יבש</t>
        </is>
      </c>
      <c r="G131" t="inlineStr">
        <is>
          <t>גורים</t>
        </is>
      </c>
      <c r="H131" t="inlineStr">
        <is>
          <t>כלב</t>
        </is>
      </c>
      <c r="I131" t="inlineStr">
        <is>
          <t>מעל 7 ק"ג</t>
        </is>
      </c>
      <c r="J131" t="inlineStr">
        <is>
          <t>2026-01</t>
        </is>
      </c>
      <c r="K131" t="n">
        <v>337</v>
      </c>
      <c r="L131" t="n">
        <v>397.66</v>
      </c>
      <c r="M131">
        <f>הגדרות!B3</f>
        <v/>
      </c>
      <c r="N131">
        <f>K131*(1-M131/100)*1.18</f>
        <v/>
      </c>
      <c r="O131">
        <f>הגדרות!C3</f>
        <v/>
      </c>
      <c r="P131">
        <f>הגדרות!D3</f>
        <v/>
      </c>
      <c r="Q131">
        <f>N131*(1+O131/100)+P131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רגיל</t>
        </is>
      </c>
      <c r="F132" t="inlineStr">
        <is>
          <t>יבש</t>
        </is>
      </c>
      <c r="G132" t="inlineStr">
        <is>
          <t>בוגר</t>
        </is>
      </c>
      <c r="H132" t="inlineStr">
        <is>
          <t>כלב</t>
        </is>
      </c>
      <c r="I132" t="inlineStr">
        <is>
          <t>מעל 7 ק"ג</t>
        </is>
      </c>
      <c r="J132" t="inlineStr">
        <is>
          <t>2026-01</t>
        </is>
      </c>
      <c r="K132" t="n">
        <v>155</v>
      </c>
      <c r="L132" t="n">
        <v>182.9</v>
      </c>
      <c r="M132">
        <f>הגדרות!B3</f>
        <v/>
      </c>
      <c r="N132">
        <f>K132*(1-M132/100)*1.18</f>
        <v/>
      </c>
      <c r="O132">
        <f>הגדרות!C3</f>
        <v/>
      </c>
      <c r="P132">
        <f>הגדרות!D3</f>
        <v/>
      </c>
      <c r="Q132">
        <f>N132*(1+O132/100)+P132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רגיל</t>
        </is>
      </c>
      <c r="F133" t="inlineStr">
        <is>
          <t>יבש</t>
        </is>
      </c>
      <c r="G133" t="inlineStr">
        <is>
          <t>בוגר</t>
        </is>
      </c>
      <c r="H133" t="inlineStr">
        <is>
          <t>כלב</t>
        </is>
      </c>
      <c r="I133" t="inlineStr">
        <is>
          <t>מעל 7 ק"ג</t>
        </is>
      </c>
      <c r="J133" t="inlineStr">
        <is>
          <t>2026-01</t>
        </is>
      </c>
      <c r="K133" t="n">
        <v>272</v>
      </c>
      <c r="L133" t="n">
        <v>320.96</v>
      </c>
      <c r="M133">
        <f>הגדרות!B3</f>
        <v/>
      </c>
      <c r="N133">
        <f>K133*(1-M133/100)*1.18</f>
        <v/>
      </c>
      <c r="O133">
        <f>הגדרות!C3</f>
        <v/>
      </c>
      <c r="P133">
        <f>הגדרות!D3</f>
        <v/>
      </c>
      <c r="Q133">
        <f>N133*(1+O133/100)+P133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רגיל</t>
        </is>
      </c>
      <c r="F134" t="inlineStr">
        <is>
          <t>יבש</t>
        </is>
      </c>
      <c r="G134" t="inlineStr">
        <is>
          <t>בוגר</t>
        </is>
      </c>
      <c r="H134" t="inlineStr">
        <is>
          <t>כלב</t>
        </is>
      </c>
      <c r="I134" t="inlineStr">
        <is>
          <t>מעל 7 ק"ג</t>
        </is>
      </c>
      <c r="J134" t="inlineStr">
        <is>
          <t>2026-01</t>
        </is>
      </c>
      <c r="K134" t="n">
        <v>330</v>
      </c>
      <c r="L134" t="n">
        <v>389.4</v>
      </c>
      <c r="M134">
        <f>הגדרות!B3</f>
        <v/>
      </c>
      <c r="N134">
        <f>K134*(1-M134/100)*1.18</f>
        <v/>
      </c>
      <c r="O134">
        <f>הגדרות!C3</f>
        <v/>
      </c>
      <c r="P134">
        <f>הגדרות!D3</f>
        <v/>
      </c>
      <c r="Q134">
        <f>N134*(1+O134/100)+P134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רגיל</t>
        </is>
      </c>
      <c r="F135" t="inlineStr">
        <is>
          <t>יבש</t>
        </is>
      </c>
      <c r="G135" t="inlineStr">
        <is>
          <t>בוגר</t>
        </is>
      </c>
      <c r="H135" t="inlineStr">
        <is>
          <t>כלב</t>
        </is>
      </c>
      <c r="I135" t="inlineStr">
        <is>
          <t>מעל 7 ק"ג</t>
        </is>
      </c>
      <c r="J135" t="inlineStr">
        <is>
          <t>2026-01</t>
        </is>
      </c>
      <c r="K135" t="n">
        <v>355</v>
      </c>
      <c r="L135" t="n">
        <v>418.9</v>
      </c>
      <c r="M135">
        <f>הגדרות!B3</f>
        <v/>
      </c>
      <c r="N135">
        <f>K135*(1-M135/100)*1.18</f>
        <v/>
      </c>
      <c r="O135">
        <f>הגדרות!C3</f>
        <v/>
      </c>
      <c r="P135">
        <f>הגדרות!D3</f>
        <v/>
      </c>
      <c r="Q135">
        <f>N135*(1+O135/100)+P135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רגיל</t>
        </is>
      </c>
      <c r="F136" t="inlineStr">
        <is>
          <t>יבש</t>
        </is>
      </c>
      <c r="G136" t="inlineStr">
        <is>
          <t>גורים</t>
        </is>
      </c>
      <c r="H136" t="inlineStr">
        <is>
          <t>כלב</t>
        </is>
      </c>
      <c r="I136" t="inlineStr">
        <is>
          <t>מעל 7 ק"ג</t>
        </is>
      </c>
      <c r="J136" t="inlineStr">
        <is>
          <t>2026-01</t>
        </is>
      </c>
      <c r="K136" t="n">
        <v>155</v>
      </c>
      <c r="L136" t="n">
        <v>182.9</v>
      </c>
      <c r="M136">
        <f>הגדרות!B3</f>
        <v/>
      </c>
      <c r="N136">
        <f>K136*(1-M136/100)*1.18</f>
        <v/>
      </c>
      <c r="O136">
        <f>הגדרות!C3</f>
        <v/>
      </c>
      <c r="P136">
        <f>הגדרות!D3</f>
        <v/>
      </c>
      <c r="Q136">
        <f>N136*(1+O136/100)+P136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רגיל</t>
        </is>
      </c>
      <c r="F137" t="inlineStr">
        <is>
          <t>יבש</t>
        </is>
      </c>
      <c r="G137" t="inlineStr">
        <is>
          <t>גורים</t>
        </is>
      </c>
      <c r="H137" t="inlineStr">
        <is>
          <t>כלב</t>
        </is>
      </c>
      <c r="I137" t="inlineStr">
        <is>
          <t>מעל 7 ק"ג</t>
        </is>
      </c>
      <c r="J137" t="inlineStr">
        <is>
          <t>2026-01</t>
        </is>
      </c>
      <c r="K137" t="n">
        <v>359</v>
      </c>
      <c r="L137" t="n">
        <v>423.62</v>
      </c>
      <c r="M137">
        <f>הגדרות!B3</f>
        <v/>
      </c>
      <c r="N137">
        <f>K137*(1-M137/100)*1.18</f>
        <v/>
      </c>
      <c r="O137">
        <f>הגדרות!C3</f>
        <v/>
      </c>
      <c r="P137">
        <f>הגדרות!D3</f>
        <v/>
      </c>
      <c r="Q137">
        <f>N137*(1+O137/100)+P137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רגיל</t>
        </is>
      </c>
      <c r="F138" t="inlineStr">
        <is>
          <t>יבש</t>
        </is>
      </c>
      <c r="G138" t="inlineStr">
        <is>
          <t>גורים</t>
        </is>
      </c>
      <c r="H138" t="inlineStr">
        <is>
          <t>כלב</t>
        </is>
      </c>
      <c r="I138" t="inlineStr">
        <is>
          <t>מעל 7 ק"ג</t>
        </is>
      </c>
      <c r="J138" t="inlineStr">
        <is>
          <t>2026-01</t>
        </is>
      </c>
      <c r="K138" t="n">
        <v>155</v>
      </c>
      <c r="L138" t="n">
        <v>182.9</v>
      </c>
      <c r="M138">
        <f>הגדרות!B3</f>
        <v/>
      </c>
      <c r="N138">
        <f>K138*(1-M138/100)*1.18</f>
        <v/>
      </c>
      <c r="O138">
        <f>הגדרות!C3</f>
        <v/>
      </c>
      <c r="P138">
        <f>הגדרות!D3</f>
        <v/>
      </c>
      <c r="Q138">
        <f>N138*(1+O138/100)+P138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רגיל</t>
        </is>
      </c>
      <c r="F139" t="inlineStr">
        <is>
          <t>יבש</t>
        </is>
      </c>
      <c r="G139" t="inlineStr">
        <is>
          <t>גורים</t>
        </is>
      </c>
      <c r="H139" t="inlineStr">
        <is>
          <t>כלב</t>
        </is>
      </c>
      <c r="I139" t="inlineStr">
        <is>
          <t>מעל 7 ק"ג</t>
        </is>
      </c>
      <c r="J139" t="inlineStr">
        <is>
          <t>2026-01</t>
        </is>
      </c>
      <c r="K139" t="n">
        <v>279</v>
      </c>
      <c r="L139" t="n">
        <v>329.22</v>
      </c>
      <c r="M139">
        <f>הגדרות!B3</f>
        <v/>
      </c>
      <c r="N139">
        <f>K139*(1-M139/100)*1.18</f>
        <v/>
      </c>
      <c r="O139">
        <f>הגדרות!C3</f>
        <v/>
      </c>
      <c r="P139">
        <f>הגדרות!D3</f>
        <v/>
      </c>
      <c r="Q139">
        <f>N139*(1+O139/100)+P139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רגיל</t>
        </is>
      </c>
      <c r="F140" t="inlineStr">
        <is>
          <t>יבש</t>
        </is>
      </c>
      <c r="G140" t="inlineStr">
        <is>
          <t>גורים</t>
        </is>
      </c>
      <c r="H140" t="inlineStr">
        <is>
          <t>כלב</t>
        </is>
      </c>
      <c r="I140" t="inlineStr">
        <is>
          <t>מעל 7 ק"ג</t>
        </is>
      </c>
      <c r="J140" t="inlineStr">
        <is>
          <t>2026-01</t>
        </is>
      </c>
      <c r="K140" t="n">
        <v>337</v>
      </c>
      <c r="L140" t="n">
        <v>397.66</v>
      </c>
      <c r="M140">
        <f>הגדרות!B3</f>
        <v/>
      </c>
      <c r="N140">
        <f>K140*(1-M140/100)*1.18</f>
        <v/>
      </c>
      <c r="O140">
        <f>הגדרות!C3</f>
        <v/>
      </c>
      <c r="P140">
        <f>הגדרות!D3</f>
        <v/>
      </c>
      <c r="Q140">
        <f>N140*(1+O140/100)+P140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רגיל</t>
        </is>
      </c>
      <c r="F141" t="inlineStr">
        <is>
          <t>יבש</t>
        </is>
      </c>
      <c r="G141" t="inlineStr">
        <is>
          <t>בוגר</t>
        </is>
      </c>
      <c r="H141" t="inlineStr">
        <is>
          <t>כלב</t>
        </is>
      </c>
      <c r="I141" t="inlineStr">
        <is>
          <t>מעל 7 ק"ג</t>
        </is>
      </c>
      <c r="J141" t="inlineStr">
        <is>
          <t>2026-01</t>
        </is>
      </c>
      <c r="K141" t="n">
        <v>155</v>
      </c>
      <c r="L141" t="n">
        <v>182.9</v>
      </c>
      <c r="M141">
        <f>הגדרות!B3</f>
        <v/>
      </c>
      <c r="N141">
        <f>K141*(1-M141/100)*1.18</f>
        <v/>
      </c>
      <c r="O141">
        <f>הגדרות!C3</f>
        <v/>
      </c>
      <c r="P141">
        <f>הגדרות!D3</f>
        <v/>
      </c>
      <c r="Q141">
        <f>N141*(1+O141/100)+P141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רגיל</t>
        </is>
      </c>
      <c r="F142" t="inlineStr">
        <is>
          <t>יבש</t>
        </is>
      </c>
      <c r="G142" t="inlineStr">
        <is>
          <t>בוגר</t>
        </is>
      </c>
      <c r="H142" t="inlineStr">
        <is>
          <t>כלב</t>
        </is>
      </c>
      <c r="I142" t="inlineStr">
        <is>
          <t>מעל 7 ק"ג</t>
        </is>
      </c>
      <c r="J142" t="inlineStr">
        <is>
          <t>2026-01</t>
        </is>
      </c>
      <c r="K142" t="n">
        <v>272</v>
      </c>
      <c r="L142" t="n">
        <v>320.96</v>
      </c>
      <c r="M142">
        <f>הגדרות!B3</f>
        <v/>
      </c>
      <c r="N142">
        <f>K142*(1-M142/100)*1.18</f>
        <v/>
      </c>
      <c r="O142">
        <f>הגדרות!C3</f>
        <v/>
      </c>
      <c r="P142">
        <f>הגדרות!D3</f>
        <v/>
      </c>
      <c r="Q142">
        <f>N142*(1+O142/100)+P142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רגיל</t>
        </is>
      </c>
      <c r="F143" t="inlineStr">
        <is>
          <t>יבש</t>
        </is>
      </c>
      <c r="G143" t="inlineStr">
        <is>
          <t>בוגר</t>
        </is>
      </c>
      <c r="H143" t="inlineStr">
        <is>
          <t>כלב</t>
        </is>
      </c>
      <c r="I143" t="inlineStr">
        <is>
          <t>מעל 7 ק"ג</t>
        </is>
      </c>
      <c r="J143" t="inlineStr">
        <is>
          <t>2026-01</t>
        </is>
      </c>
      <c r="K143" t="n">
        <v>330</v>
      </c>
      <c r="L143" t="n">
        <v>389.4</v>
      </c>
      <c r="M143">
        <f>הגדרות!B3</f>
        <v/>
      </c>
      <c r="N143">
        <f>K143*(1-M143/100)*1.18</f>
        <v/>
      </c>
      <c r="O143">
        <f>הגדרות!C3</f>
        <v/>
      </c>
      <c r="P143">
        <f>הגדרות!D3</f>
        <v/>
      </c>
      <c r="Q143">
        <f>N143*(1+O143/100)+P143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רגיל</t>
        </is>
      </c>
      <c r="F144" t="inlineStr">
        <is>
          <t>יבש</t>
        </is>
      </c>
      <c r="G144" t="inlineStr">
        <is>
          <t>בוגר</t>
        </is>
      </c>
      <c r="H144" t="inlineStr">
        <is>
          <t>כלב</t>
        </is>
      </c>
      <c r="I144" t="inlineStr">
        <is>
          <t>מעל 7 ק"ג</t>
        </is>
      </c>
      <c r="J144" t="inlineStr">
        <is>
          <t>2026-01</t>
        </is>
      </c>
      <c r="K144" t="n">
        <v>349</v>
      </c>
      <c r="L144" t="n">
        <v>411.82</v>
      </c>
      <c r="M144">
        <f>הגדרות!B3</f>
        <v/>
      </c>
      <c r="N144">
        <f>K144*(1-M144/100)*1.18</f>
        <v/>
      </c>
      <c r="O144">
        <f>הגדרות!C3</f>
        <v/>
      </c>
      <c r="P144">
        <f>הגדרות!D3</f>
        <v/>
      </c>
      <c r="Q144">
        <f>N144*(1+O144/100)+P144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רגיל</t>
        </is>
      </c>
      <c r="F145" t="inlineStr">
        <is>
          <t>יבש</t>
        </is>
      </c>
      <c r="G145" t="inlineStr">
        <is>
          <t>מבוגר</t>
        </is>
      </c>
      <c r="H145" t="inlineStr">
        <is>
          <t>כלב</t>
        </is>
      </c>
      <c r="I145" t="inlineStr">
        <is>
          <t>מעל 7 ק"ג</t>
        </is>
      </c>
      <c r="J145" t="inlineStr">
        <is>
          <t>2026-01</t>
        </is>
      </c>
      <c r="K145" t="n">
        <v>355</v>
      </c>
      <c r="L145" t="n">
        <v>418.9</v>
      </c>
      <c r="M145">
        <f>הגדרות!B3</f>
        <v/>
      </c>
      <c r="N145">
        <f>K145*(1-M145/100)*1.18</f>
        <v/>
      </c>
      <c r="O145">
        <f>הגדרות!C3</f>
        <v/>
      </c>
      <c r="P145">
        <f>הגדרות!D3</f>
        <v/>
      </c>
      <c r="Q145">
        <f>N145*(1+O145/100)+P145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רגיל</t>
        </is>
      </c>
      <c r="F146" t="inlineStr">
        <is>
          <t>יבש</t>
        </is>
      </c>
      <c r="G146" t="inlineStr">
        <is>
          <t>גורים</t>
        </is>
      </c>
      <c r="H146" t="inlineStr">
        <is>
          <t>כלב</t>
        </is>
      </c>
      <c r="I146" t="inlineStr">
        <is>
          <t>מעל 7 ק"ג</t>
        </is>
      </c>
      <c r="J146" t="inlineStr">
        <is>
          <t>2026-01</t>
        </is>
      </c>
      <c r="K146" t="n">
        <v>390</v>
      </c>
      <c r="L146" t="n">
        <v>460.2</v>
      </c>
      <c r="M146">
        <f>הגדרות!B3</f>
        <v/>
      </c>
      <c r="N146">
        <f>K146*(1-M146/100)*1.18</f>
        <v/>
      </c>
      <c r="O146">
        <f>הגדרות!C3</f>
        <v/>
      </c>
      <c r="P146">
        <f>הגדרות!D3</f>
        <v/>
      </c>
      <c r="Q146">
        <f>N146*(1+O146/100)+P146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רגיל</t>
        </is>
      </c>
      <c r="F147" t="inlineStr">
        <is>
          <t>יבש</t>
        </is>
      </c>
      <c r="G147" t="inlineStr">
        <is>
          <t>גורים</t>
        </is>
      </c>
      <c r="H147" t="inlineStr">
        <is>
          <t>כלב</t>
        </is>
      </c>
      <c r="I147" t="inlineStr">
        <is>
          <t>מעל 7 ק"ג</t>
        </is>
      </c>
      <c r="J147" t="inlineStr">
        <is>
          <t>2026-01</t>
        </is>
      </c>
      <c r="K147" t="n">
        <v>365</v>
      </c>
      <c r="L147" t="n">
        <v>430.7</v>
      </c>
      <c r="M147">
        <f>הגדרות!B3</f>
        <v/>
      </c>
      <c r="N147">
        <f>K147*(1-M147/100)*1.18</f>
        <v/>
      </c>
      <c r="O147">
        <f>הגדרות!C3</f>
        <v/>
      </c>
      <c r="P147">
        <f>הגדרות!D3</f>
        <v/>
      </c>
      <c r="Q147">
        <f>N147*(1+O147/100)+P147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רגיל</t>
        </is>
      </c>
      <c r="F148" t="inlineStr">
        <is>
          <t>יבש</t>
        </is>
      </c>
      <c r="G148" t="inlineStr">
        <is>
          <t>גורים</t>
        </is>
      </c>
      <c r="H148" t="inlineStr">
        <is>
          <t>כלב</t>
        </is>
      </c>
      <c r="I148" t="inlineStr">
        <is>
          <t>מעל 7 ק"ג</t>
        </is>
      </c>
      <c r="J148" t="inlineStr">
        <is>
          <t>2026-01</t>
        </is>
      </c>
      <c r="K148" t="n">
        <v>365</v>
      </c>
      <c r="L148" t="n">
        <v>430.7</v>
      </c>
      <c r="M148">
        <f>הגדרות!B3</f>
        <v/>
      </c>
      <c r="N148">
        <f>K148*(1-M148/100)*1.18</f>
        <v/>
      </c>
      <c r="O148">
        <f>הגדרות!C3</f>
        <v/>
      </c>
      <c r="P148">
        <f>הגדרות!D3</f>
        <v/>
      </c>
      <c r="Q148">
        <f>N148*(1+O148/100)+P148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רגיל</t>
        </is>
      </c>
      <c r="F149" t="inlineStr">
        <is>
          <t>יבש</t>
        </is>
      </c>
      <c r="G149" t="inlineStr">
        <is>
          <t>בוגר</t>
        </is>
      </c>
      <c r="H149" t="inlineStr">
        <is>
          <t>כלב</t>
        </is>
      </c>
      <c r="I149" t="inlineStr">
        <is>
          <t>מעל 7 ק"ג</t>
        </is>
      </c>
      <c r="J149" t="inlineStr">
        <is>
          <t>2026-01</t>
        </is>
      </c>
      <c r="K149" t="n">
        <v>359</v>
      </c>
      <c r="L149" t="n">
        <v>423.62</v>
      </c>
      <c r="M149">
        <f>הגדרות!B3</f>
        <v/>
      </c>
      <c r="N149">
        <f>K149*(1-M149/100)*1.18</f>
        <v/>
      </c>
      <c r="O149">
        <f>הגדרות!C3</f>
        <v/>
      </c>
      <c r="P149">
        <f>הגדרות!D3</f>
        <v/>
      </c>
      <c r="Q149">
        <f>N149*(1+O149/100)+P149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רגיל</t>
        </is>
      </c>
      <c r="F150" t="inlineStr">
        <is>
          <t>יבש</t>
        </is>
      </c>
      <c r="G150" t="inlineStr"/>
      <c r="H150" t="inlineStr">
        <is>
          <t>כלב</t>
        </is>
      </c>
      <c r="I150" t="inlineStr">
        <is>
          <t>עד 7 ק"ג</t>
        </is>
      </c>
      <c r="J150" t="inlineStr">
        <is>
          <t>2026-01</t>
        </is>
      </c>
      <c r="K150" t="n">
        <v>149</v>
      </c>
      <c r="L150" t="n">
        <v>175.82</v>
      </c>
      <c r="M150">
        <f>הגדרות!B3</f>
        <v/>
      </c>
      <c r="N150">
        <f>K150*(1-M150/100)*1.18</f>
        <v/>
      </c>
      <c r="O150">
        <f>הגדרות!C3</f>
        <v/>
      </c>
      <c r="P150">
        <f>הגדרות!D3</f>
        <v/>
      </c>
      <c r="Q150">
        <f>N150*(1+O150/100)+P150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רגיל</t>
        </is>
      </c>
      <c r="F151" t="inlineStr">
        <is>
          <t>יבש</t>
        </is>
      </c>
      <c r="G151" t="inlineStr"/>
      <c r="H151" t="inlineStr">
        <is>
          <t>כלב</t>
        </is>
      </c>
      <c r="I151" t="inlineStr">
        <is>
          <t>עד 7 ק"ג</t>
        </is>
      </c>
      <c r="J151" t="inlineStr">
        <is>
          <t>2026-01</t>
        </is>
      </c>
      <c r="K151" t="n">
        <v>149</v>
      </c>
      <c r="L151" t="n">
        <v>175.82</v>
      </c>
      <c r="M151">
        <f>הגדרות!B3</f>
        <v/>
      </c>
      <c r="N151">
        <f>K151*(1-M151/100)*1.18</f>
        <v/>
      </c>
      <c r="O151">
        <f>הגדרות!C3</f>
        <v/>
      </c>
      <c r="P151">
        <f>הגדרות!D3</f>
        <v/>
      </c>
      <c r="Q151">
        <f>N151*(1+O151/100)+P151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רגיל</t>
        </is>
      </c>
      <c r="F152" t="inlineStr">
        <is>
          <t>יבש</t>
        </is>
      </c>
      <c r="G152" t="inlineStr"/>
      <c r="H152" t="inlineStr">
        <is>
          <t>כלב</t>
        </is>
      </c>
      <c r="I152" t="inlineStr">
        <is>
          <t>מעל 7 ק"ג</t>
        </is>
      </c>
      <c r="J152" t="inlineStr">
        <is>
          <t>2026-01</t>
        </is>
      </c>
      <c r="K152" t="n">
        <v>349</v>
      </c>
      <c r="L152" t="n">
        <v>411.82</v>
      </c>
      <c r="M152">
        <f>הגדרות!B3</f>
        <v/>
      </c>
      <c r="N152">
        <f>K152*(1-M152/100)*1.18</f>
        <v/>
      </c>
      <c r="O152">
        <f>הגדרות!C3</f>
        <v/>
      </c>
      <c r="P152">
        <f>הגדרות!D3</f>
        <v/>
      </c>
      <c r="Q152">
        <f>N152*(1+O152/100)+P152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רגיל</t>
        </is>
      </c>
      <c r="F153" t="inlineStr">
        <is>
          <t>יבש</t>
        </is>
      </c>
      <c r="G153" t="inlineStr"/>
      <c r="H153" t="inlineStr">
        <is>
          <t>כלב</t>
        </is>
      </c>
      <c r="I153" t="inlineStr">
        <is>
          <t>עד 7 ק"ג</t>
        </is>
      </c>
      <c r="J153" t="inlineStr">
        <is>
          <t>2026-01</t>
        </is>
      </c>
      <c r="K153" t="n">
        <v>149</v>
      </c>
      <c r="L153" t="n">
        <v>175.82</v>
      </c>
      <c r="M153">
        <f>הגדרות!B3</f>
        <v/>
      </c>
      <c r="N153">
        <f>K153*(1-M153/100)*1.18</f>
        <v/>
      </c>
      <c r="O153">
        <f>הגדרות!C3</f>
        <v/>
      </c>
      <c r="P153">
        <f>הגדרות!D3</f>
        <v/>
      </c>
      <c r="Q153">
        <f>N153*(1+O153/100)+P153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רגיל</t>
        </is>
      </c>
      <c r="F154" t="inlineStr">
        <is>
          <t>יבש</t>
        </is>
      </c>
      <c r="G154" t="inlineStr"/>
      <c r="H154" t="inlineStr">
        <is>
          <t>כלב</t>
        </is>
      </c>
      <c r="I154" t="inlineStr">
        <is>
          <t>עד 7 ק"ג</t>
        </is>
      </c>
      <c r="J154" t="inlineStr">
        <is>
          <t>2026-01</t>
        </is>
      </c>
      <c r="K154" t="n">
        <v>149</v>
      </c>
      <c r="L154" t="n">
        <v>175.82</v>
      </c>
      <c r="M154">
        <f>הגדרות!B3</f>
        <v/>
      </c>
      <c r="N154">
        <f>K154*(1-M154/100)*1.18</f>
        <v/>
      </c>
      <c r="O154">
        <f>הגדרות!C3</f>
        <v/>
      </c>
      <c r="P154">
        <f>הגדרות!D3</f>
        <v/>
      </c>
      <c r="Q154">
        <f>N154*(1+O154/100)+P154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רגיל</t>
        </is>
      </c>
      <c r="F155" t="inlineStr">
        <is>
          <t>יבש</t>
        </is>
      </c>
      <c r="G155" t="inlineStr"/>
      <c r="H155" t="inlineStr">
        <is>
          <t>כלב</t>
        </is>
      </c>
      <c r="I155" t="inlineStr">
        <is>
          <t>מעל 7 ק"ג</t>
        </is>
      </c>
      <c r="J155" t="inlineStr">
        <is>
          <t>2026-01</t>
        </is>
      </c>
      <c r="K155" t="n">
        <v>349</v>
      </c>
      <c r="L155" t="n">
        <v>411.82</v>
      </c>
      <c r="M155">
        <f>הגדרות!B3</f>
        <v/>
      </c>
      <c r="N155">
        <f>K155*(1-M155/100)*1.18</f>
        <v/>
      </c>
      <c r="O155">
        <f>הגדרות!C3</f>
        <v/>
      </c>
      <c r="P155">
        <f>הגדרות!D3</f>
        <v/>
      </c>
      <c r="Q155">
        <f>N155*(1+O155/100)+P155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רגיל</t>
        </is>
      </c>
      <c r="F156" t="inlineStr">
        <is>
          <t>יבש</t>
        </is>
      </c>
      <c r="G156" t="inlineStr"/>
      <c r="H156" t="inlineStr">
        <is>
          <t>כלב</t>
        </is>
      </c>
      <c r="I156" t="inlineStr">
        <is>
          <t>מעל 7 ק"ג</t>
        </is>
      </c>
      <c r="J156" t="inlineStr">
        <is>
          <t>2026-01</t>
        </is>
      </c>
      <c r="K156" t="n">
        <v>349</v>
      </c>
      <c r="L156" t="n">
        <v>411.82</v>
      </c>
      <c r="M156">
        <f>הגדרות!B3</f>
        <v/>
      </c>
      <c r="N156">
        <f>K156*(1-M156/100)*1.18</f>
        <v/>
      </c>
      <c r="O156">
        <f>הגדרות!C3</f>
        <v/>
      </c>
      <c r="P156">
        <f>הגדרות!D3</f>
        <v/>
      </c>
      <c r="Q156">
        <f>N156*(1+O156/100)+P156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רגיל</t>
        </is>
      </c>
      <c r="F157" t="inlineStr">
        <is>
          <t>יבש</t>
        </is>
      </c>
      <c r="G157" t="inlineStr"/>
      <c r="H157" t="inlineStr">
        <is>
          <t>כלב</t>
        </is>
      </c>
      <c r="I157" t="inlineStr">
        <is>
          <t>עד 7 ק"ג</t>
        </is>
      </c>
      <c r="J157" t="inlineStr">
        <is>
          <t>2026-01</t>
        </is>
      </c>
      <c r="K157" t="n">
        <v>149</v>
      </c>
      <c r="L157" t="n">
        <v>175.82</v>
      </c>
      <c r="M157">
        <f>הגדרות!B3</f>
        <v/>
      </c>
      <c r="N157">
        <f>K157*(1-M157/100)*1.18</f>
        <v/>
      </c>
      <c r="O157">
        <f>הגדרות!C3</f>
        <v/>
      </c>
      <c r="P157">
        <f>הגדרות!D3</f>
        <v/>
      </c>
      <c r="Q157">
        <f>N157*(1+O157/100)+P157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רגיל</t>
        </is>
      </c>
      <c r="F158" t="inlineStr">
        <is>
          <t>יבש</t>
        </is>
      </c>
      <c r="G158" t="inlineStr"/>
      <c r="H158" t="inlineStr">
        <is>
          <t>כלב</t>
        </is>
      </c>
      <c r="I158" t="inlineStr">
        <is>
          <t>מעל 7 ק"ג</t>
        </is>
      </c>
      <c r="J158" t="inlineStr">
        <is>
          <t>2026-01</t>
        </is>
      </c>
      <c r="K158" t="n">
        <v>349</v>
      </c>
      <c r="L158" t="n">
        <v>411.82</v>
      </c>
      <c r="M158">
        <f>הגדרות!B3</f>
        <v/>
      </c>
      <c r="N158">
        <f>K158*(1-M158/100)*1.18</f>
        <v/>
      </c>
      <c r="O158">
        <f>הגדרות!C3</f>
        <v/>
      </c>
      <c r="P158">
        <f>הגדרות!D3</f>
        <v/>
      </c>
      <c r="Q158">
        <f>N158*(1+O158/100)+P158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רגיל</t>
        </is>
      </c>
      <c r="F159" t="inlineStr">
        <is>
          <t>יבש</t>
        </is>
      </c>
      <c r="G159" t="inlineStr"/>
      <c r="H159" t="inlineStr">
        <is>
          <t>כלב</t>
        </is>
      </c>
      <c r="I159" t="inlineStr">
        <is>
          <t>מעל 7 ק"ג</t>
        </is>
      </c>
      <c r="J159" t="inlineStr">
        <is>
          <t>2026-01</t>
        </is>
      </c>
      <c r="K159" t="n">
        <v>349</v>
      </c>
      <c r="L159" t="n">
        <v>411.82</v>
      </c>
      <c r="M159">
        <f>הגדרות!B3</f>
        <v/>
      </c>
      <c r="N159">
        <f>K159*(1-M159/100)*1.18</f>
        <v/>
      </c>
      <c r="O159">
        <f>הגדרות!C3</f>
        <v/>
      </c>
      <c r="P159">
        <f>הגדרות!D3</f>
        <v/>
      </c>
      <c r="Q159">
        <f>N159*(1+O159/100)+P159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רגיל</t>
        </is>
      </c>
      <c r="F160" t="inlineStr">
        <is>
          <t>יבש</t>
        </is>
      </c>
      <c r="G160" t="inlineStr">
        <is>
          <t>גורים</t>
        </is>
      </c>
      <c r="H160" t="inlineStr">
        <is>
          <t>כלב</t>
        </is>
      </c>
      <c r="I160" t="inlineStr"/>
      <c r="J160" t="inlineStr">
        <is>
          <t>2026-01</t>
        </is>
      </c>
      <c r="K160" t="n">
        <v>109</v>
      </c>
      <c r="L160" t="n">
        <v>128.62</v>
      </c>
      <c r="M160">
        <f>הגדרות!B3</f>
        <v/>
      </c>
      <c r="N160">
        <f>K160*(1-M160/100)*1.18</f>
        <v/>
      </c>
      <c r="O160">
        <f>הגדרות!C3</f>
        <v/>
      </c>
      <c r="P160">
        <f>הגדרות!D3</f>
        <v/>
      </c>
      <c r="Q160">
        <f>N160*(1+O160/100)+P160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רגיל</t>
        </is>
      </c>
      <c r="F161" t="inlineStr">
        <is>
          <t>יבש</t>
        </is>
      </c>
      <c r="G161" t="inlineStr">
        <is>
          <t>בוגר</t>
        </is>
      </c>
      <c r="H161" t="inlineStr">
        <is>
          <t>כלב</t>
        </is>
      </c>
      <c r="I161" t="inlineStr"/>
      <c r="J161" t="inlineStr">
        <is>
          <t>2026-01</t>
        </is>
      </c>
      <c r="K161" t="n">
        <v>145</v>
      </c>
      <c r="L161" t="n">
        <v>171.1</v>
      </c>
      <c r="M161">
        <f>הגדרות!B3</f>
        <v/>
      </c>
      <c r="N161">
        <f>K161*(1-M161/100)*1.18</f>
        <v/>
      </c>
      <c r="O161">
        <f>הגדרות!C3</f>
        <v/>
      </c>
      <c r="P161">
        <f>הגדרות!D3</f>
        <v/>
      </c>
      <c r="Q161">
        <f>N161*(1+O161/100)+P161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רגיל</t>
        </is>
      </c>
      <c r="F162" t="inlineStr">
        <is>
          <t>יבש</t>
        </is>
      </c>
      <c r="G162" t="inlineStr">
        <is>
          <t>בוגר</t>
        </is>
      </c>
      <c r="H162" t="inlineStr">
        <is>
          <t>כלב</t>
        </is>
      </c>
      <c r="I162" t="inlineStr"/>
      <c r="J162" t="inlineStr">
        <is>
          <t>2026-01</t>
        </is>
      </c>
      <c r="K162" t="n">
        <v>272</v>
      </c>
      <c r="L162" t="n">
        <v>320.96</v>
      </c>
      <c r="M162">
        <f>הגדרות!B3</f>
        <v/>
      </c>
      <c r="N162">
        <f>K162*(1-M162/100)*1.18</f>
        <v/>
      </c>
      <c r="O162">
        <f>הגדרות!C3</f>
        <v/>
      </c>
      <c r="P162">
        <f>הגדרות!D3</f>
        <v/>
      </c>
      <c r="Q162">
        <f>N162*(1+O162/100)+P162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רגיל</t>
        </is>
      </c>
      <c r="F163" t="inlineStr">
        <is>
          <t>יבש</t>
        </is>
      </c>
      <c r="G163" t="inlineStr">
        <is>
          <t>בוגר</t>
        </is>
      </c>
      <c r="H163" t="inlineStr">
        <is>
          <t>כלב</t>
        </is>
      </c>
      <c r="I163" t="inlineStr"/>
      <c r="J163" t="inlineStr">
        <is>
          <t>2026-01</t>
        </is>
      </c>
      <c r="K163" t="n">
        <v>105</v>
      </c>
      <c r="L163" t="n">
        <v>123.9</v>
      </c>
      <c r="M163">
        <f>הגדרות!B3</f>
        <v/>
      </c>
      <c r="N163">
        <f>K163*(1-M163/100)*1.18</f>
        <v/>
      </c>
      <c r="O163">
        <f>הגדרות!C3</f>
        <v/>
      </c>
      <c r="P163">
        <f>הגדרות!D3</f>
        <v/>
      </c>
      <c r="Q163">
        <f>N163*(1+O163/100)+P163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רגיל</t>
        </is>
      </c>
      <c r="F164" t="inlineStr">
        <is>
          <t>יבש</t>
        </is>
      </c>
      <c r="G164" t="inlineStr">
        <is>
          <t>בוגר</t>
        </is>
      </c>
      <c r="H164" t="inlineStr">
        <is>
          <t>כלב</t>
        </is>
      </c>
      <c r="I164" t="inlineStr"/>
      <c r="J164" t="inlineStr">
        <is>
          <t>2026-01</t>
        </is>
      </c>
      <c r="K164" t="n">
        <v>145</v>
      </c>
      <c r="L164" t="n">
        <v>171.1</v>
      </c>
      <c r="M164">
        <f>הגדרות!B3</f>
        <v/>
      </c>
      <c r="N164">
        <f>K164*(1-M164/100)*1.18</f>
        <v/>
      </c>
      <c r="O164">
        <f>הגדרות!C3</f>
        <v/>
      </c>
      <c r="P164">
        <f>הגדרות!D3</f>
        <v/>
      </c>
      <c r="Q164">
        <f>N164*(1+O164/100)+P164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רגיל</t>
        </is>
      </c>
      <c r="F165" t="inlineStr">
        <is>
          <t>יבש</t>
        </is>
      </c>
      <c r="G165" t="inlineStr">
        <is>
          <t>גורים</t>
        </is>
      </c>
      <c r="H165" t="inlineStr">
        <is>
          <t>כלב</t>
        </is>
      </c>
      <c r="I165" t="inlineStr"/>
      <c r="J165" t="inlineStr">
        <is>
          <t>2026-01</t>
        </is>
      </c>
      <c r="K165" t="n">
        <v>109</v>
      </c>
      <c r="L165" t="n">
        <v>128.62</v>
      </c>
      <c r="M165">
        <f>הגדרות!B3</f>
        <v/>
      </c>
      <c r="N165">
        <f>K165*(1-M165/100)*1.18</f>
        <v/>
      </c>
      <c r="O165">
        <f>הגדרות!C3</f>
        <v/>
      </c>
      <c r="P165">
        <f>הגדרות!D3</f>
        <v/>
      </c>
      <c r="Q165">
        <f>N165*(1+O165/100)+P165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רגיל</t>
        </is>
      </c>
      <c r="F166" t="inlineStr">
        <is>
          <t>יבש</t>
        </is>
      </c>
      <c r="G166" t="inlineStr">
        <is>
          <t>בוגר</t>
        </is>
      </c>
      <c r="H166" t="inlineStr">
        <is>
          <t>כלב</t>
        </is>
      </c>
      <c r="I166" t="inlineStr"/>
      <c r="J166" t="inlineStr">
        <is>
          <t>2026-01</t>
        </is>
      </c>
      <c r="K166" t="n">
        <v>105</v>
      </c>
      <c r="L166" t="n">
        <v>123.9</v>
      </c>
      <c r="M166">
        <f>הגדרות!B3</f>
        <v/>
      </c>
      <c r="N166">
        <f>K166*(1-M166/100)*1.18</f>
        <v/>
      </c>
      <c r="O166">
        <f>הגדרות!C3</f>
        <v/>
      </c>
      <c r="P166">
        <f>הגדרות!D3</f>
        <v/>
      </c>
      <c r="Q166">
        <f>N166*(1+O166/100)+P166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רגיל</t>
        </is>
      </c>
      <c r="F167" t="inlineStr">
        <is>
          <t>יבש</t>
        </is>
      </c>
      <c r="G167" t="inlineStr">
        <is>
          <t>בוגר</t>
        </is>
      </c>
      <c r="H167" t="inlineStr">
        <is>
          <t>כלב</t>
        </is>
      </c>
      <c r="I167" t="inlineStr"/>
      <c r="J167" t="inlineStr">
        <is>
          <t>2026-01</t>
        </is>
      </c>
      <c r="K167" t="n">
        <v>145</v>
      </c>
      <c r="L167" t="n">
        <v>171.1</v>
      </c>
      <c r="M167">
        <f>הגדרות!B3</f>
        <v/>
      </c>
      <c r="N167">
        <f>K167*(1-M167/100)*1.18</f>
        <v/>
      </c>
      <c r="O167">
        <f>הגדרות!C3</f>
        <v/>
      </c>
      <c r="P167">
        <f>הגדרות!D3</f>
        <v/>
      </c>
      <c r="Q167">
        <f>N167*(1+O167/100)+P167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רגיל</t>
        </is>
      </c>
      <c r="F168" t="inlineStr">
        <is>
          <t>יבש</t>
        </is>
      </c>
      <c r="G168" t="inlineStr">
        <is>
          <t>גורים</t>
        </is>
      </c>
      <c r="H168" t="inlineStr">
        <is>
          <t>כלב</t>
        </is>
      </c>
      <c r="I168" t="inlineStr"/>
      <c r="J168" t="inlineStr">
        <is>
          <t>2026-01</t>
        </is>
      </c>
      <c r="K168" t="n">
        <v>145</v>
      </c>
      <c r="L168" t="n">
        <v>171.1</v>
      </c>
      <c r="M168">
        <f>הגדרות!B3</f>
        <v/>
      </c>
      <c r="N168">
        <f>K168*(1-M168/100)*1.18</f>
        <v/>
      </c>
      <c r="O168">
        <f>הגדרות!C3</f>
        <v/>
      </c>
      <c r="P168">
        <f>הגדרות!D3</f>
        <v/>
      </c>
      <c r="Q168">
        <f>N168*(1+O168/100)+P168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רגיל</t>
        </is>
      </c>
      <c r="F169" t="inlineStr">
        <is>
          <t>יבש</t>
        </is>
      </c>
      <c r="G169" t="inlineStr">
        <is>
          <t>בוגר</t>
        </is>
      </c>
      <c r="H169" t="inlineStr">
        <is>
          <t>כלב</t>
        </is>
      </c>
      <c r="I169" t="inlineStr"/>
      <c r="J169" t="inlineStr">
        <is>
          <t>2026-01</t>
        </is>
      </c>
      <c r="K169" t="n">
        <v>105</v>
      </c>
      <c r="L169" t="n">
        <v>123.9</v>
      </c>
      <c r="M169">
        <f>הגדרות!B3</f>
        <v/>
      </c>
      <c r="N169">
        <f>K169*(1-M169/100)*1.18</f>
        <v/>
      </c>
      <c r="O169">
        <f>הגדרות!C3</f>
        <v/>
      </c>
      <c r="P169">
        <f>הגדרות!D3</f>
        <v/>
      </c>
      <c r="Q169">
        <f>N169*(1+O169/100)+P169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רגיל</t>
        </is>
      </c>
      <c r="F170" t="inlineStr">
        <is>
          <t>יבש</t>
        </is>
      </c>
      <c r="G170" t="inlineStr">
        <is>
          <t>בוגר</t>
        </is>
      </c>
      <c r="H170" t="inlineStr">
        <is>
          <t>כלב</t>
        </is>
      </c>
      <c r="I170" t="inlineStr"/>
      <c r="J170" t="inlineStr">
        <is>
          <t>2026-01</t>
        </is>
      </c>
      <c r="K170" t="n">
        <v>145</v>
      </c>
      <c r="L170" t="n">
        <v>171.1</v>
      </c>
      <c r="M170">
        <f>הגדרות!B3</f>
        <v/>
      </c>
      <c r="N170">
        <f>K170*(1-M170/100)*1.18</f>
        <v/>
      </c>
      <c r="O170">
        <f>הגדרות!C3</f>
        <v/>
      </c>
      <c r="P170">
        <f>הגדרות!D3</f>
        <v/>
      </c>
      <c r="Q170">
        <f>N170*(1+O170/100)+P170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רגיל</t>
        </is>
      </c>
      <c r="F171" t="inlineStr">
        <is>
          <t>יבש</t>
        </is>
      </c>
      <c r="G171" t="inlineStr">
        <is>
          <t>בוגר</t>
        </is>
      </c>
      <c r="H171" t="inlineStr">
        <is>
          <t>כלב</t>
        </is>
      </c>
      <c r="I171" t="inlineStr"/>
      <c r="J171" t="inlineStr">
        <is>
          <t>2026-01</t>
        </is>
      </c>
      <c r="K171" t="n">
        <v>272</v>
      </c>
      <c r="L171" t="n">
        <v>320.96</v>
      </c>
      <c r="M171">
        <f>הגדרות!B3</f>
        <v/>
      </c>
      <c r="N171">
        <f>K171*(1-M171/100)*1.18</f>
        <v/>
      </c>
      <c r="O171">
        <f>הגדרות!C3</f>
        <v/>
      </c>
      <c r="P171">
        <f>הגדרות!D3</f>
        <v/>
      </c>
      <c r="Q171">
        <f>N171*(1+O171/100)+P171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רגיל</t>
        </is>
      </c>
      <c r="F172" t="inlineStr">
        <is>
          <t>יבש</t>
        </is>
      </c>
      <c r="G172" t="inlineStr">
        <is>
          <t>גורים</t>
        </is>
      </c>
      <c r="H172" t="inlineStr">
        <is>
          <t>כלב</t>
        </is>
      </c>
      <c r="I172" t="inlineStr"/>
      <c r="J172" t="inlineStr">
        <is>
          <t>2026-01</t>
        </is>
      </c>
      <c r="K172" t="n">
        <v>109</v>
      </c>
      <c r="L172" t="n">
        <v>128.62</v>
      </c>
      <c r="M172">
        <f>הגדרות!B3</f>
        <v/>
      </c>
      <c r="N172">
        <f>K172*(1-M172/100)*1.18</f>
        <v/>
      </c>
      <c r="O172">
        <f>הגדרות!C3</f>
        <v/>
      </c>
      <c r="P172">
        <f>הגדרות!D3</f>
        <v/>
      </c>
      <c r="Q172">
        <f>N172*(1+O172/100)+P172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רגיל</t>
        </is>
      </c>
      <c r="F173" t="inlineStr">
        <is>
          <t>יבש</t>
        </is>
      </c>
      <c r="G173" t="inlineStr">
        <is>
          <t>בוגר</t>
        </is>
      </c>
      <c r="H173" t="inlineStr">
        <is>
          <t>כלב</t>
        </is>
      </c>
      <c r="I173" t="inlineStr"/>
      <c r="J173" t="inlineStr">
        <is>
          <t>2026-01</t>
        </is>
      </c>
      <c r="K173" t="n">
        <v>105</v>
      </c>
      <c r="L173" t="n">
        <v>123.9</v>
      </c>
      <c r="M173">
        <f>הגדרות!B3</f>
        <v/>
      </c>
      <c r="N173">
        <f>K173*(1-M173/100)*1.18</f>
        <v/>
      </c>
      <c r="O173">
        <f>הגדרות!C3</f>
        <v/>
      </c>
      <c r="P173">
        <f>הגדרות!D3</f>
        <v/>
      </c>
      <c r="Q173">
        <f>N173*(1+O173/100)+P173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רגיל</t>
        </is>
      </c>
      <c r="F174" t="inlineStr">
        <is>
          <t>יבש</t>
        </is>
      </c>
      <c r="G174" t="inlineStr">
        <is>
          <t>בוגר</t>
        </is>
      </c>
      <c r="H174" t="inlineStr">
        <is>
          <t>כלב</t>
        </is>
      </c>
      <c r="I174" t="inlineStr"/>
      <c r="J174" t="inlineStr">
        <is>
          <t>2026-01</t>
        </is>
      </c>
      <c r="K174" t="n">
        <v>105</v>
      </c>
      <c r="L174" t="n">
        <v>123.9</v>
      </c>
      <c r="M174">
        <f>הגדרות!B3</f>
        <v/>
      </c>
      <c r="N174">
        <f>K174*(1-M174/100)*1.18</f>
        <v/>
      </c>
      <c r="O174">
        <f>הגדרות!C3</f>
        <v/>
      </c>
      <c r="P174">
        <f>הגדרות!D3</f>
        <v/>
      </c>
      <c r="Q174">
        <f>N174*(1+O174/100)+P174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רגיל</t>
        </is>
      </c>
      <c r="F175" t="inlineStr">
        <is>
          <t>יבש</t>
        </is>
      </c>
      <c r="G175" t="inlineStr">
        <is>
          <t>גורים</t>
        </is>
      </c>
      <c r="H175" t="inlineStr">
        <is>
          <t>כלב</t>
        </is>
      </c>
      <c r="I175" t="inlineStr"/>
      <c r="J175" t="inlineStr">
        <is>
          <t>2026-01</t>
        </is>
      </c>
      <c r="K175" t="n">
        <v>109</v>
      </c>
      <c r="L175" t="n">
        <v>128.62</v>
      </c>
      <c r="M175">
        <f>הגדרות!B3</f>
        <v/>
      </c>
      <c r="N175">
        <f>K175*(1-M175/100)*1.18</f>
        <v/>
      </c>
      <c r="O175">
        <f>הגדרות!C3</f>
        <v/>
      </c>
      <c r="P175">
        <f>הגדרות!D3</f>
        <v/>
      </c>
      <c r="Q175">
        <f>N175*(1+O175/100)+P175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רגיל</t>
        </is>
      </c>
      <c r="F176" t="inlineStr">
        <is>
          <t>יבש</t>
        </is>
      </c>
      <c r="G176" t="inlineStr">
        <is>
          <t>בוגר</t>
        </is>
      </c>
      <c r="H176" t="inlineStr">
        <is>
          <t>כלב</t>
        </is>
      </c>
      <c r="I176" t="inlineStr"/>
      <c r="J176" t="inlineStr">
        <is>
          <t>2026-01</t>
        </is>
      </c>
      <c r="K176" t="n">
        <v>145</v>
      </c>
      <c r="L176" t="n">
        <v>171.1</v>
      </c>
      <c r="M176">
        <f>הגדרות!B3</f>
        <v/>
      </c>
      <c r="N176">
        <f>K176*(1-M176/100)*1.18</f>
        <v/>
      </c>
      <c r="O176">
        <f>הגדרות!C3</f>
        <v/>
      </c>
      <c r="P176">
        <f>הגדרות!D3</f>
        <v/>
      </c>
      <c r="Q176">
        <f>N176*(1+O176/100)+P176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רגיל</t>
        </is>
      </c>
      <c r="F177" t="inlineStr">
        <is>
          <t>יבש</t>
        </is>
      </c>
      <c r="G177" t="inlineStr">
        <is>
          <t>גורים</t>
        </is>
      </c>
      <c r="H177" t="inlineStr">
        <is>
          <t>כלב</t>
        </is>
      </c>
      <c r="I177" t="inlineStr"/>
      <c r="J177" t="inlineStr">
        <is>
          <t>2026-01</t>
        </is>
      </c>
      <c r="K177" t="n">
        <v>355</v>
      </c>
      <c r="L177" t="n">
        <v>418.9</v>
      </c>
      <c r="M177">
        <f>הגדרות!B3</f>
        <v/>
      </c>
      <c r="N177">
        <f>K177*(1-M177/100)*1.18</f>
        <v/>
      </c>
      <c r="O177">
        <f>הגדרות!C3</f>
        <v/>
      </c>
      <c r="P177">
        <f>הגדרות!D3</f>
        <v/>
      </c>
      <c r="Q177">
        <f>N177*(1+O177/100)+P177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רגיל</t>
        </is>
      </c>
      <c r="F178" t="inlineStr">
        <is>
          <t>יבש</t>
        </is>
      </c>
      <c r="G178" t="inlineStr"/>
      <c r="H178" t="inlineStr">
        <is>
          <t>כלב</t>
        </is>
      </c>
      <c r="I178" t="inlineStr"/>
      <c r="J178" t="inlineStr">
        <is>
          <t>2026-01</t>
        </is>
      </c>
      <c r="K178" t="n">
        <v>350</v>
      </c>
      <c r="L178" t="n">
        <v>413</v>
      </c>
      <c r="M178">
        <f>הגדרות!B3</f>
        <v/>
      </c>
      <c r="N178">
        <f>K178*(1-M178/100)*1.18</f>
        <v/>
      </c>
      <c r="O178">
        <f>הגדרות!C3</f>
        <v/>
      </c>
      <c r="P178">
        <f>הגדרות!D3</f>
        <v/>
      </c>
      <c r="Q178">
        <f>N178*(1+O178/100)+P178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רגיל</t>
        </is>
      </c>
      <c r="F179" t="inlineStr">
        <is>
          <t>רטוב</t>
        </is>
      </c>
      <c r="G179" t="inlineStr">
        <is>
          <t>גורים</t>
        </is>
      </c>
      <c r="H179" t="inlineStr">
        <is>
          <t>כלב</t>
        </is>
      </c>
      <c r="I179" t="inlineStr"/>
      <c r="J179" t="inlineStr">
        <is>
          <t>2026-01</t>
        </is>
      </c>
      <c r="K179" t="n">
        <v>140</v>
      </c>
      <c r="L179" t="n">
        <v>165.2</v>
      </c>
      <c r="M179">
        <f>הגדרות!B3</f>
        <v/>
      </c>
      <c r="N179">
        <f>K179*(1-M179/100)*1.18</f>
        <v/>
      </c>
      <c r="O179">
        <f>הגדרות!C3</f>
        <v/>
      </c>
      <c r="P179">
        <f>הגדרות!D3</f>
        <v/>
      </c>
      <c r="Q179">
        <f>N179*(1+O179/100)+P179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רגיל</t>
        </is>
      </c>
      <c r="F180" t="inlineStr">
        <is>
          <t>רטוב</t>
        </is>
      </c>
      <c r="G180" t="inlineStr">
        <is>
          <t>גורים</t>
        </is>
      </c>
      <c r="H180" t="inlineStr">
        <is>
          <t>כלב</t>
        </is>
      </c>
      <c r="I180" t="inlineStr">
        <is>
          <t>עד 7 ק"ג</t>
        </is>
      </c>
      <c r="J180" t="inlineStr">
        <is>
          <t>2026-01</t>
        </is>
      </c>
      <c r="K180" t="n">
        <v>82</v>
      </c>
      <c r="L180" t="n">
        <v>96.76000000000001</v>
      </c>
      <c r="M180">
        <f>הגדרות!B3</f>
        <v/>
      </c>
      <c r="N180">
        <f>K180*(1-M180/100)*1.18</f>
        <v/>
      </c>
      <c r="O180">
        <f>הגדרות!C3</f>
        <v/>
      </c>
      <c r="P180">
        <f>הגדרות!D3</f>
        <v/>
      </c>
      <c r="Q180">
        <f>N180*(1+O180/100)+P180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רגיל</t>
        </is>
      </c>
      <c r="F181" t="inlineStr">
        <is>
          <t>רטוב</t>
        </is>
      </c>
      <c r="G181" t="inlineStr">
        <is>
          <t>בוגר</t>
        </is>
      </c>
      <c r="H181" t="inlineStr">
        <is>
          <t>כלב</t>
        </is>
      </c>
      <c r="I181" t="inlineStr">
        <is>
          <t>עד 7 ק"ג</t>
        </is>
      </c>
      <c r="J181" t="inlineStr">
        <is>
          <t>2026-01</t>
        </is>
      </c>
      <c r="K181" t="n">
        <v>120</v>
      </c>
      <c r="L181" t="n">
        <v>141.6</v>
      </c>
      <c r="M181">
        <f>הגדרות!B3</f>
        <v/>
      </c>
      <c r="N181">
        <f>K181*(1-M181/100)*1.18</f>
        <v/>
      </c>
      <c r="O181">
        <f>הגדרות!C3</f>
        <v/>
      </c>
      <c r="P181">
        <f>הגדרות!D3</f>
        <v/>
      </c>
      <c r="Q181">
        <f>N181*(1+O181/100)+P181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רגיל</t>
        </is>
      </c>
      <c r="F182" t="inlineStr">
        <is>
          <t>רטוב</t>
        </is>
      </c>
      <c r="G182" t="inlineStr">
        <is>
          <t>מבוגר</t>
        </is>
      </c>
      <c r="H182" t="inlineStr">
        <is>
          <t>כלב</t>
        </is>
      </c>
      <c r="I182" t="inlineStr">
        <is>
          <t>עד 7 ק"ג</t>
        </is>
      </c>
      <c r="J182" t="inlineStr">
        <is>
          <t>2026-01</t>
        </is>
      </c>
      <c r="K182" t="n">
        <v>120</v>
      </c>
      <c r="L182" t="n">
        <v>141.6</v>
      </c>
      <c r="M182">
        <f>הגדרות!B3</f>
        <v/>
      </c>
      <c r="N182">
        <f>K182*(1-M182/100)*1.18</f>
        <v/>
      </c>
      <c r="O182">
        <f>הגדרות!C3</f>
        <v/>
      </c>
      <c r="P182">
        <f>הגדרות!D3</f>
        <v/>
      </c>
      <c r="Q182">
        <f>N182*(1+O182/100)+P182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רגיל</t>
        </is>
      </c>
      <c r="F183" t="inlineStr">
        <is>
          <t>רטוב</t>
        </is>
      </c>
      <c r="G183" t="inlineStr">
        <is>
          <t>גורים</t>
        </is>
      </c>
      <c r="H183" t="inlineStr">
        <is>
          <t>כלב</t>
        </is>
      </c>
      <c r="I183" t="inlineStr">
        <is>
          <t>מעל 7 ק"ג</t>
        </is>
      </c>
      <c r="J183" t="inlineStr">
        <is>
          <t>2026-01</t>
        </is>
      </c>
      <c r="K183" t="n">
        <v>94</v>
      </c>
      <c r="L183" t="n">
        <v>110.92</v>
      </c>
      <c r="M183">
        <f>הגדרות!B3</f>
        <v/>
      </c>
      <c r="N183">
        <f>K183*(1-M183/100)*1.18</f>
        <v/>
      </c>
      <c r="O183">
        <f>הגדרות!C3</f>
        <v/>
      </c>
      <c r="P183">
        <f>הגדרות!D3</f>
        <v/>
      </c>
      <c r="Q183">
        <f>N183*(1+O183/100)+P183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רגיל</t>
        </is>
      </c>
      <c r="F184" t="inlineStr">
        <is>
          <t>רטוב</t>
        </is>
      </c>
      <c r="G184" t="inlineStr">
        <is>
          <t>בוגר</t>
        </is>
      </c>
      <c r="H184" t="inlineStr">
        <is>
          <t>כלב</t>
        </is>
      </c>
      <c r="I184" t="inlineStr">
        <is>
          <t>מעל 7 ק"ג</t>
        </is>
      </c>
      <c r="J184" t="inlineStr">
        <is>
          <t>2026-01</t>
        </is>
      </c>
      <c r="K184" t="n">
        <v>192</v>
      </c>
      <c r="L184" t="n">
        <v>226.56</v>
      </c>
      <c r="M184">
        <f>הגדרות!B3</f>
        <v/>
      </c>
      <c r="N184">
        <f>K184*(1-M184/100)*1.18</f>
        <v/>
      </c>
      <c r="O184">
        <f>הגדרות!C3</f>
        <v/>
      </c>
      <c r="P184">
        <f>הגדרות!D3</f>
        <v/>
      </c>
      <c r="Q184">
        <f>N184*(1+O184/100)+P184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רגיל</t>
        </is>
      </c>
      <c r="F185" t="inlineStr">
        <is>
          <t>רטוב</t>
        </is>
      </c>
      <c r="G185" t="inlineStr">
        <is>
          <t>גורים</t>
        </is>
      </c>
      <c r="H185" t="inlineStr">
        <is>
          <t>כלב</t>
        </is>
      </c>
      <c r="I185" t="inlineStr">
        <is>
          <t>מעל 7 ק"ג</t>
        </is>
      </c>
      <c r="J185" t="inlineStr">
        <is>
          <t>2026-01</t>
        </is>
      </c>
      <c r="K185" t="n">
        <v>94</v>
      </c>
      <c r="L185" t="n">
        <v>110.92</v>
      </c>
      <c r="M185">
        <f>הגדרות!B3</f>
        <v/>
      </c>
      <c r="N185">
        <f>K185*(1-M185/100)*1.18</f>
        <v/>
      </c>
      <c r="O185">
        <f>הגדרות!C3</f>
        <v/>
      </c>
      <c r="P185">
        <f>הגדרות!D3</f>
        <v/>
      </c>
      <c r="Q185">
        <f>N185*(1+O185/100)+P185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רגיל</t>
        </is>
      </c>
      <c r="F186" t="inlineStr">
        <is>
          <t>רטוב</t>
        </is>
      </c>
      <c r="G186" t="inlineStr">
        <is>
          <t>בוגר</t>
        </is>
      </c>
      <c r="H186" t="inlineStr">
        <is>
          <t>כלב</t>
        </is>
      </c>
      <c r="I186" t="inlineStr">
        <is>
          <t>מעל 7 ק"ג</t>
        </is>
      </c>
      <c r="J186" t="inlineStr">
        <is>
          <t>2026-01</t>
        </is>
      </c>
      <c r="K186" t="n">
        <v>192</v>
      </c>
      <c r="L186" t="n">
        <v>226.56</v>
      </c>
      <c r="M186">
        <f>הגדרות!B3</f>
        <v/>
      </c>
      <c r="N186">
        <f>K186*(1-M186/100)*1.18</f>
        <v/>
      </c>
      <c r="O186">
        <f>הגדרות!C3</f>
        <v/>
      </c>
      <c r="P186">
        <f>הגדרות!D3</f>
        <v/>
      </c>
      <c r="Q186">
        <f>N186*(1+O186/100)+P186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רגיל</t>
        </is>
      </c>
      <c r="F187" t="inlineStr">
        <is>
          <t>רטוב</t>
        </is>
      </c>
      <c r="G187" t="inlineStr"/>
      <c r="H187" t="inlineStr">
        <is>
          <t>כלב</t>
        </is>
      </c>
      <c r="I187" t="inlineStr"/>
      <c r="J187" t="inlineStr">
        <is>
          <t>2026-01</t>
        </is>
      </c>
      <c r="K187" t="n">
        <v>82</v>
      </c>
      <c r="L187" t="n">
        <v>96.76000000000001</v>
      </c>
      <c r="M187">
        <f>הגדרות!B3</f>
        <v/>
      </c>
      <c r="N187">
        <f>K187*(1-M187/100)*1.18</f>
        <v/>
      </c>
      <c r="O187">
        <f>הגדרות!C3</f>
        <v/>
      </c>
      <c r="P187">
        <f>הגדרות!D3</f>
        <v/>
      </c>
      <c r="Q187">
        <f>N187*(1+O187/100)+P187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רגיל</t>
        </is>
      </c>
      <c r="F188" t="inlineStr">
        <is>
          <t>רטוב</t>
        </is>
      </c>
      <c r="G188" t="inlineStr"/>
      <c r="H188" t="inlineStr">
        <is>
          <t>כלב</t>
        </is>
      </c>
      <c r="I188" t="inlineStr"/>
      <c r="J188" t="inlineStr">
        <is>
          <t>2026-01</t>
        </is>
      </c>
      <c r="K188" t="n">
        <v>82</v>
      </c>
      <c r="L188" t="n">
        <v>96.76000000000001</v>
      </c>
      <c r="M188">
        <f>הגדרות!B3</f>
        <v/>
      </c>
      <c r="N188">
        <f>K188*(1-M188/100)*1.18</f>
        <v/>
      </c>
      <c r="O188">
        <f>הגדרות!C3</f>
        <v/>
      </c>
      <c r="P188">
        <f>הגדרות!D3</f>
        <v/>
      </c>
      <c r="Q188">
        <f>N188*(1+O188/100)+P188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רגיל</t>
        </is>
      </c>
      <c r="F189" t="inlineStr">
        <is>
          <t>רטוב</t>
        </is>
      </c>
      <c r="G189" t="inlineStr"/>
      <c r="H189" t="inlineStr">
        <is>
          <t>כלב</t>
        </is>
      </c>
      <c r="I189" t="inlineStr"/>
      <c r="J189" t="inlineStr">
        <is>
          <t>2026-01</t>
        </is>
      </c>
      <c r="K189" t="n">
        <v>82</v>
      </c>
      <c r="L189" t="n">
        <v>96.76000000000001</v>
      </c>
      <c r="M189">
        <f>הגדרות!B3</f>
        <v/>
      </c>
      <c r="N189">
        <f>K189*(1-M189/100)*1.18</f>
        <v/>
      </c>
      <c r="O189">
        <f>הגדרות!C3</f>
        <v/>
      </c>
      <c r="P189">
        <f>הגדרות!D3</f>
        <v/>
      </c>
      <c r="Q189">
        <f>N189*(1+O189/100)+P189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רגיל</t>
        </is>
      </c>
      <c r="F190" t="inlineStr">
        <is>
          <t>רטוב</t>
        </is>
      </c>
      <c r="G190" t="inlineStr"/>
      <c r="H190" t="inlineStr">
        <is>
          <t>כלב</t>
        </is>
      </c>
      <c r="I190" t="inlineStr"/>
      <c r="J190" t="inlineStr">
        <is>
          <t>2026-01</t>
        </is>
      </c>
      <c r="K190" t="n">
        <v>82</v>
      </c>
      <c r="L190" t="n">
        <v>96.76000000000001</v>
      </c>
      <c r="M190">
        <f>הגדרות!B3</f>
        <v/>
      </c>
      <c r="N190">
        <f>K190*(1-M190/100)*1.18</f>
        <v/>
      </c>
      <c r="O190">
        <f>הגדרות!C3</f>
        <v/>
      </c>
      <c r="P190">
        <f>הגדרות!D3</f>
        <v/>
      </c>
      <c r="Q190">
        <f>N190*(1+O190/100)+P190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רגיל</t>
        </is>
      </c>
      <c r="F191" t="inlineStr">
        <is>
          <t>רטוב</t>
        </is>
      </c>
      <c r="G191" t="inlineStr"/>
      <c r="H191" t="inlineStr">
        <is>
          <t>כלב</t>
        </is>
      </c>
      <c r="I191" t="inlineStr"/>
      <c r="J191" t="inlineStr">
        <is>
          <t>2026-01</t>
        </is>
      </c>
      <c r="K191" t="n">
        <v>82</v>
      </c>
      <c r="L191" t="n">
        <v>96.76000000000001</v>
      </c>
      <c r="M191">
        <f>הגדרות!B3</f>
        <v/>
      </c>
      <c r="N191">
        <f>K191*(1-M191/100)*1.18</f>
        <v/>
      </c>
      <c r="O191">
        <f>הגדרות!C3</f>
        <v/>
      </c>
      <c r="P191">
        <f>הגדרות!D3</f>
        <v/>
      </c>
      <c r="Q191">
        <f>N191*(1+O191/100)+P191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רגיל</t>
        </is>
      </c>
      <c r="F192" t="inlineStr">
        <is>
          <t>רטוב</t>
        </is>
      </c>
      <c r="G192" t="inlineStr"/>
      <c r="H192" t="inlineStr">
        <is>
          <t>כלב</t>
        </is>
      </c>
      <c r="I192" t="inlineStr"/>
      <c r="J192" t="inlineStr">
        <is>
          <t>2026-01</t>
        </is>
      </c>
      <c r="K192" t="n">
        <v>82</v>
      </c>
      <c r="L192" t="n">
        <v>96.76000000000001</v>
      </c>
      <c r="M192">
        <f>הגדרות!B3</f>
        <v/>
      </c>
      <c r="N192">
        <f>K192*(1-M192/100)*1.18</f>
        <v/>
      </c>
      <c r="O192">
        <f>הגדרות!C3</f>
        <v/>
      </c>
      <c r="P192">
        <f>הגדרות!D3</f>
        <v/>
      </c>
      <c r="Q192">
        <f>N192*(1+O192/100)+P192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רגיל</t>
        </is>
      </c>
      <c r="F193" t="inlineStr">
        <is>
          <t>רטוב</t>
        </is>
      </c>
      <c r="G193" t="inlineStr"/>
      <c r="H193" t="inlineStr">
        <is>
          <t>כלב</t>
        </is>
      </c>
      <c r="I193" t="inlineStr"/>
      <c r="J193" t="inlineStr">
        <is>
          <t>2026-01</t>
        </is>
      </c>
      <c r="K193" t="n">
        <v>82</v>
      </c>
      <c r="L193" t="n">
        <v>96.76000000000001</v>
      </c>
      <c r="M193">
        <f>הגדרות!B3</f>
        <v/>
      </c>
      <c r="N193">
        <f>K193*(1-M193/100)*1.18</f>
        <v/>
      </c>
      <c r="O193">
        <f>הגדרות!C3</f>
        <v/>
      </c>
      <c r="P193">
        <f>הגדרות!D3</f>
        <v/>
      </c>
      <c r="Q193">
        <f>N193*(1+O193/100)+P193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רגיל</t>
        </is>
      </c>
      <c r="F194" t="inlineStr">
        <is>
          <t>רטוב</t>
        </is>
      </c>
      <c r="G194" t="inlineStr"/>
      <c r="H194" t="inlineStr">
        <is>
          <t>כלב</t>
        </is>
      </c>
      <c r="I194" t="inlineStr"/>
      <c r="J194" t="inlineStr">
        <is>
          <t>2026-01</t>
        </is>
      </c>
      <c r="K194" t="n">
        <v>82</v>
      </c>
      <c r="L194" t="n">
        <v>96.76000000000001</v>
      </c>
      <c r="M194">
        <f>הגדרות!B3</f>
        <v/>
      </c>
      <c r="N194">
        <f>K194*(1-M194/100)*1.18</f>
        <v/>
      </c>
      <c r="O194">
        <f>הגדרות!C3</f>
        <v/>
      </c>
      <c r="P194">
        <f>הגדרות!D3</f>
        <v/>
      </c>
      <c r="Q194">
        <f>N194*(1+O194/100)+P194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רגיל</t>
        </is>
      </c>
      <c r="F195" t="inlineStr">
        <is>
          <t>רטוב</t>
        </is>
      </c>
      <c r="G195" t="inlineStr"/>
      <c r="H195" t="inlineStr">
        <is>
          <t>כלב</t>
        </is>
      </c>
      <c r="I195" t="inlineStr"/>
      <c r="J195" t="inlineStr">
        <is>
          <t>2026-01</t>
        </is>
      </c>
      <c r="K195" t="n">
        <v>82</v>
      </c>
      <c r="L195" t="n">
        <v>96.76000000000001</v>
      </c>
      <c r="M195">
        <f>הגדרות!B3</f>
        <v/>
      </c>
      <c r="N195">
        <f>K195*(1-M195/100)*1.18</f>
        <v/>
      </c>
      <c r="O195">
        <f>הגדרות!C3</f>
        <v/>
      </c>
      <c r="P195">
        <f>הגדרות!D3</f>
        <v/>
      </c>
      <c r="Q195">
        <f>N195*(1+O195/100)+P195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רגיל</t>
        </is>
      </c>
      <c r="F196" t="inlineStr">
        <is>
          <t>יבש</t>
        </is>
      </c>
      <c r="G196" t="inlineStr">
        <is>
          <t>גורים</t>
        </is>
      </c>
      <c r="H196" t="inlineStr">
        <is>
          <t>חתול</t>
        </is>
      </c>
      <c r="I196" t="inlineStr"/>
      <c r="J196" t="inlineStr">
        <is>
          <t>2026-01</t>
        </is>
      </c>
      <c r="K196" t="n">
        <v>115</v>
      </c>
      <c r="L196" t="n">
        <v>135.7</v>
      </c>
      <c r="M196">
        <f>הגדרות!B3</f>
        <v/>
      </c>
      <c r="N196">
        <f>K196*(1-M196/100)*1.18</f>
        <v/>
      </c>
      <c r="O196">
        <f>הגדרות!C3</f>
        <v/>
      </c>
      <c r="P196">
        <f>הגדרות!D3</f>
        <v/>
      </c>
      <c r="Q196">
        <f>N196*(1+O196/100)+P196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רגיל</t>
        </is>
      </c>
      <c r="F197" t="inlineStr">
        <is>
          <t>יבש</t>
        </is>
      </c>
      <c r="G197" t="inlineStr">
        <is>
          <t>גורים</t>
        </is>
      </c>
      <c r="H197" t="inlineStr">
        <is>
          <t>חתול</t>
        </is>
      </c>
      <c r="I197" t="inlineStr"/>
      <c r="J197" t="inlineStr">
        <is>
          <t>2026-01</t>
        </is>
      </c>
      <c r="K197" t="n">
        <v>179</v>
      </c>
      <c r="L197" t="n">
        <v>211.22</v>
      </c>
      <c r="M197">
        <f>הגדרות!B3</f>
        <v/>
      </c>
      <c r="N197">
        <f>K197*(1-M197/100)*1.18</f>
        <v/>
      </c>
      <c r="O197">
        <f>הגדרות!C3</f>
        <v/>
      </c>
      <c r="P197">
        <f>הגדרות!D3</f>
        <v/>
      </c>
      <c r="Q197">
        <f>N197*(1+O197/100)+P197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רגיל</t>
        </is>
      </c>
      <c r="F198" t="inlineStr">
        <is>
          <t>יבש</t>
        </is>
      </c>
      <c r="G198" t="inlineStr">
        <is>
          <t>גורים</t>
        </is>
      </c>
      <c r="H198" t="inlineStr">
        <is>
          <t>חתול</t>
        </is>
      </c>
      <c r="I198" t="inlineStr"/>
      <c r="J198" t="inlineStr">
        <is>
          <t>2026-01</t>
        </is>
      </c>
      <c r="K198" t="n">
        <v>339</v>
      </c>
      <c r="L198" t="n">
        <v>400.02</v>
      </c>
      <c r="M198">
        <f>הגדרות!B3</f>
        <v/>
      </c>
      <c r="N198">
        <f>K198*(1-M198/100)*1.18</f>
        <v/>
      </c>
      <c r="O198">
        <f>הגדרות!C3</f>
        <v/>
      </c>
      <c r="P198">
        <f>הגדרות!D3</f>
        <v/>
      </c>
      <c r="Q198">
        <f>N198*(1+O198/100)+P198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רגיל</t>
        </is>
      </c>
      <c r="F199" t="inlineStr">
        <is>
          <t>יבש</t>
        </is>
      </c>
      <c r="G199" t="inlineStr">
        <is>
          <t>גורים</t>
        </is>
      </c>
      <c r="H199" t="inlineStr">
        <is>
          <t>חתול</t>
        </is>
      </c>
      <c r="I199" t="inlineStr"/>
      <c r="J199" t="inlineStr">
        <is>
          <t>2026-01</t>
        </is>
      </c>
      <c r="K199" t="n">
        <v>115</v>
      </c>
      <c r="L199" t="n">
        <v>135.7</v>
      </c>
      <c r="M199">
        <f>הגדרות!B3</f>
        <v/>
      </c>
      <c r="N199">
        <f>K199*(1-M199/100)*1.18</f>
        <v/>
      </c>
      <c r="O199">
        <f>הגדרות!C3</f>
        <v/>
      </c>
      <c r="P199">
        <f>הגדרות!D3</f>
        <v/>
      </c>
      <c r="Q199">
        <f>N199*(1+O199/100)+P199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רגיל</t>
        </is>
      </c>
      <c r="F200" t="inlineStr">
        <is>
          <t>יבש</t>
        </is>
      </c>
      <c r="G200" t="inlineStr">
        <is>
          <t>גורים</t>
        </is>
      </c>
      <c r="H200" t="inlineStr">
        <is>
          <t>חתול</t>
        </is>
      </c>
      <c r="I200" t="inlineStr"/>
      <c r="J200" t="inlineStr">
        <is>
          <t>2026-01</t>
        </is>
      </c>
      <c r="K200" t="n">
        <v>179</v>
      </c>
      <c r="L200" t="n">
        <v>211.22</v>
      </c>
      <c r="M200">
        <f>הגדרות!B3</f>
        <v/>
      </c>
      <c r="N200">
        <f>K200*(1-M200/100)*1.18</f>
        <v/>
      </c>
      <c r="O200">
        <f>הגדרות!C3</f>
        <v/>
      </c>
      <c r="P200">
        <f>הגדרות!D3</f>
        <v/>
      </c>
      <c r="Q200">
        <f>N200*(1+O200/100)+P200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רגיל</t>
        </is>
      </c>
      <c r="F201" t="inlineStr">
        <is>
          <t>יבש</t>
        </is>
      </c>
      <c r="G201" t="inlineStr">
        <is>
          <t>גורים</t>
        </is>
      </c>
      <c r="H201" t="inlineStr">
        <is>
          <t>חתול</t>
        </is>
      </c>
      <c r="I201" t="inlineStr"/>
      <c r="J201" t="inlineStr">
        <is>
          <t>2026-01</t>
        </is>
      </c>
      <c r="K201" t="n">
        <v>329</v>
      </c>
      <c r="L201" t="n">
        <v>388.22</v>
      </c>
      <c r="M201">
        <f>הגדרות!B3</f>
        <v/>
      </c>
      <c r="N201">
        <f>K201*(1-M201/100)*1.18</f>
        <v/>
      </c>
      <c r="O201">
        <f>הגדרות!C3</f>
        <v/>
      </c>
      <c r="P201">
        <f>הגדרות!D3</f>
        <v/>
      </c>
      <c r="Q201">
        <f>N201*(1+O201/100)+P201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רגיל</t>
        </is>
      </c>
      <c r="F202" t="inlineStr">
        <is>
          <t>יבש</t>
        </is>
      </c>
      <c r="G202" t="inlineStr"/>
      <c r="H202" t="inlineStr">
        <is>
          <t>חתול</t>
        </is>
      </c>
      <c r="I202" t="inlineStr"/>
      <c r="J202" t="inlineStr">
        <is>
          <t>2026-01</t>
        </is>
      </c>
      <c r="K202" t="n">
        <v>110</v>
      </c>
      <c r="L202" t="n">
        <v>129.8</v>
      </c>
      <c r="M202">
        <f>הגדרות!B3</f>
        <v/>
      </c>
      <c r="N202">
        <f>K202*(1-M202/100)*1.18</f>
        <v/>
      </c>
      <c r="O202">
        <f>הגדרות!C3</f>
        <v/>
      </c>
      <c r="P202">
        <f>הגדרות!D3</f>
        <v/>
      </c>
      <c r="Q202">
        <f>N202*(1+O202/100)+P202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רגיל</t>
        </is>
      </c>
      <c r="F203" t="inlineStr">
        <is>
          <t>יבש</t>
        </is>
      </c>
      <c r="G203" t="inlineStr"/>
      <c r="H203" t="inlineStr">
        <is>
          <t>חתול</t>
        </is>
      </c>
      <c r="I203" t="inlineStr"/>
      <c r="J203" t="inlineStr">
        <is>
          <t>2026-01</t>
        </is>
      </c>
      <c r="K203" t="n">
        <v>175</v>
      </c>
      <c r="L203" t="n">
        <v>206.5</v>
      </c>
      <c r="M203">
        <f>הגדרות!B3</f>
        <v/>
      </c>
      <c r="N203">
        <f>K203*(1-M203/100)*1.18</f>
        <v/>
      </c>
      <c r="O203">
        <f>הגדרות!C3</f>
        <v/>
      </c>
      <c r="P203">
        <f>הגדרות!D3</f>
        <v/>
      </c>
      <c r="Q203">
        <f>N203*(1+O203/100)+P203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רגיל</t>
        </is>
      </c>
      <c r="F204" t="inlineStr">
        <is>
          <t>יבש</t>
        </is>
      </c>
      <c r="G204" t="inlineStr"/>
      <c r="H204" t="inlineStr">
        <is>
          <t>חתול</t>
        </is>
      </c>
      <c r="I204" t="inlineStr"/>
      <c r="J204" t="inlineStr">
        <is>
          <t>2026-01</t>
        </is>
      </c>
      <c r="K204" t="n">
        <v>315</v>
      </c>
      <c r="L204" t="n">
        <v>371.7</v>
      </c>
      <c r="M204">
        <f>הגדרות!B3</f>
        <v/>
      </c>
      <c r="N204">
        <f>K204*(1-M204/100)*1.18</f>
        <v/>
      </c>
      <c r="O204">
        <f>הגדרות!C3</f>
        <v/>
      </c>
      <c r="P204">
        <f>הגדרות!D3</f>
        <v/>
      </c>
      <c r="Q204">
        <f>N204*(1+O204/100)+P204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רגיל</t>
        </is>
      </c>
      <c r="F205" t="inlineStr">
        <is>
          <t>יבש</t>
        </is>
      </c>
      <c r="G205" t="inlineStr"/>
      <c r="H205" t="inlineStr">
        <is>
          <t>חתול</t>
        </is>
      </c>
      <c r="I205" t="inlineStr"/>
      <c r="J205" t="inlineStr">
        <is>
          <t>2026-01</t>
        </is>
      </c>
      <c r="K205" t="n">
        <v>345</v>
      </c>
      <c r="L205" t="n">
        <v>407.1</v>
      </c>
      <c r="M205">
        <f>הגדרות!B3</f>
        <v/>
      </c>
      <c r="N205">
        <f>K205*(1-M205/100)*1.18</f>
        <v/>
      </c>
      <c r="O205">
        <f>הגדרות!C3</f>
        <v/>
      </c>
      <c r="P205">
        <f>הגדרות!D3</f>
        <v/>
      </c>
      <c r="Q205">
        <f>N205*(1+O205/100)+P205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רגיל</t>
        </is>
      </c>
      <c r="F206" t="inlineStr">
        <is>
          <t>יבש</t>
        </is>
      </c>
      <c r="G206" t="inlineStr"/>
      <c r="H206" t="inlineStr">
        <is>
          <t>חתול</t>
        </is>
      </c>
      <c r="I206" t="inlineStr"/>
      <c r="J206" t="inlineStr">
        <is>
          <t>2026-01</t>
        </is>
      </c>
      <c r="K206" t="n">
        <v>110</v>
      </c>
      <c r="L206" t="n">
        <v>129.8</v>
      </c>
      <c r="M206">
        <f>הגדרות!B3</f>
        <v/>
      </c>
      <c r="N206">
        <f>K206*(1-M206/100)*1.18</f>
        <v/>
      </c>
      <c r="O206">
        <f>הגדרות!C3</f>
        <v/>
      </c>
      <c r="P206">
        <f>הגדרות!D3</f>
        <v/>
      </c>
      <c r="Q206">
        <f>N206*(1+O206/100)+P206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רגיל</t>
        </is>
      </c>
      <c r="F207" t="inlineStr">
        <is>
          <t>יבש</t>
        </is>
      </c>
      <c r="G207" t="inlineStr"/>
      <c r="H207" t="inlineStr">
        <is>
          <t>חתול</t>
        </is>
      </c>
      <c r="I207" t="inlineStr"/>
      <c r="J207" t="inlineStr">
        <is>
          <t>2026-01</t>
        </is>
      </c>
      <c r="K207" t="n">
        <v>175</v>
      </c>
      <c r="L207" t="n">
        <v>206.5</v>
      </c>
      <c r="M207">
        <f>הגדרות!B3</f>
        <v/>
      </c>
      <c r="N207">
        <f>K207*(1-M207/100)*1.18</f>
        <v/>
      </c>
      <c r="O207">
        <f>הגדרות!C3</f>
        <v/>
      </c>
      <c r="P207">
        <f>הגדרות!D3</f>
        <v/>
      </c>
      <c r="Q207">
        <f>N207*(1+O207/100)+P207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רגיל</t>
        </is>
      </c>
      <c r="F208" t="inlineStr">
        <is>
          <t>יבש</t>
        </is>
      </c>
      <c r="G208" t="inlineStr"/>
      <c r="H208" t="inlineStr">
        <is>
          <t>חתול</t>
        </is>
      </c>
      <c r="I208" t="inlineStr"/>
      <c r="J208" t="inlineStr">
        <is>
          <t>2026-01</t>
        </is>
      </c>
      <c r="K208" t="n">
        <v>329</v>
      </c>
      <c r="L208" t="n">
        <v>388.22</v>
      </c>
      <c r="M208">
        <f>הגדרות!B3</f>
        <v/>
      </c>
      <c r="N208">
        <f>K208*(1-M208/100)*1.18</f>
        <v/>
      </c>
      <c r="O208">
        <f>הגדרות!C3</f>
        <v/>
      </c>
      <c r="P208">
        <f>הגדרות!D3</f>
        <v/>
      </c>
      <c r="Q208">
        <f>N208*(1+O208/100)+P208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רגיל</t>
        </is>
      </c>
      <c r="F209" t="inlineStr">
        <is>
          <t>יבש</t>
        </is>
      </c>
      <c r="G209" t="inlineStr"/>
      <c r="H209" t="inlineStr">
        <is>
          <t>חתול</t>
        </is>
      </c>
      <c r="I209" t="inlineStr"/>
      <c r="J209" t="inlineStr">
        <is>
          <t>2026-01</t>
        </is>
      </c>
      <c r="K209" t="n">
        <v>110</v>
      </c>
      <c r="L209" t="n">
        <v>129.8</v>
      </c>
      <c r="M209">
        <f>הגדרות!B3</f>
        <v/>
      </c>
      <c r="N209">
        <f>K209*(1-M209/100)*1.18</f>
        <v/>
      </c>
      <c r="O209">
        <f>הגדרות!C3</f>
        <v/>
      </c>
      <c r="P209">
        <f>הגדרות!D3</f>
        <v/>
      </c>
      <c r="Q209">
        <f>N209*(1+O209/100)+P209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רגיל</t>
        </is>
      </c>
      <c r="F210" t="inlineStr">
        <is>
          <t>יבש</t>
        </is>
      </c>
      <c r="G210" t="inlineStr"/>
      <c r="H210" t="inlineStr">
        <is>
          <t>חתול</t>
        </is>
      </c>
      <c r="I210" t="inlineStr"/>
      <c r="J210" t="inlineStr">
        <is>
          <t>2026-01</t>
        </is>
      </c>
      <c r="K210" t="n">
        <v>175</v>
      </c>
      <c r="L210" t="n">
        <v>206.5</v>
      </c>
      <c r="M210">
        <f>הגדרות!B3</f>
        <v/>
      </c>
      <c r="N210">
        <f>K210*(1-M210/100)*1.18</f>
        <v/>
      </c>
      <c r="O210">
        <f>הגדרות!C3</f>
        <v/>
      </c>
      <c r="P210">
        <f>הגדרות!D3</f>
        <v/>
      </c>
      <c r="Q210">
        <f>N210*(1+O210/100)+P210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רגיל</t>
        </is>
      </c>
      <c r="F211" t="inlineStr">
        <is>
          <t>יבש</t>
        </is>
      </c>
      <c r="G211" t="inlineStr"/>
      <c r="H211" t="inlineStr">
        <is>
          <t>חתול</t>
        </is>
      </c>
      <c r="I211" t="inlineStr"/>
      <c r="J211" t="inlineStr">
        <is>
          <t>2026-01</t>
        </is>
      </c>
      <c r="K211" t="n">
        <v>329</v>
      </c>
      <c r="L211" t="n">
        <v>388.22</v>
      </c>
      <c r="M211">
        <f>הגדרות!B3</f>
        <v/>
      </c>
      <c r="N211">
        <f>K211*(1-M211/100)*1.18</f>
        <v/>
      </c>
      <c r="O211">
        <f>הגדרות!C3</f>
        <v/>
      </c>
      <c r="P211">
        <f>הגדרות!D3</f>
        <v/>
      </c>
      <c r="Q211">
        <f>N211*(1+O211/100)+P211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רגיל</t>
        </is>
      </c>
      <c r="F212" t="inlineStr">
        <is>
          <t>יבש</t>
        </is>
      </c>
      <c r="G212" t="inlineStr">
        <is>
          <t>מבוגר</t>
        </is>
      </c>
      <c r="H212" t="inlineStr">
        <is>
          <t>חתול</t>
        </is>
      </c>
      <c r="I212" t="inlineStr"/>
      <c r="J212" t="inlineStr">
        <is>
          <t>2026-01</t>
        </is>
      </c>
      <c r="K212" t="n">
        <v>175</v>
      </c>
      <c r="L212" t="n">
        <v>206.5</v>
      </c>
      <c r="M212">
        <f>הגדרות!B3</f>
        <v/>
      </c>
      <c r="N212">
        <f>K212*(1-M212/100)*1.18</f>
        <v/>
      </c>
      <c r="O212">
        <f>הגדרות!C3</f>
        <v/>
      </c>
      <c r="P212">
        <f>הגדרות!D3</f>
        <v/>
      </c>
      <c r="Q212">
        <f>N212*(1+O212/100)+P212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רגיל</t>
        </is>
      </c>
      <c r="F213" t="inlineStr">
        <is>
          <t>יבש</t>
        </is>
      </c>
      <c r="G213" t="inlineStr">
        <is>
          <t>מבוגר</t>
        </is>
      </c>
      <c r="H213" t="inlineStr">
        <is>
          <t>חתול</t>
        </is>
      </c>
      <c r="I213" t="inlineStr"/>
      <c r="J213" t="inlineStr">
        <is>
          <t>2026-01</t>
        </is>
      </c>
      <c r="K213" t="n">
        <v>185</v>
      </c>
      <c r="L213" t="n">
        <v>218.3</v>
      </c>
      <c r="M213">
        <f>הגדרות!B3</f>
        <v/>
      </c>
      <c r="N213">
        <f>K213*(1-M213/100)*1.18</f>
        <v/>
      </c>
      <c r="O213">
        <f>הגדרות!C3</f>
        <v/>
      </c>
      <c r="P213">
        <f>הגדרות!D3</f>
        <v/>
      </c>
      <c r="Q213">
        <f>N213*(1+O213/100)+P213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רגיל</t>
        </is>
      </c>
      <c r="F214" t="inlineStr">
        <is>
          <t>יבש</t>
        </is>
      </c>
      <c r="G214" t="inlineStr"/>
      <c r="H214" t="inlineStr">
        <is>
          <t>חתול</t>
        </is>
      </c>
      <c r="I214" t="inlineStr"/>
      <c r="J214" t="inlineStr">
        <is>
          <t>2026-01</t>
        </is>
      </c>
      <c r="K214" t="n">
        <v>110</v>
      </c>
      <c r="L214" t="n">
        <v>129.8</v>
      </c>
      <c r="M214">
        <f>הגדרות!B3</f>
        <v/>
      </c>
      <c r="N214">
        <f>K214*(1-M214/100)*1.18</f>
        <v/>
      </c>
      <c r="O214">
        <f>הגדרות!C3</f>
        <v/>
      </c>
      <c r="P214">
        <f>הגדרות!D3</f>
        <v/>
      </c>
      <c r="Q214">
        <f>N214*(1+O214/100)+P214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רגיל</t>
        </is>
      </c>
      <c r="F215" t="inlineStr">
        <is>
          <t>יבש</t>
        </is>
      </c>
      <c r="G215" t="inlineStr"/>
      <c r="H215" t="inlineStr">
        <is>
          <t>חתול</t>
        </is>
      </c>
      <c r="I215" t="inlineStr"/>
      <c r="J215" t="inlineStr">
        <is>
          <t>2026-01</t>
        </is>
      </c>
      <c r="K215" t="n">
        <v>189</v>
      </c>
      <c r="L215" t="n">
        <v>223.02</v>
      </c>
      <c r="M215">
        <f>הגדרות!B3</f>
        <v/>
      </c>
      <c r="N215">
        <f>K215*(1-M215/100)*1.18</f>
        <v/>
      </c>
      <c r="O215">
        <f>הגדרות!C3</f>
        <v/>
      </c>
      <c r="P215">
        <f>הגדרות!D3</f>
        <v/>
      </c>
      <c r="Q215">
        <f>N215*(1+O215/100)+P215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רגיל</t>
        </is>
      </c>
      <c r="F216" t="inlineStr">
        <is>
          <t>יבש</t>
        </is>
      </c>
      <c r="G216" t="inlineStr"/>
      <c r="H216" t="inlineStr">
        <is>
          <t>חתול</t>
        </is>
      </c>
      <c r="I216" t="inlineStr"/>
      <c r="J216" t="inlineStr">
        <is>
          <t>2026-01</t>
        </is>
      </c>
      <c r="K216" t="n">
        <v>110</v>
      </c>
      <c r="L216" t="n">
        <v>129.8</v>
      </c>
      <c r="M216">
        <f>הגדרות!B3</f>
        <v/>
      </c>
      <c r="N216">
        <f>K216*(1-M216/100)*1.18</f>
        <v/>
      </c>
      <c r="O216">
        <f>הגדרות!C3</f>
        <v/>
      </c>
      <c r="P216">
        <f>הגדרות!D3</f>
        <v/>
      </c>
      <c r="Q216">
        <f>N216*(1+O216/100)+P216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רגיל</t>
        </is>
      </c>
      <c r="F217" t="inlineStr">
        <is>
          <t>יבש</t>
        </is>
      </c>
      <c r="G217" t="inlineStr"/>
      <c r="H217" t="inlineStr">
        <is>
          <t>חתול</t>
        </is>
      </c>
      <c r="I217" t="inlineStr"/>
      <c r="J217" t="inlineStr">
        <is>
          <t>2026-01</t>
        </is>
      </c>
      <c r="K217" t="n">
        <v>175</v>
      </c>
      <c r="L217" t="n">
        <v>206.5</v>
      </c>
      <c r="M217">
        <f>הגדרות!B3</f>
        <v/>
      </c>
      <c r="N217">
        <f>K217*(1-M217/100)*1.18</f>
        <v/>
      </c>
      <c r="O217">
        <f>הגדרות!C3</f>
        <v/>
      </c>
      <c r="P217">
        <f>הגדרות!D3</f>
        <v/>
      </c>
      <c r="Q217">
        <f>N217*(1+O217/100)+P217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רגיל</t>
        </is>
      </c>
      <c r="F218" t="inlineStr">
        <is>
          <t>יבש</t>
        </is>
      </c>
      <c r="G218" t="inlineStr"/>
      <c r="H218" t="inlineStr">
        <is>
          <t>חתול</t>
        </is>
      </c>
      <c r="I218" t="inlineStr"/>
      <c r="J218" t="inlineStr">
        <is>
          <t>2026-01</t>
        </is>
      </c>
      <c r="K218" t="n">
        <v>175</v>
      </c>
      <c r="L218" t="n">
        <v>206.5</v>
      </c>
      <c r="M218">
        <f>הגדרות!B3</f>
        <v/>
      </c>
      <c r="N218">
        <f>K218*(1-M218/100)*1.18</f>
        <v/>
      </c>
      <c r="O218">
        <f>הגדרות!C3</f>
        <v/>
      </c>
      <c r="P218">
        <f>הגדרות!D3</f>
        <v/>
      </c>
      <c r="Q218">
        <f>N218*(1+O218/100)+P218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רגיל</t>
        </is>
      </c>
      <c r="F219" t="inlineStr">
        <is>
          <t>יבש</t>
        </is>
      </c>
      <c r="G219" t="inlineStr">
        <is>
          <t>מבוגר</t>
        </is>
      </c>
      <c r="H219" t="inlineStr">
        <is>
          <t>חתול</t>
        </is>
      </c>
      <c r="I219" t="inlineStr"/>
      <c r="J219" t="inlineStr">
        <is>
          <t>2026-01</t>
        </is>
      </c>
      <c r="K219" t="n">
        <v>129</v>
      </c>
      <c r="L219" t="n">
        <v>152.22</v>
      </c>
      <c r="M219">
        <f>הגדרות!B3</f>
        <v/>
      </c>
      <c r="N219">
        <f>K219*(1-M219/100)*1.18</f>
        <v/>
      </c>
      <c r="O219">
        <f>הגדרות!C3</f>
        <v/>
      </c>
      <c r="P219">
        <f>הגדרות!D3</f>
        <v/>
      </c>
      <c r="Q219">
        <f>N219*(1+O219/100)+P219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רגיל</t>
        </is>
      </c>
      <c r="F220" t="inlineStr">
        <is>
          <t>יבש</t>
        </is>
      </c>
      <c r="G220" t="inlineStr">
        <is>
          <t>מבוגר</t>
        </is>
      </c>
      <c r="H220" t="inlineStr">
        <is>
          <t>חתול</t>
        </is>
      </c>
      <c r="I220" t="inlineStr"/>
      <c r="J220" t="inlineStr">
        <is>
          <t>2026-01</t>
        </is>
      </c>
      <c r="K220" t="n">
        <v>185</v>
      </c>
      <c r="L220" t="n">
        <v>218.3</v>
      </c>
      <c r="M220">
        <f>הגדרות!B3</f>
        <v/>
      </c>
      <c r="N220">
        <f>K220*(1-M220/100)*1.18</f>
        <v/>
      </c>
      <c r="O220">
        <f>הגדרות!C3</f>
        <v/>
      </c>
      <c r="P220">
        <f>הגדרות!D3</f>
        <v/>
      </c>
      <c r="Q220">
        <f>N220*(1+O220/100)+P220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רגיל</t>
        </is>
      </c>
      <c r="F221" t="inlineStr">
        <is>
          <t>יבש</t>
        </is>
      </c>
      <c r="G221" t="inlineStr">
        <is>
          <t>מבוגר</t>
        </is>
      </c>
      <c r="H221" t="inlineStr">
        <is>
          <t>חתול</t>
        </is>
      </c>
      <c r="I221" t="inlineStr"/>
      <c r="J221" t="inlineStr">
        <is>
          <t>2026-01</t>
        </is>
      </c>
      <c r="K221" t="n">
        <v>185</v>
      </c>
      <c r="L221" t="n">
        <v>218.3</v>
      </c>
      <c r="M221">
        <f>הגדרות!B3</f>
        <v/>
      </c>
      <c r="N221">
        <f>K221*(1-M221/100)*1.18</f>
        <v/>
      </c>
      <c r="O221">
        <f>הגדרות!C3</f>
        <v/>
      </c>
      <c r="P221">
        <f>הגדרות!D3</f>
        <v/>
      </c>
      <c r="Q221">
        <f>N221*(1+O221/100)+P221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רגיל</t>
        </is>
      </c>
      <c r="F222" t="inlineStr">
        <is>
          <t>יבש</t>
        </is>
      </c>
      <c r="G222" t="inlineStr">
        <is>
          <t>מבוגר</t>
        </is>
      </c>
      <c r="H222" t="inlineStr">
        <is>
          <t>חתול</t>
        </is>
      </c>
      <c r="I222" t="inlineStr"/>
      <c r="J222" t="inlineStr">
        <is>
          <t>2026-01</t>
        </is>
      </c>
      <c r="K222" t="n">
        <v>129</v>
      </c>
      <c r="L222" t="n">
        <v>152.22</v>
      </c>
      <c r="M222">
        <f>הגדרות!B3</f>
        <v/>
      </c>
      <c r="N222">
        <f>K222*(1-M222/100)*1.18</f>
        <v/>
      </c>
      <c r="O222">
        <f>הגדרות!C3</f>
        <v/>
      </c>
      <c r="P222">
        <f>הגדרות!D3</f>
        <v/>
      </c>
      <c r="Q222">
        <f>N222*(1+O222/100)+P222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רגיל</t>
        </is>
      </c>
      <c r="F223" t="inlineStr">
        <is>
          <t>יבש</t>
        </is>
      </c>
      <c r="G223" t="inlineStr">
        <is>
          <t>מבוגר</t>
        </is>
      </c>
      <c r="H223" t="inlineStr">
        <is>
          <t>חתול</t>
        </is>
      </c>
      <c r="I223" t="inlineStr"/>
      <c r="J223" t="inlineStr">
        <is>
          <t>2026-01</t>
        </is>
      </c>
      <c r="K223" t="n">
        <v>185</v>
      </c>
      <c r="L223" t="n">
        <v>218.3</v>
      </c>
      <c r="M223">
        <f>הגדרות!B3</f>
        <v/>
      </c>
      <c r="N223">
        <f>K223*(1-M223/100)*1.18</f>
        <v/>
      </c>
      <c r="O223">
        <f>הגדרות!C3</f>
        <v/>
      </c>
      <c r="P223">
        <f>הגדרות!D3</f>
        <v/>
      </c>
      <c r="Q223">
        <f>N223*(1+O223/100)+P223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רגיל</t>
        </is>
      </c>
      <c r="F224" t="inlineStr">
        <is>
          <t>יבש</t>
        </is>
      </c>
      <c r="G224" t="inlineStr"/>
      <c r="H224" t="inlineStr">
        <is>
          <t>חתול</t>
        </is>
      </c>
      <c r="I224" t="inlineStr"/>
      <c r="J224" t="inlineStr">
        <is>
          <t>2026-01</t>
        </is>
      </c>
      <c r="K224" t="n">
        <v>195</v>
      </c>
      <c r="L224" t="n">
        <v>230.1</v>
      </c>
      <c r="M224">
        <f>הגדרות!B3</f>
        <v/>
      </c>
      <c r="N224">
        <f>K224*(1-M224/100)*1.18</f>
        <v/>
      </c>
      <c r="O224">
        <f>הגדרות!C3</f>
        <v/>
      </c>
      <c r="P224">
        <f>הגדרות!D3</f>
        <v/>
      </c>
      <c r="Q224">
        <f>N224*(1+O224/100)+P224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רגיל</t>
        </is>
      </c>
      <c r="F225" t="inlineStr">
        <is>
          <t>יבש</t>
        </is>
      </c>
      <c r="G225" t="inlineStr"/>
      <c r="H225" t="inlineStr">
        <is>
          <t>חתול</t>
        </is>
      </c>
      <c r="I225" t="inlineStr"/>
      <c r="J225" t="inlineStr">
        <is>
          <t>2026-01</t>
        </is>
      </c>
      <c r="K225" t="n">
        <v>195</v>
      </c>
      <c r="L225" t="n">
        <v>230.1</v>
      </c>
      <c r="M225">
        <f>הגדרות!B3</f>
        <v/>
      </c>
      <c r="N225">
        <f>K225*(1-M225/100)*1.18</f>
        <v/>
      </c>
      <c r="O225">
        <f>הגדרות!C3</f>
        <v/>
      </c>
      <c r="P225">
        <f>הגדרות!D3</f>
        <v/>
      </c>
      <c r="Q225">
        <f>N225*(1+O225/100)+P225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רגיל</t>
        </is>
      </c>
      <c r="F226" t="inlineStr">
        <is>
          <t>יבש</t>
        </is>
      </c>
      <c r="G226" t="inlineStr"/>
      <c r="H226" t="inlineStr">
        <is>
          <t>חתול</t>
        </is>
      </c>
      <c r="I226" t="inlineStr"/>
      <c r="J226" t="inlineStr">
        <is>
          <t>2026-01</t>
        </is>
      </c>
      <c r="K226" t="n">
        <v>119</v>
      </c>
      <c r="L226" t="n">
        <v>140.42</v>
      </c>
      <c r="M226">
        <f>הגדרות!B3</f>
        <v/>
      </c>
      <c r="N226">
        <f>K226*(1-M226/100)*1.18</f>
        <v/>
      </c>
      <c r="O226">
        <f>הגדרות!C3</f>
        <v/>
      </c>
      <c r="P226">
        <f>הגדרות!D3</f>
        <v/>
      </c>
      <c r="Q226">
        <f>N226*(1+O226/100)+P226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רגיל</t>
        </is>
      </c>
      <c r="F227" t="inlineStr">
        <is>
          <t>יבש</t>
        </is>
      </c>
      <c r="G227" t="inlineStr"/>
      <c r="H227" t="inlineStr">
        <is>
          <t>חתול</t>
        </is>
      </c>
      <c r="I227" t="inlineStr"/>
      <c r="J227" t="inlineStr">
        <is>
          <t>2026-01</t>
        </is>
      </c>
      <c r="K227" t="n">
        <v>195</v>
      </c>
      <c r="L227" t="n">
        <v>230.1</v>
      </c>
      <c r="M227">
        <f>הגדרות!B3</f>
        <v/>
      </c>
      <c r="N227">
        <f>K227*(1-M227/100)*1.18</f>
        <v/>
      </c>
      <c r="O227">
        <f>הגדרות!C3</f>
        <v/>
      </c>
      <c r="P227">
        <f>הגדרות!D3</f>
        <v/>
      </c>
      <c r="Q227">
        <f>N227*(1+O227/100)+P227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רגיל</t>
        </is>
      </c>
      <c r="F228" t="inlineStr">
        <is>
          <t>יבש</t>
        </is>
      </c>
      <c r="G228" t="inlineStr"/>
      <c r="H228" t="inlineStr">
        <is>
          <t>חתול</t>
        </is>
      </c>
      <c r="I228" t="inlineStr"/>
      <c r="J228" t="inlineStr">
        <is>
          <t>2026-01</t>
        </is>
      </c>
      <c r="K228" t="n">
        <v>339</v>
      </c>
      <c r="L228" t="n">
        <v>400.02</v>
      </c>
      <c r="M228">
        <f>הגדרות!B3</f>
        <v/>
      </c>
      <c r="N228">
        <f>K228*(1-M228/100)*1.18</f>
        <v/>
      </c>
      <c r="O228">
        <f>הגדרות!C3</f>
        <v/>
      </c>
      <c r="P228">
        <f>הגדרות!D3</f>
        <v/>
      </c>
      <c r="Q228">
        <f>N228*(1+O228/100)+P228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רגיל</t>
        </is>
      </c>
      <c r="F229" t="inlineStr">
        <is>
          <t>יבש</t>
        </is>
      </c>
      <c r="G229" t="inlineStr"/>
      <c r="H229" t="inlineStr">
        <is>
          <t>חתול</t>
        </is>
      </c>
      <c r="I229" t="inlineStr"/>
      <c r="J229" t="inlineStr">
        <is>
          <t>2026-01</t>
        </is>
      </c>
      <c r="K229" t="n">
        <v>119</v>
      </c>
      <c r="L229" t="n">
        <v>140.42</v>
      </c>
      <c r="M229">
        <f>הגדרות!B3</f>
        <v/>
      </c>
      <c r="N229">
        <f>K229*(1-M229/100)*1.18</f>
        <v/>
      </c>
      <c r="O229">
        <f>הגדרות!C3</f>
        <v/>
      </c>
      <c r="P229">
        <f>הגדרות!D3</f>
        <v/>
      </c>
      <c r="Q229">
        <f>N229*(1+O229/100)+P229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רגיל</t>
        </is>
      </c>
      <c r="F230" t="inlineStr">
        <is>
          <t>יבש</t>
        </is>
      </c>
      <c r="G230" t="inlineStr"/>
      <c r="H230" t="inlineStr">
        <is>
          <t>חתול</t>
        </is>
      </c>
      <c r="I230" t="inlineStr"/>
      <c r="J230" t="inlineStr">
        <is>
          <t>2026-01</t>
        </is>
      </c>
      <c r="K230" t="n">
        <v>195</v>
      </c>
      <c r="L230" t="n">
        <v>230.1</v>
      </c>
      <c r="M230">
        <f>הגדרות!B3</f>
        <v/>
      </c>
      <c r="N230">
        <f>K230*(1-M230/100)*1.18</f>
        <v/>
      </c>
      <c r="O230">
        <f>הגדרות!C3</f>
        <v/>
      </c>
      <c r="P230">
        <f>הגדרות!D3</f>
        <v/>
      </c>
      <c r="Q230">
        <f>N230*(1+O230/100)+P230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רגיל</t>
        </is>
      </c>
      <c r="F231" t="inlineStr">
        <is>
          <t>יבש</t>
        </is>
      </c>
      <c r="G231" t="inlineStr"/>
      <c r="H231" t="inlineStr">
        <is>
          <t>חתול</t>
        </is>
      </c>
      <c r="I231" t="inlineStr"/>
      <c r="J231" t="inlineStr">
        <is>
          <t>2026-01</t>
        </is>
      </c>
      <c r="K231" t="n">
        <v>339</v>
      </c>
      <c r="L231" t="n">
        <v>400.02</v>
      </c>
      <c r="M231">
        <f>הגדרות!B3</f>
        <v/>
      </c>
      <c r="N231">
        <f>K231*(1-M231/100)*1.18</f>
        <v/>
      </c>
      <c r="O231">
        <f>הגדרות!C3</f>
        <v/>
      </c>
      <c r="P231">
        <f>הגדרות!D3</f>
        <v/>
      </c>
      <c r="Q231">
        <f>N231*(1+O231/100)+P231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רגיל</t>
        </is>
      </c>
      <c r="F232" t="inlineStr">
        <is>
          <t>יבש</t>
        </is>
      </c>
      <c r="G232" t="inlineStr"/>
      <c r="H232" t="inlineStr">
        <is>
          <t>חתול</t>
        </is>
      </c>
      <c r="I232" t="inlineStr"/>
      <c r="J232" t="inlineStr">
        <is>
          <t>2026-01</t>
        </is>
      </c>
      <c r="K232" t="n">
        <v>195</v>
      </c>
      <c r="L232" t="n">
        <v>230.1</v>
      </c>
      <c r="M232">
        <f>הגדרות!B3</f>
        <v/>
      </c>
      <c r="N232">
        <f>K232*(1-M232/100)*1.18</f>
        <v/>
      </c>
      <c r="O232">
        <f>הגדרות!C3</f>
        <v/>
      </c>
      <c r="P232">
        <f>הגדרות!D3</f>
        <v/>
      </c>
      <c r="Q232">
        <f>N232*(1+O232/100)+P232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רגיל</t>
        </is>
      </c>
      <c r="F233" t="inlineStr">
        <is>
          <t>יבש</t>
        </is>
      </c>
      <c r="G233" t="inlineStr"/>
      <c r="H233" t="inlineStr">
        <is>
          <t>חתול</t>
        </is>
      </c>
      <c r="I233" t="inlineStr"/>
      <c r="J233" t="inlineStr">
        <is>
          <t>2026-01</t>
        </is>
      </c>
      <c r="K233" t="n">
        <v>179</v>
      </c>
      <c r="L233" t="n">
        <v>211.22</v>
      </c>
      <c r="M233">
        <f>הגדרות!B3</f>
        <v/>
      </c>
      <c r="N233">
        <f>K233*(1-M233/100)*1.18</f>
        <v/>
      </c>
      <c r="O233">
        <f>הגדרות!C3</f>
        <v/>
      </c>
      <c r="P233">
        <f>הגדרות!D3</f>
        <v/>
      </c>
      <c r="Q233">
        <f>N233*(1+O233/100)+P233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רגיל</t>
        </is>
      </c>
      <c r="F234" t="inlineStr">
        <is>
          <t>יבש</t>
        </is>
      </c>
      <c r="G234" t="inlineStr"/>
      <c r="H234" t="inlineStr">
        <is>
          <t>חתול</t>
        </is>
      </c>
      <c r="I234" t="inlineStr"/>
      <c r="J234" t="inlineStr">
        <is>
          <t>2026-01</t>
        </is>
      </c>
      <c r="K234" t="n">
        <v>289</v>
      </c>
      <c r="L234" t="n">
        <v>341.02</v>
      </c>
      <c r="M234">
        <f>הגדרות!B3</f>
        <v/>
      </c>
      <c r="N234">
        <f>K234*(1-M234/100)*1.18</f>
        <v/>
      </c>
      <c r="O234">
        <f>הגדרות!C3</f>
        <v/>
      </c>
      <c r="P234">
        <f>הגדרות!D3</f>
        <v/>
      </c>
      <c r="Q234">
        <f>N234*(1+O234/100)+P234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רגיל</t>
        </is>
      </c>
      <c r="F235" t="inlineStr">
        <is>
          <t>יבש</t>
        </is>
      </c>
      <c r="G235" t="inlineStr">
        <is>
          <t>גורים</t>
        </is>
      </c>
      <c r="H235" t="inlineStr">
        <is>
          <t>חתול</t>
        </is>
      </c>
      <c r="I235" t="inlineStr"/>
      <c r="J235" t="inlineStr">
        <is>
          <t>2026-01</t>
        </is>
      </c>
      <c r="K235" t="n">
        <v>115</v>
      </c>
      <c r="L235" t="n">
        <v>135.7</v>
      </c>
      <c r="M235">
        <f>הגדרות!B3</f>
        <v/>
      </c>
      <c r="N235">
        <f>K235*(1-M235/100)*1.18</f>
        <v/>
      </c>
      <c r="O235">
        <f>הגדרות!C3</f>
        <v/>
      </c>
      <c r="P235">
        <f>הגדרות!D3</f>
        <v/>
      </c>
      <c r="Q235">
        <f>N235*(1+O235/100)+P235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רגיל</t>
        </is>
      </c>
      <c r="F236" t="inlineStr">
        <is>
          <t>יבש</t>
        </is>
      </c>
      <c r="G236" t="inlineStr"/>
      <c r="H236" t="inlineStr">
        <is>
          <t>חתול</t>
        </is>
      </c>
      <c r="I236" t="inlineStr"/>
      <c r="J236" t="inlineStr">
        <is>
          <t>2026-01</t>
        </is>
      </c>
      <c r="K236" t="n">
        <v>112</v>
      </c>
      <c r="L236" t="n">
        <v>132.16</v>
      </c>
      <c r="M236">
        <f>הגדרות!B3</f>
        <v/>
      </c>
      <c r="N236">
        <f>K236*(1-M236/100)*1.18</f>
        <v/>
      </c>
      <c r="O236">
        <f>הגדרות!C3</f>
        <v/>
      </c>
      <c r="P236">
        <f>הגדרות!D3</f>
        <v/>
      </c>
      <c r="Q236">
        <f>N236*(1+O236/100)+P236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רגיל</t>
        </is>
      </c>
      <c r="F237" t="inlineStr">
        <is>
          <t>יבש</t>
        </is>
      </c>
      <c r="G237" t="inlineStr"/>
      <c r="H237" t="inlineStr">
        <is>
          <t>חתול</t>
        </is>
      </c>
      <c r="I237" t="inlineStr"/>
      <c r="J237" t="inlineStr">
        <is>
          <t>2026-01</t>
        </is>
      </c>
      <c r="K237" t="n">
        <v>185</v>
      </c>
      <c r="L237" t="n">
        <v>218.3</v>
      </c>
      <c r="M237">
        <f>הגדרות!B3</f>
        <v/>
      </c>
      <c r="N237">
        <f>K237*(1-M237/100)*1.18</f>
        <v/>
      </c>
      <c r="O237">
        <f>הגדרות!C3</f>
        <v/>
      </c>
      <c r="P237">
        <f>הגדרות!D3</f>
        <v/>
      </c>
      <c r="Q237">
        <f>N237*(1+O237/100)+P237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רגיל</t>
        </is>
      </c>
      <c r="F238" t="inlineStr">
        <is>
          <t>יבש</t>
        </is>
      </c>
      <c r="G238" t="inlineStr"/>
      <c r="H238" t="inlineStr">
        <is>
          <t>חתול</t>
        </is>
      </c>
      <c r="I238" t="inlineStr"/>
      <c r="J238" t="inlineStr">
        <is>
          <t>2026-01</t>
        </is>
      </c>
      <c r="K238" t="n">
        <v>339</v>
      </c>
      <c r="L238" t="n">
        <v>400.02</v>
      </c>
      <c r="M238">
        <f>הגדרות!B3</f>
        <v/>
      </c>
      <c r="N238">
        <f>K238*(1-M238/100)*1.18</f>
        <v/>
      </c>
      <c r="O238">
        <f>הגדרות!C3</f>
        <v/>
      </c>
      <c r="P238">
        <f>הגדרות!D3</f>
        <v/>
      </c>
      <c r="Q238">
        <f>N238*(1+O238/100)+P238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רגיל</t>
        </is>
      </c>
      <c r="F239" t="inlineStr">
        <is>
          <t>יבש</t>
        </is>
      </c>
      <c r="G239" t="inlineStr"/>
      <c r="H239" t="inlineStr">
        <is>
          <t>חתול</t>
        </is>
      </c>
      <c r="I239" t="inlineStr"/>
      <c r="J239" t="inlineStr">
        <is>
          <t>2026-01</t>
        </is>
      </c>
      <c r="K239" t="n">
        <v>185</v>
      </c>
      <c r="L239" t="n">
        <v>218.3</v>
      </c>
      <c r="M239">
        <f>הגדרות!B3</f>
        <v/>
      </c>
      <c r="N239">
        <f>K239*(1-M239/100)*1.18</f>
        <v/>
      </c>
      <c r="O239">
        <f>הגדרות!C3</f>
        <v/>
      </c>
      <c r="P239">
        <f>הגדרות!D3</f>
        <v/>
      </c>
      <c r="Q239">
        <f>N239*(1+O239/100)+P239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רגיל</t>
        </is>
      </c>
      <c r="F240" t="inlineStr">
        <is>
          <t>יבש</t>
        </is>
      </c>
      <c r="G240" t="inlineStr"/>
      <c r="H240" t="inlineStr">
        <is>
          <t>חתול</t>
        </is>
      </c>
      <c r="I240" t="inlineStr"/>
      <c r="J240" t="inlineStr">
        <is>
          <t>2026-01</t>
        </is>
      </c>
      <c r="K240" t="n">
        <v>112</v>
      </c>
      <c r="L240" t="n">
        <v>132.16</v>
      </c>
      <c r="M240">
        <f>הגדרות!B3</f>
        <v/>
      </c>
      <c r="N240">
        <f>K240*(1-M240/100)*1.18</f>
        <v/>
      </c>
      <c r="O240">
        <f>הגדרות!C3</f>
        <v/>
      </c>
      <c r="P240">
        <f>הגדרות!D3</f>
        <v/>
      </c>
      <c r="Q240">
        <f>N240*(1+O240/100)+P240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רגיל</t>
        </is>
      </c>
      <c r="F241" t="inlineStr">
        <is>
          <t>יבש</t>
        </is>
      </c>
      <c r="G241" t="inlineStr"/>
      <c r="H241" t="inlineStr">
        <is>
          <t>חתול</t>
        </is>
      </c>
      <c r="I241" t="inlineStr"/>
      <c r="J241" t="inlineStr">
        <is>
          <t>2026-01</t>
        </is>
      </c>
      <c r="K241" t="n">
        <v>339</v>
      </c>
      <c r="L241" t="n">
        <v>400.02</v>
      </c>
      <c r="M241">
        <f>הגדרות!B3</f>
        <v/>
      </c>
      <c r="N241">
        <f>K241*(1-M241/100)*1.18</f>
        <v/>
      </c>
      <c r="O241">
        <f>הגדרות!C3</f>
        <v/>
      </c>
      <c r="P241">
        <f>הגדרות!D3</f>
        <v/>
      </c>
      <c r="Q241">
        <f>N241*(1+O241/100)+P241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רגיל</t>
        </is>
      </c>
      <c r="F242" t="inlineStr">
        <is>
          <t>יבש</t>
        </is>
      </c>
      <c r="G242" t="inlineStr">
        <is>
          <t>גורים</t>
        </is>
      </c>
      <c r="H242" t="inlineStr">
        <is>
          <t>חתול</t>
        </is>
      </c>
      <c r="I242" t="inlineStr"/>
      <c r="J242" t="inlineStr">
        <is>
          <t>2026-01</t>
        </is>
      </c>
      <c r="K242" t="n">
        <v>115</v>
      </c>
      <c r="L242" t="n">
        <v>135.7</v>
      </c>
      <c r="M242">
        <f>הגדרות!B3</f>
        <v/>
      </c>
      <c r="N242">
        <f>K242*(1-M242/100)*1.18</f>
        <v/>
      </c>
      <c r="O242">
        <f>הגדרות!C3</f>
        <v/>
      </c>
      <c r="P242">
        <f>הגדרות!D3</f>
        <v/>
      </c>
      <c r="Q242">
        <f>N242*(1+O242/100)+P242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רגיל</t>
        </is>
      </c>
      <c r="F243" t="inlineStr">
        <is>
          <t>יבש</t>
        </is>
      </c>
      <c r="G243" t="inlineStr">
        <is>
          <t>גורים</t>
        </is>
      </c>
      <c r="H243" t="inlineStr">
        <is>
          <t>חתול</t>
        </is>
      </c>
      <c r="I243" t="inlineStr"/>
      <c r="J243" t="inlineStr">
        <is>
          <t>2026-01</t>
        </is>
      </c>
      <c r="K243" t="n">
        <v>185</v>
      </c>
      <c r="L243" t="n">
        <v>218.3</v>
      </c>
      <c r="M243">
        <f>הגדרות!B3</f>
        <v/>
      </c>
      <c r="N243">
        <f>K243*(1-M243/100)*1.18</f>
        <v/>
      </c>
      <c r="O243">
        <f>הגדרות!C3</f>
        <v/>
      </c>
      <c r="P243">
        <f>הגדרות!D3</f>
        <v/>
      </c>
      <c r="Q243">
        <f>N243*(1+O243/100)+P243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רגיל</t>
        </is>
      </c>
      <c r="F244" t="inlineStr">
        <is>
          <t>יבש</t>
        </is>
      </c>
      <c r="G244" t="inlineStr"/>
      <c r="H244" t="inlineStr">
        <is>
          <t>חתול</t>
        </is>
      </c>
      <c r="I244" t="inlineStr"/>
      <c r="J244" t="inlineStr">
        <is>
          <t>2026-01</t>
        </is>
      </c>
      <c r="K244" t="n">
        <v>112</v>
      </c>
      <c r="L244" t="n">
        <v>132.16</v>
      </c>
      <c r="M244">
        <f>הגדרות!B3</f>
        <v/>
      </c>
      <c r="N244">
        <f>K244*(1-M244/100)*1.18</f>
        <v/>
      </c>
      <c r="O244">
        <f>הגדרות!C3</f>
        <v/>
      </c>
      <c r="P244">
        <f>הגדרות!D3</f>
        <v/>
      </c>
      <c r="Q244">
        <f>N244*(1+O244/100)+P244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רגיל</t>
        </is>
      </c>
      <c r="F245" t="inlineStr">
        <is>
          <t>יבש</t>
        </is>
      </c>
      <c r="G245" t="inlineStr"/>
      <c r="H245" t="inlineStr">
        <is>
          <t>חתול</t>
        </is>
      </c>
      <c r="I245" t="inlineStr"/>
      <c r="J245" t="inlineStr">
        <is>
          <t>2026-01</t>
        </is>
      </c>
      <c r="K245" t="n">
        <v>185</v>
      </c>
      <c r="L245" t="n">
        <v>218.3</v>
      </c>
      <c r="M245">
        <f>הגדרות!B3</f>
        <v/>
      </c>
      <c r="N245">
        <f>K245*(1-M245/100)*1.18</f>
        <v/>
      </c>
      <c r="O245">
        <f>הגדרות!C3</f>
        <v/>
      </c>
      <c r="P245">
        <f>הגדרות!D3</f>
        <v/>
      </c>
      <c r="Q245">
        <f>N245*(1+O245/100)+P245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רגיל</t>
        </is>
      </c>
      <c r="F246" t="inlineStr">
        <is>
          <t>יבש</t>
        </is>
      </c>
      <c r="G246" t="inlineStr"/>
      <c r="H246" t="inlineStr">
        <is>
          <t>חתול</t>
        </is>
      </c>
      <c r="I246" t="inlineStr"/>
      <c r="J246" t="inlineStr">
        <is>
          <t>2026-01</t>
        </is>
      </c>
      <c r="K246" t="n">
        <v>339</v>
      </c>
      <c r="L246" t="n">
        <v>400.02</v>
      </c>
      <c r="M246">
        <f>הגדרות!B3</f>
        <v/>
      </c>
      <c r="N246">
        <f>K246*(1-M246/100)*1.18</f>
        <v/>
      </c>
      <c r="O246">
        <f>הגדרות!C3</f>
        <v/>
      </c>
      <c r="P246">
        <f>הגדרות!D3</f>
        <v/>
      </c>
      <c r="Q246">
        <f>N246*(1+O246/100)+P246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רגיל</t>
        </is>
      </c>
      <c r="F247" t="inlineStr">
        <is>
          <t>יבש</t>
        </is>
      </c>
      <c r="G247" t="inlineStr">
        <is>
          <t>גורים</t>
        </is>
      </c>
      <c r="H247" t="inlineStr">
        <is>
          <t>חתול</t>
        </is>
      </c>
      <c r="I247" t="inlineStr"/>
      <c r="J247" t="inlineStr">
        <is>
          <t>2026-01</t>
        </is>
      </c>
      <c r="K247" t="n">
        <v>185</v>
      </c>
      <c r="L247" t="n">
        <v>218.3</v>
      </c>
      <c r="M247">
        <f>הגדרות!B3</f>
        <v/>
      </c>
      <c r="N247">
        <f>K247*(1-M247/100)*1.18</f>
        <v/>
      </c>
      <c r="O247">
        <f>הגדרות!C3</f>
        <v/>
      </c>
      <c r="P247">
        <f>הגדרות!D3</f>
        <v/>
      </c>
      <c r="Q247">
        <f>N247*(1+O247/100)+P247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רגיל</t>
        </is>
      </c>
      <c r="F248" t="inlineStr">
        <is>
          <t>יבש</t>
        </is>
      </c>
      <c r="G248" t="inlineStr">
        <is>
          <t>גורים</t>
        </is>
      </c>
      <c r="H248" t="inlineStr">
        <is>
          <t>חתול</t>
        </is>
      </c>
      <c r="I248" t="inlineStr"/>
      <c r="J248" t="inlineStr">
        <is>
          <t>2026-01</t>
        </is>
      </c>
      <c r="K248" t="n">
        <v>339</v>
      </c>
      <c r="L248" t="n">
        <v>400.02</v>
      </c>
      <c r="M248">
        <f>הגדרות!B3</f>
        <v/>
      </c>
      <c r="N248">
        <f>K248*(1-M248/100)*1.18</f>
        <v/>
      </c>
      <c r="O248">
        <f>הגדרות!C3</f>
        <v/>
      </c>
      <c r="P248">
        <f>הגדרות!D3</f>
        <v/>
      </c>
      <c r="Q248">
        <f>N248*(1+O248/100)+P248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רגיל</t>
        </is>
      </c>
      <c r="F249" t="inlineStr">
        <is>
          <t>יבש</t>
        </is>
      </c>
      <c r="G249" t="inlineStr"/>
      <c r="H249" t="inlineStr">
        <is>
          <t>חתול</t>
        </is>
      </c>
      <c r="I249" t="inlineStr"/>
      <c r="J249" t="inlineStr">
        <is>
          <t>2026-01</t>
        </is>
      </c>
      <c r="K249" t="n">
        <v>185</v>
      </c>
      <c r="L249" t="n">
        <v>218.3</v>
      </c>
      <c r="M249">
        <f>הגדרות!B3</f>
        <v/>
      </c>
      <c r="N249">
        <f>K249*(1-M249/100)*1.18</f>
        <v/>
      </c>
      <c r="O249">
        <f>הגדרות!C3</f>
        <v/>
      </c>
      <c r="P249">
        <f>הגדרות!D3</f>
        <v/>
      </c>
      <c r="Q249">
        <f>N249*(1+O249/100)+P249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רגיל</t>
        </is>
      </c>
      <c r="F250" t="inlineStr">
        <is>
          <t>יבש</t>
        </is>
      </c>
      <c r="G250" t="inlineStr"/>
      <c r="H250" t="inlineStr">
        <is>
          <t>חתול</t>
        </is>
      </c>
      <c r="I250" t="inlineStr"/>
      <c r="J250" t="inlineStr">
        <is>
          <t>2026-01</t>
        </is>
      </c>
      <c r="K250" t="n">
        <v>339</v>
      </c>
      <c r="L250" t="n">
        <v>400.02</v>
      </c>
      <c r="M250">
        <f>הגדרות!B3</f>
        <v/>
      </c>
      <c r="N250">
        <f>K250*(1-M250/100)*1.18</f>
        <v/>
      </c>
      <c r="O250">
        <f>הגדרות!C3</f>
        <v/>
      </c>
      <c r="P250">
        <f>הגדרות!D3</f>
        <v/>
      </c>
      <c r="Q250">
        <f>N250*(1+O250/100)+P250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רגיל</t>
        </is>
      </c>
      <c r="F251" t="inlineStr">
        <is>
          <t>רטוב</t>
        </is>
      </c>
      <c r="G251" t="inlineStr">
        <is>
          <t>גורים</t>
        </is>
      </c>
      <c r="H251" t="inlineStr">
        <is>
          <t>חתול</t>
        </is>
      </c>
      <c r="I251" t="inlineStr"/>
      <c r="J251" t="inlineStr">
        <is>
          <t>2026-01</t>
        </is>
      </c>
      <c r="K251" t="n">
        <v>140</v>
      </c>
      <c r="L251" t="n">
        <v>165.2</v>
      </c>
      <c r="M251">
        <f>הגדרות!B3</f>
        <v/>
      </c>
      <c r="N251">
        <f>K251*(1-M251/100)*1.18</f>
        <v/>
      </c>
      <c r="O251">
        <f>הגדרות!C3</f>
        <v/>
      </c>
      <c r="P251">
        <f>הגדרות!D3</f>
        <v/>
      </c>
      <c r="Q251">
        <f>N251*(1+O251/100)+P251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רגיל</t>
        </is>
      </c>
      <c r="F252" t="inlineStr">
        <is>
          <t>רטוב</t>
        </is>
      </c>
      <c r="G252" t="inlineStr">
        <is>
          <t>גורים</t>
        </is>
      </c>
      <c r="H252" t="inlineStr">
        <is>
          <t>חתול</t>
        </is>
      </c>
      <c r="I252" t="inlineStr"/>
      <c r="J252" t="inlineStr">
        <is>
          <t>2026-01</t>
        </is>
      </c>
      <c r="K252" t="n">
        <v>82</v>
      </c>
      <c r="L252" t="n">
        <v>96.76000000000001</v>
      </c>
      <c r="M252">
        <f>הגדרות!B3</f>
        <v/>
      </c>
      <c r="N252">
        <f>K252*(1-M252/100)*1.18</f>
        <v/>
      </c>
      <c r="O252">
        <f>הגדרות!C3</f>
        <v/>
      </c>
      <c r="P252">
        <f>הגדרות!D3</f>
        <v/>
      </c>
      <c r="Q252">
        <f>N252*(1+O252/100)+P252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רגיל</t>
        </is>
      </c>
      <c r="F253" t="inlineStr">
        <is>
          <t>רטוב</t>
        </is>
      </c>
      <c r="G253" t="inlineStr">
        <is>
          <t>גורים</t>
        </is>
      </c>
      <c r="H253" t="inlineStr">
        <is>
          <t>חתול</t>
        </is>
      </c>
      <c r="I253" t="inlineStr"/>
      <c r="J253" t="inlineStr">
        <is>
          <t>2026-01</t>
        </is>
      </c>
      <c r="K253" t="n">
        <v>82</v>
      </c>
      <c r="L253" t="n">
        <v>96.76000000000001</v>
      </c>
      <c r="M253">
        <f>הגדרות!B3</f>
        <v/>
      </c>
      <c r="N253">
        <f>K253*(1-M253/100)*1.18</f>
        <v/>
      </c>
      <c r="O253">
        <f>הגדרות!C3</f>
        <v/>
      </c>
      <c r="P253">
        <f>הגדרות!D3</f>
        <v/>
      </c>
      <c r="Q253">
        <f>N253*(1+O253/100)+P253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רגיל</t>
        </is>
      </c>
      <c r="F254" t="inlineStr">
        <is>
          <t>רטוב</t>
        </is>
      </c>
      <c r="G254" t="inlineStr">
        <is>
          <t>גורים</t>
        </is>
      </c>
      <c r="H254" t="inlineStr">
        <is>
          <t>חתול</t>
        </is>
      </c>
      <c r="I254" t="inlineStr"/>
      <c r="J254" t="inlineStr">
        <is>
          <t>2026-01</t>
        </is>
      </c>
      <c r="K254" t="n">
        <v>82</v>
      </c>
      <c r="L254" t="n">
        <v>96.76000000000001</v>
      </c>
      <c r="M254">
        <f>הגדרות!B3</f>
        <v/>
      </c>
      <c r="N254">
        <f>K254*(1-M254/100)*1.18</f>
        <v/>
      </c>
      <c r="O254">
        <f>הגדרות!C3</f>
        <v/>
      </c>
      <c r="P254">
        <f>הגדרות!D3</f>
        <v/>
      </c>
      <c r="Q254">
        <f>N254*(1+O254/100)+P254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רגיל</t>
        </is>
      </c>
      <c r="F255" t="inlineStr">
        <is>
          <t>רטוב</t>
        </is>
      </c>
      <c r="G255" t="inlineStr"/>
      <c r="H255" t="inlineStr">
        <is>
          <t>חתול</t>
        </is>
      </c>
      <c r="I255" t="inlineStr"/>
      <c r="J255" t="inlineStr">
        <is>
          <t>2026-01</t>
        </is>
      </c>
      <c r="K255" t="n">
        <v>82</v>
      </c>
      <c r="L255" t="n">
        <v>96.76000000000001</v>
      </c>
      <c r="M255">
        <f>הגדרות!B3</f>
        <v/>
      </c>
      <c r="N255">
        <f>K255*(1-M255/100)*1.18</f>
        <v/>
      </c>
      <c r="O255">
        <f>הגדרות!C3</f>
        <v/>
      </c>
      <c r="P255">
        <f>הגדרות!D3</f>
        <v/>
      </c>
      <c r="Q255">
        <f>N255*(1+O255/100)+P255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רגיל</t>
        </is>
      </c>
      <c r="F256" t="inlineStr">
        <is>
          <t>רטוב</t>
        </is>
      </c>
      <c r="G256" t="inlineStr"/>
      <c r="H256" t="inlineStr">
        <is>
          <t>חתול</t>
        </is>
      </c>
      <c r="I256" t="inlineStr"/>
      <c r="J256" t="inlineStr">
        <is>
          <t>2026-01</t>
        </is>
      </c>
      <c r="K256" t="n">
        <v>82</v>
      </c>
      <c r="L256" t="n">
        <v>96.76000000000001</v>
      </c>
      <c r="M256">
        <f>הגדרות!B3</f>
        <v/>
      </c>
      <c r="N256">
        <f>K256*(1-M256/100)*1.18</f>
        <v/>
      </c>
      <c r="O256">
        <f>הגדרות!C3</f>
        <v/>
      </c>
      <c r="P256">
        <f>הגדרות!D3</f>
        <v/>
      </c>
      <c r="Q256">
        <f>N256*(1+O256/100)+P256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רגיל</t>
        </is>
      </c>
      <c r="F257" t="inlineStr">
        <is>
          <t>רטוב</t>
        </is>
      </c>
      <c r="G257" t="inlineStr"/>
      <c r="H257" t="inlineStr">
        <is>
          <t>חתול</t>
        </is>
      </c>
      <c r="I257" t="inlineStr"/>
      <c r="J257" t="inlineStr">
        <is>
          <t>2026-01</t>
        </is>
      </c>
      <c r="K257" t="n">
        <v>82</v>
      </c>
      <c r="L257" t="n">
        <v>96.76000000000001</v>
      </c>
      <c r="M257">
        <f>הגדרות!B3</f>
        <v/>
      </c>
      <c r="N257">
        <f>K257*(1-M257/100)*1.18</f>
        <v/>
      </c>
      <c r="O257">
        <f>הגדרות!C3</f>
        <v/>
      </c>
      <c r="P257">
        <f>הגדרות!D3</f>
        <v/>
      </c>
      <c r="Q257">
        <f>N257*(1+O257/100)+P257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רגיל</t>
        </is>
      </c>
      <c r="F258" t="inlineStr">
        <is>
          <t>רטוב</t>
        </is>
      </c>
      <c r="G258" t="inlineStr"/>
      <c r="H258" t="inlineStr">
        <is>
          <t>חתול</t>
        </is>
      </c>
      <c r="I258" t="inlineStr"/>
      <c r="J258" t="inlineStr">
        <is>
          <t>2026-01</t>
        </is>
      </c>
      <c r="K258" t="n">
        <v>82</v>
      </c>
      <c r="L258" t="n">
        <v>96.76000000000001</v>
      </c>
      <c r="M258">
        <f>הגדרות!B3</f>
        <v/>
      </c>
      <c r="N258">
        <f>K258*(1-M258/100)*1.18</f>
        <v/>
      </c>
      <c r="O258">
        <f>הגדרות!C3</f>
        <v/>
      </c>
      <c r="P258">
        <f>הגדרות!D3</f>
        <v/>
      </c>
      <c r="Q258">
        <f>N258*(1+O258/100)+P258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רגיל</t>
        </is>
      </c>
      <c r="F259" t="inlineStr">
        <is>
          <t>רטוב</t>
        </is>
      </c>
      <c r="G259" t="inlineStr"/>
      <c r="H259" t="inlineStr">
        <is>
          <t>חתול</t>
        </is>
      </c>
      <c r="I259" t="inlineStr"/>
      <c r="J259" t="inlineStr">
        <is>
          <t>2026-01</t>
        </is>
      </c>
      <c r="K259" t="n">
        <v>82</v>
      </c>
      <c r="L259" t="n">
        <v>96.76000000000001</v>
      </c>
      <c r="M259">
        <f>הגדרות!B3</f>
        <v/>
      </c>
      <c r="N259">
        <f>K259*(1-M259/100)*1.18</f>
        <v/>
      </c>
      <c r="O259">
        <f>הגדרות!C3</f>
        <v/>
      </c>
      <c r="P259">
        <f>הגדרות!D3</f>
        <v/>
      </c>
      <c r="Q259">
        <f>N259*(1+O259/100)+P259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רגיל</t>
        </is>
      </c>
      <c r="F260" t="inlineStr">
        <is>
          <t>רטוב</t>
        </is>
      </c>
      <c r="G260" t="inlineStr"/>
      <c r="H260" t="inlineStr">
        <is>
          <t>חתול</t>
        </is>
      </c>
      <c r="I260" t="inlineStr"/>
      <c r="J260" t="inlineStr">
        <is>
          <t>2026-01</t>
        </is>
      </c>
      <c r="K260" t="n">
        <v>82</v>
      </c>
      <c r="L260" t="n">
        <v>96.76000000000001</v>
      </c>
      <c r="M260">
        <f>הגדרות!B3</f>
        <v/>
      </c>
      <c r="N260">
        <f>K260*(1-M260/100)*1.18</f>
        <v/>
      </c>
      <c r="O260">
        <f>הגדרות!C3</f>
        <v/>
      </c>
      <c r="P260">
        <f>הגדרות!D3</f>
        <v/>
      </c>
      <c r="Q260">
        <f>N260*(1+O260/100)+P260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רגיל</t>
        </is>
      </c>
      <c r="F261" t="inlineStr">
        <is>
          <t>רטוב</t>
        </is>
      </c>
      <c r="G261" t="inlineStr"/>
      <c r="H261" t="inlineStr">
        <is>
          <t>חתול</t>
        </is>
      </c>
      <c r="I261" t="inlineStr"/>
      <c r="J261" t="inlineStr">
        <is>
          <t>2026-01</t>
        </is>
      </c>
      <c r="K261" t="n">
        <v>82</v>
      </c>
      <c r="L261" t="n">
        <v>96.76000000000001</v>
      </c>
      <c r="M261">
        <f>הגדרות!B3</f>
        <v/>
      </c>
      <c r="N261">
        <f>K261*(1-M261/100)*1.18</f>
        <v/>
      </c>
      <c r="O261">
        <f>הגדרות!C3</f>
        <v/>
      </c>
      <c r="P261">
        <f>הגדרות!D3</f>
        <v/>
      </c>
      <c r="Q261">
        <f>N261*(1+O261/100)+P261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רגיל</t>
        </is>
      </c>
      <c r="F262" t="inlineStr">
        <is>
          <t>רטוב</t>
        </is>
      </c>
      <c r="G262" t="inlineStr">
        <is>
          <t>מבוגר</t>
        </is>
      </c>
      <c r="H262" t="inlineStr">
        <is>
          <t>חתול</t>
        </is>
      </c>
      <c r="I262" t="inlineStr"/>
      <c r="J262" t="inlineStr">
        <is>
          <t>2026-01</t>
        </is>
      </c>
      <c r="K262" t="n">
        <v>82</v>
      </c>
      <c r="L262" t="n">
        <v>96.76000000000001</v>
      </c>
      <c r="M262">
        <f>הגדרות!B3</f>
        <v/>
      </c>
      <c r="N262">
        <f>K262*(1-M262/100)*1.18</f>
        <v/>
      </c>
      <c r="O262">
        <f>הגדרות!C3</f>
        <v/>
      </c>
      <c r="P262">
        <f>הגדרות!D3</f>
        <v/>
      </c>
      <c r="Q262">
        <f>N262*(1+O262/100)+P262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רגיל</t>
        </is>
      </c>
      <c r="F263" t="inlineStr">
        <is>
          <t>רטוב</t>
        </is>
      </c>
      <c r="G263" t="inlineStr">
        <is>
          <t>מבוגר</t>
        </is>
      </c>
      <c r="H263" t="inlineStr">
        <is>
          <t>חתול</t>
        </is>
      </c>
      <c r="I263" t="inlineStr"/>
      <c r="J263" t="inlineStr">
        <is>
          <t>2026-01</t>
        </is>
      </c>
      <c r="K263" t="n">
        <v>82</v>
      </c>
      <c r="L263" t="n">
        <v>96.76000000000001</v>
      </c>
      <c r="M263">
        <f>הגדרות!B3</f>
        <v/>
      </c>
      <c r="N263">
        <f>K263*(1-M263/100)*1.18</f>
        <v/>
      </c>
      <c r="O263">
        <f>הגדרות!C3</f>
        <v/>
      </c>
      <c r="P263">
        <f>הגדרות!D3</f>
        <v/>
      </c>
      <c r="Q263">
        <f>N263*(1+O263/100)+P263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רגיל</t>
        </is>
      </c>
      <c r="F264" t="inlineStr">
        <is>
          <t>רטוב</t>
        </is>
      </c>
      <c r="G264" t="inlineStr">
        <is>
          <t>מבוגר</t>
        </is>
      </c>
      <c r="H264" t="inlineStr">
        <is>
          <t>חתול</t>
        </is>
      </c>
      <c r="I264" t="inlineStr"/>
      <c r="J264" t="inlineStr">
        <is>
          <t>2026-01</t>
        </is>
      </c>
      <c r="K264" t="n">
        <v>82</v>
      </c>
      <c r="L264" t="n">
        <v>96.76000000000001</v>
      </c>
      <c r="M264">
        <f>הגדרות!B3</f>
        <v/>
      </c>
      <c r="N264">
        <f>K264*(1-M264/100)*1.18</f>
        <v/>
      </c>
      <c r="O264">
        <f>הגדרות!C3</f>
        <v/>
      </c>
      <c r="P264">
        <f>הגדרות!D3</f>
        <v/>
      </c>
      <c r="Q264">
        <f>N264*(1+O264/100)+P264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רגיל</t>
        </is>
      </c>
      <c r="F265" t="inlineStr">
        <is>
          <t>רטוב</t>
        </is>
      </c>
      <c r="G265" t="inlineStr">
        <is>
          <t>מבוגר</t>
        </is>
      </c>
      <c r="H265" t="inlineStr">
        <is>
          <t>חתול</t>
        </is>
      </c>
      <c r="I265" t="inlineStr"/>
      <c r="J265" t="inlineStr">
        <is>
          <t>2026-01</t>
        </is>
      </c>
      <c r="K265" t="n">
        <v>82</v>
      </c>
      <c r="L265" t="n">
        <v>96.76000000000001</v>
      </c>
      <c r="M265">
        <f>הגדרות!B3</f>
        <v/>
      </c>
      <c r="N265">
        <f>K265*(1-M265/100)*1.18</f>
        <v/>
      </c>
      <c r="O265">
        <f>הגדרות!C3</f>
        <v/>
      </c>
      <c r="P265">
        <f>הגדרות!D3</f>
        <v/>
      </c>
      <c r="Q265">
        <f>N265*(1+O265/100)+P265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רגיל</t>
        </is>
      </c>
      <c r="F266" t="inlineStr">
        <is>
          <t>רטוב</t>
        </is>
      </c>
      <c r="G266" t="inlineStr">
        <is>
          <t>מבוגר</t>
        </is>
      </c>
      <c r="H266" t="inlineStr">
        <is>
          <t>חתול</t>
        </is>
      </c>
      <c r="I266" t="inlineStr"/>
      <c r="J266" t="inlineStr">
        <is>
          <t>2026-01</t>
        </is>
      </c>
      <c r="K266" t="n">
        <v>82</v>
      </c>
      <c r="L266" t="n">
        <v>96.76000000000001</v>
      </c>
      <c r="M266">
        <f>הגדרות!B3</f>
        <v/>
      </c>
      <c r="N266">
        <f>K266*(1-M266/100)*1.18</f>
        <v/>
      </c>
      <c r="O266">
        <f>הגדרות!C3</f>
        <v/>
      </c>
      <c r="P266">
        <f>הגדרות!D3</f>
        <v/>
      </c>
      <c r="Q266">
        <f>N266*(1+O266/100)+P266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רגיל</t>
        </is>
      </c>
      <c r="F267" t="inlineStr">
        <is>
          <t>רטוב</t>
        </is>
      </c>
      <c r="G267" t="inlineStr"/>
      <c r="H267" t="inlineStr">
        <is>
          <t>חתול</t>
        </is>
      </c>
      <c r="I267" t="inlineStr"/>
      <c r="J267" t="inlineStr">
        <is>
          <t>2026-01</t>
        </is>
      </c>
      <c r="K267" t="n">
        <v>82</v>
      </c>
      <c r="L267" t="n">
        <v>96.76000000000001</v>
      </c>
      <c r="M267">
        <f>הגדרות!B3</f>
        <v/>
      </c>
      <c r="N267">
        <f>K267*(1-M267/100)*1.18</f>
        <v/>
      </c>
      <c r="O267">
        <f>הגדרות!C3</f>
        <v/>
      </c>
      <c r="P267">
        <f>הגדרות!D3</f>
        <v/>
      </c>
      <c r="Q267">
        <f>N267*(1+O267/100)+P267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רגיל</t>
        </is>
      </c>
      <c r="F268" t="inlineStr">
        <is>
          <t>רטוב</t>
        </is>
      </c>
      <c r="G268" t="inlineStr"/>
      <c r="H268" t="inlineStr">
        <is>
          <t>חתול</t>
        </is>
      </c>
      <c r="I268" t="inlineStr"/>
      <c r="J268" t="inlineStr">
        <is>
          <t>2026-01</t>
        </is>
      </c>
      <c r="K268" t="n">
        <v>82</v>
      </c>
      <c r="L268" t="n">
        <v>96.76000000000001</v>
      </c>
      <c r="M268">
        <f>הגדרות!B3</f>
        <v/>
      </c>
      <c r="N268">
        <f>K268*(1-M268/100)*1.18</f>
        <v/>
      </c>
      <c r="O268">
        <f>הגדרות!C3</f>
        <v/>
      </c>
      <c r="P268">
        <f>הגדרות!D3</f>
        <v/>
      </c>
      <c r="Q268">
        <f>N268*(1+O268/100)+P268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רגיל</t>
        </is>
      </c>
      <c r="F269" t="inlineStr">
        <is>
          <t>רטוב</t>
        </is>
      </c>
      <c r="G269" t="inlineStr"/>
      <c r="H269" t="inlineStr">
        <is>
          <t>חתול</t>
        </is>
      </c>
      <c r="I269" t="inlineStr"/>
      <c r="J269" t="inlineStr">
        <is>
          <t>2026-01</t>
        </is>
      </c>
      <c r="K269" t="n">
        <v>82</v>
      </c>
      <c r="L269" t="n">
        <v>96.76000000000001</v>
      </c>
      <c r="M269">
        <f>הגדרות!B3</f>
        <v/>
      </c>
      <c r="N269">
        <f>K269*(1-M269/100)*1.18</f>
        <v/>
      </c>
      <c r="O269">
        <f>הגדרות!C3</f>
        <v/>
      </c>
      <c r="P269">
        <f>הגדרות!D3</f>
        <v/>
      </c>
      <c r="Q269">
        <f>N269*(1+O269/100)+P269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רגיל</t>
        </is>
      </c>
      <c r="F270" t="inlineStr">
        <is>
          <t>רטוב</t>
        </is>
      </c>
      <c r="G270" t="inlineStr"/>
      <c r="H270" t="inlineStr">
        <is>
          <t>חתול</t>
        </is>
      </c>
      <c r="I270" t="inlineStr"/>
      <c r="J270" t="inlineStr">
        <is>
          <t>2026-01</t>
        </is>
      </c>
      <c r="K270" t="n">
        <v>82</v>
      </c>
      <c r="L270" t="n">
        <v>96.76000000000001</v>
      </c>
      <c r="M270">
        <f>הגדרות!B3</f>
        <v/>
      </c>
      <c r="N270">
        <f>K270*(1-M270/100)*1.18</f>
        <v/>
      </c>
      <c r="O270">
        <f>הגדרות!C3</f>
        <v/>
      </c>
      <c r="P270">
        <f>הגדרות!D3</f>
        <v/>
      </c>
      <c r="Q270">
        <f>N270*(1+O270/100)+P270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רגיל</t>
        </is>
      </c>
      <c r="F271" t="inlineStr">
        <is>
          <t>רטוב</t>
        </is>
      </c>
      <c r="G271" t="inlineStr"/>
      <c r="H271" t="inlineStr">
        <is>
          <t>חתול</t>
        </is>
      </c>
      <c r="I271" t="inlineStr"/>
      <c r="J271" t="inlineStr">
        <is>
          <t>2026-01</t>
        </is>
      </c>
      <c r="K271" t="n">
        <v>82</v>
      </c>
      <c r="L271" t="n">
        <v>96.76000000000001</v>
      </c>
      <c r="M271">
        <f>הגדרות!B3</f>
        <v/>
      </c>
      <c r="N271">
        <f>K271*(1-M271/100)*1.18</f>
        <v/>
      </c>
      <c r="O271">
        <f>הגדרות!C3</f>
        <v/>
      </c>
      <c r="P271">
        <f>הגדרות!D3</f>
        <v/>
      </c>
      <c r="Q271">
        <f>N271*(1+O271/100)+P271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רגיל</t>
        </is>
      </c>
      <c r="F272" t="inlineStr">
        <is>
          <t>רטוב</t>
        </is>
      </c>
      <c r="G272" t="inlineStr"/>
      <c r="H272" t="inlineStr">
        <is>
          <t>חתול</t>
        </is>
      </c>
      <c r="I272" t="inlineStr"/>
      <c r="J272" t="inlineStr">
        <is>
          <t>2026-01</t>
        </is>
      </c>
      <c r="K272" t="n">
        <v>82</v>
      </c>
      <c r="L272" t="n">
        <v>96.76000000000001</v>
      </c>
      <c r="M272">
        <f>הגדרות!B3</f>
        <v/>
      </c>
      <c r="N272">
        <f>K272*(1-M272/100)*1.18</f>
        <v/>
      </c>
      <c r="O272">
        <f>הגדרות!C3</f>
        <v/>
      </c>
      <c r="P272">
        <f>הגדרות!D3</f>
        <v/>
      </c>
      <c r="Q272">
        <f>N272*(1+O272/100)+P272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רגיל</t>
        </is>
      </c>
      <c r="F273" t="inlineStr">
        <is>
          <t>רטוב</t>
        </is>
      </c>
      <c r="G273" t="inlineStr"/>
      <c r="H273" t="inlineStr">
        <is>
          <t>חתול</t>
        </is>
      </c>
      <c r="I273" t="inlineStr"/>
      <c r="J273" t="inlineStr">
        <is>
          <t>2026-01</t>
        </is>
      </c>
      <c r="K273" t="n">
        <v>82</v>
      </c>
      <c r="L273" t="n">
        <v>96.76000000000001</v>
      </c>
      <c r="M273">
        <f>הגדרות!B3</f>
        <v/>
      </c>
      <c r="N273">
        <f>K273*(1-M273/100)*1.18</f>
        <v/>
      </c>
      <c r="O273">
        <f>הגדרות!C3</f>
        <v/>
      </c>
      <c r="P273">
        <f>הגדרות!D3</f>
        <v/>
      </c>
      <c r="Q273">
        <f>N273*(1+O273/100)+P273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רגיל</t>
        </is>
      </c>
      <c r="F274" t="inlineStr">
        <is>
          <t>רטוב</t>
        </is>
      </c>
      <c r="G274" t="inlineStr"/>
      <c r="H274" t="inlineStr">
        <is>
          <t>חתול</t>
        </is>
      </c>
      <c r="I274" t="inlineStr"/>
      <c r="J274" t="inlineStr">
        <is>
          <t>2026-01</t>
        </is>
      </c>
      <c r="K274" t="n">
        <v>82</v>
      </c>
      <c r="L274" t="n">
        <v>96.76000000000001</v>
      </c>
      <c r="M274">
        <f>הגדרות!B3</f>
        <v/>
      </c>
      <c r="N274">
        <f>K274*(1-M274/100)*1.18</f>
        <v/>
      </c>
      <c r="O274">
        <f>הגדרות!C3</f>
        <v/>
      </c>
      <c r="P274">
        <f>הגדרות!D3</f>
        <v/>
      </c>
      <c r="Q274">
        <f>N274*(1+O274/100)+P274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רגיל</t>
        </is>
      </c>
      <c r="F275" t="inlineStr">
        <is>
          <t>רטוב</t>
        </is>
      </c>
      <c r="G275" t="inlineStr"/>
      <c r="H275" t="inlineStr">
        <is>
          <t>חתול</t>
        </is>
      </c>
      <c r="I275" t="inlineStr"/>
      <c r="J275" t="inlineStr">
        <is>
          <t>2026-01</t>
        </is>
      </c>
      <c r="K275" t="n">
        <v>82</v>
      </c>
      <c r="L275" t="n">
        <v>96.76000000000001</v>
      </c>
      <c r="M275">
        <f>הגדרות!B3</f>
        <v/>
      </c>
      <c r="N275">
        <f>K275*(1-M275/100)*1.18</f>
        <v/>
      </c>
      <c r="O275">
        <f>הגדרות!C3</f>
        <v/>
      </c>
      <c r="P275">
        <f>הגדרות!D3</f>
        <v/>
      </c>
      <c r="Q275">
        <f>N275*(1+O275/100)+P275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רגיל</t>
        </is>
      </c>
      <c r="F276" t="inlineStr">
        <is>
          <t>רטוב</t>
        </is>
      </c>
      <c r="G276" t="inlineStr"/>
      <c r="H276" t="inlineStr">
        <is>
          <t>חתול</t>
        </is>
      </c>
      <c r="I276" t="inlineStr"/>
      <c r="J276" t="inlineStr">
        <is>
          <t>2026-01</t>
        </is>
      </c>
      <c r="K276" t="n">
        <v>82</v>
      </c>
      <c r="L276" t="n">
        <v>96.76000000000001</v>
      </c>
      <c r="M276">
        <f>הגדרות!B3</f>
        <v/>
      </c>
      <c r="N276">
        <f>K276*(1-M276/100)*1.18</f>
        <v/>
      </c>
      <c r="O276">
        <f>הגדרות!C3</f>
        <v/>
      </c>
      <c r="P276">
        <f>הגדרות!D3</f>
        <v/>
      </c>
      <c r="Q276">
        <f>N276*(1+O276/100)+P276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רגיל</t>
        </is>
      </c>
      <c r="F277" t="inlineStr">
        <is>
          <t>רטוב</t>
        </is>
      </c>
      <c r="G277" t="inlineStr"/>
      <c r="H277" t="inlineStr">
        <is>
          <t>חתול</t>
        </is>
      </c>
      <c r="I277" t="inlineStr"/>
      <c r="J277" t="inlineStr">
        <is>
          <t>2026-01</t>
        </is>
      </c>
      <c r="K277" t="n">
        <v>82</v>
      </c>
      <c r="L277" t="n">
        <v>96.76000000000001</v>
      </c>
      <c r="M277">
        <f>הגדרות!B3</f>
        <v/>
      </c>
      <c r="N277">
        <f>K277*(1-M277/100)*1.18</f>
        <v/>
      </c>
      <c r="O277">
        <f>הגדרות!C3</f>
        <v/>
      </c>
      <c r="P277">
        <f>הגדרות!D3</f>
        <v/>
      </c>
      <c r="Q277">
        <f>N277*(1+O277/100)+P277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וטרינרי / רפואי</t>
        </is>
      </c>
      <c r="F278" t="inlineStr">
        <is>
          <t>יבש</t>
        </is>
      </c>
      <c r="G278" t="inlineStr"/>
      <c r="H278" t="inlineStr">
        <is>
          <t>כלב</t>
        </is>
      </c>
      <c r="I278" t="inlineStr"/>
      <c r="J278" t="inlineStr">
        <is>
          <t>2026-04</t>
        </is>
      </c>
      <c r="K278" t="n">
        <v>162</v>
      </c>
      <c r="L278" t="n">
        <v>191.16</v>
      </c>
      <c r="M278">
        <f>הגדרות!B4</f>
        <v/>
      </c>
      <c r="N278">
        <f>K278*(1-M278/100)*1.18</f>
        <v/>
      </c>
      <c r="O278">
        <f>הגדרות!C4</f>
        <v/>
      </c>
      <c r="P278">
        <f>הגדרות!D4</f>
        <v/>
      </c>
      <c r="Q278">
        <f>N278*(1+O278/100)+P278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וטרינרי / רפואי</t>
        </is>
      </c>
      <c r="F279" t="inlineStr">
        <is>
          <t>יבש</t>
        </is>
      </c>
      <c r="G279" t="inlineStr"/>
      <c r="H279" t="inlineStr">
        <is>
          <t>כלב</t>
        </is>
      </c>
      <c r="I279" t="inlineStr"/>
      <c r="J279" t="inlineStr">
        <is>
          <t>2026-04</t>
        </is>
      </c>
      <c r="K279" t="n">
        <v>379</v>
      </c>
      <c r="L279" t="n">
        <v>447.22</v>
      </c>
      <c r="M279">
        <f>הגדרות!B4</f>
        <v/>
      </c>
      <c r="N279">
        <f>K279*(1-M279/100)*1.18</f>
        <v/>
      </c>
      <c r="O279">
        <f>הגדרות!C4</f>
        <v/>
      </c>
      <c r="P279">
        <f>הגדרות!D4</f>
        <v/>
      </c>
      <c r="Q279">
        <f>N279*(1+O279/100)+P279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וטרינרי / רפואי</t>
        </is>
      </c>
      <c r="F280" t="inlineStr">
        <is>
          <t>יבש</t>
        </is>
      </c>
      <c r="G280" t="inlineStr"/>
      <c r="H280" t="inlineStr">
        <is>
          <t>כלב</t>
        </is>
      </c>
      <c r="I280" t="inlineStr"/>
      <c r="J280" t="inlineStr">
        <is>
          <t>2026-04</t>
        </is>
      </c>
      <c r="K280" t="n">
        <v>90</v>
      </c>
      <c r="L280" t="n">
        <v>106.2</v>
      </c>
      <c r="M280">
        <f>הגדרות!B4</f>
        <v/>
      </c>
      <c r="N280">
        <f>K280*(1-M280/100)*1.18</f>
        <v/>
      </c>
      <c r="O280">
        <f>הגדרות!C4</f>
        <v/>
      </c>
      <c r="P280">
        <f>הגדרות!D4</f>
        <v/>
      </c>
      <c r="Q280">
        <f>N280*(1+O280/100)+P280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וטרינרי / רפואי</t>
        </is>
      </c>
      <c r="F281" t="inlineStr">
        <is>
          <t>יבש</t>
        </is>
      </c>
      <c r="G281" t="inlineStr"/>
      <c r="H281" t="inlineStr">
        <is>
          <t>כלב</t>
        </is>
      </c>
      <c r="I281" t="inlineStr"/>
      <c r="J281" t="inlineStr">
        <is>
          <t>2026-04</t>
        </is>
      </c>
      <c r="K281" t="n">
        <v>485</v>
      </c>
      <c r="L281" t="n">
        <v>572.3</v>
      </c>
      <c r="M281">
        <f>הגדרות!B4</f>
        <v/>
      </c>
      <c r="N281">
        <f>K281*(1-M281/100)*1.18</f>
        <v/>
      </c>
      <c r="O281">
        <f>הגדרות!C4</f>
        <v/>
      </c>
      <c r="P281">
        <f>הגדרות!D4</f>
        <v/>
      </c>
      <c r="Q281">
        <f>N281*(1+O281/100)+P281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וטרינרי / רפואי</t>
        </is>
      </c>
      <c r="F282" t="inlineStr">
        <is>
          <t>יבש</t>
        </is>
      </c>
      <c r="G282" t="inlineStr"/>
      <c r="H282" t="inlineStr">
        <is>
          <t>כלב</t>
        </is>
      </c>
      <c r="I282" t="inlineStr"/>
      <c r="J282" t="inlineStr">
        <is>
          <t>2026-04</t>
        </is>
      </c>
      <c r="K282" t="n">
        <v>179</v>
      </c>
      <c r="L282" t="n">
        <v>211.22</v>
      </c>
      <c r="M282">
        <f>הגדרות!B4</f>
        <v/>
      </c>
      <c r="N282">
        <f>K282*(1-M282/100)*1.18</f>
        <v/>
      </c>
      <c r="O282">
        <f>הגדרות!C4</f>
        <v/>
      </c>
      <c r="P282">
        <f>הגדרות!D4</f>
        <v/>
      </c>
      <c r="Q282">
        <f>N282*(1+O282/100)+P282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וטרינרי / רפואי</t>
        </is>
      </c>
      <c r="F283" t="inlineStr">
        <is>
          <t>יבש</t>
        </is>
      </c>
      <c r="G283" t="inlineStr"/>
      <c r="H283" t="inlineStr">
        <is>
          <t>כלב</t>
        </is>
      </c>
      <c r="I283" t="inlineStr"/>
      <c r="J283" t="inlineStr">
        <is>
          <t>2026-04</t>
        </is>
      </c>
      <c r="K283" t="n">
        <v>423</v>
      </c>
      <c r="L283" t="n">
        <v>499.14</v>
      </c>
      <c r="M283">
        <f>הגדרות!B4</f>
        <v/>
      </c>
      <c r="N283">
        <f>K283*(1-M283/100)*1.18</f>
        <v/>
      </c>
      <c r="O283">
        <f>הגדרות!C4</f>
        <v/>
      </c>
      <c r="P283">
        <f>הגדרות!D4</f>
        <v/>
      </c>
      <c r="Q283">
        <f>N283*(1+O283/100)+P283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וטרינרי / רפואי</t>
        </is>
      </c>
      <c r="F284" t="inlineStr">
        <is>
          <t>יבש</t>
        </is>
      </c>
      <c r="G284" t="inlineStr">
        <is>
          <t>גורים</t>
        </is>
      </c>
      <c r="H284" t="inlineStr">
        <is>
          <t>כלב</t>
        </is>
      </c>
      <c r="I284" t="inlineStr"/>
      <c r="J284" t="inlineStr">
        <is>
          <t>2026-04</t>
        </is>
      </c>
      <c r="K284" t="n">
        <v>175</v>
      </c>
      <c r="L284" t="n">
        <v>206.5</v>
      </c>
      <c r="M284">
        <f>הגדרות!B4</f>
        <v/>
      </c>
      <c r="N284">
        <f>K284*(1-M284/100)*1.18</f>
        <v/>
      </c>
      <c r="O284">
        <f>הגדרות!C4</f>
        <v/>
      </c>
      <c r="P284">
        <f>הגדרות!D4</f>
        <v/>
      </c>
      <c r="Q284">
        <f>N284*(1+O284/100)+P284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וטרינרי / רפואי</t>
        </is>
      </c>
      <c r="F285" t="inlineStr">
        <is>
          <t>יבש</t>
        </is>
      </c>
      <c r="G285" t="inlineStr"/>
      <c r="H285" t="inlineStr">
        <is>
          <t>כלב</t>
        </is>
      </c>
      <c r="I285" t="inlineStr"/>
      <c r="J285" t="inlineStr">
        <is>
          <t>2026-04</t>
        </is>
      </c>
      <c r="K285" t="n">
        <v>203</v>
      </c>
      <c r="L285" t="n">
        <v>239.54</v>
      </c>
      <c r="M285">
        <f>הגדרות!B4</f>
        <v/>
      </c>
      <c r="N285">
        <f>K285*(1-M285/100)*1.18</f>
        <v/>
      </c>
      <c r="O285">
        <f>הגדרות!C4</f>
        <v/>
      </c>
      <c r="P285">
        <f>הגדרות!D4</f>
        <v/>
      </c>
      <c r="Q285">
        <f>N285*(1+O285/100)+P285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וטרינרי / רפואי</t>
        </is>
      </c>
      <c r="F286" t="inlineStr">
        <is>
          <t>יבש</t>
        </is>
      </c>
      <c r="G286" t="inlineStr"/>
      <c r="H286" t="inlineStr">
        <is>
          <t>כלב</t>
        </is>
      </c>
      <c r="I286" t="inlineStr"/>
      <c r="J286" t="inlineStr">
        <is>
          <t>2026-04</t>
        </is>
      </c>
      <c r="K286" t="n">
        <v>500</v>
      </c>
      <c r="L286" t="n">
        <v>590</v>
      </c>
      <c r="M286">
        <f>הגדרות!B4</f>
        <v/>
      </c>
      <c r="N286">
        <f>K286*(1-M286/100)*1.18</f>
        <v/>
      </c>
      <c r="O286">
        <f>הגדרות!C4</f>
        <v/>
      </c>
      <c r="P286">
        <f>הגדרות!D4</f>
        <v/>
      </c>
      <c r="Q286">
        <f>N286*(1+O286/100)+P286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וטרינרי / רפואי</t>
        </is>
      </c>
      <c r="F287" t="inlineStr">
        <is>
          <t>יבש</t>
        </is>
      </c>
      <c r="G287" t="inlineStr"/>
      <c r="H287" t="inlineStr">
        <is>
          <t>כלב</t>
        </is>
      </c>
      <c r="I287" t="inlineStr">
        <is>
          <t>עד 7 ק"ג</t>
        </is>
      </c>
      <c r="J287" t="inlineStr">
        <is>
          <t>2026-04</t>
        </is>
      </c>
      <c r="K287" t="n">
        <v>66</v>
      </c>
      <c r="L287" t="n">
        <v>77.88</v>
      </c>
      <c r="M287">
        <f>הגדרות!B4</f>
        <v/>
      </c>
      <c r="N287">
        <f>K287*(1-M287/100)*1.18</f>
        <v/>
      </c>
      <c r="O287">
        <f>הגדרות!C4</f>
        <v/>
      </c>
      <c r="P287">
        <f>הגדרות!D4</f>
        <v/>
      </c>
      <c r="Q287">
        <f>N287*(1+O287/100)+P287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וטרינרי / רפואי</t>
        </is>
      </c>
      <c r="F288" t="inlineStr">
        <is>
          <t>יבש</t>
        </is>
      </c>
      <c r="G288" t="inlineStr">
        <is>
          <t>גורים</t>
        </is>
      </c>
      <c r="H288" t="inlineStr">
        <is>
          <t>כלב</t>
        </is>
      </c>
      <c r="I288" t="inlineStr"/>
      <c r="J288" t="inlineStr">
        <is>
          <t>2026-04</t>
        </is>
      </c>
      <c r="K288" t="n">
        <v>86</v>
      </c>
      <c r="L288" t="n">
        <v>101.48</v>
      </c>
      <c r="M288">
        <f>הגדרות!B4</f>
        <v/>
      </c>
      <c r="N288">
        <f>K288*(1-M288/100)*1.18</f>
        <v/>
      </c>
      <c r="O288">
        <f>הגדרות!C4</f>
        <v/>
      </c>
      <c r="P288">
        <f>הגדרות!D4</f>
        <v/>
      </c>
      <c r="Q288">
        <f>N288*(1+O288/100)+P288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וטרינרי / רפואי</t>
        </is>
      </c>
      <c r="F289" t="inlineStr">
        <is>
          <t>יבש</t>
        </is>
      </c>
      <c r="G289" t="inlineStr">
        <is>
          <t>גורים</t>
        </is>
      </c>
      <c r="H289" t="inlineStr">
        <is>
          <t>כלב</t>
        </is>
      </c>
      <c r="I289" t="inlineStr"/>
      <c r="J289" t="inlineStr">
        <is>
          <t>2026-04</t>
        </is>
      </c>
      <c r="K289" t="n">
        <v>189</v>
      </c>
      <c r="L289" t="n">
        <v>223.02</v>
      </c>
      <c r="M289">
        <f>הגדרות!B4</f>
        <v/>
      </c>
      <c r="N289">
        <f>K289*(1-M289/100)*1.18</f>
        <v/>
      </c>
      <c r="O289">
        <f>הגדרות!C4</f>
        <v/>
      </c>
      <c r="P289">
        <f>הגדרות!D4</f>
        <v/>
      </c>
      <c r="Q289">
        <f>N289*(1+O289/100)+P289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וטרינרי / רפואי</t>
        </is>
      </c>
      <c r="F290" t="inlineStr">
        <is>
          <t>יבש</t>
        </is>
      </c>
      <c r="G290" t="inlineStr">
        <is>
          <t>בוגר</t>
        </is>
      </c>
      <c r="H290" t="inlineStr">
        <is>
          <t>כלב</t>
        </is>
      </c>
      <c r="I290" t="inlineStr"/>
      <c r="J290" t="inlineStr">
        <is>
          <t>2026-04</t>
        </is>
      </c>
      <c r="K290" t="n">
        <v>83</v>
      </c>
      <c r="L290" t="n">
        <v>97.94</v>
      </c>
      <c r="M290">
        <f>הגדרות!B4</f>
        <v/>
      </c>
      <c r="N290">
        <f>K290*(1-M290/100)*1.18</f>
        <v/>
      </c>
      <c r="O290">
        <f>הגדרות!C4</f>
        <v/>
      </c>
      <c r="P290">
        <f>הגדרות!D4</f>
        <v/>
      </c>
      <c r="Q290">
        <f>N290*(1+O290/100)+P290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וטרינרי / רפואי</t>
        </is>
      </c>
      <c r="F291" t="inlineStr">
        <is>
          <t>יבש</t>
        </is>
      </c>
      <c r="G291" t="inlineStr">
        <is>
          <t>בוגר</t>
        </is>
      </c>
      <c r="H291" t="inlineStr">
        <is>
          <t>כלב</t>
        </is>
      </c>
      <c r="I291" t="inlineStr"/>
      <c r="J291" t="inlineStr">
        <is>
          <t>2026-04</t>
        </is>
      </c>
      <c r="K291" t="n">
        <v>179</v>
      </c>
      <c r="L291" t="n">
        <v>211.22</v>
      </c>
      <c r="M291">
        <f>הגדרות!B4</f>
        <v/>
      </c>
      <c r="N291">
        <f>K291*(1-M291/100)*1.18</f>
        <v/>
      </c>
      <c r="O291">
        <f>הגדרות!C4</f>
        <v/>
      </c>
      <c r="P291">
        <f>הגדרות!D4</f>
        <v/>
      </c>
      <c r="Q291">
        <f>N291*(1+O291/100)+P291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וטרינרי / רפואי</t>
        </is>
      </c>
      <c r="F292" t="inlineStr">
        <is>
          <t>יבש</t>
        </is>
      </c>
      <c r="G292" t="inlineStr">
        <is>
          <t>בוגר</t>
        </is>
      </c>
      <c r="H292" t="inlineStr">
        <is>
          <t>כלב</t>
        </is>
      </c>
      <c r="I292" t="inlineStr"/>
      <c r="J292" t="inlineStr">
        <is>
          <t>2026-04</t>
        </is>
      </c>
      <c r="K292" t="n">
        <v>450</v>
      </c>
      <c r="L292" t="n">
        <v>531</v>
      </c>
      <c r="M292">
        <f>הגדרות!B4</f>
        <v/>
      </c>
      <c r="N292">
        <f>K292*(1-M292/100)*1.18</f>
        <v/>
      </c>
      <c r="O292">
        <f>הגדרות!C4</f>
        <v/>
      </c>
      <c r="P292">
        <f>הגדרות!D4</f>
        <v/>
      </c>
      <c r="Q292">
        <f>N292*(1+O292/100)+P292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וטרינרי / רפואי</t>
        </is>
      </c>
      <c r="F293" t="inlineStr">
        <is>
          <t>יבש</t>
        </is>
      </c>
      <c r="G293" t="inlineStr">
        <is>
          <t>בוגר</t>
        </is>
      </c>
      <c r="H293" t="inlineStr">
        <is>
          <t>כלב</t>
        </is>
      </c>
      <c r="I293" t="inlineStr"/>
      <c r="J293" t="inlineStr">
        <is>
          <t>2026-04</t>
        </is>
      </c>
      <c r="K293" t="n">
        <v>100</v>
      </c>
      <c r="L293" t="n">
        <v>118</v>
      </c>
      <c r="M293">
        <f>הגדרות!B4</f>
        <v/>
      </c>
      <c r="N293">
        <f>K293*(1-M293/100)*1.18</f>
        <v/>
      </c>
      <c r="O293">
        <f>הגדרות!C4</f>
        <v/>
      </c>
      <c r="P293">
        <f>הגדרות!D4</f>
        <v/>
      </c>
      <c r="Q293">
        <f>N293*(1+O293/100)+P293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וטרינרי / רפואי</t>
        </is>
      </c>
      <c r="F294" t="inlineStr">
        <is>
          <t>יבש</t>
        </is>
      </c>
      <c r="G294" t="inlineStr">
        <is>
          <t>בוגר</t>
        </is>
      </c>
      <c r="H294" t="inlineStr">
        <is>
          <t>כלב</t>
        </is>
      </c>
      <c r="I294" t="inlineStr"/>
      <c r="J294" t="inlineStr">
        <is>
          <t>2026-04</t>
        </is>
      </c>
      <c r="K294" t="n">
        <v>185</v>
      </c>
      <c r="L294" t="n">
        <v>218.3</v>
      </c>
      <c r="M294">
        <f>הגדרות!B4</f>
        <v/>
      </c>
      <c r="N294">
        <f>K294*(1-M294/100)*1.18</f>
        <v/>
      </c>
      <c r="O294">
        <f>הגדרות!C4</f>
        <v/>
      </c>
      <c r="P294">
        <f>הגדרות!D4</f>
        <v/>
      </c>
      <c r="Q294">
        <f>N294*(1+O294/100)+P294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וטרינרי / רפואי</t>
        </is>
      </c>
      <c r="F295" t="inlineStr">
        <is>
          <t>יבש</t>
        </is>
      </c>
      <c r="G295" t="inlineStr">
        <is>
          <t>בוגר</t>
        </is>
      </c>
      <c r="H295" t="inlineStr">
        <is>
          <t>כלב</t>
        </is>
      </c>
      <c r="I295" t="inlineStr"/>
      <c r="J295" t="inlineStr">
        <is>
          <t>2026-04</t>
        </is>
      </c>
      <c r="K295" t="n">
        <v>474</v>
      </c>
      <c r="L295" t="n">
        <v>559.3200000000001</v>
      </c>
      <c r="M295">
        <f>הגדרות!B4</f>
        <v/>
      </c>
      <c r="N295">
        <f>K295*(1-M295/100)*1.18</f>
        <v/>
      </c>
      <c r="O295">
        <f>הגדרות!C4</f>
        <v/>
      </c>
      <c r="P295">
        <f>הגדרות!D4</f>
        <v/>
      </c>
      <c r="Q295">
        <f>N295*(1+O295/100)+P295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וטרינרי / רפואי</t>
        </is>
      </c>
      <c r="F296" t="inlineStr">
        <is>
          <t>יבש</t>
        </is>
      </c>
      <c r="G296" t="inlineStr">
        <is>
          <t>בוגר</t>
        </is>
      </c>
      <c r="H296" t="inlineStr">
        <is>
          <t>כלב</t>
        </is>
      </c>
      <c r="I296" t="inlineStr"/>
      <c r="J296" t="inlineStr">
        <is>
          <t>2026-04</t>
        </is>
      </c>
      <c r="K296" t="n">
        <v>208</v>
      </c>
      <c r="L296" t="n">
        <v>245.44</v>
      </c>
      <c r="M296">
        <f>הגדרות!B4</f>
        <v/>
      </c>
      <c r="N296">
        <f>K296*(1-M296/100)*1.18</f>
        <v/>
      </c>
      <c r="O296">
        <f>הגדרות!C4</f>
        <v/>
      </c>
      <c r="P296">
        <f>הגדרות!D4</f>
        <v/>
      </c>
      <c r="Q296">
        <f>N296*(1+O296/100)+P296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וטרינרי / רפואי</t>
        </is>
      </c>
      <c r="F297" t="inlineStr">
        <is>
          <t>יבש</t>
        </is>
      </c>
      <c r="G297" t="inlineStr">
        <is>
          <t>בוגר</t>
        </is>
      </c>
      <c r="H297" t="inlineStr">
        <is>
          <t>כלב</t>
        </is>
      </c>
      <c r="I297" t="inlineStr"/>
      <c r="J297" t="inlineStr">
        <is>
          <t>2026-04</t>
        </is>
      </c>
      <c r="K297" t="n">
        <v>96</v>
      </c>
      <c r="L297" t="n">
        <v>113.28</v>
      </c>
      <c r="M297">
        <f>הגדרות!B4</f>
        <v/>
      </c>
      <c r="N297">
        <f>K297*(1-M297/100)*1.18</f>
        <v/>
      </c>
      <c r="O297">
        <f>הגדרות!C4</f>
        <v/>
      </c>
      <c r="P297">
        <f>הגדרות!D4</f>
        <v/>
      </c>
      <c r="Q297">
        <f>N297*(1+O297/100)+P297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וטרינרי / רפואי</t>
        </is>
      </c>
      <c r="F298" t="inlineStr">
        <is>
          <t>יבש</t>
        </is>
      </c>
      <c r="G298" t="inlineStr">
        <is>
          <t>בוגר</t>
        </is>
      </c>
      <c r="H298" t="inlineStr">
        <is>
          <t>כלב</t>
        </is>
      </c>
      <c r="I298" t="inlineStr"/>
      <c r="J298" t="inlineStr">
        <is>
          <t>2026-04</t>
        </is>
      </c>
      <c r="K298" t="n">
        <v>219</v>
      </c>
      <c r="L298" t="n">
        <v>258.42</v>
      </c>
      <c r="M298">
        <f>הגדרות!B4</f>
        <v/>
      </c>
      <c r="N298">
        <f>K298*(1-M298/100)*1.18</f>
        <v/>
      </c>
      <c r="O298">
        <f>הגדרות!C4</f>
        <v/>
      </c>
      <c r="P298">
        <f>הגדרות!D4</f>
        <v/>
      </c>
      <c r="Q298">
        <f>N298*(1+O298/100)+P298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וטרינרי / רפואי</t>
        </is>
      </c>
      <c r="F299" t="inlineStr">
        <is>
          <t>יבש</t>
        </is>
      </c>
      <c r="G299" t="inlineStr">
        <is>
          <t>בוגר</t>
        </is>
      </c>
      <c r="H299" t="inlineStr">
        <is>
          <t>כלב</t>
        </is>
      </c>
      <c r="I299" t="inlineStr"/>
      <c r="J299" t="inlineStr">
        <is>
          <t>2026-04</t>
        </is>
      </c>
      <c r="K299" t="n">
        <v>409</v>
      </c>
      <c r="L299" t="n">
        <v>482.62</v>
      </c>
      <c r="M299">
        <f>הגדרות!B4</f>
        <v/>
      </c>
      <c r="N299">
        <f>K299*(1-M299/100)*1.18</f>
        <v/>
      </c>
      <c r="O299">
        <f>הגדרות!C4</f>
        <v/>
      </c>
      <c r="P299">
        <f>הגדרות!D4</f>
        <v/>
      </c>
      <c r="Q299">
        <f>N299*(1+O299/100)+P299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וטרינרי / רפואי</t>
        </is>
      </c>
      <c r="F300" t="inlineStr">
        <is>
          <t>יבש</t>
        </is>
      </c>
      <c r="G300" t="inlineStr"/>
      <c r="H300" t="inlineStr">
        <is>
          <t>כלב</t>
        </is>
      </c>
      <c r="I300" t="inlineStr"/>
      <c r="J300" t="inlineStr">
        <is>
          <t>2026-04</t>
        </is>
      </c>
      <c r="K300" t="n">
        <v>179</v>
      </c>
      <c r="L300" t="n">
        <v>211.22</v>
      </c>
      <c r="M300">
        <f>הגדרות!B4</f>
        <v/>
      </c>
      <c r="N300">
        <f>K300*(1-M300/100)*1.18</f>
        <v/>
      </c>
      <c r="O300">
        <f>הגדרות!C4</f>
        <v/>
      </c>
      <c r="P300">
        <f>הגדרות!D4</f>
        <v/>
      </c>
      <c r="Q300">
        <f>N300*(1+O300/100)+P300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וטרינרי / רפואי</t>
        </is>
      </c>
      <c r="F301" t="inlineStr">
        <is>
          <t>יבש</t>
        </is>
      </c>
      <c r="G301" t="inlineStr"/>
      <c r="H301" t="inlineStr">
        <is>
          <t>כלב</t>
        </is>
      </c>
      <c r="I301" t="inlineStr"/>
      <c r="J301" t="inlineStr">
        <is>
          <t>2026-04</t>
        </is>
      </c>
      <c r="K301" t="n">
        <v>447</v>
      </c>
      <c r="L301" t="n">
        <v>527.46</v>
      </c>
      <c r="M301">
        <f>הגדרות!B4</f>
        <v/>
      </c>
      <c r="N301">
        <f>K301*(1-M301/100)*1.18</f>
        <v/>
      </c>
      <c r="O301">
        <f>הגדרות!C4</f>
        <v/>
      </c>
      <c r="P301">
        <f>הגדרות!D4</f>
        <v/>
      </c>
      <c r="Q301">
        <f>N301*(1+O301/100)+P301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וטרינרי / רפואי</t>
        </is>
      </c>
      <c r="F302" t="inlineStr">
        <is>
          <t>יבש</t>
        </is>
      </c>
      <c r="G302" t="inlineStr"/>
      <c r="H302" t="inlineStr">
        <is>
          <t>כלב</t>
        </is>
      </c>
      <c r="I302" t="inlineStr"/>
      <c r="J302" t="inlineStr">
        <is>
          <t>2026-04</t>
        </is>
      </c>
      <c r="K302" t="n">
        <v>214</v>
      </c>
      <c r="L302" t="n">
        <v>252.52</v>
      </c>
      <c r="M302">
        <f>הגדרות!B4</f>
        <v/>
      </c>
      <c r="N302">
        <f>K302*(1-M302/100)*1.18</f>
        <v/>
      </c>
      <c r="O302">
        <f>הגדרות!C4</f>
        <v/>
      </c>
      <c r="P302">
        <f>הגדרות!D4</f>
        <v/>
      </c>
      <c r="Q302">
        <f>N302*(1+O302/100)+P302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וטרינרי / רפואי</t>
        </is>
      </c>
      <c r="F303" t="inlineStr">
        <is>
          <t>יבש</t>
        </is>
      </c>
      <c r="G303" t="inlineStr"/>
      <c r="H303" t="inlineStr">
        <is>
          <t>כלב</t>
        </is>
      </c>
      <c r="I303" t="inlineStr"/>
      <c r="J303" t="inlineStr">
        <is>
          <t>2026-04</t>
        </is>
      </c>
      <c r="K303" t="n">
        <v>490</v>
      </c>
      <c r="L303" t="n">
        <v>578.2</v>
      </c>
      <c r="M303">
        <f>הגדרות!B4</f>
        <v/>
      </c>
      <c r="N303">
        <f>K303*(1-M303/100)*1.18</f>
        <v/>
      </c>
      <c r="O303">
        <f>הגדרות!C4</f>
        <v/>
      </c>
      <c r="P303">
        <f>הגדרות!D4</f>
        <v/>
      </c>
      <c r="Q303">
        <f>N303*(1+O303/100)+P303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וטרינרי / רפואי</t>
        </is>
      </c>
      <c r="F304" t="inlineStr">
        <is>
          <t>יבש</t>
        </is>
      </c>
      <c r="G304" t="inlineStr"/>
      <c r="H304" t="inlineStr">
        <is>
          <t>כלב</t>
        </is>
      </c>
      <c r="I304" t="inlineStr">
        <is>
          <t>עד 7 ק"ג</t>
        </is>
      </c>
      <c r="J304" t="inlineStr">
        <is>
          <t>2026-04</t>
        </is>
      </c>
      <c r="K304" t="n">
        <v>198</v>
      </c>
      <c r="L304" t="n">
        <v>233.64</v>
      </c>
      <c r="M304">
        <f>הגדרות!B4</f>
        <v/>
      </c>
      <c r="N304">
        <f>K304*(1-M304/100)*1.18</f>
        <v/>
      </c>
      <c r="O304">
        <f>הגדרות!C4</f>
        <v/>
      </c>
      <c r="P304">
        <f>הגדרות!D4</f>
        <v/>
      </c>
      <c r="Q304">
        <f>N304*(1+O304/100)+P304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וטרינרי / רפואי</t>
        </is>
      </c>
      <c r="F305" t="inlineStr">
        <is>
          <t>יבש</t>
        </is>
      </c>
      <c r="G305" t="inlineStr"/>
      <c r="H305" t="inlineStr">
        <is>
          <t>כלב</t>
        </is>
      </c>
      <c r="I305" t="inlineStr"/>
      <c r="J305" t="inlineStr">
        <is>
          <t>2026-04</t>
        </is>
      </c>
      <c r="K305" t="n">
        <v>179</v>
      </c>
      <c r="L305" t="n">
        <v>211.22</v>
      </c>
      <c r="M305">
        <f>הגדרות!B4</f>
        <v/>
      </c>
      <c r="N305">
        <f>K305*(1-M305/100)*1.18</f>
        <v/>
      </c>
      <c r="O305">
        <f>הגדרות!C4</f>
        <v/>
      </c>
      <c r="P305">
        <f>הגדרות!D4</f>
        <v/>
      </c>
      <c r="Q305">
        <f>N305*(1+O305/100)+P305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וטרינרי / רפואי</t>
        </is>
      </c>
      <c r="F306" t="inlineStr">
        <is>
          <t>יבש</t>
        </is>
      </c>
      <c r="G306" t="inlineStr"/>
      <c r="H306" t="inlineStr">
        <is>
          <t>כלב</t>
        </is>
      </c>
      <c r="I306" t="inlineStr"/>
      <c r="J306" t="inlineStr">
        <is>
          <t>2026-04</t>
        </is>
      </c>
      <c r="K306" t="n">
        <v>434</v>
      </c>
      <c r="L306" t="n">
        <v>512.12</v>
      </c>
      <c r="M306">
        <f>הגדרות!B4</f>
        <v/>
      </c>
      <c r="N306">
        <f>K306*(1-M306/100)*1.18</f>
        <v/>
      </c>
      <c r="O306">
        <f>הגדרות!C4</f>
        <v/>
      </c>
      <c r="P306">
        <f>הגדרות!D4</f>
        <v/>
      </c>
      <c r="Q306">
        <f>N306*(1+O306/100)+P306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וטרינרי / רפואי</t>
        </is>
      </c>
      <c r="F307" t="inlineStr">
        <is>
          <t>יבש</t>
        </is>
      </c>
      <c r="G307" t="inlineStr"/>
      <c r="H307" t="inlineStr">
        <is>
          <t>כלב</t>
        </is>
      </c>
      <c r="I307" t="inlineStr"/>
      <c r="J307" t="inlineStr">
        <is>
          <t>2026-04</t>
        </is>
      </c>
      <c r="K307" t="n">
        <v>200</v>
      </c>
      <c r="L307" t="n">
        <v>236</v>
      </c>
      <c r="M307">
        <f>הגדרות!B4</f>
        <v/>
      </c>
      <c r="N307">
        <f>K307*(1-M307/100)*1.18</f>
        <v/>
      </c>
      <c r="O307">
        <f>הגדרות!C4</f>
        <v/>
      </c>
      <c r="P307">
        <f>הגדרות!D4</f>
        <v/>
      </c>
      <c r="Q307">
        <f>N307*(1+O307/100)+P307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וטרינרי / רפואי</t>
        </is>
      </c>
      <c r="F308" t="inlineStr">
        <is>
          <t>יבש</t>
        </is>
      </c>
      <c r="G308" t="inlineStr"/>
      <c r="H308" t="inlineStr">
        <is>
          <t>כלב</t>
        </is>
      </c>
      <c r="I308" t="inlineStr"/>
      <c r="J308" t="inlineStr">
        <is>
          <t>2026-04</t>
        </is>
      </c>
      <c r="K308" t="n">
        <v>485</v>
      </c>
      <c r="L308" t="n">
        <v>572.3</v>
      </c>
      <c r="M308">
        <f>הגדרות!B4</f>
        <v/>
      </c>
      <c r="N308">
        <f>K308*(1-M308/100)*1.18</f>
        <v/>
      </c>
      <c r="O308">
        <f>הגדרות!C4</f>
        <v/>
      </c>
      <c r="P308">
        <f>הגדרות!D4</f>
        <v/>
      </c>
      <c r="Q308">
        <f>N308*(1+O308/100)+P308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וטרינרי / רפואי</t>
        </is>
      </c>
      <c r="F309" t="inlineStr">
        <is>
          <t>יבש</t>
        </is>
      </c>
      <c r="G309" t="inlineStr"/>
      <c r="H309" t="inlineStr">
        <is>
          <t>כלב</t>
        </is>
      </c>
      <c r="I309" t="inlineStr"/>
      <c r="J309" t="inlineStr">
        <is>
          <t>2026-04</t>
        </is>
      </c>
      <c r="K309" t="n">
        <v>179</v>
      </c>
      <c r="L309" t="n">
        <v>211.22</v>
      </c>
      <c r="M309">
        <f>הגדרות!B4</f>
        <v/>
      </c>
      <c r="N309">
        <f>K309*(1-M309/100)*1.18</f>
        <v/>
      </c>
      <c r="O309">
        <f>הגדרות!C4</f>
        <v/>
      </c>
      <c r="P309">
        <f>הגדרות!D4</f>
        <v/>
      </c>
      <c r="Q309">
        <f>N309*(1+O309/100)+P309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וטרינרי / רפואי</t>
        </is>
      </c>
      <c r="F310" t="inlineStr">
        <is>
          <t>יבש</t>
        </is>
      </c>
      <c r="G310" t="inlineStr"/>
      <c r="H310" t="inlineStr">
        <is>
          <t>כלב</t>
        </is>
      </c>
      <c r="I310" t="inlineStr"/>
      <c r="J310" t="inlineStr">
        <is>
          <t>2026-04</t>
        </is>
      </c>
      <c r="K310" t="n">
        <v>355</v>
      </c>
      <c r="L310" t="n">
        <v>418.9</v>
      </c>
      <c r="M310">
        <f>הגדרות!B4</f>
        <v/>
      </c>
      <c r="N310">
        <f>K310*(1-M310/100)*1.18</f>
        <v/>
      </c>
      <c r="O310">
        <f>הגדרות!C4</f>
        <v/>
      </c>
      <c r="P310">
        <f>הגדרות!D4</f>
        <v/>
      </c>
      <c r="Q310">
        <f>N310*(1+O310/100)+P310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וטרינרי / רפואי</t>
        </is>
      </c>
      <c r="F311" t="inlineStr">
        <is>
          <t>יבש</t>
        </is>
      </c>
      <c r="G311" t="inlineStr"/>
      <c r="H311" t="inlineStr">
        <is>
          <t>כלב</t>
        </is>
      </c>
      <c r="I311" t="inlineStr"/>
      <c r="J311" t="inlineStr">
        <is>
          <t>2026-04</t>
        </is>
      </c>
      <c r="K311" t="n">
        <v>179</v>
      </c>
      <c r="L311" t="n">
        <v>211.22</v>
      </c>
      <c r="M311">
        <f>הגדרות!B4</f>
        <v/>
      </c>
      <c r="N311">
        <f>K311*(1-M311/100)*1.18</f>
        <v/>
      </c>
      <c r="O311">
        <f>הגדרות!C4</f>
        <v/>
      </c>
      <c r="P311">
        <f>הגדרות!D4</f>
        <v/>
      </c>
      <c r="Q311">
        <f>N311*(1+O311/100)+P311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וטרינרי / רפואי</t>
        </is>
      </c>
      <c r="F312" t="inlineStr">
        <is>
          <t>יבש</t>
        </is>
      </c>
      <c r="G312" t="inlineStr"/>
      <c r="H312" t="inlineStr">
        <is>
          <t>כלב</t>
        </is>
      </c>
      <c r="I312" t="inlineStr"/>
      <c r="J312" t="inlineStr">
        <is>
          <t>2026-04</t>
        </is>
      </c>
      <c r="K312" t="n">
        <v>341</v>
      </c>
      <c r="L312" t="n">
        <v>402.38</v>
      </c>
      <c r="M312">
        <f>הגדרות!B4</f>
        <v/>
      </c>
      <c r="N312">
        <f>K312*(1-M312/100)*1.18</f>
        <v/>
      </c>
      <c r="O312">
        <f>הגדרות!C4</f>
        <v/>
      </c>
      <c r="P312">
        <f>הגדרות!D4</f>
        <v/>
      </c>
      <c r="Q312">
        <f>N312*(1+O312/100)+P312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וטרינרי / רפואי</t>
        </is>
      </c>
      <c r="F313" t="inlineStr">
        <is>
          <t>יבש</t>
        </is>
      </c>
      <c r="G313" t="inlineStr"/>
      <c r="H313" t="inlineStr">
        <is>
          <t>כלב</t>
        </is>
      </c>
      <c r="I313" t="inlineStr"/>
      <c r="J313" t="inlineStr">
        <is>
          <t>2026-04</t>
        </is>
      </c>
      <c r="K313" t="n">
        <v>185</v>
      </c>
      <c r="L313" t="n">
        <v>218.3</v>
      </c>
      <c r="M313">
        <f>הגדרות!B4</f>
        <v/>
      </c>
      <c r="N313">
        <f>K313*(1-M313/100)*1.18</f>
        <v/>
      </c>
      <c r="O313">
        <f>הגדרות!C4</f>
        <v/>
      </c>
      <c r="P313">
        <f>הגדרות!D4</f>
        <v/>
      </c>
      <c r="Q313">
        <f>N313*(1+O313/100)+P313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וטרינרי / רפואי</t>
        </is>
      </c>
      <c r="F314" t="inlineStr">
        <is>
          <t>יבש</t>
        </is>
      </c>
      <c r="G314" t="inlineStr"/>
      <c r="H314" t="inlineStr">
        <is>
          <t>כלב</t>
        </is>
      </c>
      <c r="I314" t="inlineStr"/>
      <c r="J314" t="inlineStr">
        <is>
          <t>2026-04</t>
        </is>
      </c>
      <c r="K314" t="n">
        <v>450</v>
      </c>
      <c r="L314" t="n">
        <v>531</v>
      </c>
      <c r="M314">
        <f>הגדרות!B4</f>
        <v/>
      </c>
      <c r="N314">
        <f>K314*(1-M314/100)*1.18</f>
        <v/>
      </c>
      <c r="O314">
        <f>הגדרות!C4</f>
        <v/>
      </c>
      <c r="P314">
        <f>הגדרות!D4</f>
        <v/>
      </c>
      <c r="Q314">
        <f>N314*(1+O314/100)+P314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וטרינרי / רפואי</t>
        </is>
      </c>
      <c r="F315" t="inlineStr">
        <is>
          <t>יבש</t>
        </is>
      </c>
      <c r="G315" t="inlineStr"/>
      <c r="H315" t="inlineStr">
        <is>
          <t>כלב</t>
        </is>
      </c>
      <c r="I315" t="inlineStr"/>
      <c r="J315" t="inlineStr">
        <is>
          <t>2026-04</t>
        </is>
      </c>
      <c r="K315" t="n">
        <v>455</v>
      </c>
      <c r="L315" t="n">
        <v>536.9</v>
      </c>
      <c r="M315">
        <f>הגדרות!B4</f>
        <v/>
      </c>
      <c r="N315">
        <f>K315*(1-M315/100)*1.18</f>
        <v/>
      </c>
      <c r="O315">
        <f>הגדרות!C4</f>
        <v/>
      </c>
      <c r="P315">
        <f>הגדרות!D4</f>
        <v/>
      </c>
      <c r="Q315">
        <f>N315*(1+O315/100)+P315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וטרינרי / רפואי</t>
        </is>
      </c>
      <c r="F316" t="inlineStr">
        <is>
          <t>יבש</t>
        </is>
      </c>
      <c r="G316" t="inlineStr"/>
      <c r="H316" t="inlineStr">
        <is>
          <t>כלב</t>
        </is>
      </c>
      <c r="I316" t="inlineStr">
        <is>
          <t>עד 7 ק"ג</t>
        </is>
      </c>
      <c r="J316" t="inlineStr">
        <is>
          <t>2026-04</t>
        </is>
      </c>
      <c r="K316" t="n">
        <v>269</v>
      </c>
      <c r="L316" t="n">
        <v>317.42</v>
      </c>
      <c r="M316">
        <f>הגדרות!B4</f>
        <v/>
      </c>
      <c r="N316">
        <f>K316*(1-M316/100)*1.18</f>
        <v/>
      </c>
      <c r="O316">
        <f>הגדרות!C4</f>
        <v/>
      </c>
      <c r="P316">
        <f>הגדרות!D4</f>
        <v/>
      </c>
      <c r="Q316">
        <f>N316*(1+O316/100)+P316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וטרינרי / רפואי</t>
        </is>
      </c>
      <c r="F317" t="inlineStr">
        <is>
          <t>יבש</t>
        </is>
      </c>
      <c r="G317" t="inlineStr"/>
      <c r="H317" t="inlineStr">
        <is>
          <t>כלב</t>
        </is>
      </c>
      <c r="I317" t="inlineStr"/>
      <c r="J317" t="inlineStr">
        <is>
          <t>2026-04</t>
        </is>
      </c>
      <c r="K317" t="n">
        <v>208</v>
      </c>
      <c r="L317" t="n">
        <v>245.44</v>
      </c>
      <c r="M317">
        <f>הגדרות!B4</f>
        <v/>
      </c>
      <c r="N317">
        <f>K317*(1-M317/100)*1.18</f>
        <v/>
      </c>
      <c r="O317">
        <f>הגדרות!C4</f>
        <v/>
      </c>
      <c r="P317">
        <f>הגדרות!D4</f>
        <v/>
      </c>
      <c r="Q317">
        <f>N317*(1+O317/100)+P317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וטרינרי / רפואי</t>
        </is>
      </c>
      <c r="F318" t="inlineStr">
        <is>
          <t>יבש</t>
        </is>
      </c>
      <c r="G318" t="inlineStr"/>
      <c r="H318" t="inlineStr">
        <is>
          <t>כלב</t>
        </is>
      </c>
      <c r="I318" t="inlineStr">
        <is>
          <t>עד 7 ק"ג</t>
        </is>
      </c>
      <c r="J318" t="inlineStr">
        <is>
          <t>2026-04</t>
        </is>
      </c>
      <c r="K318" t="n">
        <v>159</v>
      </c>
      <c r="L318" t="n">
        <v>187.62</v>
      </c>
      <c r="M318">
        <f>הגדרות!B4</f>
        <v/>
      </c>
      <c r="N318">
        <f>K318*(1-M318/100)*1.18</f>
        <v/>
      </c>
      <c r="O318">
        <f>הגדרות!C4</f>
        <v/>
      </c>
      <c r="P318">
        <f>הגדרות!D4</f>
        <v/>
      </c>
      <c r="Q318">
        <f>N318*(1+O318/100)+P318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וטרינרי / רפואי</t>
        </is>
      </c>
      <c r="F319" t="inlineStr">
        <is>
          <t>יבש</t>
        </is>
      </c>
      <c r="G319" t="inlineStr"/>
      <c r="H319" t="inlineStr">
        <is>
          <t>כלב</t>
        </is>
      </c>
      <c r="I319" t="inlineStr"/>
      <c r="J319" t="inlineStr">
        <is>
          <t>2026-04</t>
        </is>
      </c>
      <c r="K319" t="n">
        <v>179</v>
      </c>
      <c r="L319" t="n">
        <v>211.22</v>
      </c>
      <c r="M319">
        <f>הגדרות!B4</f>
        <v/>
      </c>
      <c r="N319">
        <f>K319*(1-M319/100)*1.18</f>
        <v/>
      </c>
      <c r="O319">
        <f>הגדרות!C4</f>
        <v/>
      </c>
      <c r="P319">
        <f>הגדרות!D4</f>
        <v/>
      </c>
      <c r="Q319">
        <f>N319*(1+O319/100)+P319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וטרינרי / רפואי</t>
        </is>
      </c>
      <c r="F320" t="inlineStr">
        <is>
          <t>יבש</t>
        </is>
      </c>
      <c r="G320" t="inlineStr"/>
      <c r="H320" t="inlineStr">
        <is>
          <t>כלב</t>
        </is>
      </c>
      <c r="I320" t="inlineStr"/>
      <c r="J320" t="inlineStr">
        <is>
          <t>2026-04</t>
        </is>
      </c>
      <c r="K320" t="n">
        <v>375</v>
      </c>
      <c r="L320" t="n">
        <v>442.5</v>
      </c>
      <c r="M320">
        <f>הגדרות!B4</f>
        <v/>
      </c>
      <c r="N320">
        <f>K320*(1-M320/100)*1.18</f>
        <v/>
      </c>
      <c r="O320">
        <f>הגדרות!C4</f>
        <v/>
      </c>
      <c r="P320">
        <f>הגדרות!D4</f>
        <v/>
      </c>
      <c r="Q320">
        <f>N320*(1+O320/100)+P320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וטרינרי / רפואי</t>
        </is>
      </c>
      <c r="F321" t="inlineStr">
        <is>
          <t>יבש</t>
        </is>
      </c>
      <c r="G321" t="inlineStr"/>
      <c r="H321" t="inlineStr">
        <is>
          <t>כלב</t>
        </is>
      </c>
      <c r="I321" t="inlineStr"/>
      <c r="J321" t="inlineStr">
        <is>
          <t>2026-04</t>
        </is>
      </c>
      <c r="K321" t="n">
        <v>181</v>
      </c>
      <c r="L321" t="n">
        <v>213.58</v>
      </c>
      <c r="M321">
        <f>הגדרות!B4</f>
        <v/>
      </c>
      <c r="N321">
        <f>K321*(1-M321/100)*1.18</f>
        <v/>
      </c>
      <c r="O321">
        <f>הגדרות!C4</f>
        <v/>
      </c>
      <c r="P321">
        <f>הגדרות!D4</f>
        <v/>
      </c>
      <c r="Q321">
        <f>N321*(1+O321/100)+P321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וטרינרי / רפואי</t>
        </is>
      </c>
      <c r="F322" t="inlineStr">
        <is>
          <t>יבש</t>
        </is>
      </c>
      <c r="G322" t="inlineStr"/>
      <c r="H322" t="inlineStr">
        <is>
          <t>כלב</t>
        </is>
      </c>
      <c r="I322" t="inlineStr"/>
      <c r="J322" t="inlineStr">
        <is>
          <t>2026-04</t>
        </is>
      </c>
      <c r="K322" t="n">
        <v>355</v>
      </c>
      <c r="L322" t="n">
        <v>418.9</v>
      </c>
      <c r="M322">
        <f>הגדרות!B4</f>
        <v/>
      </c>
      <c r="N322">
        <f>K322*(1-M322/100)*1.18</f>
        <v/>
      </c>
      <c r="O322">
        <f>הגדרות!C4</f>
        <v/>
      </c>
      <c r="P322">
        <f>הגדרות!D4</f>
        <v/>
      </c>
      <c r="Q322">
        <f>N322*(1+O322/100)+P322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וטרינרי / רפואי</t>
        </is>
      </c>
      <c r="F323" t="inlineStr">
        <is>
          <t>יבש</t>
        </is>
      </c>
      <c r="G323" t="inlineStr"/>
      <c r="H323" t="inlineStr">
        <is>
          <t>כלב</t>
        </is>
      </c>
      <c r="I323" t="inlineStr"/>
      <c r="J323" t="inlineStr">
        <is>
          <t>2026-04</t>
        </is>
      </c>
      <c r="K323" t="n">
        <v>183</v>
      </c>
      <c r="L323" t="n">
        <v>215.94</v>
      </c>
      <c r="M323">
        <f>הגדרות!B4</f>
        <v/>
      </c>
      <c r="N323">
        <f>K323*(1-M323/100)*1.18</f>
        <v/>
      </c>
      <c r="O323">
        <f>הגדרות!C4</f>
        <v/>
      </c>
      <c r="P323">
        <f>הגדרות!D4</f>
        <v/>
      </c>
      <c r="Q323">
        <f>N323*(1+O323/100)+P323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וטרינרי / רפואי</t>
        </is>
      </c>
      <c r="F324" t="inlineStr">
        <is>
          <t>יבש</t>
        </is>
      </c>
      <c r="G324" t="inlineStr"/>
      <c r="H324" t="inlineStr">
        <is>
          <t>כלב</t>
        </is>
      </c>
      <c r="I324" t="inlineStr"/>
      <c r="J324" t="inlineStr">
        <is>
          <t>2026-04</t>
        </is>
      </c>
      <c r="K324" t="n">
        <v>490</v>
      </c>
      <c r="L324" t="n">
        <v>578.2</v>
      </c>
      <c r="M324">
        <f>הגדרות!B4</f>
        <v/>
      </c>
      <c r="N324">
        <f>K324*(1-M324/100)*1.18</f>
        <v/>
      </c>
      <c r="O324">
        <f>הגדרות!C4</f>
        <v/>
      </c>
      <c r="P324">
        <f>הגדרות!D4</f>
        <v/>
      </c>
      <c r="Q324">
        <f>N324*(1+O324/100)+P324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וטרינרי / רפואי</t>
        </is>
      </c>
      <c r="F325" t="inlineStr">
        <is>
          <t>יבש</t>
        </is>
      </c>
      <c r="G325" t="inlineStr"/>
      <c r="H325" t="inlineStr">
        <is>
          <t>כלב</t>
        </is>
      </c>
      <c r="I325" t="inlineStr">
        <is>
          <t>עד 7 ק"ג</t>
        </is>
      </c>
      <c r="J325" t="inlineStr">
        <is>
          <t>2026-04</t>
        </is>
      </c>
      <c r="K325" t="n">
        <v>69</v>
      </c>
      <c r="L325" t="n">
        <v>81.42</v>
      </c>
      <c r="M325">
        <f>הגדרות!B4</f>
        <v/>
      </c>
      <c r="N325">
        <f>K325*(1-M325/100)*1.18</f>
        <v/>
      </c>
      <c r="O325">
        <f>הגדרות!C4</f>
        <v/>
      </c>
      <c r="P325">
        <f>הגדרות!D4</f>
        <v/>
      </c>
      <c r="Q325">
        <f>N325*(1+O325/100)+P325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וטרינרי / רפואי</t>
        </is>
      </c>
      <c r="F326" t="inlineStr">
        <is>
          <t>יבש</t>
        </is>
      </c>
      <c r="G326" t="inlineStr"/>
      <c r="H326" t="inlineStr">
        <is>
          <t>כלב</t>
        </is>
      </c>
      <c r="I326" t="inlineStr">
        <is>
          <t>עד 7 ק"ג</t>
        </is>
      </c>
      <c r="J326" t="inlineStr">
        <is>
          <t>2026-04</t>
        </is>
      </c>
      <c r="K326" t="n">
        <v>317</v>
      </c>
      <c r="L326" t="n">
        <v>374.06</v>
      </c>
      <c r="M326">
        <f>הגדרות!B4</f>
        <v/>
      </c>
      <c r="N326">
        <f>K326*(1-M326/100)*1.18</f>
        <v/>
      </c>
      <c r="O326">
        <f>הגדרות!C4</f>
        <v/>
      </c>
      <c r="P326">
        <f>הגדרות!D4</f>
        <v/>
      </c>
      <c r="Q326">
        <f>N326*(1+O326/100)+P326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וטרינרי / רפואי</t>
        </is>
      </c>
      <c r="F327" t="inlineStr">
        <is>
          <t>יבש</t>
        </is>
      </c>
      <c r="G327" t="inlineStr"/>
      <c r="H327" t="inlineStr">
        <is>
          <t>כלב</t>
        </is>
      </c>
      <c r="I327" t="inlineStr"/>
      <c r="J327" t="inlineStr">
        <is>
          <t>2026-04</t>
        </is>
      </c>
      <c r="K327" t="n">
        <v>187</v>
      </c>
      <c r="L327" t="n">
        <v>220.66</v>
      </c>
      <c r="M327">
        <f>הגדרות!B4</f>
        <v/>
      </c>
      <c r="N327">
        <f>K327*(1-M327/100)*1.18</f>
        <v/>
      </c>
      <c r="O327">
        <f>הגדרות!C4</f>
        <v/>
      </c>
      <c r="P327">
        <f>הגדרות!D4</f>
        <v/>
      </c>
      <c r="Q327">
        <f>N327*(1+O327/100)+P327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וטרינרי / רפואי</t>
        </is>
      </c>
      <c r="F328" t="inlineStr">
        <is>
          <t>רטוב</t>
        </is>
      </c>
      <c r="G328" t="inlineStr"/>
      <c r="H328" t="inlineStr">
        <is>
          <t>חתול</t>
        </is>
      </c>
      <c r="I328" t="inlineStr"/>
      <c r="J328" t="inlineStr">
        <is>
          <t>2026-04</t>
        </is>
      </c>
      <c r="K328" t="n">
        <v>14.9</v>
      </c>
      <c r="L328" t="n">
        <v>17.58</v>
      </c>
      <c r="M328">
        <f>הגדרות!B4</f>
        <v/>
      </c>
      <c r="N328">
        <f>K328*(1-M328/100)*1.18</f>
        <v/>
      </c>
      <c r="O328">
        <f>הגדרות!C4</f>
        <v/>
      </c>
      <c r="P328">
        <f>הגדרות!D4</f>
        <v/>
      </c>
      <c r="Q328">
        <f>N328*(1+O328/100)+P328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וטרינרי / רפואי</t>
        </is>
      </c>
      <c r="F329" t="inlineStr">
        <is>
          <t>רטוב</t>
        </is>
      </c>
      <c r="G329" t="inlineStr"/>
      <c r="H329" t="inlineStr">
        <is>
          <t>כלב</t>
        </is>
      </c>
      <c r="I329" t="inlineStr"/>
      <c r="J329" t="inlineStr">
        <is>
          <t>2026-04</t>
        </is>
      </c>
      <c r="K329" t="n">
        <v>14.4</v>
      </c>
      <c r="L329" t="n">
        <v>16.99</v>
      </c>
      <c r="M329">
        <f>הגדרות!B4</f>
        <v/>
      </c>
      <c r="N329">
        <f>K329*(1-M329/100)*1.18</f>
        <v/>
      </c>
      <c r="O329">
        <f>הגדרות!C4</f>
        <v/>
      </c>
      <c r="P329">
        <f>הגדרות!D4</f>
        <v/>
      </c>
      <c r="Q329">
        <f>N329*(1+O329/100)+P329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וטרינרי / רפואי</t>
        </is>
      </c>
      <c r="F330" t="inlineStr">
        <is>
          <t>רטוב</t>
        </is>
      </c>
      <c r="G330" t="inlineStr">
        <is>
          <t>גורים</t>
        </is>
      </c>
      <c r="H330" t="inlineStr">
        <is>
          <t>כלב</t>
        </is>
      </c>
      <c r="I330" t="inlineStr"/>
      <c r="J330" t="inlineStr">
        <is>
          <t>2026-04</t>
        </is>
      </c>
      <c r="K330" t="n">
        <v>17.8</v>
      </c>
      <c r="L330" t="n">
        <v>21</v>
      </c>
      <c r="M330">
        <f>הגדרות!B4</f>
        <v/>
      </c>
      <c r="N330">
        <f>K330*(1-M330/100)*1.18</f>
        <v/>
      </c>
      <c r="O330">
        <f>הגדרות!C4</f>
        <v/>
      </c>
      <c r="P330">
        <f>הגדרות!D4</f>
        <v/>
      </c>
      <c r="Q330">
        <f>N330*(1+O330/100)+P330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וטרינרי / רפואי</t>
        </is>
      </c>
      <c r="F331" t="inlineStr">
        <is>
          <t>רטוב</t>
        </is>
      </c>
      <c r="G331" t="inlineStr"/>
      <c r="H331" t="inlineStr">
        <is>
          <t>כלב</t>
        </is>
      </c>
      <c r="I331" t="inlineStr"/>
      <c r="J331" t="inlineStr">
        <is>
          <t>2026-04</t>
        </is>
      </c>
      <c r="K331" t="n">
        <v>14.9</v>
      </c>
      <c r="L331" t="n">
        <v>17.58</v>
      </c>
      <c r="M331">
        <f>הגדרות!B4</f>
        <v/>
      </c>
      <c r="N331">
        <f>K331*(1-M331/100)*1.18</f>
        <v/>
      </c>
      <c r="O331">
        <f>הגדרות!C4</f>
        <v/>
      </c>
      <c r="P331">
        <f>הגדרות!D4</f>
        <v/>
      </c>
      <c r="Q331">
        <f>N331*(1+O331/100)+P331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וטרינרי / רפואי</t>
        </is>
      </c>
      <c r="F332" t="inlineStr">
        <is>
          <t>רטוב</t>
        </is>
      </c>
      <c r="G332" t="inlineStr"/>
      <c r="H332" t="inlineStr">
        <is>
          <t>כלב</t>
        </is>
      </c>
      <c r="I332" t="inlineStr"/>
      <c r="J332" t="inlineStr">
        <is>
          <t>2026-04</t>
        </is>
      </c>
      <c r="K332" t="n">
        <v>16</v>
      </c>
      <c r="L332" t="n">
        <v>18.88</v>
      </c>
      <c r="M332">
        <f>הגדרות!B4</f>
        <v/>
      </c>
      <c r="N332">
        <f>K332*(1-M332/100)*1.18</f>
        <v/>
      </c>
      <c r="O332">
        <f>הגדרות!C4</f>
        <v/>
      </c>
      <c r="P332">
        <f>הגדרות!D4</f>
        <v/>
      </c>
      <c r="Q332">
        <f>N332*(1+O332/100)+P332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וטרינרי / רפואי</t>
        </is>
      </c>
      <c r="F333" t="inlineStr">
        <is>
          <t>רטוב</t>
        </is>
      </c>
      <c r="G333" t="inlineStr">
        <is>
          <t>גורים</t>
        </is>
      </c>
      <c r="H333" t="inlineStr">
        <is>
          <t>כלב</t>
        </is>
      </c>
      <c r="I333" t="inlineStr"/>
      <c r="J333" t="inlineStr">
        <is>
          <t>2026-04</t>
        </is>
      </c>
      <c r="K333" t="n">
        <v>14.9</v>
      </c>
      <c r="L333" t="n">
        <v>17.58</v>
      </c>
      <c r="M333">
        <f>הגדרות!B4</f>
        <v/>
      </c>
      <c r="N333">
        <f>K333*(1-M333/100)*1.18</f>
        <v/>
      </c>
      <c r="O333">
        <f>הגדרות!C4</f>
        <v/>
      </c>
      <c r="P333">
        <f>הגדרות!D4</f>
        <v/>
      </c>
      <c r="Q333">
        <f>N333*(1+O333/100)+P333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וטרינרי / רפואי</t>
        </is>
      </c>
      <c r="F334" t="inlineStr">
        <is>
          <t>רטוב</t>
        </is>
      </c>
      <c r="G334" t="inlineStr">
        <is>
          <t>בוגר</t>
        </is>
      </c>
      <c r="H334" t="inlineStr">
        <is>
          <t>כלב</t>
        </is>
      </c>
      <c r="I334" t="inlineStr"/>
      <c r="J334" t="inlineStr">
        <is>
          <t>2026-04</t>
        </is>
      </c>
      <c r="K334" t="n">
        <v>14.3</v>
      </c>
      <c r="L334" t="n">
        <v>16.87</v>
      </c>
      <c r="M334">
        <f>הגדרות!B4</f>
        <v/>
      </c>
      <c r="N334">
        <f>K334*(1-M334/100)*1.18</f>
        <v/>
      </c>
      <c r="O334">
        <f>הגדרות!C4</f>
        <v/>
      </c>
      <c r="P334">
        <f>הגדרות!D4</f>
        <v/>
      </c>
      <c r="Q334">
        <f>N334*(1+O334/100)+P334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וטרינרי / רפואי</t>
        </is>
      </c>
      <c r="F335" t="inlineStr">
        <is>
          <t>רטוב</t>
        </is>
      </c>
      <c r="G335" t="inlineStr">
        <is>
          <t>גורים</t>
        </is>
      </c>
      <c r="H335" t="inlineStr">
        <is>
          <t>כלב</t>
        </is>
      </c>
      <c r="I335" t="inlineStr"/>
      <c r="J335" t="inlineStr">
        <is>
          <t>2026-04</t>
        </is>
      </c>
      <c r="K335" t="n">
        <v>18.3</v>
      </c>
      <c r="L335" t="n">
        <v>21.59</v>
      </c>
      <c r="M335">
        <f>הגדרות!B4</f>
        <v/>
      </c>
      <c r="N335">
        <f>K335*(1-M335/100)*1.18</f>
        <v/>
      </c>
      <c r="O335">
        <f>הגדרות!C4</f>
        <v/>
      </c>
      <c r="P335">
        <f>הגדרות!D4</f>
        <v/>
      </c>
      <c r="Q335">
        <f>N335*(1+O335/100)+P335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וטרינרי / רפואי</t>
        </is>
      </c>
      <c r="F336" t="inlineStr">
        <is>
          <t>רטוב</t>
        </is>
      </c>
      <c r="G336" t="inlineStr">
        <is>
          <t>בוגר</t>
        </is>
      </c>
      <c r="H336" t="inlineStr">
        <is>
          <t>כלב</t>
        </is>
      </c>
      <c r="I336" t="inlineStr"/>
      <c r="J336" t="inlineStr">
        <is>
          <t>2026-04</t>
        </is>
      </c>
      <c r="K336" t="n">
        <v>14.9</v>
      </c>
      <c r="L336" t="n">
        <v>17.58</v>
      </c>
      <c r="M336">
        <f>הגדרות!B4</f>
        <v/>
      </c>
      <c r="N336">
        <f>K336*(1-M336/100)*1.18</f>
        <v/>
      </c>
      <c r="O336">
        <f>הגדרות!C4</f>
        <v/>
      </c>
      <c r="P336">
        <f>הגדרות!D4</f>
        <v/>
      </c>
      <c r="Q336">
        <f>N336*(1+O336/100)+P336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וטרינרי / רפואי</t>
        </is>
      </c>
      <c r="F337" t="inlineStr">
        <is>
          <t>רטוב</t>
        </is>
      </c>
      <c r="G337" t="inlineStr">
        <is>
          <t>בוגר</t>
        </is>
      </c>
      <c r="H337" t="inlineStr">
        <is>
          <t>כלב</t>
        </is>
      </c>
      <c r="I337" t="inlineStr"/>
      <c r="J337" t="inlineStr">
        <is>
          <t>2026-04</t>
        </is>
      </c>
      <c r="K337" t="n">
        <v>16</v>
      </c>
      <c r="L337" t="n">
        <v>18.88</v>
      </c>
      <c r="M337">
        <f>הגדרות!B4</f>
        <v/>
      </c>
      <c r="N337">
        <f>K337*(1-M337/100)*1.18</f>
        <v/>
      </c>
      <c r="O337">
        <f>הגדרות!C4</f>
        <v/>
      </c>
      <c r="P337">
        <f>הגדרות!D4</f>
        <v/>
      </c>
      <c r="Q337">
        <f>N337*(1+O337/100)+P337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וטרינרי / רפואי</t>
        </is>
      </c>
      <c r="F338" t="inlineStr">
        <is>
          <t>רטוב</t>
        </is>
      </c>
      <c r="G338" t="inlineStr"/>
      <c r="H338" t="inlineStr">
        <is>
          <t>כלב</t>
        </is>
      </c>
      <c r="I338" t="inlineStr"/>
      <c r="J338" t="inlineStr">
        <is>
          <t>2026-04</t>
        </is>
      </c>
      <c r="K338" t="n">
        <v>16.8</v>
      </c>
      <c r="L338" t="n">
        <v>19.82</v>
      </c>
      <c r="M338">
        <f>הגדרות!B4</f>
        <v/>
      </c>
      <c r="N338">
        <f>K338*(1-M338/100)*1.18</f>
        <v/>
      </c>
      <c r="O338">
        <f>הגדרות!C4</f>
        <v/>
      </c>
      <c r="P338">
        <f>הגדרות!D4</f>
        <v/>
      </c>
      <c r="Q338">
        <f>N338*(1+O338/100)+P338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וטרינרי / רפואי</t>
        </is>
      </c>
      <c r="F339" t="inlineStr">
        <is>
          <t>רטוב</t>
        </is>
      </c>
      <c r="G339" t="inlineStr"/>
      <c r="H339" t="inlineStr">
        <is>
          <t>כלב</t>
        </is>
      </c>
      <c r="I339" t="inlineStr"/>
      <c r="J339" t="inlineStr">
        <is>
          <t>2026-04</t>
        </is>
      </c>
      <c r="K339" t="n">
        <v>13.7</v>
      </c>
      <c r="L339" t="n">
        <v>16.17</v>
      </c>
      <c r="M339">
        <f>הגדרות!B4</f>
        <v/>
      </c>
      <c r="N339">
        <f>K339*(1-M339/100)*1.18</f>
        <v/>
      </c>
      <c r="O339">
        <f>הגדרות!C4</f>
        <v/>
      </c>
      <c r="P339">
        <f>הגדרות!D4</f>
        <v/>
      </c>
      <c r="Q339">
        <f>N339*(1+O339/100)+P339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וטרינרי / רפואי</t>
        </is>
      </c>
      <c r="F340" t="inlineStr">
        <is>
          <t>רטוב</t>
        </is>
      </c>
      <c r="G340" t="inlineStr">
        <is>
          <t>גורים</t>
        </is>
      </c>
      <c r="H340" t="inlineStr">
        <is>
          <t>כלב</t>
        </is>
      </c>
      <c r="I340" t="inlineStr"/>
      <c r="J340" t="inlineStr">
        <is>
          <t>2026-04</t>
        </is>
      </c>
      <c r="K340" t="n">
        <v>17.8</v>
      </c>
      <c r="L340" t="n">
        <v>21</v>
      </c>
      <c r="M340">
        <f>הגדרות!B4</f>
        <v/>
      </c>
      <c r="N340">
        <f>K340*(1-M340/100)*1.18</f>
        <v/>
      </c>
      <c r="O340">
        <f>הגדרות!C4</f>
        <v/>
      </c>
      <c r="P340">
        <f>הגדרות!D4</f>
        <v/>
      </c>
      <c r="Q340">
        <f>N340*(1+O340/100)+P340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וטרינרי / רפואי</t>
        </is>
      </c>
      <c r="F341" t="inlineStr">
        <is>
          <t>רטוב</t>
        </is>
      </c>
      <c r="G341" t="inlineStr"/>
      <c r="H341" t="inlineStr">
        <is>
          <t>כלב</t>
        </is>
      </c>
      <c r="I341" t="inlineStr"/>
      <c r="J341" t="inlineStr">
        <is>
          <t>2026-04</t>
        </is>
      </c>
      <c r="K341" t="n">
        <v>16</v>
      </c>
      <c r="L341" t="n">
        <v>18.88</v>
      </c>
      <c r="M341">
        <f>הגדרות!B4</f>
        <v/>
      </c>
      <c r="N341">
        <f>K341*(1-M341/100)*1.18</f>
        <v/>
      </c>
      <c r="O341">
        <f>הגדרות!C4</f>
        <v/>
      </c>
      <c r="P341">
        <f>הגדרות!D4</f>
        <v/>
      </c>
      <c r="Q341">
        <f>N341*(1+O341/100)+P341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וטרינרי / רפואי</t>
        </is>
      </c>
      <c r="F342" t="inlineStr">
        <is>
          <t>רטוב</t>
        </is>
      </c>
      <c r="G342" t="inlineStr"/>
      <c r="H342" t="inlineStr">
        <is>
          <t>כלב</t>
        </is>
      </c>
      <c r="I342" t="inlineStr"/>
      <c r="J342" t="inlineStr">
        <is>
          <t>2026-04</t>
        </is>
      </c>
      <c r="K342" t="n">
        <v>14.3</v>
      </c>
      <c r="L342" t="n">
        <v>16.87</v>
      </c>
      <c r="M342">
        <f>הגדרות!B4</f>
        <v/>
      </c>
      <c r="N342">
        <f>K342*(1-M342/100)*1.18</f>
        <v/>
      </c>
      <c r="O342">
        <f>הגדרות!C4</f>
        <v/>
      </c>
      <c r="P342">
        <f>הגדרות!D4</f>
        <v/>
      </c>
      <c r="Q342">
        <f>N342*(1+O342/100)+P342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וטרינרי / רפואי</t>
        </is>
      </c>
      <c r="F343" t="inlineStr">
        <is>
          <t>רטוב</t>
        </is>
      </c>
      <c r="G343" t="inlineStr"/>
      <c r="H343" t="inlineStr">
        <is>
          <t>כלב</t>
        </is>
      </c>
      <c r="I343" t="inlineStr"/>
      <c r="J343" t="inlineStr">
        <is>
          <t>2026-04</t>
        </is>
      </c>
      <c r="K343" t="n">
        <v>14.9</v>
      </c>
      <c r="L343" t="n">
        <v>17.58</v>
      </c>
      <c r="M343">
        <f>הגדרות!B4</f>
        <v/>
      </c>
      <c r="N343">
        <f>K343*(1-M343/100)*1.18</f>
        <v/>
      </c>
      <c r="O343">
        <f>הגדרות!C4</f>
        <v/>
      </c>
      <c r="P343">
        <f>הגדרות!D4</f>
        <v/>
      </c>
      <c r="Q343">
        <f>N343*(1+O343/100)+P343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וטרינרי / רפואי</t>
        </is>
      </c>
      <c r="F344" t="inlineStr">
        <is>
          <t>רטוב</t>
        </is>
      </c>
      <c r="G344" t="inlineStr"/>
      <c r="H344" t="inlineStr">
        <is>
          <t>כלב</t>
        </is>
      </c>
      <c r="I344" t="inlineStr"/>
      <c r="J344" t="inlineStr">
        <is>
          <t>2026-04</t>
        </is>
      </c>
      <c r="K344" t="n">
        <v>16</v>
      </c>
      <c r="L344" t="n">
        <v>18.88</v>
      </c>
      <c r="M344">
        <f>הגדרות!B4</f>
        <v/>
      </c>
      <c r="N344">
        <f>K344*(1-M344/100)*1.18</f>
        <v/>
      </c>
      <c r="O344">
        <f>הגדרות!C4</f>
        <v/>
      </c>
      <c r="P344">
        <f>הגדרות!D4</f>
        <v/>
      </c>
      <c r="Q344">
        <f>N344*(1+O344/100)+P344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וטרינרי / רפואי</t>
        </is>
      </c>
      <c r="F345" t="inlineStr">
        <is>
          <t>רטוב</t>
        </is>
      </c>
      <c r="G345" t="inlineStr"/>
      <c r="H345" t="inlineStr">
        <is>
          <t>כלב</t>
        </is>
      </c>
      <c r="I345" t="inlineStr"/>
      <c r="J345" t="inlineStr">
        <is>
          <t>2026-04</t>
        </is>
      </c>
      <c r="K345" t="n">
        <v>14.3</v>
      </c>
      <c r="L345" t="n">
        <v>16.87</v>
      </c>
      <c r="M345">
        <f>הגדרות!B4</f>
        <v/>
      </c>
      <c r="N345">
        <f>K345*(1-M345/100)*1.18</f>
        <v/>
      </c>
      <c r="O345">
        <f>הגדרות!C4</f>
        <v/>
      </c>
      <c r="P345">
        <f>הגדרות!D4</f>
        <v/>
      </c>
      <c r="Q345">
        <f>N345*(1+O345/100)+P345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וטרינרי / רפואי</t>
        </is>
      </c>
      <c r="F346" t="inlineStr">
        <is>
          <t>רטוב</t>
        </is>
      </c>
      <c r="G346" t="inlineStr"/>
      <c r="H346" t="inlineStr">
        <is>
          <t>כלב</t>
        </is>
      </c>
      <c r="I346" t="inlineStr"/>
      <c r="J346" t="inlineStr">
        <is>
          <t>2026-04</t>
        </is>
      </c>
      <c r="K346" t="n">
        <v>19.2</v>
      </c>
      <c r="L346" t="n">
        <v>22.66</v>
      </c>
      <c r="M346">
        <f>הגדרות!B4</f>
        <v/>
      </c>
      <c r="N346">
        <f>K346*(1-M346/100)*1.18</f>
        <v/>
      </c>
      <c r="O346">
        <f>הגדרות!C4</f>
        <v/>
      </c>
      <c r="P346">
        <f>הגדרות!D4</f>
        <v/>
      </c>
      <c r="Q346">
        <f>N346*(1+O346/100)+P346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וטרינרי / רפואי</t>
        </is>
      </c>
      <c r="F347" t="inlineStr">
        <is>
          <t>רטוב</t>
        </is>
      </c>
      <c r="G347" t="inlineStr"/>
      <c r="H347" t="inlineStr">
        <is>
          <t>כלב</t>
        </is>
      </c>
      <c r="I347" t="inlineStr"/>
      <c r="J347" t="inlineStr">
        <is>
          <t>2026-04</t>
        </is>
      </c>
      <c r="K347" t="n">
        <v>19</v>
      </c>
      <c r="L347" t="n">
        <v>22.42</v>
      </c>
      <c r="M347">
        <f>הגדרות!B4</f>
        <v/>
      </c>
      <c r="N347">
        <f>K347*(1-M347/100)*1.18</f>
        <v/>
      </c>
      <c r="O347">
        <f>הגדרות!C4</f>
        <v/>
      </c>
      <c r="P347">
        <f>הגדרות!D4</f>
        <v/>
      </c>
      <c r="Q347">
        <f>N347*(1+O347/100)+P347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וטרינרי / רפואי</t>
        </is>
      </c>
      <c r="F348" t="inlineStr">
        <is>
          <t>יבש</t>
        </is>
      </c>
      <c r="G348" t="inlineStr"/>
      <c r="H348" t="inlineStr">
        <is>
          <t>חתול</t>
        </is>
      </c>
      <c r="I348" t="inlineStr"/>
      <c r="J348" t="inlineStr">
        <is>
          <t>2026-04</t>
        </is>
      </c>
      <c r="K348" t="n">
        <v>149</v>
      </c>
      <c r="L348" t="n">
        <v>175.82</v>
      </c>
      <c r="M348">
        <f>הגדרות!B4</f>
        <v/>
      </c>
      <c r="N348">
        <f>K348*(1-M348/100)*1.18</f>
        <v/>
      </c>
      <c r="O348">
        <f>הגדרות!C4</f>
        <v/>
      </c>
      <c r="P348">
        <f>הגדרות!D4</f>
        <v/>
      </c>
      <c r="Q348">
        <f>N348*(1+O348/100)+P348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וטרינרי / רפואי</t>
        </is>
      </c>
      <c r="F349" t="inlineStr">
        <is>
          <t>יבש</t>
        </is>
      </c>
      <c r="G349" t="inlineStr"/>
      <c r="H349" t="inlineStr">
        <is>
          <t>חתול</t>
        </is>
      </c>
      <c r="I349" t="inlineStr"/>
      <c r="J349" t="inlineStr">
        <is>
          <t>2026-04</t>
        </is>
      </c>
      <c r="K349" t="n">
        <v>334</v>
      </c>
      <c r="L349" t="n">
        <v>394.12</v>
      </c>
      <c r="M349">
        <f>הגדרות!B4</f>
        <v/>
      </c>
      <c r="N349">
        <f>K349*(1-M349/100)*1.18</f>
        <v/>
      </c>
      <c r="O349">
        <f>הגדרות!C4</f>
        <v/>
      </c>
      <c r="P349">
        <f>הגדרות!D4</f>
        <v/>
      </c>
      <c r="Q349">
        <f>N349*(1+O349/100)+P349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וטרינרי / רפואי</t>
        </is>
      </c>
      <c r="F350" t="inlineStr">
        <is>
          <t>יבש</t>
        </is>
      </c>
      <c r="G350" t="inlineStr"/>
      <c r="H350" t="inlineStr">
        <is>
          <t>חתול</t>
        </is>
      </c>
      <c r="I350" t="inlineStr"/>
      <c r="J350" t="inlineStr">
        <is>
          <t>2026-04</t>
        </is>
      </c>
      <c r="K350" t="n">
        <v>177</v>
      </c>
      <c r="L350" t="n">
        <v>208.86</v>
      </c>
      <c r="M350">
        <f>הגדרות!B4</f>
        <v/>
      </c>
      <c r="N350">
        <f>K350*(1-M350/100)*1.18</f>
        <v/>
      </c>
      <c r="O350">
        <f>הגדרות!C4</f>
        <v/>
      </c>
      <c r="P350">
        <f>הגדרות!D4</f>
        <v/>
      </c>
      <c r="Q350">
        <f>N350*(1+O350/100)+P350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וטרינרי / רפואי</t>
        </is>
      </c>
      <c r="F351" t="inlineStr">
        <is>
          <t>יבש</t>
        </is>
      </c>
      <c r="G351" t="inlineStr"/>
      <c r="H351" t="inlineStr">
        <is>
          <t>חתול</t>
        </is>
      </c>
      <c r="I351" t="inlineStr"/>
      <c r="J351" t="inlineStr">
        <is>
          <t>2026-04</t>
        </is>
      </c>
      <c r="K351" t="n">
        <v>420</v>
      </c>
      <c r="L351" t="n">
        <v>495.6</v>
      </c>
      <c r="M351">
        <f>הגדרות!B4</f>
        <v/>
      </c>
      <c r="N351">
        <f>K351*(1-M351/100)*1.18</f>
        <v/>
      </c>
      <c r="O351">
        <f>הגדרות!C4</f>
        <v/>
      </c>
      <c r="P351">
        <f>הגדרות!D4</f>
        <v/>
      </c>
      <c r="Q351">
        <f>N351*(1+O351/100)+P351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וטרינרי / רפואי</t>
        </is>
      </c>
      <c r="F352" t="inlineStr">
        <is>
          <t>יבש</t>
        </is>
      </c>
      <c r="G352" t="inlineStr"/>
      <c r="H352" t="inlineStr">
        <is>
          <t>חתול</t>
        </is>
      </c>
      <c r="I352" t="inlineStr"/>
      <c r="J352" t="inlineStr">
        <is>
          <t>2026-04</t>
        </is>
      </c>
      <c r="K352" t="n">
        <v>185</v>
      </c>
      <c r="L352" t="n">
        <v>218.3</v>
      </c>
      <c r="M352">
        <f>הגדרות!B4</f>
        <v/>
      </c>
      <c r="N352">
        <f>K352*(1-M352/100)*1.18</f>
        <v/>
      </c>
      <c r="O352">
        <f>הגדרות!C4</f>
        <v/>
      </c>
      <c r="P352">
        <f>הגדרות!D4</f>
        <v/>
      </c>
      <c r="Q352">
        <f>N352*(1+O352/100)+P352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וטרינרי / רפואי</t>
        </is>
      </c>
      <c r="F353" t="inlineStr">
        <is>
          <t>יבש</t>
        </is>
      </c>
      <c r="G353" t="inlineStr"/>
      <c r="H353" t="inlineStr">
        <is>
          <t>חתול</t>
        </is>
      </c>
      <c r="I353" t="inlineStr"/>
      <c r="J353" t="inlineStr">
        <is>
          <t>2026-04</t>
        </is>
      </c>
      <c r="K353" t="n">
        <v>395</v>
      </c>
      <c r="L353" t="n">
        <v>466.1</v>
      </c>
      <c r="M353">
        <f>הגדרות!B4</f>
        <v/>
      </c>
      <c r="N353">
        <f>K353*(1-M353/100)*1.18</f>
        <v/>
      </c>
      <c r="O353">
        <f>הגדרות!C4</f>
        <v/>
      </c>
      <c r="P353">
        <f>הגדרות!D4</f>
        <v/>
      </c>
      <c r="Q353">
        <f>N353*(1+O353/100)+P353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וטרינרי / רפואי</t>
        </is>
      </c>
      <c r="F354" t="inlineStr">
        <is>
          <t>יבש</t>
        </is>
      </c>
      <c r="G354" t="inlineStr">
        <is>
          <t>גורים</t>
        </is>
      </c>
      <c r="H354" t="inlineStr">
        <is>
          <t>חתול</t>
        </is>
      </c>
      <c r="I354" t="inlineStr"/>
      <c r="J354" t="inlineStr">
        <is>
          <t>2026-04</t>
        </is>
      </c>
      <c r="K354" t="n">
        <v>109</v>
      </c>
      <c r="L354" t="n">
        <v>128.62</v>
      </c>
      <c r="M354">
        <f>הגדרות!B4</f>
        <v/>
      </c>
      <c r="N354">
        <f>K354*(1-M354/100)*1.18</f>
        <v/>
      </c>
      <c r="O354">
        <f>הגדרות!C4</f>
        <v/>
      </c>
      <c r="P354">
        <f>הגדרות!D4</f>
        <v/>
      </c>
      <c r="Q354">
        <f>N354*(1+O354/100)+P354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וטרינרי / רפואי</t>
        </is>
      </c>
      <c r="F355" t="inlineStr">
        <is>
          <t>רטוב</t>
        </is>
      </c>
      <c r="G355" t="inlineStr">
        <is>
          <t>גורים</t>
        </is>
      </c>
      <c r="H355" t="inlineStr">
        <is>
          <t>חתול</t>
        </is>
      </c>
      <c r="I355" t="inlineStr"/>
      <c r="J355" t="inlineStr">
        <is>
          <t>2026-04</t>
        </is>
      </c>
      <c r="K355" t="n">
        <v>41</v>
      </c>
      <c r="L355" t="n">
        <v>48.38</v>
      </c>
      <c r="M355">
        <f>הגדרות!B4</f>
        <v/>
      </c>
      <c r="N355">
        <f>K355*(1-M355/100)*1.18</f>
        <v/>
      </c>
      <c r="O355">
        <f>הגדרות!C4</f>
        <v/>
      </c>
      <c r="P355">
        <f>הגדרות!D4</f>
        <v/>
      </c>
      <c r="Q355">
        <f>N355*(1+O355/100)+P355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וטרינרי / רפואי</t>
        </is>
      </c>
      <c r="F356" t="inlineStr">
        <is>
          <t>יבש</t>
        </is>
      </c>
      <c r="G356" t="inlineStr">
        <is>
          <t>בוגר</t>
        </is>
      </c>
      <c r="H356" t="inlineStr">
        <is>
          <t>חתול</t>
        </is>
      </c>
      <c r="I356" t="inlineStr"/>
      <c r="J356" t="inlineStr">
        <is>
          <t>2026-04</t>
        </is>
      </c>
      <c r="K356" t="n">
        <v>100</v>
      </c>
      <c r="L356" t="n">
        <v>118</v>
      </c>
      <c r="M356">
        <f>הגדרות!B4</f>
        <v/>
      </c>
      <c r="N356">
        <f>K356*(1-M356/100)*1.18</f>
        <v/>
      </c>
      <c r="O356">
        <f>הגדרות!C4</f>
        <v/>
      </c>
      <c r="P356">
        <f>הגדרות!D4</f>
        <v/>
      </c>
      <c r="Q356">
        <f>N356*(1+O356/100)+P356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וטרינרי / רפואי</t>
        </is>
      </c>
      <c r="F357" t="inlineStr">
        <is>
          <t>יבש</t>
        </is>
      </c>
      <c r="G357" t="inlineStr">
        <is>
          <t>בוגר</t>
        </is>
      </c>
      <c r="H357" t="inlineStr">
        <is>
          <t>חתול</t>
        </is>
      </c>
      <c r="I357" t="inlineStr"/>
      <c r="J357" t="inlineStr">
        <is>
          <t>2026-04</t>
        </is>
      </c>
      <c r="K357" t="n">
        <v>168</v>
      </c>
      <c r="L357" t="n">
        <v>198.24</v>
      </c>
      <c r="M357">
        <f>הגדרות!B4</f>
        <v/>
      </c>
      <c r="N357">
        <f>K357*(1-M357/100)*1.18</f>
        <v/>
      </c>
      <c r="O357">
        <f>הגדרות!C4</f>
        <v/>
      </c>
      <c r="P357">
        <f>הגדרות!D4</f>
        <v/>
      </c>
      <c r="Q357">
        <f>N357*(1+O357/100)+P357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וטרינרי / רפואי</t>
        </is>
      </c>
      <c r="F358" t="inlineStr">
        <is>
          <t>יבש</t>
        </is>
      </c>
      <c r="G358" t="inlineStr">
        <is>
          <t>בוגר</t>
        </is>
      </c>
      <c r="H358" t="inlineStr">
        <is>
          <t>חתול</t>
        </is>
      </c>
      <c r="I358" t="inlineStr"/>
      <c r="J358" t="inlineStr">
        <is>
          <t>2026-04</t>
        </is>
      </c>
      <c r="K358" t="n">
        <v>412</v>
      </c>
      <c r="L358" t="n">
        <v>486.16</v>
      </c>
      <c r="M358">
        <f>הגדרות!B4</f>
        <v/>
      </c>
      <c r="N358">
        <f>K358*(1-M358/100)*1.18</f>
        <v/>
      </c>
      <c r="O358">
        <f>הגדרות!C4</f>
        <v/>
      </c>
      <c r="P358">
        <f>הגדרות!D4</f>
        <v/>
      </c>
      <c r="Q358">
        <f>N358*(1+O358/100)+P358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וטרינרי / רפואי</t>
        </is>
      </c>
      <c r="F359" t="inlineStr">
        <is>
          <t>יבש</t>
        </is>
      </c>
      <c r="G359" t="inlineStr">
        <is>
          <t>בוגר</t>
        </is>
      </c>
      <c r="H359" t="inlineStr">
        <is>
          <t>חתול</t>
        </is>
      </c>
      <c r="I359" t="inlineStr"/>
      <c r="J359" t="inlineStr">
        <is>
          <t>2026-04</t>
        </is>
      </c>
      <c r="K359" t="n">
        <v>113</v>
      </c>
      <c r="L359" t="n">
        <v>133.34</v>
      </c>
      <c r="M359">
        <f>הגדרות!B4</f>
        <v/>
      </c>
      <c r="N359">
        <f>K359*(1-M359/100)*1.18</f>
        <v/>
      </c>
      <c r="O359">
        <f>הגדרות!C4</f>
        <v/>
      </c>
      <c r="P359">
        <f>הגדרות!D4</f>
        <v/>
      </c>
      <c r="Q359">
        <f>N359*(1+O359/100)+P359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וטרינרי / רפואי</t>
        </is>
      </c>
      <c r="F360" t="inlineStr">
        <is>
          <t>יבש</t>
        </is>
      </c>
      <c r="G360" t="inlineStr">
        <is>
          <t>בוגר</t>
        </is>
      </c>
      <c r="H360" t="inlineStr">
        <is>
          <t>חתול</t>
        </is>
      </c>
      <c r="I360" t="inlineStr"/>
      <c r="J360" t="inlineStr">
        <is>
          <t>2026-04</t>
        </is>
      </c>
      <c r="K360" t="n">
        <v>187</v>
      </c>
      <c r="L360" t="n">
        <v>220.66</v>
      </c>
      <c r="M360">
        <f>הגדרות!B4</f>
        <v/>
      </c>
      <c r="N360">
        <f>K360*(1-M360/100)*1.18</f>
        <v/>
      </c>
      <c r="O360">
        <f>הגדרות!C4</f>
        <v/>
      </c>
      <c r="P360">
        <f>הגדרות!D4</f>
        <v/>
      </c>
      <c r="Q360">
        <f>N360*(1+O360/100)+P360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וטרינרי / רפואי</t>
        </is>
      </c>
      <c r="F361" t="inlineStr">
        <is>
          <t>יבש</t>
        </is>
      </c>
      <c r="G361" t="inlineStr">
        <is>
          <t>בוגר</t>
        </is>
      </c>
      <c r="H361" t="inlineStr">
        <is>
          <t>חתול</t>
        </is>
      </c>
      <c r="I361" t="inlineStr"/>
      <c r="J361" t="inlineStr">
        <is>
          <t>2026-04</t>
        </is>
      </c>
      <c r="K361" t="n">
        <v>437</v>
      </c>
      <c r="L361" t="n">
        <v>515.66</v>
      </c>
      <c r="M361">
        <f>הגדרות!B4</f>
        <v/>
      </c>
      <c r="N361">
        <f>K361*(1-M361/100)*1.18</f>
        <v/>
      </c>
      <c r="O361">
        <f>הגדרות!C4</f>
        <v/>
      </c>
      <c r="P361">
        <f>הגדרות!D4</f>
        <v/>
      </c>
      <c r="Q361">
        <f>N361*(1+O361/100)+P361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וטרינרי / רפואי</t>
        </is>
      </c>
      <c r="F362" t="inlineStr">
        <is>
          <t>יבש</t>
        </is>
      </c>
      <c r="G362" t="inlineStr">
        <is>
          <t>בוגר</t>
        </is>
      </c>
      <c r="H362" t="inlineStr">
        <is>
          <t>חתול</t>
        </is>
      </c>
      <c r="I362" t="inlineStr"/>
      <c r="J362" t="inlineStr">
        <is>
          <t>2026-04</t>
        </is>
      </c>
      <c r="K362" t="n">
        <v>208</v>
      </c>
      <c r="L362" t="n">
        <v>245.44</v>
      </c>
      <c r="M362">
        <f>הגדרות!B4</f>
        <v/>
      </c>
      <c r="N362">
        <f>K362*(1-M362/100)*1.18</f>
        <v/>
      </c>
      <c r="O362">
        <f>הגדרות!C4</f>
        <v/>
      </c>
      <c r="P362">
        <f>הגדרות!D4</f>
        <v/>
      </c>
      <c r="Q362">
        <f>N362*(1+O362/100)+P362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וטרינרי / רפואי</t>
        </is>
      </c>
      <c r="F363" t="inlineStr">
        <is>
          <t>יבש</t>
        </is>
      </c>
      <c r="G363" t="inlineStr"/>
      <c r="H363" t="inlineStr">
        <is>
          <t>חתול</t>
        </is>
      </c>
      <c r="I363" t="inlineStr"/>
      <c r="J363" t="inlineStr">
        <is>
          <t>2026-04</t>
        </is>
      </c>
      <c r="K363" t="n">
        <v>168</v>
      </c>
      <c r="L363" t="n">
        <v>198.24</v>
      </c>
      <c r="M363">
        <f>הגדרות!B4</f>
        <v/>
      </c>
      <c r="N363">
        <f>K363*(1-M363/100)*1.18</f>
        <v/>
      </c>
      <c r="O363">
        <f>הגדרות!C4</f>
        <v/>
      </c>
      <c r="P363">
        <f>הגדרות!D4</f>
        <v/>
      </c>
      <c r="Q363">
        <f>N363*(1+O363/100)+P363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וטרינרי / רפואי</t>
        </is>
      </c>
      <c r="F364" t="inlineStr">
        <is>
          <t>יבש</t>
        </is>
      </c>
      <c r="G364" t="inlineStr"/>
      <c r="H364" t="inlineStr">
        <is>
          <t>חתול</t>
        </is>
      </c>
      <c r="I364" t="inlineStr"/>
      <c r="J364" t="inlineStr">
        <is>
          <t>2026-04</t>
        </is>
      </c>
      <c r="K364" t="n">
        <v>100</v>
      </c>
      <c r="L364" t="n">
        <v>118</v>
      </c>
      <c r="M364">
        <f>הגדרות!B4</f>
        <v/>
      </c>
      <c r="N364">
        <f>K364*(1-M364/100)*1.18</f>
        <v/>
      </c>
      <c r="O364">
        <f>הגדרות!C4</f>
        <v/>
      </c>
      <c r="P364">
        <f>הגדרות!D4</f>
        <v/>
      </c>
      <c r="Q364">
        <f>N364*(1+O364/100)+P364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וטרינרי / רפואי</t>
        </is>
      </c>
      <c r="F365" t="inlineStr">
        <is>
          <t>יבש</t>
        </is>
      </c>
      <c r="G365" t="inlineStr"/>
      <c r="H365" t="inlineStr">
        <is>
          <t>חתול</t>
        </is>
      </c>
      <c r="I365" t="inlineStr"/>
      <c r="J365" t="inlineStr">
        <is>
          <t>2026-04</t>
        </is>
      </c>
      <c r="K365" t="n">
        <v>161</v>
      </c>
      <c r="L365" t="n">
        <v>189.98</v>
      </c>
      <c r="M365">
        <f>הגדרות!B4</f>
        <v/>
      </c>
      <c r="N365">
        <f>K365*(1-M365/100)*1.18</f>
        <v/>
      </c>
      <c r="O365">
        <f>הגדרות!C4</f>
        <v/>
      </c>
      <c r="P365">
        <f>הגדרות!D4</f>
        <v/>
      </c>
      <c r="Q365">
        <f>N365*(1+O365/100)+P365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וטרינרי / רפואי</t>
        </is>
      </c>
      <c r="F366" t="inlineStr">
        <is>
          <t>יבש</t>
        </is>
      </c>
      <c r="G366" t="inlineStr"/>
      <c r="H366" t="inlineStr">
        <is>
          <t>חתול</t>
        </is>
      </c>
      <c r="I366" t="inlineStr"/>
      <c r="J366" t="inlineStr">
        <is>
          <t>2026-04</t>
        </is>
      </c>
      <c r="K366" t="n">
        <v>412</v>
      </c>
      <c r="L366" t="n">
        <v>486.16</v>
      </c>
      <c r="M366">
        <f>הגדרות!B4</f>
        <v/>
      </c>
      <c r="N366">
        <f>K366*(1-M366/100)*1.18</f>
        <v/>
      </c>
      <c r="O366">
        <f>הגדרות!C4</f>
        <v/>
      </c>
      <c r="P366">
        <f>הגדרות!D4</f>
        <v/>
      </c>
      <c r="Q366">
        <f>N366*(1+O366/100)+P366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וטרינרי / רפואי</t>
        </is>
      </c>
      <c r="F367" t="inlineStr">
        <is>
          <t>יבש</t>
        </is>
      </c>
      <c r="G367" t="inlineStr"/>
      <c r="H367" t="inlineStr">
        <is>
          <t>חתול</t>
        </is>
      </c>
      <c r="I367" t="inlineStr"/>
      <c r="J367" t="inlineStr">
        <is>
          <t>2026-04</t>
        </is>
      </c>
      <c r="K367" t="n">
        <v>168</v>
      </c>
      <c r="L367" t="n">
        <v>198.24</v>
      </c>
      <c r="M367">
        <f>הגדרות!B4</f>
        <v/>
      </c>
      <c r="N367">
        <f>K367*(1-M367/100)*1.18</f>
        <v/>
      </c>
      <c r="O367">
        <f>הגדרות!C4</f>
        <v/>
      </c>
      <c r="P367">
        <f>הגדרות!D4</f>
        <v/>
      </c>
      <c r="Q367">
        <f>N367*(1+O367/100)+P367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וטרינרי / רפואי</t>
        </is>
      </c>
      <c r="F368" t="inlineStr">
        <is>
          <t>יבש</t>
        </is>
      </c>
      <c r="G368" t="inlineStr"/>
      <c r="H368" t="inlineStr">
        <is>
          <t>חתול</t>
        </is>
      </c>
      <c r="I368" t="inlineStr"/>
      <c r="J368" t="inlineStr">
        <is>
          <t>2026-04</t>
        </is>
      </c>
      <c r="K368" t="n">
        <v>168</v>
      </c>
      <c r="L368" t="n">
        <v>198.24</v>
      </c>
      <c r="M368">
        <f>הגדרות!B4</f>
        <v/>
      </c>
      <c r="N368">
        <f>K368*(1-M368/100)*1.18</f>
        <v/>
      </c>
      <c r="O368">
        <f>הגדרות!C4</f>
        <v/>
      </c>
      <c r="P368">
        <f>הגדרות!D4</f>
        <v/>
      </c>
      <c r="Q368">
        <f>N368*(1+O368/100)+P368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וטרינרי / רפואי</t>
        </is>
      </c>
      <c r="F369" t="inlineStr">
        <is>
          <t>יבש</t>
        </is>
      </c>
      <c r="G369" t="inlineStr"/>
      <c r="H369" t="inlineStr">
        <is>
          <t>חתול</t>
        </is>
      </c>
      <c r="I369" t="inlineStr"/>
      <c r="J369" t="inlineStr">
        <is>
          <t>2026-04</t>
        </is>
      </c>
      <c r="K369" t="n">
        <v>179</v>
      </c>
      <c r="L369" t="n">
        <v>211.22</v>
      </c>
      <c r="M369">
        <f>הגדרות!B4</f>
        <v/>
      </c>
      <c r="N369">
        <f>K369*(1-M369/100)*1.18</f>
        <v/>
      </c>
      <c r="O369">
        <f>הגדרות!C4</f>
        <v/>
      </c>
      <c r="P369">
        <f>הגדרות!D4</f>
        <v/>
      </c>
      <c r="Q369">
        <f>N369*(1+O369/100)+P369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וטרינרי / רפואי</t>
        </is>
      </c>
      <c r="F370" t="inlineStr">
        <is>
          <t>יבש</t>
        </is>
      </c>
      <c r="G370" t="inlineStr"/>
      <c r="H370" t="inlineStr">
        <is>
          <t>חתול</t>
        </is>
      </c>
      <c r="I370" t="inlineStr"/>
      <c r="J370" t="inlineStr">
        <is>
          <t>2026-04</t>
        </is>
      </c>
      <c r="K370" t="n">
        <v>100</v>
      </c>
      <c r="L370" t="n">
        <v>118</v>
      </c>
      <c r="M370">
        <f>הגדרות!B4</f>
        <v/>
      </c>
      <c r="N370">
        <f>K370*(1-M370/100)*1.18</f>
        <v/>
      </c>
      <c r="O370">
        <f>הגדרות!C4</f>
        <v/>
      </c>
      <c r="P370">
        <f>הגדרות!D4</f>
        <v/>
      </c>
      <c r="Q370">
        <f>N370*(1+O370/100)+P370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וטרינרי / רפואי</t>
        </is>
      </c>
      <c r="F371" t="inlineStr">
        <is>
          <t>יבש</t>
        </is>
      </c>
      <c r="G371" t="inlineStr"/>
      <c r="H371" t="inlineStr">
        <is>
          <t>חתול</t>
        </is>
      </c>
      <c r="I371" t="inlineStr"/>
      <c r="J371" t="inlineStr">
        <is>
          <t>2026-04</t>
        </is>
      </c>
      <c r="K371" t="n">
        <v>161</v>
      </c>
      <c r="L371" t="n">
        <v>189.98</v>
      </c>
      <c r="M371">
        <f>הגדרות!B4</f>
        <v/>
      </c>
      <c r="N371">
        <f>K371*(1-M371/100)*1.18</f>
        <v/>
      </c>
      <c r="O371">
        <f>הגדרות!C4</f>
        <v/>
      </c>
      <c r="P371">
        <f>הגדרות!D4</f>
        <v/>
      </c>
      <c r="Q371">
        <f>N371*(1+O371/100)+P371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וטרינרי / רפואי</t>
        </is>
      </c>
      <c r="F372" t="inlineStr">
        <is>
          <t>יבש</t>
        </is>
      </c>
      <c r="G372" t="inlineStr"/>
      <c r="H372" t="inlineStr">
        <is>
          <t>חתול</t>
        </is>
      </c>
      <c r="I372" t="inlineStr"/>
      <c r="J372" t="inlineStr">
        <is>
          <t>2026-04</t>
        </is>
      </c>
      <c r="K372" t="n">
        <v>159</v>
      </c>
      <c r="L372" t="n">
        <v>187.62</v>
      </c>
      <c r="M372">
        <f>הגדרות!B4</f>
        <v/>
      </c>
      <c r="N372">
        <f>K372*(1-M372/100)*1.18</f>
        <v/>
      </c>
      <c r="O372">
        <f>הגדרות!C4</f>
        <v/>
      </c>
      <c r="P372">
        <f>הגדרות!D4</f>
        <v/>
      </c>
      <c r="Q372">
        <f>N372*(1+O372/100)+P372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וטרינרי / רפואי</t>
        </is>
      </c>
      <c r="F373" t="inlineStr">
        <is>
          <t>יבש</t>
        </is>
      </c>
      <c r="G373" t="inlineStr"/>
      <c r="H373" t="inlineStr">
        <is>
          <t>חתול</t>
        </is>
      </c>
      <c r="I373" t="inlineStr"/>
      <c r="J373" t="inlineStr">
        <is>
          <t>2026-04</t>
        </is>
      </c>
      <c r="K373" t="n">
        <v>168</v>
      </c>
      <c r="L373" t="n">
        <v>198.24</v>
      </c>
      <c r="M373">
        <f>הגדרות!B4</f>
        <v/>
      </c>
      <c r="N373">
        <f>K373*(1-M373/100)*1.18</f>
        <v/>
      </c>
      <c r="O373">
        <f>הגדרות!C4</f>
        <v/>
      </c>
      <c r="P373">
        <f>הגדרות!D4</f>
        <v/>
      </c>
      <c r="Q373">
        <f>N373*(1+O373/100)+P373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וטרינרי / רפואי</t>
        </is>
      </c>
      <c r="F374" t="inlineStr">
        <is>
          <t>יבש</t>
        </is>
      </c>
      <c r="G374" t="inlineStr"/>
      <c r="H374" t="inlineStr">
        <is>
          <t>חתול</t>
        </is>
      </c>
      <c r="I374" t="inlineStr"/>
      <c r="J374" t="inlineStr">
        <is>
          <t>2026-04</t>
        </is>
      </c>
      <c r="K374" t="n">
        <v>426</v>
      </c>
      <c r="L374" t="n">
        <v>502.68</v>
      </c>
      <c r="M374">
        <f>הגדרות!B4</f>
        <v/>
      </c>
      <c r="N374">
        <f>K374*(1-M374/100)*1.18</f>
        <v/>
      </c>
      <c r="O374">
        <f>הגדרות!C4</f>
        <v/>
      </c>
      <c r="P374">
        <f>הגדרות!D4</f>
        <v/>
      </c>
      <c r="Q374">
        <f>N374*(1+O374/100)+P374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וטרינרי / רפואי</t>
        </is>
      </c>
      <c r="F375" t="inlineStr">
        <is>
          <t>יבש</t>
        </is>
      </c>
      <c r="G375" t="inlineStr"/>
      <c r="H375" t="inlineStr">
        <is>
          <t>חתול</t>
        </is>
      </c>
      <c r="I375" t="inlineStr"/>
      <c r="J375" t="inlineStr">
        <is>
          <t>2026-04</t>
        </is>
      </c>
      <c r="K375" t="n">
        <v>168</v>
      </c>
      <c r="L375" t="n">
        <v>198.24</v>
      </c>
      <c r="M375">
        <f>הגדרות!B4</f>
        <v/>
      </c>
      <c r="N375">
        <f>K375*(1-M375/100)*1.18</f>
        <v/>
      </c>
      <c r="O375">
        <f>הגדרות!C4</f>
        <v/>
      </c>
      <c r="P375">
        <f>הגדרות!D4</f>
        <v/>
      </c>
      <c r="Q375">
        <f>N375*(1+O375/100)+P375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וטרינרי / רפואי</t>
        </is>
      </c>
      <c r="F376" t="inlineStr">
        <is>
          <t>יבש</t>
        </is>
      </c>
      <c r="G376" t="inlineStr"/>
      <c r="H376" t="inlineStr">
        <is>
          <t>חתול</t>
        </is>
      </c>
      <c r="I376" t="inlineStr"/>
      <c r="J376" t="inlineStr">
        <is>
          <t>2026-04</t>
        </is>
      </c>
      <c r="K376" t="n">
        <v>189</v>
      </c>
      <c r="L376" t="n">
        <v>223.02</v>
      </c>
      <c r="M376">
        <f>הגדרות!B4</f>
        <v/>
      </c>
      <c r="N376">
        <f>K376*(1-M376/100)*1.18</f>
        <v/>
      </c>
      <c r="O376">
        <f>הגדרות!C4</f>
        <v/>
      </c>
      <c r="P376">
        <f>הגדרות!D4</f>
        <v/>
      </c>
      <c r="Q376">
        <f>N376*(1+O376/100)+P376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וטרינרי / רפואי</t>
        </is>
      </c>
      <c r="F377" t="inlineStr">
        <is>
          <t>יבש</t>
        </is>
      </c>
      <c r="G377" t="inlineStr"/>
      <c r="H377" t="inlineStr">
        <is>
          <t>חתול</t>
        </is>
      </c>
      <c r="I377" t="inlineStr"/>
      <c r="J377" t="inlineStr">
        <is>
          <t>2026-04</t>
        </is>
      </c>
      <c r="K377" t="n">
        <v>115</v>
      </c>
      <c r="L377" t="n">
        <v>135.7</v>
      </c>
      <c r="M377">
        <f>הגדרות!B4</f>
        <v/>
      </c>
      <c r="N377">
        <f>K377*(1-M377/100)*1.18</f>
        <v/>
      </c>
      <c r="O377">
        <f>הגדרות!C4</f>
        <v/>
      </c>
      <c r="P377">
        <f>הגדרות!D4</f>
        <v/>
      </c>
      <c r="Q377">
        <f>N377*(1+O377/100)+P377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וטרינרי / רפואי</t>
        </is>
      </c>
      <c r="F378" t="inlineStr">
        <is>
          <t>יבש</t>
        </is>
      </c>
      <c r="G378" t="inlineStr"/>
      <c r="H378" t="inlineStr">
        <is>
          <t>חתול</t>
        </is>
      </c>
      <c r="I378" t="inlineStr"/>
      <c r="J378" t="inlineStr">
        <is>
          <t>2026-04</t>
        </is>
      </c>
      <c r="K378" t="n">
        <v>100</v>
      </c>
      <c r="L378" t="n">
        <v>118</v>
      </c>
      <c r="M378">
        <f>הגדרות!B4</f>
        <v/>
      </c>
      <c r="N378">
        <f>K378*(1-M378/100)*1.18</f>
        <v/>
      </c>
      <c r="O378">
        <f>הגדרות!C4</f>
        <v/>
      </c>
      <c r="P378">
        <f>הגדרות!D4</f>
        <v/>
      </c>
      <c r="Q378">
        <f>N378*(1+O378/100)+P378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וטרינרי / רפואי</t>
        </is>
      </c>
      <c r="F379" t="inlineStr">
        <is>
          <t>יבש</t>
        </is>
      </c>
      <c r="G379" t="inlineStr"/>
      <c r="H379" t="inlineStr">
        <is>
          <t>חתול</t>
        </is>
      </c>
      <c r="I379" t="inlineStr"/>
      <c r="J379" t="inlineStr">
        <is>
          <t>2026-04</t>
        </is>
      </c>
      <c r="K379" t="n">
        <v>154</v>
      </c>
      <c r="L379" t="n">
        <v>181.72</v>
      </c>
      <c r="M379">
        <f>הגדרות!B4</f>
        <v/>
      </c>
      <c r="N379">
        <f>K379*(1-M379/100)*1.18</f>
        <v/>
      </c>
      <c r="O379">
        <f>הגדרות!C4</f>
        <v/>
      </c>
      <c r="P379">
        <f>הגדרות!D4</f>
        <v/>
      </c>
      <c r="Q379">
        <f>N379*(1+O379/100)+P379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וטרינרי / רפואי</t>
        </is>
      </c>
      <c r="F380" t="inlineStr">
        <is>
          <t>יבש</t>
        </is>
      </c>
      <c r="G380" t="inlineStr"/>
      <c r="H380" t="inlineStr">
        <is>
          <t>חתול</t>
        </is>
      </c>
      <c r="I380" t="inlineStr"/>
      <c r="J380" t="inlineStr">
        <is>
          <t>2026-04</t>
        </is>
      </c>
      <c r="K380" t="n">
        <v>179</v>
      </c>
      <c r="L380" t="n">
        <v>211.22</v>
      </c>
      <c r="M380">
        <f>הגדרות!B4</f>
        <v/>
      </c>
      <c r="N380">
        <f>K380*(1-M380/100)*1.18</f>
        <v/>
      </c>
      <c r="O380">
        <f>הגדרות!C4</f>
        <v/>
      </c>
      <c r="P380">
        <f>הגדרות!D4</f>
        <v/>
      </c>
      <c r="Q380">
        <f>N380*(1+O380/100)+P380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וטרינרי / רפואי</t>
        </is>
      </c>
      <c r="F381" t="inlineStr">
        <is>
          <t>יבש</t>
        </is>
      </c>
      <c r="G381" t="inlineStr"/>
      <c r="H381" t="inlineStr">
        <is>
          <t>חתול</t>
        </is>
      </c>
      <c r="I381" t="inlineStr"/>
      <c r="J381" t="inlineStr">
        <is>
          <t>2026-04</t>
        </is>
      </c>
      <c r="K381" t="n">
        <v>179</v>
      </c>
      <c r="L381" t="n">
        <v>211.22</v>
      </c>
      <c r="M381">
        <f>הגדרות!B4</f>
        <v/>
      </c>
      <c r="N381">
        <f>K381*(1-M381/100)*1.18</f>
        <v/>
      </c>
      <c r="O381">
        <f>הגדרות!C4</f>
        <v/>
      </c>
      <c r="P381">
        <f>הגדרות!D4</f>
        <v/>
      </c>
      <c r="Q381">
        <f>N381*(1+O381/100)+P381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וטרינרי / רפואי</t>
        </is>
      </c>
      <c r="F382" t="inlineStr">
        <is>
          <t>רטוב</t>
        </is>
      </c>
      <c r="G382" t="inlineStr"/>
      <c r="H382" t="inlineStr">
        <is>
          <t>חתול</t>
        </is>
      </c>
      <c r="I382" t="inlineStr"/>
      <c r="J382" t="inlineStr">
        <is>
          <t>2026-04</t>
        </is>
      </c>
      <c r="K382" t="n">
        <v>10</v>
      </c>
      <c r="L382" t="n">
        <v>11.8</v>
      </c>
      <c r="M382">
        <f>הגדרות!B4</f>
        <v/>
      </c>
      <c r="N382">
        <f>K382*(1-M382/100)*1.18</f>
        <v/>
      </c>
      <c r="O382">
        <f>הגדרות!C4</f>
        <v/>
      </c>
      <c r="P382">
        <f>הגדרות!D4</f>
        <v/>
      </c>
      <c r="Q382">
        <f>N382*(1+O382/100)+P382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וטרינרי / רפואי</t>
        </is>
      </c>
      <c r="F383" t="inlineStr">
        <is>
          <t>רטוב</t>
        </is>
      </c>
      <c r="G383" t="inlineStr">
        <is>
          <t>גורים</t>
        </is>
      </c>
      <c r="H383" t="inlineStr">
        <is>
          <t>חתול</t>
        </is>
      </c>
      <c r="I383" t="inlineStr"/>
      <c r="J383" t="inlineStr">
        <is>
          <t>2026-04</t>
        </is>
      </c>
      <c r="K383" t="n">
        <v>6.9</v>
      </c>
      <c r="L383" t="n">
        <v>8.140000000000001</v>
      </c>
      <c r="M383">
        <f>הגדרות!B4</f>
        <v/>
      </c>
      <c r="N383">
        <f>K383*(1-M383/100)*1.18</f>
        <v/>
      </c>
      <c r="O383">
        <f>הגדרות!C4</f>
        <v/>
      </c>
      <c r="P383">
        <f>הגדרות!D4</f>
        <v/>
      </c>
      <c r="Q383">
        <f>N383*(1+O383/100)+P383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וטרינרי / רפואי</t>
        </is>
      </c>
      <c r="F384" t="inlineStr">
        <is>
          <t>רטוב</t>
        </is>
      </c>
      <c r="G384" t="inlineStr"/>
      <c r="H384" t="inlineStr"/>
      <c r="I384" t="inlineStr"/>
      <c r="J384" t="inlineStr">
        <is>
          <t>2026-04</t>
        </is>
      </c>
      <c r="K384" t="n">
        <v>74</v>
      </c>
      <c r="L384" t="n">
        <v>87.31999999999999</v>
      </c>
      <c r="M384">
        <f>הגדרות!B4</f>
        <v/>
      </c>
      <c r="N384">
        <f>K384*(1-M384/100)*1.18</f>
        <v/>
      </c>
      <c r="O384">
        <f>הגדרות!C4</f>
        <v/>
      </c>
      <c r="P384">
        <f>הגדרות!D4</f>
        <v/>
      </c>
      <c r="Q384">
        <f>N384*(1+O384/100)+P384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וטרינרי / רפואי</t>
        </is>
      </c>
      <c r="F385" t="inlineStr">
        <is>
          <t>רטוב</t>
        </is>
      </c>
      <c r="G385" t="inlineStr">
        <is>
          <t>גורים</t>
        </is>
      </c>
      <c r="H385" t="inlineStr">
        <is>
          <t>חתול</t>
        </is>
      </c>
      <c r="I385" t="inlineStr"/>
      <c r="J385" t="inlineStr">
        <is>
          <t>2026-04</t>
        </is>
      </c>
      <c r="K385" t="n">
        <v>76</v>
      </c>
      <c r="L385" t="n">
        <v>89.68000000000001</v>
      </c>
      <c r="M385">
        <f>הגדרות!B4</f>
        <v/>
      </c>
      <c r="N385">
        <f>K385*(1-M385/100)*1.18</f>
        <v/>
      </c>
      <c r="O385">
        <f>הגדרות!C4</f>
        <v/>
      </c>
      <c r="P385">
        <f>הגדרות!D4</f>
        <v/>
      </c>
      <c r="Q385">
        <f>N385*(1+O385/100)+P385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וטרינרי / רפואי</t>
        </is>
      </c>
      <c r="F386" t="inlineStr">
        <is>
          <t>רטוב</t>
        </is>
      </c>
      <c r="G386" t="inlineStr">
        <is>
          <t>בוגר</t>
        </is>
      </c>
      <c r="H386" t="inlineStr">
        <is>
          <t>חתול</t>
        </is>
      </c>
      <c r="I386" t="inlineStr"/>
      <c r="J386" t="inlineStr">
        <is>
          <t>2026-04</t>
        </is>
      </c>
      <c r="K386" t="n">
        <v>10.3</v>
      </c>
      <c r="L386" t="n">
        <v>12.15</v>
      </c>
      <c r="M386">
        <f>הגדרות!B4</f>
        <v/>
      </c>
      <c r="N386">
        <f>K386*(1-M386/100)*1.18</f>
        <v/>
      </c>
      <c r="O386">
        <f>הגדרות!C4</f>
        <v/>
      </c>
      <c r="P386">
        <f>הגדרות!D4</f>
        <v/>
      </c>
      <c r="Q386">
        <f>N386*(1+O386/100)+P386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וטרינרי / רפואי</t>
        </is>
      </c>
      <c r="F387" t="inlineStr">
        <is>
          <t>רטוב</t>
        </is>
      </c>
      <c r="G387" t="inlineStr">
        <is>
          <t>גורים</t>
        </is>
      </c>
      <c r="H387" t="inlineStr">
        <is>
          <t>חתול</t>
        </is>
      </c>
      <c r="I387" t="inlineStr"/>
      <c r="J387" t="inlineStr">
        <is>
          <t>2026-04</t>
        </is>
      </c>
      <c r="K387" t="n">
        <v>7</v>
      </c>
      <c r="L387" t="n">
        <v>8.26</v>
      </c>
      <c r="M387">
        <f>הגדרות!B4</f>
        <v/>
      </c>
      <c r="N387">
        <f>K387*(1-M387/100)*1.18</f>
        <v/>
      </c>
      <c r="O387">
        <f>הגדרות!C4</f>
        <v/>
      </c>
      <c r="P387">
        <f>הגדרות!D4</f>
        <v/>
      </c>
      <c r="Q387">
        <f>N387*(1+O387/100)+P387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וטרינרי / רפואי</t>
        </is>
      </c>
      <c r="F388" t="inlineStr">
        <is>
          <t>רטוב</t>
        </is>
      </c>
      <c r="G388" t="inlineStr">
        <is>
          <t>בוגר</t>
        </is>
      </c>
      <c r="H388" t="inlineStr">
        <is>
          <t>חתול</t>
        </is>
      </c>
      <c r="I388" t="inlineStr"/>
      <c r="J388" t="inlineStr">
        <is>
          <t>2026-04</t>
        </is>
      </c>
      <c r="K388" t="n">
        <v>84</v>
      </c>
      <c r="L388" t="n">
        <v>99.12</v>
      </c>
      <c r="M388">
        <f>הגדרות!B4</f>
        <v/>
      </c>
      <c r="N388">
        <f>K388*(1-M388/100)*1.18</f>
        <v/>
      </c>
      <c r="O388">
        <f>הגדרות!C4</f>
        <v/>
      </c>
      <c r="P388">
        <f>הגדרות!D4</f>
        <v/>
      </c>
      <c r="Q388">
        <f>N388*(1+O388/100)+P388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וטרינרי / רפואי</t>
        </is>
      </c>
      <c r="F389" t="inlineStr">
        <is>
          <t>רטוב</t>
        </is>
      </c>
      <c r="G389" t="inlineStr"/>
      <c r="H389" t="inlineStr">
        <is>
          <t>חתול</t>
        </is>
      </c>
      <c r="I389" t="inlineStr"/>
      <c r="J389" t="inlineStr">
        <is>
          <t>2026-04</t>
        </is>
      </c>
      <c r="K389" t="n">
        <v>10</v>
      </c>
      <c r="L389" t="n">
        <v>11.8</v>
      </c>
      <c r="M389">
        <f>הגדרות!B4</f>
        <v/>
      </c>
      <c r="N389">
        <f>K389*(1-M389/100)*1.18</f>
        <v/>
      </c>
      <c r="O389">
        <f>הגדרות!C4</f>
        <v/>
      </c>
      <c r="P389">
        <f>הגדרות!D4</f>
        <v/>
      </c>
      <c r="Q389">
        <f>N389*(1+O389/100)+P389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וטרינרי / רפואי</t>
        </is>
      </c>
      <c r="F390" t="inlineStr">
        <is>
          <t>רטוב</t>
        </is>
      </c>
      <c r="G390" t="inlineStr">
        <is>
          <t>גורים</t>
        </is>
      </c>
      <c r="H390" t="inlineStr">
        <is>
          <t>חתול</t>
        </is>
      </c>
      <c r="I390" t="inlineStr"/>
      <c r="J390" t="inlineStr">
        <is>
          <t>2026-04</t>
        </is>
      </c>
      <c r="K390" t="n">
        <v>6.9</v>
      </c>
      <c r="L390" t="n">
        <v>8.140000000000001</v>
      </c>
      <c r="M390">
        <f>הגדרות!B4</f>
        <v/>
      </c>
      <c r="N390">
        <f>K390*(1-M390/100)*1.18</f>
        <v/>
      </c>
      <c r="O390">
        <f>הגדרות!C4</f>
        <v/>
      </c>
      <c r="P390">
        <f>הגדרות!D4</f>
        <v/>
      </c>
      <c r="Q390">
        <f>N390*(1+O390/100)+P390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וטרינרי / רפואי</t>
        </is>
      </c>
      <c r="F391" t="inlineStr">
        <is>
          <t>רטוב</t>
        </is>
      </c>
      <c r="G391" t="inlineStr"/>
      <c r="H391" t="inlineStr">
        <is>
          <t>חתול</t>
        </is>
      </c>
      <c r="I391" t="inlineStr"/>
      <c r="J391" t="inlineStr">
        <is>
          <t>2026-04</t>
        </is>
      </c>
      <c r="K391" t="n">
        <v>74</v>
      </c>
      <c r="L391" t="n">
        <v>87.31999999999999</v>
      </c>
      <c r="M391">
        <f>הגדרות!B4</f>
        <v/>
      </c>
      <c r="N391">
        <f>K391*(1-M391/100)*1.18</f>
        <v/>
      </c>
      <c r="O391">
        <f>הגדרות!C4</f>
        <v/>
      </c>
      <c r="P391">
        <f>הגדרות!D4</f>
        <v/>
      </c>
      <c r="Q391">
        <f>N391*(1+O391/100)+P391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וטרינרי / רפואי</t>
        </is>
      </c>
      <c r="F392" t="inlineStr">
        <is>
          <t>רטוב</t>
        </is>
      </c>
      <c r="G392" t="inlineStr"/>
      <c r="H392" t="inlineStr">
        <is>
          <t>חתול</t>
        </is>
      </c>
      <c r="I392" t="inlineStr"/>
      <c r="J392" t="inlineStr">
        <is>
          <t>2026-04</t>
        </is>
      </c>
      <c r="K392" t="n">
        <v>74</v>
      </c>
      <c r="L392" t="n">
        <v>87.31999999999999</v>
      </c>
      <c r="M392">
        <f>הגדרות!B4</f>
        <v/>
      </c>
      <c r="N392">
        <f>K392*(1-M392/100)*1.18</f>
        <v/>
      </c>
      <c r="O392">
        <f>הגדרות!C4</f>
        <v/>
      </c>
      <c r="P392">
        <f>הגדרות!D4</f>
        <v/>
      </c>
      <c r="Q392">
        <f>N392*(1+O392/100)+P392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וטרינרי / רפואי</t>
        </is>
      </c>
      <c r="F393" t="inlineStr">
        <is>
          <t>רטוב</t>
        </is>
      </c>
      <c r="G393" t="inlineStr"/>
      <c r="H393" t="inlineStr">
        <is>
          <t>חתול</t>
        </is>
      </c>
      <c r="I393" t="inlineStr"/>
      <c r="J393" t="inlineStr">
        <is>
          <t>2026-04</t>
        </is>
      </c>
      <c r="K393" t="n">
        <v>74</v>
      </c>
      <c r="L393" t="n">
        <v>87.31999999999999</v>
      </c>
      <c r="M393">
        <f>הגדרות!B4</f>
        <v/>
      </c>
      <c r="N393">
        <f>K393*(1-M393/100)*1.18</f>
        <v/>
      </c>
      <c r="O393">
        <f>הגדרות!C4</f>
        <v/>
      </c>
      <c r="P393">
        <f>הגדרות!D4</f>
        <v/>
      </c>
      <c r="Q393">
        <f>N393*(1+O393/100)+P393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וטרינרי / רפואי</t>
        </is>
      </c>
      <c r="F394" t="inlineStr">
        <is>
          <t>רטוב</t>
        </is>
      </c>
      <c r="G394" t="inlineStr"/>
      <c r="H394" t="inlineStr">
        <is>
          <t>חתול</t>
        </is>
      </c>
      <c r="I394" t="inlineStr"/>
      <c r="J394" t="inlineStr">
        <is>
          <t>2026-04</t>
        </is>
      </c>
      <c r="K394" t="n">
        <v>74</v>
      </c>
      <c r="L394" t="n">
        <v>87.31999999999999</v>
      </c>
      <c r="M394">
        <f>הגדרות!B4</f>
        <v/>
      </c>
      <c r="N394">
        <f>K394*(1-M394/100)*1.18</f>
        <v/>
      </c>
      <c r="O394">
        <f>הגדרות!C4</f>
        <v/>
      </c>
      <c r="P394">
        <f>הגדרות!D4</f>
        <v/>
      </c>
      <c r="Q394">
        <f>N394*(1+O394/100)+P394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וטרינרי / רפואי</t>
        </is>
      </c>
      <c r="F395" t="inlineStr">
        <is>
          <t>רטוב</t>
        </is>
      </c>
      <c r="G395" t="inlineStr"/>
      <c r="H395" t="inlineStr">
        <is>
          <t>חתול</t>
        </is>
      </c>
      <c r="I395" t="inlineStr"/>
      <c r="J395" t="inlineStr">
        <is>
          <t>2026-04</t>
        </is>
      </c>
      <c r="K395" t="n">
        <v>74</v>
      </c>
      <c r="L395" t="n">
        <v>87.31999999999999</v>
      </c>
      <c r="M395">
        <f>הגדרות!B4</f>
        <v/>
      </c>
      <c r="N395">
        <f>K395*(1-M395/100)*1.18</f>
        <v/>
      </c>
      <c r="O395">
        <f>הגדרות!C4</f>
        <v/>
      </c>
      <c r="P395">
        <f>הגדרות!D4</f>
        <v/>
      </c>
      <c r="Q395">
        <f>N395*(1+O395/100)+P395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וטרינרי / רפואי</t>
        </is>
      </c>
      <c r="F396" t="inlineStr">
        <is>
          <t>רטוב</t>
        </is>
      </c>
      <c r="G396" t="inlineStr"/>
      <c r="H396" t="inlineStr">
        <is>
          <t>חתול</t>
        </is>
      </c>
      <c r="I396" t="inlineStr"/>
      <c r="J396" t="inlineStr">
        <is>
          <t>2026-04</t>
        </is>
      </c>
      <c r="K396" t="n">
        <v>10</v>
      </c>
      <c r="L396" t="n">
        <v>11.8</v>
      </c>
      <c r="M396">
        <f>הגדרות!B4</f>
        <v/>
      </c>
      <c r="N396">
        <f>K396*(1-M396/100)*1.18</f>
        <v/>
      </c>
      <c r="O396">
        <f>הגדרות!C4</f>
        <v/>
      </c>
      <c r="P396">
        <f>הגדרות!D4</f>
        <v/>
      </c>
      <c r="Q396">
        <f>N396*(1+O396/100)+P396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וטרינרי / רפואי</t>
        </is>
      </c>
      <c r="F397" t="inlineStr">
        <is>
          <t>רטוב</t>
        </is>
      </c>
      <c r="G397" t="inlineStr"/>
      <c r="H397" t="inlineStr">
        <is>
          <t>חתול</t>
        </is>
      </c>
      <c r="I397" t="inlineStr"/>
      <c r="J397" t="inlineStr">
        <is>
          <t>2026-04</t>
        </is>
      </c>
      <c r="K397" t="n">
        <v>74</v>
      </c>
      <c r="L397" t="n">
        <v>87.31999999999999</v>
      </c>
      <c r="M397">
        <f>הגדרות!B4</f>
        <v/>
      </c>
      <c r="N397">
        <f>K397*(1-M397/100)*1.18</f>
        <v/>
      </c>
      <c r="O397">
        <f>הגדרות!C4</f>
        <v/>
      </c>
      <c r="P397">
        <f>הגדרות!D4</f>
        <v/>
      </c>
      <c r="Q397">
        <f>N397*(1+O397/100)+P397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וטרינרי / רפואי</t>
        </is>
      </c>
      <c r="F398" t="inlineStr">
        <is>
          <t>רטוב</t>
        </is>
      </c>
      <c r="G398" t="inlineStr"/>
      <c r="H398" t="inlineStr">
        <is>
          <t>חתול</t>
        </is>
      </c>
      <c r="I398" t="inlineStr"/>
      <c r="J398" t="inlineStr">
        <is>
          <t>2026-04</t>
        </is>
      </c>
      <c r="K398" t="n">
        <v>11</v>
      </c>
      <c r="L398" t="n">
        <v>12.98</v>
      </c>
      <c r="M398">
        <f>הגדרות!B4</f>
        <v/>
      </c>
      <c r="N398">
        <f>K398*(1-M398/100)*1.18</f>
        <v/>
      </c>
      <c r="O398">
        <f>הגדרות!C4</f>
        <v/>
      </c>
      <c r="P398">
        <f>הגדרות!D4</f>
        <v/>
      </c>
      <c r="Q398">
        <f>N398*(1+O398/100)+P398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וטרינרי / רפואי</t>
        </is>
      </c>
      <c r="F399" t="inlineStr">
        <is>
          <t>רטוב</t>
        </is>
      </c>
      <c r="G399" t="inlineStr"/>
      <c r="H399" t="inlineStr">
        <is>
          <t>חתול</t>
        </is>
      </c>
      <c r="I399" t="inlineStr"/>
      <c r="J399" t="inlineStr">
        <is>
          <t>2026-04</t>
        </is>
      </c>
      <c r="K399" t="n">
        <v>8.4</v>
      </c>
      <c r="L399" t="n">
        <v>9.91</v>
      </c>
      <c r="M399">
        <f>הגדרות!B4</f>
        <v/>
      </c>
      <c r="N399">
        <f>K399*(1-M399/100)*1.18</f>
        <v/>
      </c>
      <c r="O399">
        <f>הגדרות!C4</f>
        <v/>
      </c>
      <c r="P399">
        <f>הגדרות!D4</f>
        <v/>
      </c>
      <c r="Q399">
        <f>N399*(1+O399/100)+P399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וטרינרי / רפואי</t>
        </is>
      </c>
      <c r="F400" t="inlineStr">
        <is>
          <t>רטוב</t>
        </is>
      </c>
      <c r="G400" t="inlineStr"/>
      <c r="H400" t="inlineStr"/>
      <c r="I400" t="inlineStr"/>
      <c r="J400" t="inlineStr">
        <is>
          <t>2026-04</t>
        </is>
      </c>
      <c r="K400" t="n">
        <v>24</v>
      </c>
      <c r="L400" t="n">
        <v>28.32</v>
      </c>
      <c r="M400">
        <f>הגדרות!B4</f>
        <v/>
      </c>
      <c r="N400">
        <f>K400*(1-M400/100)*1.18</f>
        <v/>
      </c>
      <c r="O400">
        <f>הגדרות!C4</f>
        <v/>
      </c>
      <c r="P400">
        <f>הגדרות!D4</f>
        <v/>
      </c>
      <c r="Q400">
        <f>N400*(1+O400/100)+P400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רגיל</t>
        </is>
      </c>
      <c r="F401" t="inlineStr">
        <is>
          <t>יבש</t>
        </is>
      </c>
      <c r="G401" t="inlineStr">
        <is>
          <t>גורים</t>
        </is>
      </c>
      <c r="H401" t="inlineStr">
        <is>
          <t>כלב</t>
        </is>
      </c>
      <c r="I401" t="inlineStr">
        <is>
          <t>עד 7 ק"ג</t>
        </is>
      </c>
      <c r="J401" t="inlineStr">
        <is>
          <t>2026-04</t>
        </is>
      </c>
      <c r="K401" t="n">
        <v>68</v>
      </c>
      <c r="L401" t="n">
        <v>80.23999999999999</v>
      </c>
      <c r="M401">
        <f>הגדרות!B5</f>
        <v/>
      </c>
      <c r="N401">
        <f>K401*(1-M401/100)*1.18</f>
        <v/>
      </c>
      <c r="O401">
        <f>הגדרות!C5</f>
        <v/>
      </c>
      <c r="P401">
        <f>הגדרות!D5</f>
        <v/>
      </c>
      <c r="Q401">
        <f>N401*(1+O401/100)+P401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רגיל</t>
        </is>
      </c>
      <c r="F402" t="inlineStr">
        <is>
          <t>יבש</t>
        </is>
      </c>
      <c r="G402" t="inlineStr">
        <is>
          <t>גורים</t>
        </is>
      </c>
      <c r="H402" t="inlineStr">
        <is>
          <t>כלב</t>
        </is>
      </c>
      <c r="I402" t="inlineStr">
        <is>
          <t>עד 7 ק"ג</t>
        </is>
      </c>
      <c r="J402" t="inlineStr">
        <is>
          <t>2026-04</t>
        </is>
      </c>
      <c r="K402" t="n">
        <v>115</v>
      </c>
      <c r="L402" t="n">
        <v>135.7</v>
      </c>
      <c r="M402">
        <f>הגדרות!B5</f>
        <v/>
      </c>
      <c r="N402">
        <f>K402*(1-M402/100)*1.18</f>
        <v/>
      </c>
      <c r="O402">
        <f>הגדרות!C5</f>
        <v/>
      </c>
      <c r="P402">
        <f>הגדרות!D5</f>
        <v/>
      </c>
      <c r="Q402">
        <f>N402*(1+O402/100)+P402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רגיל</t>
        </is>
      </c>
      <c r="F403" t="inlineStr">
        <is>
          <t>יבש</t>
        </is>
      </c>
      <c r="G403" t="inlineStr">
        <is>
          <t>גורים</t>
        </is>
      </c>
      <c r="H403" t="inlineStr">
        <is>
          <t>כלב</t>
        </is>
      </c>
      <c r="I403" t="inlineStr">
        <is>
          <t>עד 7 ק"ג</t>
        </is>
      </c>
      <c r="J403" t="inlineStr">
        <is>
          <t>2026-04</t>
        </is>
      </c>
      <c r="K403" t="n">
        <v>188</v>
      </c>
      <c r="L403" t="n">
        <v>221.84</v>
      </c>
      <c r="M403">
        <f>הגדרות!B5</f>
        <v/>
      </c>
      <c r="N403">
        <f>K403*(1-M403/100)*1.18</f>
        <v/>
      </c>
      <c r="O403">
        <f>הגדרות!C5</f>
        <v/>
      </c>
      <c r="P403">
        <f>הגדרות!D5</f>
        <v/>
      </c>
      <c r="Q403">
        <f>N403*(1+O403/100)+P403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רגיל</t>
        </is>
      </c>
      <c r="F404" t="inlineStr">
        <is>
          <t>יבש</t>
        </is>
      </c>
      <c r="G404" t="inlineStr">
        <is>
          <t>גורים</t>
        </is>
      </c>
      <c r="H404" t="inlineStr">
        <is>
          <t>כלב</t>
        </is>
      </c>
      <c r="I404" t="inlineStr">
        <is>
          <t>עד 7 ק"ג</t>
        </is>
      </c>
      <c r="J404" t="inlineStr">
        <is>
          <t>2026-04</t>
        </is>
      </c>
      <c r="K404" t="n">
        <v>125</v>
      </c>
      <c r="L404" t="n">
        <v>147.5</v>
      </c>
      <c r="M404">
        <f>הגדרות!B5</f>
        <v/>
      </c>
      <c r="N404">
        <f>K404*(1-M404/100)*1.18</f>
        <v/>
      </c>
      <c r="O404">
        <f>הגדרות!C5</f>
        <v/>
      </c>
      <c r="P404">
        <f>הגדרות!D5</f>
        <v/>
      </c>
      <c r="Q404">
        <f>N404*(1+O404/100)+P404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רגיל</t>
        </is>
      </c>
      <c r="F405" t="inlineStr">
        <is>
          <t>יבש</t>
        </is>
      </c>
      <c r="G405" t="inlineStr">
        <is>
          <t>גורים</t>
        </is>
      </c>
      <c r="H405" t="inlineStr">
        <is>
          <t>כלב</t>
        </is>
      </c>
      <c r="I405" t="inlineStr">
        <is>
          <t>עד 7 ק"ג</t>
        </is>
      </c>
      <c r="J405" t="inlineStr">
        <is>
          <t>2026-04</t>
        </is>
      </c>
      <c r="K405" t="n">
        <v>196</v>
      </c>
      <c r="L405" t="n">
        <v>231.28</v>
      </c>
      <c r="M405">
        <f>הגדרות!B5</f>
        <v/>
      </c>
      <c r="N405">
        <f>K405*(1-M405/100)*1.18</f>
        <v/>
      </c>
      <c r="O405">
        <f>הגדרות!C5</f>
        <v/>
      </c>
      <c r="P405">
        <f>הגדרות!D5</f>
        <v/>
      </c>
      <c r="Q405">
        <f>N405*(1+O405/100)+P405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רגיל</t>
        </is>
      </c>
      <c r="F406" t="inlineStr">
        <is>
          <t>יבש</t>
        </is>
      </c>
      <c r="G406" t="inlineStr">
        <is>
          <t>גורים</t>
        </is>
      </c>
      <c r="H406" t="inlineStr">
        <is>
          <t>כלב</t>
        </is>
      </c>
      <c r="I406" t="inlineStr"/>
      <c r="J406" t="inlineStr">
        <is>
          <t>2026-04</t>
        </is>
      </c>
      <c r="K406" t="n">
        <v>94</v>
      </c>
      <c r="L406" t="n">
        <v>110.92</v>
      </c>
      <c r="M406">
        <f>הגדרות!B5</f>
        <v/>
      </c>
      <c r="N406">
        <f>K406*(1-M406/100)*1.18</f>
        <v/>
      </c>
      <c r="O406">
        <f>הגדרות!C5</f>
        <v/>
      </c>
      <c r="P406">
        <f>הגדרות!D5</f>
        <v/>
      </c>
      <c r="Q406">
        <f>N406*(1+O406/100)+P406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רגיל</t>
        </is>
      </c>
      <c r="F407" t="inlineStr">
        <is>
          <t>יבש</t>
        </is>
      </c>
      <c r="G407" t="inlineStr">
        <is>
          <t>גורים</t>
        </is>
      </c>
      <c r="H407" t="inlineStr">
        <is>
          <t>כלב</t>
        </is>
      </c>
      <c r="I407" t="inlineStr"/>
      <c r="J407" t="inlineStr">
        <is>
          <t>2026-04</t>
        </is>
      </c>
      <c r="K407" t="n">
        <v>337</v>
      </c>
      <c r="L407" t="n">
        <v>397.66</v>
      </c>
      <c r="M407">
        <f>הגדרות!B5</f>
        <v/>
      </c>
      <c r="N407">
        <f>K407*(1-M407/100)*1.18</f>
        <v/>
      </c>
      <c r="O407">
        <f>הגדרות!C5</f>
        <v/>
      </c>
      <c r="P407">
        <f>הגדרות!D5</f>
        <v/>
      </c>
      <c r="Q407">
        <f>N407*(1+O407/100)+P407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רגיל</t>
        </is>
      </c>
      <c r="F408" t="inlineStr">
        <is>
          <t>יבש</t>
        </is>
      </c>
      <c r="G408" t="inlineStr">
        <is>
          <t>גורים</t>
        </is>
      </c>
      <c r="H408" t="inlineStr">
        <is>
          <t>כלב</t>
        </is>
      </c>
      <c r="I408" t="inlineStr"/>
      <c r="J408" t="inlineStr">
        <is>
          <t>2026-04</t>
        </is>
      </c>
      <c r="K408" t="n">
        <v>103</v>
      </c>
      <c r="L408" t="n">
        <v>121.54</v>
      </c>
      <c r="M408">
        <f>הגדרות!B5</f>
        <v/>
      </c>
      <c r="N408">
        <f>K408*(1-M408/100)*1.18</f>
        <v/>
      </c>
      <c r="O408">
        <f>הגדרות!C5</f>
        <v/>
      </c>
      <c r="P408">
        <f>הגדרות!D5</f>
        <v/>
      </c>
      <c r="Q408">
        <f>N408*(1+O408/100)+P408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רגיל</t>
        </is>
      </c>
      <c r="F409" t="inlineStr">
        <is>
          <t>יבש</t>
        </is>
      </c>
      <c r="G409" t="inlineStr">
        <is>
          <t>גורים</t>
        </is>
      </c>
      <c r="H409" t="inlineStr">
        <is>
          <t>כלב</t>
        </is>
      </c>
      <c r="I409" t="inlineStr"/>
      <c r="J409" t="inlineStr">
        <is>
          <t>2026-04</t>
        </is>
      </c>
      <c r="K409" t="n">
        <v>363</v>
      </c>
      <c r="L409" t="n">
        <v>428.34</v>
      </c>
      <c r="M409">
        <f>הגדרות!B5</f>
        <v/>
      </c>
      <c r="N409">
        <f>K409*(1-M409/100)*1.18</f>
        <v/>
      </c>
      <c r="O409">
        <f>הגדרות!C5</f>
        <v/>
      </c>
      <c r="P409">
        <f>הגדרות!D5</f>
        <v/>
      </c>
      <c r="Q409">
        <f>N409*(1+O409/100)+P409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רגיל</t>
        </is>
      </c>
      <c r="F410" t="inlineStr">
        <is>
          <t>יבש</t>
        </is>
      </c>
      <c r="G410" t="inlineStr">
        <is>
          <t>גורים</t>
        </is>
      </c>
      <c r="H410" t="inlineStr">
        <is>
          <t>כלב</t>
        </is>
      </c>
      <c r="I410" t="inlineStr">
        <is>
          <t>מעל 7 ק"ג</t>
        </is>
      </c>
      <c r="J410" t="inlineStr">
        <is>
          <t>2026-04</t>
        </is>
      </c>
      <c r="K410" t="n">
        <v>349</v>
      </c>
      <c r="L410" t="n">
        <v>411.82</v>
      </c>
      <c r="M410">
        <f>הגדרות!B5</f>
        <v/>
      </c>
      <c r="N410">
        <f>K410*(1-M410/100)*1.18</f>
        <v/>
      </c>
      <c r="O410">
        <f>הגדרות!C5</f>
        <v/>
      </c>
      <c r="P410">
        <f>הגדרות!D5</f>
        <v/>
      </c>
      <c r="Q410">
        <f>N410*(1+O410/100)+P410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רגיל</t>
        </is>
      </c>
      <c r="F411" t="inlineStr">
        <is>
          <t>יבש</t>
        </is>
      </c>
      <c r="G411" t="inlineStr">
        <is>
          <t>בוגר</t>
        </is>
      </c>
      <c r="H411" t="inlineStr">
        <is>
          <t>כלב</t>
        </is>
      </c>
      <c r="I411" t="inlineStr">
        <is>
          <t>עד 7 ק"ג</t>
        </is>
      </c>
      <c r="J411" t="inlineStr">
        <is>
          <t>2026-04</t>
        </is>
      </c>
      <c r="K411" t="n">
        <v>106</v>
      </c>
      <c r="L411" t="n">
        <v>125.08</v>
      </c>
      <c r="M411">
        <f>הגדרות!B5</f>
        <v/>
      </c>
      <c r="N411">
        <f>K411*(1-M411/100)*1.18</f>
        <v/>
      </c>
      <c r="O411">
        <f>הגדרות!C5</f>
        <v/>
      </c>
      <c r="P411">
        <f>הגדרות!D5</f>
        <v/>
      </c>
      <c r="Q411">
        <f>N411*(1+O411/100)+P411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רגיל</t>
        </is>
      </c>
      <c r="F412" t="inlineStr">
        <is>
          <t>יבש</t>
        </is>
      </c>
      <c r="G412" t="inlineStr">
        <is>
          <t>בוגר</t>
        </is>
      </c>
      <c r="H412" t="inlineStr">
        <is>
          <t>כלב</t>
        </is>
      </c>
      <c r="I412" t="inlineStr">
        <is>
          <t>עד 7 ק"ג</t>
        </is>
      </c>
      <c r="J412" t="inlineStr">
        <is>
          <t>2026-04</t>
        </is>
      </c>
      <c r="K412" t="n">
        <v>185</v>
      </c>
      <c r="L412" t="n">
        <v>218.3</v>
      </c>
      <c r="M412">
        <f>הגדרות!B5</f>
        <v/>
      </c>
      <c r="N412">
        <f>K412*(1-M412/100)*1.18</f>
        <v/>
      </c>
      <c r="O412">
        <f>הגדרות!C5</f>
        <v/>
      </c>
      <c r="P412">
        <f>הגדרות!D5</f>
        <v/>
      </c>
      <c r="Q412">
        <f>N412*(1+O412/100)+P412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רגיל</t>
        </is>
      </c>
      <c r="F413" t="inlineStr">
        <is>
          <t>יבש</t>
        </is>
      </c>
      <c r="G413" t="inlineStr">
        <is>
          <t>בוגר</t>
        </is>
      </c>
      <c r="H413" t="inlineStr">
        <is>
          <t>כלב</t>
        </is>
      </c>
      <c r="I413" t="inlineStr">
        <is>
          <t>עד 7 ק"ג</t>
        </is>
      </c>
      <c r="J413" t="inlineStr">
        <is>
          <t>2026-04</t>
        </is>
      </c>
      <c r="K413" t="n">
        <v>279</v>
      </c>
      <c r="L413" t="n">
        <v>329.22</v>
      </c>
      <c r="M413">
        <f>הגדרות!B5</f>
        <v/>
      </c>
      <c r="N413">
        <f>K413*(1-M413/100)*1.18</f>
        <v/>
      </c>
      <c r="O413">
        <f>הגדרות!C5</f>
        <v/>
      </c>
      <c r="P413">
        <f>הגדרות!D5</f>
        <v/>
      </c>
      <c r="Q413">
        <f>N413*(1+O413/100)+P413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רגיל</t>
        </is>
      </c>
      <c r="F414" t="inlineStr">
        <is>
          <t>יבש</t>
        </is>
      </c>
      <c r="G414" t="inlineStr">
        <is>
          <t>בוגר</t>
        </is>
      </c>
      <c r="H414" t="inlineStr">
        <is>
          <t>כלב</t>
        </is>
      </c>
      <c r="I414" t="inlineStr">
        <is>
          <t>עד 7 ק"ג</t>
        </is>
      </c>
      <c r="J414" t="inlineStr">
        <is>
          <t>2026-04</t>
        </is>
      </c>
      <c r="K414" t="n">
        <v>78</v>
      </c>
      <c r="L414" t="n">
        <v>92.04000000000001</v>
      </c>
      <c r="M414">
        <f>הגדרות!B5</f>
        <v/>
      </c>
      <c r="N414">
        <f>K414*(1-M414/100)*1.18</f>
        <v/>
      </c>
      <c r="O414">
        <f>הגדרות!C5</f>
        <v/>
      </c>
      <c r="P414">
        <f>הגדרות!D5</f>
        <v/>
      </c>
      <c r="Q414">
        <f>N414*(1+O414/100)+P414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רגיל</t>
        </is>
      </c>
      <c r="F415" t="inlineStr">
        <is>
          <t>יבש</t>
        </is>
      </c>
      <c r="G415" t="inlineStr">
        <is>
          <t>בוגר</t>
        </is>
      </c>
      <c r="H415" t="inlineStr">
        <is>
          <t>כלב</t>
        </is>
      </c>
      <c r="I415" t="inlineStr">
        <is>
          <t>עד 7 ק"ג</t>
        </is>
      </c>
      <c r="J415" t="inlineStr">
        <is>
          <t>2026-04</t>
        </is>
      </c>
      <c r="K415" t="n">
        <v>205</v>
      </c>
      <c r="L415" t="n">
        <v>241.9</v>
      </c>
      <c r="M415">
        <f>הגדרות!B5</f>
        <v/>
      </c>
      <c r="N415">
        <f>K415*(1-M415/100)*1.18</f>
        <v/>
      </c>
      <c r="O415">
        <f>הגדרות!C5</f>
        <v/>
      </c>
      <c r="P415">
        <f>הגדרות!D5</f>
        <v/>
      </c>
      <c r="Q415">
        <f>N415*(1+O415/100)+P415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רגיל</t>
        </is>
      </c>
      <c r="F416" t="inlineStr">
        <is>
          <t>יבש</t>
        </is>
      </c>
      <c r="G416" t="inlineStr">
        <is>
          <t>בוגר</t>
        </is>
      </c>
      <c r="H416" t="inlineStr">
        <is>
          <t>כלב</t>
        </is>
      </c>
      <c r="I416" t="inlineStr"/>
      <c r="J416" t="inlineStr">
        <is>
          <t>2026-04</t>
        </is>
      </c>
      <c r="K416" t="n">
        <v>89</v>
      </c>
      <c r="L416" t="n">
        <v>105.02</v>
      </c>
      <c r="M416">
        <f>הגדרות!B5</f>
        <v/>
      </c>
      <c r="N416">
        <f>K416*(1-M416/100)*1.18</f>
        <v/>
      </c>
      <c r="O416">
        <f>הגדרות!C5</f>
        <v/>
      </c>
      <c r="P416">
        <f>הגדרות!D5</f>
        <v/>
      </c>
      <c r="Q416">
        <f>N416*(1+O416/100)+P416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רגיל</t>
        </is>
      </c>
      <c r="F417" t="inlineStr">
        <is>
          <t>יבש</t>
        </is>
      </c>
      <c r="G417" t="inlineStr">
        <is>
          <t>בוגר</t>
        </is>
      </c>
      <c r="H417" t="inlineStr">
        <is>
          <t>כלב</t>
        </is>
      </c>
      <c r="I417" t="inlineStr"/>
      <c r="J417" t="inlineStr">
        <is>
          <t>2026-04</t>
        </is>
      </c>
      <c r="K417" t="n">
        <v>327</v>
      </c>
      <c r="L417" t="n">
        <v>385.86</v>
      </c>
      <c r="M417">
        <f>הגדרות!B5</f>
        <v/>
      </c>
      <c r="N417">
        <f>K417*(1-M417/100)*1.18</f>
        <v/>
      </c>
      <c r="O417">
        <f>הגדרות!C5</f>
        <v/>
      </c>
      <c r="P417">
        <f>הגדרות!D5</f>
        <v/>
      </c>
      <c r="Q417">
        <f>N417*(1+O417/100)+P417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רגיל</t>
        </is>
      </c>
      <c r="F418" t="inlineStr">
        <is>
          <t>יבש</t>
        </is>
      </c>
      <c r="G418" t="inlineStr">
        <is>
          <t>בוגר</t>
        </is>
      </c>
      <c r="H418" t="inlineStr">
        <is>
          <t>כלב</t>
        </is>
      </c>
      <c r="I418" t="inlineStr"/>
      <c r="J418" t="inlineStr">
        <is>
          <t>2026-04</t>
        </is>
      </c>
      <c r="K418" t="n">
        <v>98</v>
      </c>
      <c r="L418" t="n">
        <v>115.64</v>
      </c>
      <c r="M418">
        <f>הגדרות!B5</f>
        <v/>
      </c>
      <c r="N418">
        <f>K418*(1-M418/100)*1.18</f>
        <v/>
      </c>
      <c r="O418">
        <f>הגדרות!C5</f>
        <v/>
      </c>
      <c r="P418">
        <f>הגדרות!D5</f>
        <v/>
      </c>
      <c r="Q418">
        <f>N418*(1+O418/100)+P418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רגיל</t>
        </is>
      </c>
      <c r="F419" t="inlineStr">
        <is>
          <t>יבש</t>
        </is>
      </c>
      <c r="G419" t="inlineStr">
        <is>
          <t>בוגר</t>
        </is>
      </c>
      <c r="H419" t="inlineStr">
        <is>
          <t>כלב</t>
        </is>
      </c>
      <c r="I419" t="inlineStr"/>
      <c r="J419" t="inlineStr">
        <is>
          <t>2026-04</t>
        </is>
      </c>
      <c r="K419" t="n">
        <v>353</v>
      </c>
      <c r="L419" t="n">
        <v>416.54</v>
      </c>
      <c r="M419">
        <f>הגדרות!B5</f>
        <v/>
      </c>
      <c r="N419">
        <f>K419*(1-M419/100)*1.18</f>
        <v/>
      </c>
      <c r="O419">
        <f>הגדרות!C5</f>
        <v/>
      </c>
      <c r="P419">
        <f>הגדרות!D5</f>
        <v/>
      </c>
      <c r="Q419">
        <f>N419*(1+O419/100)+P419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רגיל</t>
        </is>
      </c>
      <c r="F420" t="inlineStr">
        <is>
          <t>יבש</t>
        </is>
      </c>
      <c r="G420" t="inlineStr">
        <is>
          <t>בוגר</t>
        </is>
      </c>
      <c r="H420" t="inlineStr">
        <is>
          <t>כלב</t>
        </is>
      </c>
      <c r="I420" t="inlineStr">
        <is>
          <t>מעל 7 ק"ג</t>
        </is>
      </c>
      <c r="J420" t="inlineStr">
        <is>
          <t>2026-04</t>
        </is>
      </c>
      <c r="K420" t="n">
        <v>327</v>
      </c>
      <c r="L420" t="n">
        <v>385.86</v>
      </c>
      <c r="M420">
        <f>הגדרות!B5</f>
        <v/>
      </c>
      <c r="N420">
        <f>K420*(1-M420/100)*1.18</f>
        <v/>
      </c>
      <c r="O420">
        <f>הגדרות!C5</f>
        <v/>
      </c>
      <c r="P420">
        <f>הגדרות!D5</f>
        <v/>
      </c>
      <c r="Q420">
        <f>N420*(1+O420/100)+P420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רגיל</t>
        </is>
      </c>
      <c r="F421" t="inlineStr">
        <is>
          <t>יבש</t>
        </is>
      </c>
      <c r="G421" t="inlineStr">
        <is>
          <t>בוגר</t>
        </is>
      </c>
      <c r="H421" t="inlineStr">
        <is>
          <t>כלב</t>
        </is>
      </c>
      <c r="I421" t="inlineStr">
        <is>
          <t>מעל 7 ק"ג</t>
        </is>
      </c>
      <c r="J421" t="inlineStr">
        <is>
          <t>2026-04</t>
        </is>
      </c>
      <c r="K421" t="n">
        <v>353</v>
      </c>
      <c r="L421" t="n">
        <v>416.54</v>
      </c>
      <c r="M421">
        <f>הגדרות!B5</f>
        <v/>
      </c>
      <c r="N421">
        <f>K421*(1-M421/100)*1.18</f>
        <v/>
      </c>
      <c r="O421">
        <f>הגדרות!C5</f>
        <v/>
      </c>
      <c r="P421">
        <f>הגדרות!D5</f>
        <v/>
      </c>
      <c r="Q421">
        <f>N421*(1+O421/100)+P421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רגיל</t>
        </is>
      </c>
      <c r="F422" t="inlineStr">
        <is>
          <t>יבש</t>
        </is>
      </c>
      <c r="G422" t="inlineStr"/>
      <c r="H422" t="inlineStr">
        <is>
          <t>כלב</t>
        </is>
      </c>
      <c r="I422" t="inlineStr"/>
      <c r="J422" t="inlineStr">
        <is>
          <t>2026-04</t>
        </is>
      </c>
      <c r="K422" t="n">
        <v>344</v>
      </c>
      <c r="L422" t="n">
        <v>405.92</v>
      </c>
      <c r="M422">
        <f>הגדרות!B5</f>
        <v/>
      </c>
      <c r="N422">
        <f>K422*(1-M422/100)*1.18</f>
        <v/>
      </c>
      <c r="O422">
        <f>הגדרות!C5</f>
        <v/>
      </c>
      <c r="P422">
        <f>הגדרות!D5</f>
        <v/>
      </c>
      <c r="Q422">
        <f>N422*(1+O422/100)+P422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רגיל</t>
        </is>
      </c>
      <c r="F423" t="inlineStr">
        <is>
          <t>יבש</t>
        </is>
      </c>
      <c r="G423" t="inlineStr"/>
      <c r="H423" t="inlineStr">
        <is>
          <t>כלב</t>
        </is>
      </c>
      <c r="I423" t="inlineStr">
        <is>
          <t>מעל 7 ק"ג</t>
        </is>
      </c>
      <c r="J423" t="inlineStr">
        <is>
          <t>2026-04</t>
        </is>
      </c>
      <c r="K423" t="n">
        <v>344</v>
      </c>
      <c r="L423" t="n">
        <v>405.92</v>
      </c>
      <c r="M423">
        <f>הגדרות!B5</f>
        <v/>
      </c>
      <c r="N423">
        <f>K423*(1-M423/100)*1.18</f>
        <v/>
      </c>
      <c r="O423">
        <f>הגדרות!C5</f>
        <v/>
      </c>
      <c r="P423">
        <f>הגדרות!D5</f>
        <v/>
      </c>
      <c r="Q423">
        <f>N423*(1+O423/100)+P423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רגיל</t>
        </is>
      </c>
      <c r="F424" t="inlineStr">
        <is>
          <t>יבש</t>
        </is>
      </c>
      <c r="G424" t="inlineStr">
        <is>
          <t>מבוגר</t>
        </is>
      </c>
      <c r="H424" t="inlineStr">
        <is>
          <t>כלב</t>
        </is>
      </c>
      <c r="I424" t="inlineStr">
        <is>
          <t>עד 7 ק"ג</t>
        </is>
      </c>
      <c r="J424" t="inlineStr">
        <is>
          <t>2026-04</t>
        </is>
      </c>
      <c r="K424" t="n">
        <v>115</v>
      </c>
      <c r="L424" t="n">
        <v>135.7</v>
      </c>
      <c r="M424">
        <f>הגדרות!B5</f>
        <v/>
      </c>
      <c r="N424">
        <f>K424*(1-M424/100)*1.18</f>
        <v/>
      </c>
      <c r="O424">
        <f>הגדרות!C5</f>
        <v/>
      </c>
      <c r="P424">
        <f>הגדרות!D5</f>
        <v/>
      </c>
      <c r="Q424">
        <f>N424*(1+O424/100)+P424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רגיל</t>
        </is>
      </c>
      <c r="F425" t="inlineStr">
        <is>
          <t>יבש</t>
        </is>
      </c>
      <c r="G425" t="inlineStr">
        <is>
          <t>מבוגר</t>
        </is>
      </c>
      <c r="H425" t="inlineStr">
        <is>
          <t>כלב</t>
        </is>
      </c>
      <c r="I425" t="inlineStr">
        <is>
          <t>עד 7 ק"ג</t>
        </is>
      </c>
      <c r="J425" t="inlineStr">
        <is>
          <t>2026-04</t>
        </is>
      </c>
      <c r="K425" t="n">
        <v>188</v>
      </c>
      <c r="L425" t="n">
        <v>221.84</v>
      </c>
      <c r="M425">
        <f>הגדרות!B5</f>
        <v/>
      </c>
      <c r="N425">
        <f>K425*(1-M425/100)*1.18</f>
        <v/>
      </c>
      <c r="O425">
        <f>הגדרות!C5</f>
        <v/>
      </c>
      <c r="P425">
        <f>הגדרות!D5</f>
        <v/>
      </c>
      <c r="Q425">
        <f>N425*(1+O425/100)+P425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רגיל</t>
        </is>
      </c>
      <c r="F426" t="inlineStr">
        <is>
          <t>יבש</t>
        </is>
      </c>
      <c r="G426" t="inlineStr">
        <is>
          <t>מבוגר</t>
        </is>
      </c>
      <c r="H426" t="inlineStr">
        <is>
          <t>כלב</t>
        </is>
      </c>
      <c r="I426" t="inlineStr"/>
      <c r="J426" t="inlineStr">
        <is>
          <t>2026-04</t>
        </is>
      </c>
      <c r="K426" t="n">
        <v>337</v>
      </c>
      <c r="L426" t="n">
        <v>397.66</v>
      </c>
      <c r="M426">
        <f>הגדרות!B5</f>
        <v/>
      </c>
      <c r="N426">
        <f>K426*(1-M426/100)*1.18</f>
        <v/>
      </c>
      <c r="O426">
        <f>הגדרות!C5</f>
        <v/>
      </c>
      <c r="P426">
        <f>הגדרות!D5</f>
        <v/>
      </c>
      <c r="Q426">
        <f>N426*(1+O426/100)+P426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רגיל</t>
        </is>
      </c>
      <c r="F427" t="inlineStr">
        <is>
          <t>יבש</t>
        </is>
      </c>
      <c r="G427" t="inlineStr">
        <is>
          <t>מבוגר</t>
        </is>
      </c>
      <c r="H427" t="inlineStr">
        <is>
          <t>כלב</t>
        </is>
      </c>
      <c r="I427" t="inlineStr"/>
      <c r="J427" t="inlineStr">
        <is>
          <t>2026-04</t>
        </is>
      </c>
      <c r="K427" t="n">
        <v>363</v>
      </c>
      <c r="L427" t="n">
        <v>428.34</v>
      </c>
      <c r="M427">
        <f>הגדרות!B5</f>
        <v/>
      </c>
      <c r="N427">
        <f>K427*(1-M427/100)*1.18</f>
        <v/>
      </c>
      <c r="O427">
        <f>הגדרות!C5</f>
        <v/>
      </c>
      <c r="P427">
        <f>הגדרות!D5</f>
        <v/>
      </c>
      <c r="Q427">
        <f>N427*(1+O427/100)+P427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רגיל</t>
        </is>
      </c>
      <c r="F428" t="inlineStr">
        <is>
          <t>יבש</t>
        </is>
      </c>
      <c r="G428" t="inlineStr">
        <is>
          <t>מבוגר</t>
        </is>
      </c>
      <c r="H428" t="inlineStr">
        <is>
          <t>כלב</t>
        </is>
      </c>
      <c r="I428" t="inlineStr">
        <is>
          <t>מעל 7 ק"ג</t>
        </is>
      </c>
      <c r="J428" t="inlineStr">
        <is>
          <t>2026-04</t>
        </is>
      </c>
      <c r="K428" t="n">
        <v>337</v>
      </c>
      <c r="L428" t="n">
        <v>397.66</v>
      </c>
      <c r="M428">
        <f>הגדרות!B5</f>
        <v/>
      </c>
      <c r="N428">
        <f>K428*(1-M428/100)*1.18</f>
        <v/>
      </c>
      <c r="O428">
        <f>הגדרות!C5</f>
        <v/>
      </c>
      <c r="P428">
        <f>הגדרות!D5</f>
        <v/>
      </c>
      <c r="Q428">
        <f>N428*(1+O428/100)+P428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רגיל</t>
        </is>
      </c>
      <c r="F429" t="inlineStr">
        <is>
          <t>יבש</t>
        </is>
      </c>
      <c r="G429" t="inlineStr">
        <is>
          <t>בוגר</t>
        </is>
      </c>
      <c r="H429" t="inlineStr">
        <is>
          <t>כלב</t>
        </is>
      </c>
      <c r="I429" t="inlineStr">
        <is>
          <t>עד 7 ק"ג</t>
        </is>
      </c>
      <c r="J429" t="inlineStr">
        <is>
          <t>2026-04</t>
        </is>
      </c>
      <c r="K429" t="n">
        <v>77</v>
      </c>
      <c r="L429" t="n">
        <v>90.86</v>
      </c>
      <c r="M429">
        <f>הגדרות!B5</f>
        <v/>
      </c>
      <c r="N429">
        <f>K429*(1-M429/100)*1.18</f>
        <v/>
      </c>
      <c r="O429">
        <f>הגדרות!C5</f>
        <v/>
      </c>
      <c r="P429">
        <f>הגדרות!D5</f>
        <v/>
      </c>
      <c r="Q429">
        <f>N429*(1+O429/100)+P429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רגיל</t>
        </is>
      </c>
      <c r="F430" t="inlineStr">
        <is>
          <t>יבש</t>
        </is>
      </c>
      <c r="G430" t="inlineStr">
        <is>
          <t>בוגר</t>
        </is>
      </c>
      <c r="H430" t="inlineStr">
        <is>
          <t>כלב</t>
        </is>
      </c>
      <c r="I430" t="inlineStr">
        <is>
          <t>מעל 7 ק"ג</t>
        </is>
      </c>
      <c r="J430" t="inlineStr">
        <is>
          <t>2026-04</t>
        </is>
      </c>
      <c r="K430" t="n">
        <v>339</v>
      </c>
      <c r="L430" t="n">
        <v>400.02</v>
      </c>
      <c r="M430">
        <f>הגדרות!B5</f>
        <v/>
      </c>
      <c r="N430">
        <f>K430*(1-M430/100)*1.18</f>
        <v/>
      </c>
      <c r="O430">
        <f>הגדרות!C5</f>
        <v/>
      </c>
      <c r="P430">
        <f>הגדרות!D5</f>
        <v/>
      </c>
      <c r="Q430">
        <f>N430*(1+O430/100)+P430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רגיל</t>
        </is>
      </c>
      <c r="F431" t="inlineStr">
        <is>
          <t>יבש</t>
        </is>
      </c>
      <c r="G431" t="inlineStr">
        <is>
          <t>בוגר</t>
        </is>
      </c>
      <c r="H431" t="inlineStr">
        <is>
          <t>כלב</t>
        </is>
      </c>
      <c r="I431" t="inlineStr">
        <is>
          <t>מעל 7 ק"ג</t>
        </is>
      </c>
      <c r="J431" t="inlineStr">
        <is>
          <t>2026-04</t>
        </is>
      </c>
      <c r="K431" t="n">
        <v>339</v>
      </c>
      <c r="L431" t="n">
        <v>400.02</v>
      </c>
      <c r="M431">
        <f>הגדרות!B5</f>
        <v/>
      </c>
      <c r="N431">
        <f>K431*(1-M431/100)*1.18</f>
        <v/>
      </c>
      <c r="O431">
        <f>הגדרות!C5</f>
        <v/>
      </c>
      <c r="P431">
        <f>הגדרות!D5</f>
        <v/>
      </c>
      <c r="Q431">
        <f>N431*(1+O431/100)+P431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רגיל</t>
        </is>
      </c>
      <c r="F432" t="inlineStr">
        <is>
          <t>יבש</t>
        </is>
      </c>
      <c r="G432" t="inlineStr">
        <is>
          <t>בוגר</t>
        </is>
      </c>
      <c r="H432" t="inlineStr">
        <is>
          <t>כלב</t>
        </is>
      </c>
      <c r="I432" t="inlineStr">
        <is>
          <t>מעל 7 ק"ג</t>
        </is>
      </c>
      <c r="J432" t="inlineStr">
        <is>
          <t>2026-04</t>
        </is>
      </c>
      <c r="K432" t="n">
        <v>376</v>
      </c>
      <c r="L432" t="n">
        <v>443.68</v>
      </c>
      <c r="M432">
        <f>הגדרות!B5</f>
        <v/>
      </c>
      <c r="N432">
        <f>K432*(1-M432/100)*1.18</f>
        <v/>
      </c>
      <c r="O432">
        <f>הגדרות!C5</f>
        <v/>
      </c>
      <c r="P432">
        <f>הגדרות!D5</f>
        <v/>
      </c>
      <c r="Q432">
        <f>N432*(1+O432/100)+P432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רגיל</t>
        </is>
      </c>
      <c r="F433" t="inlineStr">
        <is>
          <t>יבש</t>
        </is>
      </c>
      <c r="G433" t="inlineStr">
        <is>
          <t>בוגר</t>
        </is>
      </c>
      <c r="H433" t="inlineStr">
        <is>
          <t>כלב</t>
        </is>
      </c>
      <c r="I433" t="inlineStr">
        <is>
          <t>מעל 7 ק"ג</t>
        </is>
      </c>
      <c r="J433" t="inlineStr">
        <is>
          <t>2026-04</t>
        </is>
      </c>
      <c r="K433" t="n">
        <v>376</v>
      </c>
      <c r="L433" t="n">
        <v>443.68</v>
      </c>
      <c r="M433">
        <f>הגדרות!B5</f>
        <v/>
      </c>
      <c r="N433">
        <f>K433*(1-M433/100)*1.18</f>
        <v/>
      </c>
      <c r="O433">
        <f>הגדרות!C5</f>
        <v/>
      </c>
      <c r="P433">
        <f>הגדרות!D5</f>
        <v/>
      </c>
      <c r="Q433">
        <f>N433*(1+O433/100)+P433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רגיל</t>
        </is>
      </c>
      <c r="F434" t="inlineStr">
        <is>
          <t>יבש</t>
        </is>
      </c>
      <c r="G434" t="inlineStr"/>
      <c r="H434" t="inlineStr"/>
      <c r="I434" t="inlineStr">
        <is>
          <t>עד 7 ק"ג</t>
        </is>
      </c>
      <c r="J434" t="inlineStr">
        <is>
          <t>2026-04</t>
        </is>
      </c>
      <c r="K434" t="n">
        <v>80</v>
      </c>
      <c r="L434" t="n">
        <v>94.40000000000001</v>
      </c>
      <c r="M434">
        <f>הגדרות!B5</f>
        <v/>
      </c>
      <c r="N434">
        <f>K434*(1-M434/100)*1.18</f>
        <v/>
      </c>
      <c r="O434">
        <f>הגדרות!C5</f>
        <v/>
      </c>
      <c r="P434">
        <f>הגדרות!D5</f>
        <v/>
      </c>
      <c r="Q434">
        <f>N434*(1+O434/100)+P434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רגיל</t>
        </is>
      </c>
      <c r="F435" t="inlineStr">
        <is>
          <t>יבש</t>
        </is>
      </c>
      <c r="G435" t="inlineStr"/>
      <c r="H435" t="inlineStr"/>
      <c r="I435" t="inlineStr"/>
      <c r="J435" t="inlineStr">
        <is>
          <t>2026-04</t>
        </is>
      </c>
      <c r="K435" t="n">
        <v>376</v>
      </c>
      <c r="L435" t="n">
        <v>443.68</v>
      </c>
      <c r="M435">
        <f>הגדרות!B5</f>
        <v/>
      </c>
      <c r="N435">
        <f>K435*(1-M435/100)*1.18</f>
        <v/>
      </c>
      <c r="O435">
        <f>הגדרות!C5</f>
        <v/>
      </c>
      <c r="P435">
        <f>הגדרות!D5</f>
        <v/>
      </c>
      <c r="Q435">
        <f>N435*(1+O435/100)+P435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רגיל</t>
        </is>
      </c>
      <c r="F436" t="inlineStr">
        <is>
          <t>יבש</t>
        </is>
      </c>
      <c r="G436" t="inlineStr">
        <is>
          <t>בוגר</t>
        </is>
      </c>
      <c r="H436" t="inlineStr">
        <is>
          <t>כלב</t>
        </is>
      </c>
      <c r="I436" t="inlineStr">
        <is>
          <t>עד 7 ק"ג</t>
        </is>
      </c>
      <c r="J436" t="inlineStr">
        <is>
          <t>2026-04</t>
        </is>
      </c>
      <c r="K436" t="n">
        <v>130</v>
      </c>
      <c r="L436" t="n">
        <v>153.4</v>
      </c>
      <c r="M436">
        <f>הגדרות!B5</f>
        <v/>
      </c>
      <c r="N436">
        <f>K436*(1-M436/100)*1.18</f>
        <v/>
      </c>
      <c r="O436">
        <f>הגדרות!C5</f>
        <v/>
      </c>
      <c r="P436">
        <f>הגדרות!D5</f>
        <v/>
      </c>
      <c r="Q436">
        <f>N436*(1+O436/100)+P436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רגיל</t>
        </is>
      </c>
      <c r="F437" t="inlineStr">
        <is>
          <t>יבש</t>
        </is>
      </c>
      <c r="G437" t="inlineStr">
        <is>
          <t>בוגר</t>
        </is>
      </c>
      <c r="H437" t="inlineStr">
        <is>
          <t>כלב</t>
        </is>
      </c>
      <c r="I437" t="inlineStr"/>
      <c r="J437" t="inlineStr">
        <is>
          <t>2026-04</t>
        </is>
      </c>
      <c r="K437" t="n">
        <v>376</v>
      </c>
      <c r="L437" t="n">
        <v>443.68</v>
      </c>
      <c r="M437">
        <f>הגדרות!B5</f>
        <v/>
      </c>
      <c r="N437">
        <f>K437*(1-M437/100)*1.18</f>
        <v/>
      </c>
      <c r="O437">
        <f>הגדרות!C5</f>
        <v/>
      </c>
      <c r="P437">
        <f>הגדרות!D5</f>
        <v/>
      </c>
      <c r="Q437">
        <f>N437*(1+O437/100)+P437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רגיל</t>
        </is>
      </c>
      <c r="F438" t="inlineStr">
        <is>
          <t>יבש</t>
        </is>
      </c>
      <c r="G438" t="inlineStr">
        <is>
          <t>בוגר</t>
        </is>
      </c>
      <c r="H438" t="inlineStr">
        <is>
          <t>כלב</t>
        </is>
      </c>
      <c r="I438" t="inlineStr">
        <is>
          <t>מעל 7 ק"ג</t>
        </is>
      </c>
      <c r="J438" t="inlineStr">
        <is>
          <t>2026-04</t>
        </is>
      </c>
      <c r="K438" t="n">
        <v>376</v>
      </c>
      <c r="L438" t="n">
        <v>443.68</v>
      </c>
      <c r="M438">
        <f>הגדרות!B5</f>
        <v/>
      </c>
      <c r="N438">
        <f>K438*(1-M438/100)*1.18</f>
        <v/>
      </c>
      <c r="O438">
        <f>הגדרות!C5</f>
        <v/>
      </c>
      <c r="P438">
        <f>הגדרות!D5</f>
        <v/>
      </c>
      <c r="Q438">
        <f>N438*(1+O438/100)+P438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רגיל</t>
        </is>
      </c>
      <c r="F439" t="inlineStr">
        <is>
          <t>יבש</t>
        </is>
      </c>
      <c r="G439" t="inlineStr">
        <is>
          <t>בוגר</t>
        </is>
      </c>
      <c r="H439" t="inlineStr">
        <is>
          <t>כלב</t>
        </is>
      </c>
      <c r="I439" t="inlineStr">
        <is>
          <t>עד 7 ק"ג</t>
        </is>
      </c>
      <c r="J439" t="inlineStr">
        <is>
          <t>2026-04</t>
        </is>
      </c>
      <c r="K439" t="n">
        <v>94</v>
      </c>
      <c r="L439" t="n">
        <v>110.92</v>
      </c>
      <c r="M439">
        <f>הגדרות!B5</f>
        <v/>
      </c>
      <c r="N439">
        <f>K439*(1-M439/100)*1.18</f>
        <v/>
      </c>
      <c r="O439">
        <f>הגדרות!C5</f>
        <v/>
      </c>
      <c r="P439">
        <f>הגדרות!D5</f>
        <v/>
      </c>
      <c r="Q439">
        <f>N439*(1+O439/100)+P439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רגיל</t>
        </is>
      </c>
      <c r="F440" t="inlineStr">
        <is>
          <t>יבש</t>
        </is>
      </c>
      <c r="G440" t="inlineStr">
        <is>
          <t>בוגר</t>
        </is>
      </c>
      <c r="H440" t="inlineStr">
        <is>
          <t>כלב</t>
        </is>
      </c>
      <c r="I440" t="inlineStr">
        <is>
          <t>עד 7 ק"ג</t>
        </is>
      </c>
      <c r="J440" t="inlineStr">
        <is>
          <t>2026-04</t>
        </is>
      </c>
      <c r="K440" t="n">
        <v>275</v>
      </c>
      <c r="L440" t="n">
        <v>324.5</v>
      </c>
      <c r="M440">
        <f>הגדרות!B5</f>
        <v/>
      </c>
      <c r="N440">
        <f>K440*(1-M440/100)*1.18</f>
        <v/>
      </c>
      <c r="O440">
        <f>הגדרות!C5</f>
        <v/>
      </c>
      <c r="P440">
        <f>הגדרות!D5</f>
        <v/>
      </c>
      <c r="Q440">
        <f>N440*(1+O440/100)+P440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רגיל</t>
        </is>
      </c>
      <c r="F441" t="inlineStr">
        <is>
          <t>רטוב</t>
        </is>
      </c>
      <c r="G441" t="inlineStr">
        <is>
          <t>גורים</t>
        </is>
      </c>
      <c r="H441" t="inlineStr">
        <is>
          <t>כלב</t>
        </is>
      </c>
      <c r="I441" t="inlineStr"/>
      <c r="J441" t="inlineStr">
        <is>
          <t>2026-04</t>
        </is>
      </c>
      <c r="K441" t="n">
        <v>10.8</v>
      </c>
      <c r="L441" t="n">
        <v>12.74</v>
      </c>
      <c r="M441">
        <f>הגדרות!B5</f>
        <v/>
      </c>
      <c r="N441">
        <f>K441*(1-M441/100)*1.18</f>
        <v/>
      </c>
      <c r="O441">
        <f>הגדרות!C5</f>
        <v/>
      </c>
      <c r="P441">
        <f>הגדרות!D5</f>
        <v/>
      </c>
      <c r="Q441">
        <f>N441*(1+O441/100)+P441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רגיל</t>
        </is>
      </c>
      <c r="F442" t="inlineStr">
        <is>
          <t>רטוב</t>
        </is>
      </c>
      <c r="G442" t="inlineStr">
        <is>
          <t>גורים</t>
        </is>
      </c>
      <c r="H442" t="inlineStr">
        <is>
          <t>כלב</t>
        </is>
      </c>
      <c r="I442" t="inlineStr"/>
      <c r="J442" t="inlineStr">
        <is>
          <t>2026-04</t>
        </is>
      </c>
      <c r="K442" t="n">
        <v>10.8</v>
      </c>
      <c r="L442" t="n">
        <v>12.74</v>
      </c>
      <c r="M442">
        <f>הגדרות!B5</f>
        <v/>
      </c>
      <c r="N442">
        <f>K442*(1-M442/100)*1.18</f>
        <v/>
      </c>
      <c r="O442">
        <f>הגדרות!C5</f>
        <v/>
      </c>
      <c r="P442">
        <f>הגדרות!D5</f>
        <v/>
      </c>
      <c r="Q442">
        <f>N442*(1+O442/100)+P442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רגיל</t>
        </is>
      </c>
      <c r="F443" t="inlineStr">
        <is>
          <t>רטוב</t>
        </is>
      </c>
      <c r="G443" t="inlineStr">
        <is>
          <t>גורים</t>
        </is>
      </c>
      <c r="H443" t="inlineStr"/>
      <c r="I443" t="inlineStr"/>
      <c r="J443" t="inlineStr">
        <is>
          <t>2026-04</t>
        </is>
      </c>
      <c r="K443" t="n">
        <v>8.699999999999999</v>
      </c>
      <c r="L443" t="n">
        <v>10.27</v>
      </c>
      <c r="M443">
        <f>הגדרות!B5</f>
        <v/>
      </c>
      <c r="N443">
        <f>K443*(1-M443/100)*1.18</f>
        <v/>
      </c>
      <c r="O443">
        <f>הגדרות!C5</f>
        <v/>
      </c>
      <c r="P443">
        <f>הגדרות!D5</f>
        <v/>
      </c>
      <c r="Q443">
        <f>N443*(1+O443/100)+P443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רגיל</t>
        </is>
      </c>
      <c r="F444" t="inlineStr">
        <is>
          <t>רטוב</t>
        </is>
      </c>
      <c r="G444" t="inlineStr">
        <is>
          <t>בוגר</t>
        </is>
      </c>
      <c r="H444" t="inlineStr">
        <is>
          <t>כלב</t>
        </is>
      </c>
      <c r="I444" t="inlineStr">
        <is>
          <t>עד 7 ק"ג</t>
        </is>
      </c>
      <c r="J444" t="inlineStr">
        <is>
          <t>2026-04</t>
        </is>
      </c>
      <c r="K444" t="n">
        <v>8.699999999999999</v>
      </c>
      <c r="L444" t="n">
        <v>10.27</v>
      </c>
      <c r="M444">
        <f>הגדרות!B5</f>
        <v/>
      </c>
      <c r="N444">
        <f>K444*(1-M444/100)*1.18</f>
        <v/>
      </c>
      <c r="O444">
        <f>הגדרות!C5</f>
        <v/>
      </c>
      <c r="P444">
        <f>הגדרות!D5</f>
        <v/>
      </c>
      <c r="Q444">
        <f>N444*(1+O444/100)+P444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רגיל</t>
        </is>
      </c>
      <c r="F445" t="inlineStr">
        <is>
          <t>רטוב</t>
        </is>
      </c>
      <c r="G445" t="inlineStr">
        <is>
          <t>בוגר</t>
        </is>
      </c>
      <c r="H445" t="inlineStr">
        <is>
          <t>כלב</t>
        </is>
      </c>
      <c r="I445" t="inlineStr"/>
      <c r="J445" t="inlineStr">
        <is>
          <t>2026-04</t>
        </is>
      </c>
      <c r="K445" t="n">
        <v>10.8</v>
      </c>
      <c r="L445" t="n">
        <v>12.74</v>
      </c>
      <c r="M445">
        <f>הגדרות!B5</f>
        <v/>
      </c>
      <c r="N445">
        <f>K445*(1-M445/100)*1.18</f>
        <v/>
      </c>
      <c r="O445">
        <f>הגדרות!C5</f>
        <v/>
      </c>
      <c r="P445">
        <f>הגדרות!D5</f>
        <v/>
      </c>
      <c r="Q445">
        <f>N445*(1+O445/100)+P445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רגיל</t>
        </is>
      </c>
      <c r="F446" t="inlineStr">
        <is>
          <t>רטוב</t>
        </is>
      </c>
      <c r="G446" t="inlineStr">
        <is>
          <t>בוגר</t>
        </is>
      </c>
      <c r="H446" t="inlineStr">
        <is>
          <t>כלב</t>
        </is>
      </c>
      <c r="I446" t="inlineStr"/>
      <c r="J446" t="inlineStr">
        <is>
          <t>2026-04</t>
        </is>
      </c>
      <c r="K446" t="n">
        <v>10.8</v>
      </c>
      <c r="L446" t="n">
        <v>12.74</v>
      </c>
      <c r="M446">
        <f>הגדרות!B5</f>
        <v/>
      </c>
      <c r="N446">
        <f>K446*(1-M446/100)*1.18</f>
        <v/>
      </c>
      <c r="O446">
        <f>הגדרות!C5</f>
        <v/>
      </c>
      <c r="P446">
        <f>הגדרות!D5</f>
        <v/>
      </c>
      <c r="Q446">
        <f>N446*(1+O446/100)+P446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רגיל</t>
        </is>
      </c>
      <c r="F447" t="inlineStr">
        <is>
          <t>רטוב</t>
        </is>
      </c>
      <c r="G447" t="inlineStr">
        <is>
          <t>בוגר</t>
        </is>
      </c>
      <c r="H447" t="inlineStr">
        <is>
          <t>כלב</t>
        </is>
      </c>
      <c r="I447" t="inlineStr"/>
      <c r="J447" t="inlineStr">
        <is>
          <t>2026-04</t>
        </is>
      </c>
      <c r="K447" t="n">
        <v>10.8</v>
      </c>
      <c r="L447" t="n">
        <v>12.74</v>
      </c>
      <c r="M447">
        <f>הגדרות!B5</f>
        <v/>
      </c>
      <c r="N447">
        <f>K447*(1-M447/100)*1.18</f>
        <v/>
      </c>
      <c r="O447">
        <f>הגדרות!C5</f>
        <v/>
      </c>
      <c r="P447">
        <f>הגדרות!D5</f>
        <v/>
      </c>
      <c r="Q447">
        <f>N447*(1+O447/100)+P447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רגיל</t>
        </is>
      </c>
      <c r="F448" t="inlineStr">
        <is>
          <t>רטוב</t>
        </is>
      </c>
      <c r="G448" t="inlineStr">
        <is>
          <t>בוגר</t>
        </is>
      </c>
      <c r="H448" t="inlineStr">
        <is>
          <t>כלב</t>
        </is>
      </c>
      <c r="I448" t="inlineStr"/>
      <c r="J448" t="inlineStr">
        <is>
          <t>2026-04</t>
        </is>
      </c>
      <c r="K448" t="n">
        <v>11</v>
      </c>
      <c r="L448" t="n">
        <v>12.98</v>
      </c>
      <c r="M448">
        <f>הגדרות!B5</f>
        <v/>
      </c>
      <c r="N448">
        <f>K448*(1-M448/100)*1.18</f>
        <v/>
      </c>
      <c r="O448">
        <f>הגדרות!C5</f>
        <v/>
      </c>
      <c r="P448">
        <f>הגדרות!D5</f>
        <v/>
      </c>
      <c r="Q448">
        <f>N448*(1+O448/100)+P448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רגיל</t>
        </is>
      </c>
      <c r="F449" t="inlineStr">
        <is>
          <t>רטוב</t>
        </is>
      </c>
      <c r="G449" t="inlineStr">
        <is>
          <t>בוגר</t>
        </is>
      </c>
      <c r="H449" t="inlineStr">
        <is>
          <t>כלב</t>
        </is>
      </c>
      <c r="I449" t="inlineStr"/>
      <c r="J449" t="inlineStr">
        <is>
          <t>2026-04</t>
        </is>
      </c>
      <c r="K449" t="n">
        <v>11</v>
      </c>
      <c r="L449" t="n">
        <v>12.98</v>
      </c>
      <c r="M449">
        <f>הגדרות!B5</f>
        <v/>
      </c>
      <c r="N449">
        <f>K449*(1-M449/100)*1.18</f>
        <v/>
      </c>
      <c r="O449">
        <f>הגדרות!C5</f>
        <v/>
      </c>
      <c r="P449">
        <f>הגדרות!D5</f>
        <v/>
      </c>
      <c r="Q449">
        <f>N449*(1+O449/100)+P449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רגיל</t>
        </is>
      </c>
      <c r="F450" t="inlineStr">
        <is>
          <t>רטוב</t>
        </is>
      </c>
      <c r="G450" t="inlineStr">
        <is>
          <t>בוגר</t>
        </is>
      </c>
      <c r="H450" t="inlineStr">
        <is>
          <t>כלב</t>
        </is>
      </c>
      <c r="I450" t="inlineStr"/>
      <c r="J450" t="inlineStr">
        <is>
          <t>2026-04</t>
        </is>
      </c>
      <c r="K450" t="n">
        <v>12.5</v>
      </c>
      <c r="L450" t="n">
        <v>14.75</v>
      </c>
      <c r="M450">
        <f>הגדרות!B5</f>
        <v/>
      </c>
      <c r="N450">
        <f>K450*(1-M450/100)*1.18</f>
        <v/>
      </c>
      <c r="O450">
        <f>הגדרות!C5</f>
        <v/>
      </c>
      <c r="P450">
        <f>הגדרות!D5</f>
        <v/>
      </c>
      <c r="Q450">
        <f>N450*(1+O450/100)+P450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רגיל</t>
        </is>
      </c>
      <c r="F451" t="inlineStr">
        <is>
          <t>רטוב</t>
        </is>
      </c>
      <c r="G451" t="inlineStr">
        <is>
          <t>מבוגר</t>
        </is>
      </c>
      <c r="H451" t="inlineStr">
        <is>
          <t>כלב</t>
        </is>
      </c>
      <c r="I451" t="inlineStr"/>
      <c r="J451" t="inlineStr">
        <is>
          <t>2026-04</t>
        </is>
      </c>
      <c r="K451" t="n">
        <v>10.8</v>
      </c>
      <c r="L451" t="n">
        <v>12.74</v>
      </c>
      <c r="M451">
        <f>הגדרות!B5</f>
        <v/>
      </c>
      <c r="N451">
        <f>K451*(1-M451/100)*1.18</f>
        <v/>
      </c>
      <c r="O451">
        <f>הגדרות!C5</f>
        <v/>
      </c>
      <c r="P451">
        <f>הגדרות!D5</f>
        <v/>
      </c>
      <c r="Q451">
        <f>N451*(1+O451/100)+P451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רגיל</t>
        </is>
      </c>
      <c r="F452" t="inlineStr">
        <is>
          <t>יבש</t>
        </is>
      </c>
      <c r="G452" t="inlineStr">
        <is>
          <t>גורים</t>
        </is>
      </c>
      <c r="H452" t="inlineStr">
        <is>
          <t>חתול</t>
        </is>
      </c>
      <c r="I452" t="inlineStr"/>
      <c r="J452" t="inlineStr">
        <is>
          <t>2026-04</t>
        </is>
      </c>
      <c r="K452" t="n">
        <v>84</v>
      </c>
      <c r="L452" t="n">
        <v>99.12</v>
      </c>
      <c r="M452">
        <f>הגדרות!B5</f>
        <v/>
      </c>
      <c r="N452">
        <f>K452*(1-M452/100)*1.18</f>
        <v/>
      </c>
      <c r="O452">
        <f>הגדרות!C5</f>
        <v/>
      </c>
      <c r="P452">
        <f>הגדרות!D5</f>
        <v/>
      </c>
      <c r="Q452">
        <f>N452*(1+O452/100)+P452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רגיל</t>
        </is>
      </c>
      <c r="F453" t="inlineStr">
        <is>
          <t>יבש</t>
        </is>
      </c>
      <c r="G453" t="inlineStr">
        <is>
          <t>גורים</t>
        </is>
      </c>
      <c r="H453" t="inlineStr">
        <is>
          <t>חתול</t>
        </is>
      </c>
      <c r="I453" t="inlineStr"/>
      <c r="J453" t="inlineStr">
        <is>
          <t>2026-04</t>
        </is>
      </c>
      <c r="K453" t="n">
        <v>138</v>
      </c>
      <c r="L453" t="n">
        <v>162.84</v>
      </c>
      <c r="M453">
        <f>הגדרות!B5</f>
        <v/>
      </c>
      <c r="N453">
        <f>K453*(1-M453/100)*1.18</f>
        <v/>
      </c>
      <c r="O453">
        <f>הגדרות!C5</f>
        <v/>
      </c>
      <c r="P453">
        <f>הגדרות!D5</f>
        <v/>
      </c>
      <c r="Q453">
        <f>N453*(1+O453/100)+P453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רגיל</t>
        </is>
      </c>
      <c r="F454" t="inlineStr">
        <is>
          <t>יבש</t>
        </is>
      </c>
      <c r="G454" t="inlineStr">
        <is>
          <t>גורים</t>
        </is>
      </c>
      <c r="H454" t="inlineStr">
        <is>
          <t>חתול</t>
        </is>
      </c>
      <c r="I454" t="inlineStr"/>
      <c r="J454" t="inlineStr">
        <is>
          <t>2026-04</t>
        </is>
      </c>
      <c r="K454" t="n">
        <v>277</v>
      </c>
      <c r="L454" t="n">
        <v>326.86</v>
      </c>
      <c r="M454">
        <f>הגדרות!B5</f>
        <v/>
      </c>
      <c r="N454">
        <f>K454*(1-M454/100)*1.18</f>
        <v/>
      </c>
      <c r="O454">
        <f>הגדרות!C5</f>
        <v/>
      </c>
      <c r="P454">
        <f>הגדרות!D5</f>
        <v/>
      </c>
      <c r="Q454">
        <f>N454*(1+O454/100)+P454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רגיל</t>
        </is>
      </c>
      <c r="F455" t="inlineStr">
        <is>
          <t>יבש</t>
        </is>
      </c>
      <c r="G455" t="inlineStr">
        <is>
          <t>גורים</t>
        </is>
      </c>
      <c r="H455" t="inlineStr">
        <is>
          <t>חתול</t>
        </is>
      </c>
      <c r="I455" t="inlineStr"/>
      <c r="J455" t="inlineStr">
        <is>
          <t>2026-04</t>
        </is>
      </c>
      <c r="K455" t="n">
        <v>84</v>
      </c>
      <c r="L455" t="n">
        <v>99.12</v>
      </c>
      <c r="M455">
        <f>הגדרות!B5</f>
        <v/>
      </c>
      <c r="N455">
        <f>K455*(1-M455/100)*1.18</f>
        <v/>
      </c>
      <c r="O455">
        <f>הגדרות!C5</f>
        <v/>
      </c>
      <c r="P455">
        <f>הגדרות!D5</f>
        <v/>
      </c>
      <c r="Q455">
        <f>N455*(1+O455/100)+P455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רגיל</t>
        </is>
      </c>
      <c r="F456" t="inlineStr">
        <is>
          <t>יבש</t>
        </is>
      </c>
      <c r="G456" t="inlineStr">
        <is>
          <t>גורים</t>
        </is>
      </c>
      <c r="H456" t="inlineStr">
        <is>
          <t>חתול</t>
        </is>
      </c>
      <c r="I456" t="inlineStr"/>
      <c r="J456" t="inlineStr">
        <is>
          <t>2026-04</t>
        </is>
      </c>
      <c r="K456" t="n">
        <v>277</v>
      </c>
      <c r="L456" t="n">
        <v>326.86</v>
      </c>
      <c r="M456">
        <f>הגדרות!B5</f>
        <v/>
      </c>
      <c r="N456">
        <f>K456*(1-M456/100)*1.18</f>
        <v/>
      </c>
      <c r="O456">
        <f>הגדרות!C5</f>
        <v/>
      </c>
      <c r="P456">
        <f>הגדרות!D5</f>
        <v/>
      </c>
      <c r="Q456">
        <f>N456*(1+O456/100)+P456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רגיל</t>
        </is>
      </c>
      <c r="F457" t="inlineStr">
        <is>
          <t>יבש</t>
        </is>
      </c>
      <c r="G457" t="inlineStr">
        <is>
          <t>גורים</t>
        </is>
      </c>
      <c r="H457" t="inlineStr">
        <is>
          <t>חתול</t>
        </is>
      </c>
      <c r="I457" t="inlineStr"/>
      <c r="J457" t="inlineStr">
        <is>
          <t>2026-04</t>
        </is>
      </c>
      <c r="K457" t="n">
        <v>80</v>
      </c>
      <c r="L457" t="n">
        <v>94.40000000000001</v>
      </c>
      <c r="M457">
        <f>הגדרות!B5</f>
        <v/>
      </c>
      <c r="N457">
        <f>K457*(1-M457/100)*1.18</f>
        <v/>
      </c>
      <c r="O457">
        <f>הגדרות!C5</f>
        <v/>
      </c>
      <c r="P457">
        <f>הגדרות!D5</f>
        <v/>
      </c>
      <c r="Q457">
        <f>N457*(1+O457/100)+P457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רגיל</t>
        </is>
      </c>
      <c r="F458" t="inlineStr">
        <is>
          <t>יבש</t>
        </is>
      </c>
      <c r="G458" t="inlineStr">
        <is>
          <t>בוגר</t>
        </is>
      </c>
      <c r="H458" t="inlineStr">
        <is>
          <t>חתול</t>
        </is>
      </c>
      <c r="I458" t="inlineStr"/>
      <c r="J458" t="inlineStr">
        <is>
          <t>2026-04</t>
        </is>
      </c>
      <c r="K458" t="n">
        <v>131</v>
      </c>
      <c r="L458" t="n">
        <v>154.58</v>
      </c>
      <c r="M458">
        <f>הגדרות!B5</f>
        <v/>
      </c>
      <c r="N458">
        <f>K458*(1-M458/100)*1.18</f>
        <v/>
      </c>
      <c r="O458">
        <f>הגדרות!C5</f>
        <v/>
      </c>
      <c r="P458">
        <f>הגדרות!D5</f>
        <v/>
      </c>
      <c r="Q458">
        <f>N458*(1+O458/100)+P458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רגיל</t>
        </is>
      </c>
      <c r="F459" t="inlineStr">
        <is>
          <t>יבש</t>
        </is>
      </c>
      <c r="G459" t="inlineStr">
        <is>
          <t>בוגר</t>
        </is>
      </c>
      <c r="H459" t="inlineStr">
        <is>
          <t>חתול</t>
        </is>
      </c>
      <c r="I459" t="inlineStr"/>
      <c r="J459" t="inlineStr">
        <is>
          <t>2026-04</t>
        </is>
      </c>
      <c r="K459" t="n">
        <v>334</v>
      </c>
      <c r="L459" t="n">
        <v>394.12</v>
      </c>
      <c r="M459">
        <f>הגדרות!B5</f>
        <v/>
      </c>
      <c r="N459">
        <f>K459*(1-M459/100)*1.18</f>
        <v/>
      </c>
      <c r="O459">
        <f>הגדרות!C5</f>
        <v/>
      </c>
      <c r="P459">
        <f>הגדרות!D5</f>
        <v/>
      </c>
      <c r="Q459">
        <f>N459*(1+O459/100)+P459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רגיל</t>
        </is>
      </c>
      <c r="F460" t="inlineStr">
        <is>
          <t>יבש</t>
        </is>
      </c>
      <c r="G460" t="inlineStr">
        <is>
          <t>בוגר</t>
        </is>
      </c>
      <c r="H460" t="inlineStr">
        <is>
          <t>חתול</t>
        </is>
      </c>
      <c r="I460" t="inlineStr"/>
      <c r="J460" t="inlineStr">
        <is>
          <t>2026-04</t>
        </is>
      </c>
      <c r="K460" t="n">
        <v>395</v>
      </c>
      <c r="L460" t="n">
        <v>466.1</v>
      </c>
      <c r="M460">
        <f>הגדרות!B5</f>
        <v/>
      </c>
      <c r="N460">
        <f>K460*(1-M460/100)*1.18</f>
        <v/>
      </c>
      <c r="O460">
        <f>הגדרות!C5</f>
        <v/>
      </c>
      <c r="P460">
        <f>הגדרות!D5</f>
        <v/>
      </c>
      <c r="Q460">
        <f>N460*(1+O460/100)+P460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רגיל</t>
        </is>
      </c>
      <c r="F461" t="inlineStr">
        <is>
          <t>יבש</t>
        </is>
      </c>
      <c r="G461" t="inlineStr">
        <is>
          <t>בוגר</t>
        </is>
      </c>
      <c r="H461" t="inlineStr">
        <is>
          <t>חתול</t>
        </is>
      </c>
      <c r="I461" t="inlineStr"/>
      <c r="J461" t="inlineStr">
        <is>
          <t>2026-04</t>
        </is>
      </c>
      <c r="K461" t="n">
        <v>131</v>
      </c>
      <c r="L461" t="n">
        <v>154.58</v>
      </c>
      <c r="M461">
        <f>הגדרות!B5</f>
        <v/>
      </c>
      <c r="N461">
        <f>K461*(1-M461/100)*1.18</f>
        <v/>
      </c>
      <c r="O461">
        <f>הגדרות!C5</f>
        <v/>
      </c>
      <c r="P461">
        <f>הגדרות!D5</f>
        <v/>
      </c>
      <c r="Q461">
        <f>N461*(1+O461/100)+P461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רגיל</t>
        </is>
      </c>
      <c r="F462" t="inlineStr">
        <is>
          <t>יבש</t>
        </is>
      </c>
      <c r="G462" t="inlineStr">
        <is>
          <t>בוגר</t>
        </is>
      </c>
      <c r="H462" t="inlineStr">
        <is>
          <t>חתול</t>
        </is>
      </c>
      <c r="I462" t="inlineStr"/>
      <c r="J462" t="inlineStr">
        <is>
          <t>2026-04</t>
        </is>
      </c>
      <c r="K462" t="n">
        <v>334</v>
      </c>
      <c r="L462" t="n">
        <v>394.12</v>
      </c>
      <c r="M462">
        <f>הגדרות!B5</f>
        <v/>
      </c>
      <c r="N462">
        <f>K462*(1-M462/100)*1.18</f>
        <v/>
      </c>
      <c r="O462">
        <f>הגדרות!C5</f>
        <v/>
      </c>
      <c r="P462">
        <f>הגדרות!D5</f>
        <v/>
      </c>
      <c r="Q462">
        <f>N462*(1+O462/100)+P462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רגיל</t>
        </is>
      </c>
      <c r="F463" t="inlineStr">
        <is>
          <t>יבש</t>
        </is>
      </c>
      <c r="G463" t="inlineStr">
        <is>
          <t>בוגר</t>
        </is>
      </c>
      <c r="H463" t="inlineStr"/>
      <c r="I463" t="inlineStr"/>
      <c r="J463" t="inlineStr">
        <is>
          <t>2026-04</t>
        </is>
      </c>
      <c r="K463" t="n">
        <v>154</v>
      </c>
      <c r="L463" t="n">
        <v>181.72</v>
      </c>
      <c r="M463">
        <f>הגדרות!B5</f>
        <v/>
      </c>
      <c r="N463">
        <f>K463*(1-M463/100)*1.18</f>
        <v/>
      </c>
      <c r="O463">
        <f>הגדרות!C5</f>
        <v/>
      </c>
      <c r="P463">
        <f>הגדרות!D5</f>
        <v/>
      </c>
      <c r="Q463">
        <f>N463*(1+O463/100)+P463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רגיל</t>
        </is>
      </c>
      <c r="F464" t="inlineStr">
        <is>
          <t>יבש</t>
        </is>
      </c>
      <c r="G464" t="inlineStr">
        <is>
          <t>בוגר</t>
        </is>
      </c>
      <c r="H464" t="inlineStr"/>
      <c r="I464" t="inlineStr"/>
      <c r="J464" t="inlineStr">
        <is>
          <t>2026-04</t>
        </is>
      </c>
      <c r="K464" t="n">
        <v>365</v>
      </c>
      <c r="L464" t="n">
        <v>430.7</v>
      </c>
      <c r="M464">
        <f>הגדרות!B5</f>
        <v/>
      </c>
      <c r="N464">
        <f>K464*(1-M464/100)*1.18</f>
        <v/>
      </c>
      <c r="O464">
        <f>הגדרות!C5</f>
        <v/>
      </c>
      <c r="P464">
        <f>הגדרות!D5</f>
        <v/>
      </c>
      <c r="Q464">
        <f>N464*(1+O464/100)+P464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רגיל</t>
        </is>
      </c>
      <c r="F465" t="inlineStr">
        <is>
          <t>יבש</t>
        </is>
      </c>
      <c r="G465" t="inlineStr">
        <is>
          <t>בוגר</t>
        </is>
      </c>
      <c r="H465" t="inlineStr"/>
      <c r="I465" t="inlineStr"/>
      <c r="J465" t="inlineStr">
        <is>
          <t>2026-04</t>
        </is>
      </c>
      <c r="K465" t="n">
        <v>154</v>
      </c>
      <c r="L465" t="n">
        <v>181.72</v>
      </c>
      <c r="M465">
        <f>הגדרות!B5</f>
        <v/>
      </c>
      <c r="N465">
        <f>K465*(1-M465/100)*1.18</f>
        <v/>
      </c>
      <c r="O465">
        <f>הגדרות!C5</f>
        <v/>
      </c>
      <c r="P465">
        <f>הגדרות!D5</f>
        <v/>
      </c>
      <c r="Q465">
        <f>N465*(1+O465/100)+P465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רגיל</t>
        </is>
      </c>
      <c r="F466" t="inlineStr">
        <is>
          <t>יבש</t>
        </is>
      </c>
      <c r="G466" t="inlineStr">
        <is>
          <t>בוגר</t>
        </is>
      </c>
      <c r="H466" t="inlineStr"/>
      <c r="I466" t="inlineStr"/>
      <c r="J466" t="inlineStr">
        <is>
          <t>2026-04</t>
        </is>
      </c>
      <c r="K466" t="n">
        <v>154</v>
      </c>
      <c r="L466" t="n">
        <v>181.72</v>
      </c>
      <c r="M466">
        <f>הגדרות!B5</f>
        <v/>
      </c>
      <c r="N466">
        <f>K466*(1-M466/100)*1.18</f>
        <v/>
      </c>
      <c r="O466">
        <f>הגדרות!C5</f>
        <v/>
      </c>
      <c r="P466">
        <f>הגדרות!D5</f>
        <v/>
      </c>
      <c r="Q466">
        <f>N466*(1+O466/100)+P466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רגיל</t>
        </is>
      </c>
      <c r="F467" t="inlineStr">
        <is>
          <t>יבש</t>
        </is>
      </c>
      <c r="G467" t="inlineStr">
        <is>
          <t>בוגר</t>
        </is>
      </c>
      <c r="H467" t="inlineStr"/>
      <c r="I467" t="inlineStr"/>
      <c r="J467" t="inlineStr">
        <is>
          <t>2026-04</t>
        </is>
      </c>
      <c r="K467" t="n">
        <v>365</v>
      </c>
      <c r="L467" t="n">
        <v>430.7</v>
      </c>
      <c r="M467">
        <f>הגדרות!B5</f>
        <v/>
      </c>
      <c r="N467">
        <f>K467*(1-M467/100)*1.18</f>
        <v/>
      </c>
      <c r="O467">
        <f>הגדרות!C5</f>
        <v/>
      </c>
      <c r="P467">
        <f>הגדרות!D5</f>
        <v/>
      </c>
      <c r="Q467">
        <f>N467*(1+O467/100)+P467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רגיל</t>
        </is>
      </c>
      <c r="F468" t="inlineStr">
        <is>
          <t>יבש</t>
        </is>
      </c>
      <c r="G468" t="inlineStr">
        <is>
          <t>בוגר</t>
        </is>
      </c>
      <c r="H468" t="inlineStr">
        <is>
          <t>חתול</t>
        </is>
      </c>
      <c r="I468" t="inlineStr"/>
      <c r="J468" t="inlineStr">
        <is>
          <t>2026-04</t>
        </is>
      </c>
      <c r="K468" t="n">
        <v>140</v>
      </c>
      <c r="L468" t="n">
        <v>165.2</v>
      </c>
      <c r="M468">
        <f>הגדרות!B5</f>
        <v/>
      </c>
      <c r="N468">
        <f>K468*(1-M468/100)*1.18</f>
        <v/>
      </c>
      <c r="O468">
        <f>הגדרות!C5</f>
        <v/>
      </c>
      <c r="P468">
        <f>הגדרות!D5</f>
        <v/>
      </c>
      <c r="Q468">
        <f>N468*(1+O468/100)+P468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רגיל</t>
        </is>
      </c>
      <c r="F469" t="inlineStr">
        <is>
          <t>יבש</t>
        </is>
      </c>
      <c r="G469" t="inlineStr">
        <is>
          <t>בוגר</t>
        </is>
      </c>
      <c r="H469" t="inlineStr">
        <is>
          <t>חתול</t>
        </is>
      </c>
      <c r="I469" t="inlineStr"/>
      <c r="J469" t="inlineStr">
        <is>
          <t>2026-04</t>
        </is>
      </c>
      <c r="K469" t="n">
        <v>345</v>
      </c>
      <c r="L469" t="n">
        <v>407.1</v>
      </c>
      <c r="M469">
        <f>הגדרות!B5</f>
        <v/>
      </c>
      <c r="N469">
        <f>K469*(1-M469/100)*1.18</f>
        <v/>
      </c>
      <c r="O469">
        <f>הגדרות!C5</f>
        <v/>
      </c>
      <c r="P469">
        <f>הגדרות!D5</f>
        <v/>
      </c>
      <c r="Q469">
        <f>N469*(1+O469/100)+P469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רגיל</t>
        </is>
      </c>
      <c r="F470" t="inlineStr">
        <is>
          <t>יבש</t>
        </is>
      </c>
      <c r="G470" t="inlineStr">
        <is>
          <t>מבוגר</t>
        </is>
      </c>
      <c r="H470" t="inlineStr">
        <is>
          <t>חתול</t>
        </is>
      </c>
      <c r="I470" t="inlineStr"/>
      <c r="J470" t="inlineStr">
        <is>
          <t>2026-04</t>
        </is>
      </c>
      <c r="K470" t="n">
        <v>138</v>
      </c>
      <c r="L470" t="n">
        <v>162.84</v>
      </c>
      <c r="M470">
        <f>הגדרות!B5</f>
        <v/>
      </c>
      <c r="N470">
        <f>K470*(1-M470/100)*1.18</f>
        <v/>
      </c>
      <c r="O470">
        <f>הגדרות!C5</f>
        <v/>
      </c>
      <c r="P470">
        <f>הגדרות!D5</f>
        <v/>
      </c>
      <c r="Q470">
        <f>N470*(1+O470/100)+P470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רגיל</t>
        </is>
      </c>
      <c r="F471" t="inlineStr">
        <is>
          <t>יבש</t>
        </is>
      </c>
      <c r="G471" t="inlineStr">
        <is>
          <t>מבוגר</t>
        </is>
      </c>
      <c r="H471" t="inlineStr">
        <is>
          <t>חתול</t>
        </is>
      </c>
      <c r="I471" t="inlineStr"/>
      <c r="J471" t="inlineStr">
        <is>
          <t>2026-04</t>
        </is>
      </c>
      <c r="K471" t="n">
        <v>345</v>
      </c>
      <c r="L471" t="n">
        <v>407.1</v>
      </c>
      <c r="M471">
        <f>הגדרות!B5</f>
        <v/>
      </c>
      <c r="N471">
        <f>K471*(1-M471/100)*1.18</f>
        <v/>
      </c>
      <c r="O471">
        <f>הגדרות!C5</f>
        <v/>
      </c>
      <c r="P471">
        <f>הגדרות!D5</f>
        <v/>
      </c>
      <c r="Q471">
        <f>N471*(1+O471/100)+P471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רגיל</t>
        </is>
      </c>
      <c r="F472" t="inlineStr">
        <is>
          <t>יבש</t>
        </is>
      </c>
      <c r="G472" t="inlineStr">
        <is>
          <t>בוגר</t>
        </is>
      </c>
      <c r="H472" t="inlineStr">
        <is>
          <t>חתול</t>
        </is>
      </c>
      <c r="I472" t="inlineStr"/>
      <c r="J472" t="inlineStr">
        <is>
          <t>2026-04</t>
        </is>
      </c>
      <c r="K472" t="n">
        <v>146</v>
      </c>
      <c r="L472" t="n">
        <v>172.28</v>
      </c>
      <c r="M472">
        <f>הגדרות!B5</f>
        <v/>
      </c>
      <c r="N472">
        <f>K472*(1-M472/100)*1.18</f>
        <v/>
      </c>
      <c r="O472">
        <f>הגדרות!C5</f>
        <v/>
      </c>
      <c r="P472">
        <f>הגדרות!D5</f>
        <v/>
      </c>
      <c r="Q472">
        <f>N472*(1+O472/100)+P472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רגיל</t>
        </is>
      </c>
      <c r="F473" t="inlineStr">
        <is>
          <t>יבש</t>
        </is>
      </c>
      <c r="G473" t="inlineStr">
        <is>
          <t>בוגר</t>
        </is>
      </c>
      <c r="H473" t="inlineStr">
        <is>
          <t>חתול</t>
        </is>
      </c>
      <c r="I473" t="inlineStr"/>
      <c r="J473" t="inlineStr">
        <is>
          <t>2026-04</t>
        </is>
      </c>
      <c r="K473" t="n">
        <v>129</v>
      </c>
      <c r="L473" t="n">
        <v>152.22</v>
      </c>
      <c r="M473">
        <f>הגדרות!B5</f>
        <v/>
      </c>
      <c r="N473">
        <f>K473*(1-M473/100)*1.18</f>
        <v/>
      </c>
      <c r="O473">
        <f>הגדרות!C5</f>
        <v/>
      </c>
      <c r="P473">
        <f>הגדרות!D5</f>
        <v/>
      </c>
      <c r="Q473">
        <f>N473*(1+O473/100)+P473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רגיל</t>
        </is>
      </c>
      <c r="F474" t="inlineStr">
        <is>
          <t>יבש</t>
        </is>
      </c>
      <c r="G474" t="inlineStr"/>
      <c r="H474" t="inlineStr">
        <is>
          <t>חתול</t>
        </is>
      </c>
      <c r="I474" t="inlineStr"/>
      <c r="J474" t="inlineStr">
        <is>
          <t>2026-04</t>
        </is>
      </c>
      <c r="K474" t="n">
        <v>99</v>
      </c>
      <c r="L474" t="n">
        <v>116.82</v>
      </c>
      <c r="M474">
        <f>הגדרות!B5</f>
        <v/>
      </c>
      <c r="N474">
        <f>K474*(1-M474/100)*1.18</f>
        <v/>
      </c>
      <c r="O474">
        <f>הגדרות!C5</f>
        <v/>
      </c>
      <c r="P474">
        <f>הגדרות!D5</f>
        <v/>
      </c>
      <c r="Q474">
        <f>N474*(1+O474/100)+P474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רגיל</t>
        </is>
      </c>
      <c r="F475" t="inlineStr">
        <is>
          <t>יבש</t>
        </is>
      </c>
      <c r="G475" t="inlineStr"/>
      <c r="H475" t="inlineStr">
        <is>
          <t>חתול</t>
        </is>
      </c>
      <c r="I475" t="inlineStr"/>
      <c r="J475" t="inlineStr">
        <is>
          <t>2026-04</t>
        </is>
      </c>
      <c r="K475" t="n">
        <v>99</v>
      </c>
      <c r="L475" t="n">
        <v>116.82</v>
      </c>
      <c r="M475">
        <f>הגדרות!B5</f>
        <v/>
      </c>
      <c r="N475">
        <f>K475*(1-M475/100)*1.18</f>
        <v/>
      </c>
      <c r="O475">
        <f>הגדרות!C5</f>
        <v/>
      </c>
      <c r="P475">
        <f>הגדרות!D5</f>
        <v/>
      </c>
      <c r="Q475">
        <f>N475*(1+O475/100)+P475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רגיל</t>
        </is>
      </c>
      <c r="F476" t="inlineStr">
        <is>
          <t>יבש</t>
        </is>
      </c>
      <c r="G476" t="inlineStr"/>
      <c r="H476" t="inlineStr"/>
      <c r="I476" t="inlineStr"/>
      <c r="J476" t="inlineStr">
        <is>
          <t>2026-04</t>
        </is>
      </c>
      <c r="K476" t="n">
        <v>99</v>
      </c>
      <c r="L476" t="n">
        <v>116.82</v>
      </c>
      <c r="M476">
        <f>הגדרות!B5</f>
        <v/>
      </c>
      <c r="N476">
        <f>K476*(1-M476/100)*1.18</f>
        <v/>
      </c>
      <c r="O476">
        <f>הגדרות!C5</f>
        <v/>
      </c>
      <c r="P476">
        <f>הגדרות!D5</f>
        <v/>
      </c>
      <c r="Q476">
        <f>N476*(1+O476/100)+P476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רגיל</t>
        </is>
      </c>
      <c r="F477" t="inlineStr">
        <is>
          <t>רטוב</t>
        </is>
      </c>
      <c r="G477" t="inlineStr">
        <is>
          <t>גורים</t>
        </is>
      </c>
      <c r="H477" t="inlineStr">
        <is>
          <t>חתול</t>
        </is>
      </c>
      <c r="I477" t="inlineStr"/>
      <c r="J477" t="inlineStr">
        <is>
          <t>2026-04</t>
        </is>
      </c>
      <c r="K477" t="n">
        <v>62</v>
      </c>
      <c r="L477" t="n">
        <v>73.16</v>
      </c>
      <c r="M477">
        <f>הגדרות!B5</f>
        <v/>
      </c>
      <c r="N477">
        <f>K477*(1-M477/100)*1.18</f>
        <v/>
      </c>
      <c r="O477">
        <f>הגדרות!C5</f>
        <v/>
      </c>
      <c r="P477">
        <f>הגדרות!D5</f>
        <v/>
      </c>
      <c r="Q477">
        <f>N477*(1+O477/100)+P477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רגיל</t>
        </is>
      </c>
      <c r="F478" t="inlineStr">
        <is>
          <t>רטוב</t>
        </is>
      </c>
      <c r="G478" t="inlineStr">
        <is>
          <t>גורים</t>
        </is>
      </c>
      <c r="H478" t="inlineStr">
        <is>
          <t>חתול</t>
        </is>
      </c>
      <c r="I478" t="inlineStr"/>
      <c r="J478" t="inlineStr">
        <is>
          <t>2026-04</t>
        </is>
      </c>
      <c r="K478" t="n">
        <v>62</v>
      </c>
      <c r="L478" t="n">
        <v>73.16</v>
      </c>
      <c r="M478">
        <f>הגדרות!B5</f>
        <v/>
      </c>
      <c r="N478">
        <f>K478*(1-M478/100)*1.18</f>
        <v/>
      </c>
      <c r="O478">
        <f>הגדרות!C5</f>
        <v/>
      </c>
      <c r="P478">
        <f>הגדרות!D5</f>
        <v/>
      </c>
      <c r="Q478">
        <f>N478*(1+O478/100)+P478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רגיל</t>
        </is>
      </c>
      <c r="F479" t="inlineStr">
        <is>
          <t>רטוב</t>
        </is>
      </c>
      <c r="G479" t="inlineStr">
        <is>
          <t>גורים</t>
        </is>
      </c>
      <c r="H479" t="inlineStr">
        <is>
          <t>חתול</t>
        </is>
      </c>
      <c r="I479" t="inlineStr"/>
      <c r="J479" t="inlineStr">
        <is>
          <t>2026-04</t>
        </is>
      </c>
      <c r="K479" t="n">
        <v>62</v>
      </c>
      <c r="L479" t="n">
        <v>73.16</v>
      </c>
      <c r="M479">
        <f>הגדרות!B5</f>
        <v/>
      </c>
      <c r="N479">
        <f>K479*(1-M479/100)*1.18</f>
        <v/>
      </c>
      <c r="O479">
        <f>הגדרות!C5</f>
        <v/>
      </c>
      <c r="P479">
        <f>הגדרות!D5</f>
        <v/>
      </c>
      <c r="Q479">
        <f>N479*(1+O479/100)+P479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רגיל</t>
        </is>
      </c>
      <c r="F480" t="inlineStr">
        <is>
          <t>רטוב</t>
        </is>
      </c>
      <c r="G480" t="inlineStr">
        <is>
          <t>בוגר</t>
        </is>
      </c>
      <c r="H480" t="inlineStr">
        <is>
          <t>חתול</t>
        </is>
      </c>
      <c r="I480" t="inlineStr"/>
      <c r="J480" t="inlineStr">
        <is>
          <t>2026-04</t>
        </is>
      </c>
      <c r="K480" t="n">
        <v>62</v>
      </c>
      <c r="L480" t="n">
        <v>73.16</v>
      </c>
      <c r="M480">
        <f>הגדרות!B5</f>
        <v/>
      </c>
      <c r="N480">
        <f>K480*(1-M480/100)*1.18</f>
        <v/>
      </c>
      <c r="O480">
        <f>הגדרות!C5</f>
        <v/>
      </c>
      <c r="P480">
        <f>הגדרות!D5</f>
        <v/>
      </c>
      <c r="Q480">
        <f>N480*(1+O480/100)+P480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רגיל</t>
        </is>
      </c>
      <c r="F481" t="inlineStr">
        <is>
          <t>רטוב</t>
        </is>
      </c>
      <c r="G481" t="inlineStr">
        <is>
          <t>בוגר</t>
        </is>
      </c>
      <c r="H481" t="inlineStr">
        <is>
          <t>חתול</t>
        </is>
      </c>
      <c r="I481" t="inlineStr"/>
      <c r="J481" t="inlineStr">
        <is>
          <t>2026-04</t>
        </is>
      </c>
      <c r="K481" t="n">
        <v>62</v>
      </c>
      <c r="L481" t="n">
        <v>73.16</v>
      </c>
      <c r="M481">
        <f>הגדרות!B5</f>
        <v/>
      </c>
      <c r="N481">
        <f>K481*(1-M481/100)*1.18</f>
        <v/>
      </c>
      <c r="O481">
        <f>הגדרות!C5</f>
        <v/>
      </c>
      <c r="P481">
        <f>הגדרות!D5</f>
        <v/>
      </c>
      <c r="Q481">
        <f>N481*(1+O481/100)+P481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רגיל</t>
        </is>
      </c>
      <c r="F482" t="inlineStr">
        <is>
          <t>רטוב</t>
        </is>
      </c>
      <c r="G482" t="inlineStr">
        <is>
          <t>בוגר</t>
        </is>
      </c>
      <c r="H482" t="inlineStr">
        <is>
          <t>חתול</t>
        </is>
      </c>
      <c r="I482" t="inlineStr"/>
      <c r="J482" t="inlineStr">
        <is>
          <t>2026-04</t>
        </is>
      </c>
      <c r="K482" t="n">
        <v>62</v>
      </c>
      <c r="L482" t="n">
        <v>73.16</v>
      </c>
      <c r="M482">
        <f>הגדרות!B5</f>
        <v/>
      </c>
      <c r="N482">
        <f>K482*(1-M482/100)*1.18</f>
        <v/>
      </c>
      <c r="O482">
        <f>הגדרות!C5</f>
        <v/>
      </c>
      <c r="P482">
        <f>הגדרות!D5</f>
        <v/>
      </c>
      <c r="Q482">
        <f>N482*(1+O482/100)+P482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רגיל</t>
        </is>
      </c>
      <c r="F483" t="inlineStr">
        <is>
          <t>רטוב</t>
        </is>
      </c>
      <c r="G483" t="inlineStr"/>
      <c r="H483" t="inlineStr">
        <is>
          <t>חתול</t>
        </is>
      </c>
      <c r="I483" t="inlineStr"/>
      <c r="J483" t="inlineStr">
        <is>
          <t>2026-04</t>
        </is>
      </c>
      <c r="K483" t="n">
        <v>62</v>
      </c>
      <c r="L483" t="n">
        <v>73.16</v>
      </c>
      <c r="M483">
        <f>הגדרות!B5</f>
        <v/>
      </c>
      <c r="N483">
        <f>K483*(1-M483/100)*1.18</f>
        <v/>
      </c>
      <c r="O483">
        <f>הגדרות!C5</f>
        <v/>
      </c>
      <c r="P483">
        <f>הגדרות!D5</f>
        <v/>
      </c>
      <c r="Q483">
        <f>N483*(1+O483/100)+P483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רגיל</t>
        </is>
      </c>
      <c r="F484" t="inlineStr">
        <is>
          <t>רטוב</t>
        </is>
      </c>
      <c r="G484" t="inlineStr"/>
      <c r="H484" t="inlineStr">
        <is>
          <t>חתול</t>
        </is>
      </c>
      <c r="I484" t="inlineStr"/>
      <c r="J484" t="inlineStr">
        <is>
          <t>2026-04</t>
        </is>
      </c>
      <c r="K484" t="n">
        <v>62</v>
      </c>
      <c r="L484" t="n">
        <v>73.16</v>
      </c>
      <c r="M484">
        <f>הגדרות!B5</f>
        <v/>
      </c>
      <c r="N484">
        <f>K484*(1-M484/100)*1.18</f>
        <v/>
      </c>
      <c r="O484">
        <f>הגדרות!C5</f>
        <v/>
      </c>
      <c r="P484">
        <f>הגדרות!D5</f>
        <v/>
      </c>
      <c r="Q484">
        <f>N484*(1+O484/100)+P484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רגיל</t>
        </is>
      </c>
      <c r="F485" t="inlineStr">
        <is>
          <t>רטוב</t>
        </is>
      </c>
      <c r="G485" t="inlineStr"/>
      <c r="H485" t="inlineStr">
        <is>
          <t>חתול</t>
        </is>
      </c>
      <c r="I485" t="inlineStr"/>
      <c r="J485" t="inlineStr">
        <is>
          <t>2026-04</t>
        </is>
      </c>
      <c r="K485" t="n">
        <v>62</v>
      </c>
      <c r="L485" t="n">
        <v>73.16</v>
      </c>
      <c r="M485">
        <f>הגדרות!B5</f>
        <v/>
      </c>
      <c r="N485">
        <f>K485*(1-M485/100)*1.18</f>
        <v/>
      </c>
      <c r="O485">
        <f>הגדרות!C5</f>
        <v/>
      </c>
      <c r="P485">
        <f>הגדרות!D5</f>
        <v/>
      </c>
      <c r="Q485">
        <f>N485*(1+O485/100)+P485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רגיל</t>
        </is>
      </c>
      <c r="F486" t="inlineStr">
        <is>
          <t>רטוב</t>
        </is>
      </c>
      <c r="G486" t="inlineStr"/>
      <c r="H486" t="inlineStr"/>
      <c r="I486" t="inlineStr"/>
      <c r="J486" t="inlineStr">
        <is>
          <t>2026-04</t>
        </is>
      </c>
      <c r="K486" t="n">
        <v>22</v>
      </c>
      <c r="L486" t="n">
        <v>25.96</v>
      </c>
      <c r="M486">
        <f>הגדרות!B5</f>
        <v/>
      </c>
      <c r="N486">
        <f>K486*(1-M486/100)*1.18</f>
        <v/>
      </c>
      <c r="O486">
        <f>הגדרות!C5</f>
        <v/>
      </c>
      <c r="P486">
        <f>הגדרות!D5</f>
        <v/>
      </c>
      <c r="Q486">
        <f>N486*(1+O486/100)+P486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וטרינרי / רפואי</t>
        </is>
      </c>
      <c r="F487" t="inlineStr">
        <is>
          <t>יבש</t>
        </is>
      </c>
      <c r="G487" t="inlineStr">
        <is>
          <t>גורים</t>
        </is>
      </c>
      <c r="H487" t="inlineStr">
        <is>
          <t>כלב</t>
        </is>
      </c>
      <c r="I487" t="inlineStr">
        <is>
          <t>עד 7 ק"ג</t>
        </is>
      </c>
      <c r="J487" t="inlineStr">
        <is>
          <t>2026-04</t>
        </is>
      </c>
      <c r="K487" t="n">
        <v>86</v>
      </c>
      <c r="L487" t="n">
        <v>101.48</v>
      </c>
      <c r="M487">
        <f>הגדרות!B6</f>
        <v/>
      </c>
      <c r="N487">
        <f>K487*(1-M487/100)*1.18</f>
        <v/>
      </c>
      <c r="O487">
        <f>הגדרות!C6</f>
        <v/>
      </c>
      <c r="P487">
        <f>הגדרות!D6</f>
        <v/>
      </c>
      <c r="Q487">
        <f>N487*(1+O487/100)+P487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וטרינרי / רפואי</t>
        </is>
      </c>
      <c r="F488" t="inlineStr">
        <is>
          <t>יבש</t>
        </is>
      </c>
      <c r="G488" t="inlineStr">
        <is>
          <t>גורים</t>
        </is>
      </c>
      <c r="H488" t="inlineStr">
        <is>
          <t>כלב</t>
        </is>
      </c>
      <c r="I488" t="inlineStr">
        <is>
          <t>עד 7 ק"ג</t>
        </is>
      </c>
      <c r="J488" t="inlineStr">
        <is>
          <t>2026-04</t>
        </is>
      </c>
      <c r="K488" t="n">
        <v>215</v>
      </c>
      <c r="L488" t="n">
        <v>253.7</v>
      </c>
      <c r="M488">
        <f>הגדרות!B6</f>
        <v/>
      </c>
      <c r="N488">
        <f>K488*(1-M488/100)*1.18</f>
        <v/>
      </c>
      <c r="O488">
        <f>הגדרות!C6</f>
        <v/>
      </c>
      <c r="P488">
        <f>הגדרות!D6</f>
        <v/>
      </c>
      <c r="Q488">
        <f>N488*(1+O488/100)+P488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וטרינרי / רפואי</t>
        </is>
      </c>
      <c r="F489" t="inlineStr">
        <is>
          <t>יבש</t>
        </is>
      </c>
      <c r="G489" t="inlineStr">
        <is>
          <t>גורים</t>
        </is>
      </c>
      <c r="H489" t="inlineStr">
        <is>
          <t>כלב</t>
        </is>
      </c>
      <c r="I489" t="inlineStr">
        <is>
          <t>מעל 7 ק"ג</t>
        </is>
      </c>
      <c r="J489" t="inlineStr">
        <is>
          <t>2026-04</t>
        </is>
      </c>
      <c r="K489" t="n">
        <v>86</v>
      </c>
      <c r="L489" t="n">
        <v>101.48</v>
      </c>
      <c r="M489">
        <f>הגדרות!B6</f>
        <v/>
      </c>
      <c r="N489">
        <f>K489*(1-M489/100)*1.18</f>
        <v/>
      </c>
      <c r="O489">
        <f>הגדרות!C6</f>
        <v/>
      </c>
      <c r="P489">
        <f>הגדרות!D6</f>
        <v/>
      </c>
      <c r="Q489">
        <f>N489*(1+O489/100)+P489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וטרינרי / רפואי</t>
        </is>
      </c>
      <c r="F490" t="inlineStr">
        <is>
          <t>יבש</t>
        </is>
      </c>
      <c r="G490" t="inlineStr">
        <is>
          <t>גורים</t>
        </is>
      </c>
      <c r="H490" t="inlineStr">
        <is>
          <t>כלב</t>
        </is>
      </c>
      <c r="I490" t="inlineStr">
        <is>
          <t>מעל 7 ק"ג</t>
        </is>
      </c>
      <c r="J490" t="inlineStr">
        <is>
          <t>2026-04</t>
        </is>
      </c>
      <c r="K490" t="n">
        <v>230</v>
      </c>
      <c r="L490" t="n">
        <v>271.4</v>
      </c>
      <c r="M490">
        <f>הגדרות!B6</f>
        <v/>
      </c>
      <c r="N490">
        <f>K490*(1-M490/100)*1.18</f>
        <v/>
      </c>
      <c r="O490">
        <f>הגדרות!C6</f>
        <v/>
      </c>
      <c r="P490">
        <f>הגדרות!D6</f>
        <v/>
      </c>
      <c r="Q490">
        <f>N490*(1+O490/100)+P490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וטרינרי / רפואי</t>
        </is>
      </c>
      <c r="F491" t="inlineStr">
        <is>
          <t>יבש</t>
        </is>
      </c>
      <c r="G491" t="inlineStr">
        <is>
          <t>גורים</t>
        </is>
      </c>
      <c r="H491" t="inlineStr">
        <is>
          <t>כלב</t>
        </is>
      </c>
      <c r="I491" t="inlineStr">
        <is>
          <t>מעל 7 ק"ג</t>
        </is>
      </c>
      <c r="J491" t="inlineStr">
        <is>
          <t>2026-04</t>
        </is>
      </c>
      <c r="K491" t="n">
        <v>343</v>
      </c>
      <c r="L491" t="n">
        <v>404.74</v>
      </c>
      <c r="M491">
        <f>הגדרות!B6</f>
        <v/>
      </c>
      <c r="N491">
        <f>K491*(1-M491/100)*1.18</f>
        <v/>
      </c>
      <c r="O491">
        <f>הגדרות!C6</f>
        <v/>
      </c>
      <c r="P491">
        <f>הגדרות!D6</f>
        <v/>
      </c>
      <c r="Q491">
        <f>N491*(1+O491/100)+P491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וטרינרי / רפואי</t>
        </is>
      </c>
      <c r="F492" t="inlineStr">
        <is>
          <t>יבש</t>
        </is>
      </c>
      <c r="G492" t="inlineStr">
        <is>
          <t>בוגר</t>
        </is>
      </c>
      <c r="H492" t="inlineStr">
        <is>
          <t>כלב</t>
        </is>
      </c>
      <c r="I492" t="inlineStr">
        <is>
          <t>עד 7 ק"ג</t>
        </is>
      </c>
      <c r="J492" t="inlineStr">
        <is>
          <t>2026-04</t>
        </is>
      </c>
      <c r="K492" t="n">
        <v>88</v>
      </c>
      <c r="L492" t="n">
        <v>103.84</v>
      </c>
      <c r="M492">
        <f>הגדרות!B6</f>
        <v/>
      </c>
      <c r="N492">
        <f>K492*(1-M492/100)*1.18</f>
        <v/>
      </c>
      <c r="O492">
        <f>הגדרות!C6</f>
        <v/>
      </c>
      <c r="P492">
        <f>הגדרות!D6</f>
        <v/>
      </c>
      <c r="Q492">
        <f>N492*(1+O492/100)+P492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וטרינרי / רפואי</t>
        </is>
      </c>
      <c r="F493" t="inlineStr">
        <is>
          <t>יבש</t>
        </is>
      </c>
      <c r="G493" t="inlineStr">
        <is>
          <t>בוגר</t>
        </is>
      </c>
      <c r="H493" t="inlineStr">
        <is>
          <t>כלב</t>
        </is>
      </c>
      <c r="I493" t="inlineStr">
        <is>
          <t>מעל 7 ק"ג</t>
        </is>
      </c>
      <c r="J493" t="inlineStr">
        <is>
          <t>2026-04</t>
        </is>
      </c>
      <c r="K493" t="n">
        <v>292</v>
      </c>
      <c r="L493" t="n">
        <v>344.56</v>
      </c>
      <c r="M493">
        <f>הגדרות!B6</f>
        <v/>
      </c>
      <c r="N493">
        <f>K493*(1-M493/100)*1.18</f>
        <v/>
      </c>
      <c r="O493">
        <f>הגדרות!C6</f>
        <v/>
      </c>
      <c r="P493">
        <f>הגדרות!D6</f>
        <v/>
      </c>
      <c r="Q493">
        <f>N493*(1+O493/100)+P493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וטרינרי / רפואי</t>
        </is>
      </c>
      <c r="F494" t="inlineStr">
        <is>
          <t>יבש</t>
        </is>
      </c>
      <c r="G494" t="inlineStr">
        <is>
          <t>מבוגר</t>
        </is>
      </c>
      <c r="H494" t="inlineStr">
        <is>
          <t>כלב</t>
        </is>
      </c>
      <c r="I494" t="inlineStr">
        <is>
          <t>עד 7 ק"ג</t>
        </is>
      </c>
      <c r="J494" t="inlineStr">
        <is>
          <t>2026-04</t>
        </is>
      </c>
      <c r="K494" t="n">
        <v>88</v>
      </c>
      <c r="L494" t="n">
        <v>103.84</v>
      </c>
      <c r="M494">
        <f>הגדרות!B6</f>
        <v/>
      </c>
      <c r="N494">
        <f>K494*(1-M494/100)*1.18</f>
        <v/>
      </c>
      <c r="O494">
        <f>הגדרות!C6</f>
        <v/>
      </c>
      <c r="P494">
        <f>הגדרות!D6</f>
        <v/>
      </c>
      <c r="Q494">
        <f>N494*(1+O494/100)+P494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וטרינרי / רפואי</t>
        </is>
      </c>
      <c r="F495" t="inlineStr">
        <is>
          <t>יבש</t>
        </is>
      </c>
      <c r="G495" t="inlineStr">
        <is>
          <t>מבוגר</t>
        </is>
      </c>
      <c r="H495" t="inlineStr">
        <is>
          <t>כלב</t>
        </is>
      </c>
      <c r="I495" t="inlineStr">
        <is>
          <t>עד 7 ק"ג</t>
        </is>
      </c>
      <c r="J495" t="inlineStr">
        <is>
          <t>2026-04</t>
        </is>
      </c>
      <c r="K495" t="n">
        <v>225</v>
      </c>
      <c r="L495" t="n">
        <v>265.5</v>
      </c>
      <c r="M495">
        <f>הגדרות!B6</f>
        <v/>
      </c>
      <c r="N495">
        <f>K495*(1-M495/100)*1.18</f>
        <v/>
      </c>
      <c r="O495">
        <f>הגדרות!C6</f>
        <v/>
      </c>
      <c r="P495">
        <f>הגדרות!D6</f>
        <v/>
      </c>
      <c r="Q495">
        <f>N495*(1+O495/100)+P495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וטרינרי / רפואי</t>
        </is>
      </c>
      <c r="F496" t="inlineStr">
        <is>
          <t>יבש</t>
        </is>
      </c>
      <c r="G496" t="inlineStr">
        <is>
          <t>מבוגר</t>
        </is>
      </c>
      <c r="H496" t="inlineStr">
        <is>
          <t>כלב</t>
        </is>
      </c>
      <c r="I496" t="inlineStr">
        <is>
          <t>מעל 7 ק"ג</t>
        </is>
      </c>
      <c r="J496" t="inlineStr">
        <is>
          <t>2026-04</t>
        </is>
      </c>
      <c r="K496" t="n">
        <v>266</v>
      </c>
      <c r="L496" t="n">
        <v>313.88</v>
      </c>
      <c r="M496">
        <f>הגדרות!B6</f>
        <v/>
      </c>
      <c r="N496">
        <f>K496*(1-M496/100)*1.18</f>
        <v/>
      </c>
      <c r="O496">
        <f>הגדרות!C6</f>
        <v/>
      </c>
      <c r="P496">
        <f>הגדרות!D6</f>
        <v/>
      </c>
      <c r="Q496">
        <f>N496*(1+O496/100)+P496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וטרינרי / רפואי</t>
        </is>
      </c>
      <c r="F497" t="inlineStr">
        <is>
          <t>יבש</t>
        </is>
      </c>
      <c r="G497" t="inlineStr">
        <is>
          <t>בוגר</t>
        </is>
      </c>
      <c r="H497" t="inlineStr">
        <is>
          <t>כלב</t>
        </is>
      </c>
      <c r="I497" t="inlineStr">
        <is>
          <t>עד 7 ק"ג</t>
        </is>
      </c>
      <c r="J497" t="inlineStr">
        <is>
          <t>2026-04</t>
        </is>
      </c>
      <c r="K497" t="n">
        <v>90</v>
      </c>
      <c r="L497" t="n">
        <v>106.2</v>
      </c>
      <c r="M497">
        <f>הגדרות!B6</f>
        <v/>
      </c>
      <c r="N497">
        <f>K497*(1-M497/100)*1.18</f>
        <v/>
      </c>
      <c r="O497">
        <f>הגדרות!C6</f>
        <v/>
      </c>
      <c r="P497">
        <f>הגדרות!D6</f>
        <v/>
      </c>
      <c r="Q497">
        <f>N497*(1+O497/100)+P497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וטרינרי / רפואי</t>
        </is>
      </c>
      <c r="F498" t="inlineStr">
        <is>
          <t>יבש</t>
        </is>
      </c>
      <c r="G498" t="inlineStr">
        <is>
          <t>בוגר</t>
        </is>
      </c>
      <c r="H498" t="inlineStr">
        <is>
          <t>כלב</t>
        </is>
      </c>
      <c r="I498" t="inlineStr">
        <is>
          <t>עד 7 ק"ג</t>
        </is>
      </c>
      <c r="J498" t="inlineStr">
        <is>
          <t>2026-04</t>
        </is>
      </c>
      <c r="K498" t="n">
        <v>220</v>
      </c>
      <c r="L498" t="n">
        <v>259.6</v>
      </c>
      <c r="M498">
        <f>הגדרות!B6</f>
        <v/>
      </c>
      <c r="N498">
        <f>K498*(1-M498/100)*1.18</f>
        <v/>
      </c>
      <c r="O498">
        <f>הגדרות!C6</f>
        <v/>
      </c>
      <c r="P498">
        <f>הגדרות!D6</f>
        <v/>
      </c>
      <c r="Q498">
        <f>N498*(1+O498/100)+P498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וטרינרי / רפואי</t>
        </is>
      </c>
      <c r="F499" t="inlineStr">
        <is>
          <t>יבש</t>
        </is>
      </c>
      <c r="G499" t="inlineStr">
        <is>
          <t>בוגר</t>
        </is>
      </c>
      <c r="H499" t="inlineStr">
        <is>
          <t>כלב</t>
        </is>
      </c>
      <c r="I499" t="inlineStr">
        <is>
          <t>מעל 7 ק"ג</t>
        </is>
      </c>
      <c r="J499" t="inlineStr">
        <is>
          <t>2026-04</t>
        </is>
      </c>
      <c r="K499" t="n">
        <v>292</v>
      </c>
      <c r="L499" t="n">
        <v>344.56</v>
      </c>
      <c r="M499">
        <f>הגדרות!B6</f>
        <v/>
      </c>
      <c r="N499">
        <f>K499*(1-M499/100)*1.18</f>
        <v/>
      </c>
      <c r="O499">
        <f>הגדרות!C6</f>
        <v/>
      </c>
      <c r="P499">
        <f>הגדרות!D6</f>
        <v/>
      </c>
      <c r="Q499">
        <f>N499*(1+O499/100)+P499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וטרינרי / רפואי</t>
        </is>
      </c>
      <c r="F500" t="inlineStr">
        <is>
          <t>יבש</t>
        </is>
      </c>
      <c r="G500" t="inlineStr">
        <is>
          <t>בוגר</t>
        </is>
      </c>
      <c r="H500" t="inlineStr">
        <is>
          <t>כלב</t>
        </is>
      </c>
      <c r="I500" t="inlineStr">
        <is>
          <t>מעל 7 ק"ג</t>
        </is>
      </c>
      <c r="J500" t="inlineStr">
        <is>
          <t>2026-04</t>
        </is>
      </c>
      <c r="K500" t="n">
        <v>374</v>
      </c>
      <c r="L500" t="n">
        <v>441.32</v>
      </c>
      <c r="M500">
        <f>הגדרות!B6</f>
        <v/>
      </c>
      <c r="N500">
        <f>K500*(1-M500/100)*1.18</f>
        <v/>
      </c>
      <c r="O500">
        <f>הגדרות!C6</f>
        <v/>
      </c>
      <c r="P500">
        <f>הגדרות!D6</f>
        <v/>
      </c>
      <c r="Q500">
        <f>N500*(1+O500/100)+P500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וטרינרי / רפואי</t>
        </is>
      </c>
      <c r="F501" t="inlineStr">
        <is>
          <t>יבש</t>
        </is>
      </c>
      <c r="G501" t="inlineStr">
        <is>
          <t>מבוגר</t>
        </is>
      </c>
      <c r="H501" t="inlineStr">
        <is>
          <t>כלב</t>
        </is>
      </c>
      <c r="I501" t="inlineStr">
        <is>
          <t>עד 7 ק"ג</t>
        </is>
      </c>
      <c r="J501" t="inlineStr">
        <is>
          <t>2026-04</t>
        </is>
      </c>
      <c r="K501" t="n">
        <v>88</v>
      </c>
      <c r="L501" t="n">
        <v>103.84</v>
      </c>
      <c r="M501">
        <f>הגדרות!B6</f>
        <v/>
      </c>
      <c r="N501">
        <f>K501*(1-M501/100)*1.18</f>
        <v/>
      </c>
      <c r="O501">
        <f>הגדרות!C6</f>
        <v/>
      </c>
      <c r="P501">
        <f>הגדרות!D6</f>
        <v/>
      </c>
      <c r="Q501">
        <f>N501*(1+O501/100)+P501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וטרינרי / רפואי</t>
        </is>
      </c>
      <c r="F502" t="inlineStr">
        <is>
          <t>יבש</t>
        </is>
      </c>
      <c r="G502" t="inlineStr">
        <is>
          <t>גורים</t>
        </is>
      </c>
      <c r="H502" t="inlineStr">
        <is>
          <t>חתול</t>
        </is>
      </c>
      <c r="I502" t="inlineStr"/>
      <c r="J502" t="inlineStr">
        <is>
          <t>2026-04</t>
        </is>
      </c>
      <c r="K502" t="n">
        <v>81</v>
      </c>
      <c r="L502" t="n">
        <v>95.58</v>
      </c>
      <c r="M502">
        <f>הגדרות!B6</f>
        <v/>
      </c>
      <c r="N502">
        <f>K502*(1-M502/100)*1.18</f>
        <v/>
      </c>
      <c r="O502">
        <f>הגדרות!C6</f>
        <v/>
      </c>
      <c r="P502">
        <f>הגדרות!D6</f>
        <v/>
      </c>
      <c r="Q502">
        <f>N502*(1+O502/100)+P502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וטרינרי / רפואי</t>
        </is>
      </c>
      <c r="F503" t="inlineStr">
        <is>
          <t>יבש</t>
        </is>
      </c>
      <c r="G503" t="inlineStr">
        <is>
          <t>גורים</t>
        </is>
      </c>
      <c r="H503" t="inlineStr">
        <is>
          <t>חתול</t>
        </is>
      </c>
      <c r="I503" t="inlineStr"/>
      <c r="J503" t="inlineStr">
        <is>
          <t>2026-04</t>
        </is>
      </c>
      <c r="K503" t="n">
        <v>142</v>
      </c>
      <c r="L503" t="n">
        <v>167.56</v>
      </c>
      <c r="M503">
        <f>הגדרות!B6</f>
        <v/>
      </c>
      <c r="N503">
        <f>K503*(1-M503/100)*1.18</f>
        <v/>
      </c>
      <c r="O503">
        <f>הגדרות!C6</f>
        <v/>
      </c>
      <c r="P503">
        <f>הגדרות!D6</f>
        <v/>
      </c>
      <c r="Q503">
        <f>N503*(1+O503/100)+P503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וטרינרי / רפואי</t>
        </is>
      </c>
      <c r="F504" t="inlineStr">
        <is>
          <t>יבש</t>
        </is>
      </c>
      <c r="G504" t="inlineStr">
        <is>
          <t>מבוגר</t>
        </is>
      </c>
      <c r="H504" t="inlineStr">
        <is>
          <t>חתול</t>
        </is>
      </c>
      <c r="I504" t="inlineStr"/>
      <c r="J504" t="inlineStr">
        <is>
          <t>2026-04</t>
        </is>
      </c>
      <c r="K504" t="n">
        <v>148</v>
      </c>
      <c r="L504" t="n">
        <v>174.64</v>
      </c>
      <c r="M504">
        <f>הגדרות!B6</f>
        <v/>
      </c>
      <c r="N504">
        <f>K504*(1-M504/100)*1.18</f>
        <v/>
      </c>
      <c r="O504">
        <f>הגדרות!C6</f>
        <v/>
      </c>
      <c r="P504">
        <f>הגדרות!D6</f>
        <v/>
      </c>
      <c r="Q504">
        <f>N504*(1+O504/100)+P504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וטרינרי / רפואי</t>
        </is>
      </c>
      <c r="F505" t="inlineStr">
        <is>
          <t>יבש</t>
        </is>
      </c>
      <c r="G505" t="inlineStr">
        <is>
          <t>מבוגר</t>
        </is>
      </c>
      <c r="H505" t="inlineStr">
        <is>
          <t>חתול</t>
        </is>
      </c>
      <c r="I505" t="inlineStr"/>
      <c r="J505" t="inlineStr">
        <is>
          <t>2026-04</t>
        </is>
      </c>
      <c r="K505" t="n">
        <v>261</v>
      </c>
      <c r="L505" t="n">
        <v>307.98</v>
      </c>
      <c r="M505">
        <f>הגדרות!B6</f>
        <v/>
      </c>
      <c r="N505">
        <f>K505*(1-M505/100)*1.18</f>
        <v/>
      </c>
      <c r="O505">
        <f>הגדרות!C6</f>
        <v/>
      </c>
      <c r="P505">
        <f>הגדרות!D6</f>
        <v/>
      </c>
      <c r="Q505">
        <f>N505*(1+O505/100)+P505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וטרינרי / רפואי</t>
        </is>
      </c>
      <c r="F506" t="inlineStr">
        <is>
          <t>יבש</t>
        </is>
      </c>
      <c r="G506" t="inlineStr">
        <is>
          <t>בוגר</t>
        </is>
      </c>
      <c r="H506" t="inlineStr">
        <is>
          <t>חתול</t>
        </is>
      </c>
      <c r="I506" t="inlineStr"/>
      <c r="J506" t="inlineStr">
        <is>
          <t>2026-04</t>
        </is>
      </c>
      <c r="K506" t="n">
        <v>145</v>
      </c>
      <c r="L506" t="n">
        <v>171.1</v>
      </c>
      <c r="M506">
        <f>הגדרות!B6</f>
        <v/>
      </c>
      <c r="N506">
        <f>K506*(1-M506/100)*1.18</f>
        <v/>
      </c>
      <c r="O506">
        <f>הגדרות!C6</f>
        <v/>
      </c>
      <c r="P506">
        <f>הגדרות!D6</f>
        <v/>
      </c>
      <c r="Q506">
        <f>N506*(1+O506/100)+P506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וטרינרי / רפואי</t>
        </is>
      </c>
      <c r="F507" t="inlineStr">
        <is>
          <t>יבש</t>
        </is>
      </c>
      <c r="G507" t="inlineStr">
        <is>
          <t>מבוגר</t>
        </is>
      </c>
      <c r="H507" t="inlineStr">
        <is>
          <t>חתול</t>
        </is>
      </c>
      <c r="I507" t="inlineStr"/>
      <c r="J507" t="inlineStr">
        <is>
          <t>2026-04</t>
        </is>
      </c>
      <c r="K507" t="n">
        <v>146</v>
      </c>
      <c r="L507" t="n">
        <v>172.28</v>
      </c>
      <c r="M507">
        <f>הגדרות!B6</f>
        <v/>
      </c>
      <c r="N507">
        <f>K507*(1-M507/100)*1.18</f>
        <v/>
      </c>
      <c r="O507">
        <f>הגדרות!C6</f>
        <v/>
      </c>
      <c r="P507">
        <f>הגדרות!D6</f>
        <v/>
      </c>
      <c r="Q507">
        <f>N507*(1+O507/100)+P507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וטרינרי / רפואי</t>
        </is>
      </c>
      <c r="F508" t="inlineStr">
        <is>
          <t>יבש</t>
        </is>
      </c>
      <c r="G508" t="inlineStr">
        <is>
          <t>גורים</t>
        </is>
      </c>
      <c r="H508" t="inlineStr">
        <is>
          <t>כלב</t>
        </is>
      </c>
      <c r="I508" t="inlineStr">
        <is>
          <t>עד 7 ק"ג</t>
        </is>
      </c>
      <c r="J508" t="inlineStr">
        <is>
          <t>2026-04</t>
        </is>
      </c>
      <c r="K508" t="n">
        <v>86</v>
      </c>
      <c r="L508" t="n">
        <v>101.48</v>
      </c>
      <c r="M508">
        <f>הגדרות!B6</f>
        <v/>
      </c>
      <c r="N508">
        <f>K508*(1-M508/100)*1.18</f>
        <v/>
      </c>
      <c r="O508">
        <f>הגדרות!C6</f>
        <v/>
      </c>
      <c r="P508">
        <f>הגדרות!D6</f>
        <v/>
      </c>
      <c r="Q508">
        <f>N508*(1+O508/100)+P508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וטרינרי / רפואי</t>
        </is>
      </c>
      <c r="F509" t="inlineStr">
        <is>
          <t>יבש</t>
        </is>
      </c>
      <c r="G509" t="inlineStr">
        <is>
          <t>גורים</t>
        </is>
      </c>
      <c r="H509" t="inlineStr">
        <is>
          <t>כלב</t>
        </is>
      </c>
      <c r="I509" t="inlineStr">
        <is>
          <t>עד 7 ק"ג</t>
        </is>
      </c>
      <c r="J509" t="inlineStr">
        <is>
          <t>2026-04</t>
        </is>
      </c>
      <c r="K509" t="n">
        <v>215</v>
      </c>
      <c r="L509" t="n">
        <v>253.7</v>
      </c>
      <c r="M509">
        <f>הגדרות!B6</f>
        <v/>
      </c>
      <c r="N509">
        <f>K509*(1-M509/100)*1.18</f>
        <v/>
      </c>
      <c r="O509">
        <f>הגדרות!C6</f>
        <v/>
      </c>
      <c r="P509">
        <f>הגדרות!D6</f>
        <v/>
      </c>
      <c r="Q509">
        <f>N509*(1+O509/100)+P509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וטרינרי / רפואי</t>
        </is>
      </c>
      <c r="F510" t="inlineStr">
        <is>
          <t>יבש</t>
        </is>
      </c>
      <c r="G510" t="inlineStr">
        <is>
          <t>גורים</t>
        </is>
      </c>
      <c r="H510" t="inlineStr">
        <is>
          <t>כלב</t>
        </is>
      </c>
      <c r="I510" t="inlineStr">
        <is>
          <t>מעל 7 ק"ג</t>
        </is>
      </c>
      <c r="J510" t="inlineStr">
        <is>
          <t>2026-04</t>
        </is>
      </c>
      <c r="K510" t="n">
        <v>86</v>
      </c>
      <c r="L510" t="n">
        <v>101.48</v>
      </c>
      <c r="M510">
        <f>הגדרות!B6</f>
        <v/>
      </c>
      <c r="N510">
        <f>K510*(1-M510/100)*1.18</f>
        <v/>
      </c>
      <c r="O510">
        <f>הגדרות!C6</f>
        <v/>
      </c>
      <c r="P510">
        <f>הגדרות!D6</f>
        <v/>
      </c>
      <c r="Q510">
        <f>N510*(1+O510/100)+P510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וטרינרי / רפואי</t>
        </is>
      </c>
      <c r="F511" t="inlineStr">
        <is>
          <t>יבש</t>
        </is>
      </c>
      <c r="G511" t="inlineStr">
        <is>
          <t>גורים</t>
        </is>
      </c>
      <c r="H511" t="inlineStr">
        <is>
          <t>כלב</t>
        </is>
      </c>
      <c r="I511" t="inlineStr">
        <is>
          <t>מעל 7 ק"ג</t>
        </is>
      </c>
      <c r="J511" t="inlineStr">
        <is>
          <t>2026-04</t>
        </is>
      </c>
      <c r="K511" t="n">
        <v>230</v>
      </c>
      <c r="L511" t="n">
        <v>271.4</v>
      </c>
      <c r="M511">
        <f>הגדרות!B6</f>
        <v/>
      </c>
      <c r="N511">
        <f>K511*(1-M511/100)*1.18</f>
        <v/>
      </c>
      <c r="O511">
        <f>הגדרות!C6</f>
        <v/>
      </c>
      <c r="P511">
        <f>הגדרות!D6</f>
        <v/>
      </c>
      <c r="Q511">
        <f>N511*(1+O511/100)+P511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וטרינרי / רפואי</t>
        </is>
      </c>
      <c r="F512" t="inlineStr">
        <is>
          <t>יבש</t>
        </is>
      </c>
      <c r="G512" t="inlineStr">
        <is>
          <t>גורים</t>
        </is>
      </c>
      <c r="H512" t="inlineStr">
        <is>
          <t>כלב</t>
        </is>
      </c>
      <c r="I512" t="inlineStr">
        <is>
          <t>מעל 7 ק"ג</t>
        </is>
      </c>
      <c r="J512" t="inlineStr">
        <is>
          <t>2026-04</t>
        </is>
      </c>
      <c r="K512" t="n">
        <v>343</v>
      </c>
      <c r="L512" t="n">
        <v>404.74</v>
      </c>
      <c r="M512">
        <f>הגדרות!B6</f>
        <v/>
      </c>
      <c r="N512">
        <f>K512*(1-M512/100)*1.18</f>
        <v/>
      </c>
      <c r="O512">
        <f>הגדרות!C6</f>
        <v/>
      </c>
      <c r="P512">
        <f>הגדרות!D6</f>
        <v/>
      </c>
      <c r="Q512">
        <f>N512*(1+O512/100)+P512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וטרינרי / רפואי</t>
        </is>
      </c>
      <c r="F513" t="inlineStr">
        <is>
          <t>יבש</t>
        </is>
      </c>
      <c r="G513" t="inlineStr">
        <is>
          <t>בוגר</t>
        </is>
      </c>
      <c r="H513" t="inlineStr">
        <is>
          <t>כלב</t>
        </is>
      </c>
      <c r="I513" t="inlineStr">
        <is>
          <t>עד 7 ק"ג</t>
        </is>
      </c>
      <c r="J513" t="inlineStr">
        <is>
          <t>2026-04</t>
        </is>
      </c>
      <c r="K513" t="n">
        <v>88</v>
      </c>
      <c r="L513" t="n">
        <v>103.84</v>
      </c>
      <c r="M513">
        <f>הגדרות!B6</f>
        <v/>
      </c>
      <c r="N513">
        <f>K513*(1-M513/100)*1.18</f>
        <v/>
      </c>
      <c r="O513">
        <f>הגדרות!C6</f>
        <v/>
      </c>
      <c r="P513">
        <f>הגדרות!D6</f>
        <v/>
      </c>
      <c r="Q513">
        <f>N513*(1+O513/100)+P513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וטרינרי / רפואי</t>
        </is>
      </c>
      <c r="F514" t="inlineStr">
        <is>
          <t>יבש</t>
        </is>
      </c>
      <c r="G514" t="inlineStr">
        <is>
          <t>בוגר</t>
        </is>
      </c>
      <c r="H514" t="inlineStr">
        <is>
          <t>כלב</t>
        </is>
      </c>
      <c r="I514" t="inlineStr">
        <is>
          <t>מעל 7 ק"ג</t>
        </is>
      </c>
      <c r="J514" t="inlineStr">
        <is>
          <t>2026-04</t>
        </is>
      </c>
      <c r="K514" t="n">
        <v>292</v>
      </c>
      <c r="L514" t="n">
        <v>344.56</v>
      </c>
      <c r="M514">
        <f>הגדרות!B6</f>
        <v/>
      </c>
      <c r="N514">
        <f>K514*(1-M514/100)*1.18</f>
        <v/>
      </c>
      <c r="O514">
        <f>הגדרות!C6</f>
        <v/>
      </c>
      <c r="P514">
        <f>הגדרות!D6</f>
        <v/>
      </c>
      <c r="Q514">
        <f>N514*(1+O514/100)+P514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וטרינרי / רפואי</t>
        </is>
      </c>
      <c r="F515" t="inlineStr">
        <is>
          <t>יבש</t>
        </is>
      </c>
      <c r="G515" t="inlineStr">
        <is>
          <t>מבוגר</t>
        </is>
      </c>
      <c r="H515" t="inlineStr">
        <is>
          <t>כלב</t>
        </is>
      </c>
      <c r="I515" t="inlineStr">
        <is>
          <t>עד 7 ק"ג</t>
        </is>
      </c>
      <c r="J515" t="inlineStr">
        <is>
          <t>2026-04</t>
        </is>
      </c>
      <c r="K515" t="n">
        <v>88</v>
      </c>
      <c r="L515" t="n">
        <v>103.84</v>
      </c>
      <c r="M515">
        <f>הגדרות!B6</f>
        <v/>
      </c>
      <c r="N515">
        <f>K515*(1-M515/100)*1.18</f>
        <v/>
      </c>
      <c r="O515">
        <f>הגדרות!C6</f>
        <v/>
      </c>
      <c r="P515">
        <f>הגדרות!D6</f>
        <v/>
      </c>
      <c r="Q515">
        <f>N515*(1+O515/100)+P515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וטרינרי / רפואי</t>
        </is>
      </c>
      <c r="F516" t="inlineStr">
        <is>
          <t>יבש</t>
        </is>
      </c>
      <c r="G516" t="inlineStr">
        <is>
          <t>מבוגר</t>
        </is>
      </c>
      <c r="H516" t="inlineStr">
        <is>
          <t>כלב</t>
        </is>
      </c>
      <c r="I516" t="inlineStr">
        <is>
          <t>עד 7 ק"ג</t>
        </is>
      </c>
      <c r="J516" t="inlineStr">
        <is>
          <t>2026-04</t>
        </is>
      </c>
      <c r="K516" t="n">
        <v>225</v>
      </c>
      <c r="L516" t="n">
        <v>265.5</v>
      </c>
      <c r="M516">
        <f>הגדרות!B6</f>
        <v/>
      </c>
      <c r="N516">
        <f>K516*(1-M516/100)*1.18</f>
        <v/>
      </c>
      <c r="O516">
        <f>הגדרות!C6</f>
        <v/>
      </c>
      <c r="P516">
        <f>הגדרות!D6</f>
        <v/>
      </c>
      <c r="Q516">
        <f>N516*(1+O516/100)+P516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וטרינרי / רפואי</t>
        </is>
      </c>
      <c r="F517" t="inlineStr">
        <is>
          <t>יבש</t>
        </is>
      </c>
      <c r="G517" t="inlineStr">
        <is>
          <t>מבוגר</t>
        </is>
      </c>
      <c r="H517" t="inlineStr">
        <is>
          <t>כלב</t>
        </is>
      </c>
      <c r="I517" t="inlineStr">
        <is>
          <t>מעל 7 ק"ג</t>
        </is>
      </c>
      <c r="J517" t="inlineStr">
        <is>
          <t>2026-04</t>
        </is>
      </c>
      <c r="K517" t="n">
        <v>266</v>
      </c>
      <c r="L517" t="n">
        <v>313.88</v>
      </c>
      <c r="M517">
        <f>הגדרות!B6</f>
        <v/>
      </c>
      <c r="N517">
        <f>K517*(1-M517/100)*1.18</f>
        <v/>
      </c>
      <c r="O517">
        <f>הגדרות!C6</f>
        <v/>
      </c>
      <c r="P517">
        <f>הגדרות!D6</f>
        <v/>
      </c>
      <c r="Q517">
        <f>N517*(1+O517/100)+P517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וטרינרי / רפואי</t>
        </is>
      </c>
      <c r="F518" t="inlineStr">
        <is>
          <t>יבש</t>
        </is>
      </c>
      <c r="G518" t="inlineStr">
        <is>
          <t>בוגר</t>
        </is>
      </c>
      <c r="H518" t="inlineStr">
        <is>
          <t>כלב</t>
        </is>
      </c>
      <c r="I518" t="inlineStr">
        <is>
          <t>עד 7 ק"ג</t>
        </is>
      </c>
      <c r="J518" t="inlineStr">
        <is>
          <t>2026-04</t>
        </is>
      </c>
      <c r="K518" t="n">
        <v>90</v>
      </c>
      <c r="L518" t="n">
        <v>106.2</v>
      </c>
      <c r="M518">
        <f>הגדרות!B6</f>
        <v/>
      </c>
      <c r="N518">
        <f>K518*(1-M518/100)*1.18</f>
        <v/>
      </c>
      <c r="O518">
        <f>הגדרות!C6</f>
        <v/>
      </c>
      <c r="P518">
        <f>הגדרות!D6</f>
        <v/>
      </c>
      <c r="Q518">
        <f>N518*(1+O518/100)+P518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וטרינרי / רפואי</t>
        </is>
      </c>
      <c r="F519" t="inlineStr">
        <is>
          <t>יבש</t>
        </is>
      </c>
      <c r="G519" t="inlineStr">
        <is>
          <t>בוגר</t>
        </is>
      </c>
      <c r="H519" t="inlineStr">
        <is>
          <t>כלב</t>
        </is>
      </c>
      <c r="I519" t="inlineStr">
        <is>
          <t>עד 7 ק"ג</t>
        </is>
      </c>
      <c r="J519" t="inlineStr">
        <is>
          <t>2026-04</t>
        </is>
      </c>
      <c r="K519" t="n">
        <v>220</v>
      </c>
      <c r="L519" t="n">
        <v>259.6</v>
      </c>
      <c r="M519">
        <f>הגדרות!B6</f>
        <v/>
      </c>
      <c r="N519">
        <f>K519*(1-M519/100)*1.18</f>
        <v/>
      </c>
      <c r="O519">
        <f>הגדרות!C6</f>
        <v/>
      </c>
      <c r="P519">
        <f>הגדרות!D6</f>
        <v/>
      </c>
      <c r="Q519">
        <f>N519*(1+O519/100)+P519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וטרינרי / רפואי</t>
        </is>
      </c>
      <c r="F520" t="inlineStr">
        <is>
          <t>יבש</t>
        </is>
      </c>
      <c r="G520" t="inlineStr">
        <is>
          <t>בוגר</t>
        </is>
      </c>
      <c r="H520" t="inlineStr">
        <is>
          <t>כלב</t>
        </is>
      </c>
      <c r="I520" t="inlineStr">
        <is>
          <t>מעל 7 ק"ג</t>
        </is>
      </c>
      <c r="J520" t="inlineStr">
        <is>
          <t>2026-04</t>
        </is>
      </c>
      <c r="K520" t="n">
        <v>292</v>
      </c>
      <c r="L520" t="n">
        <v>344.56</v>
      </c>
      <c r="M520">
        <f>הגדרות!B6</f>
        <v/>
      </c>
      <c r="N520">
        <f>K520*(1-M520/100)*1.18</f>
        <v/>
      </c>
      <c r="O520">
        <f>הגדרות!C6</f>
        <v/>
      </c>
      <c r="P520">
        <f>הגדרות!D6</f>
        <v/>
      </c>
      <c r="Q520">
        <f>N520*(1+O520/100)+P520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וטרינרי / רפואי</t>
        </is>
      </c>
      <c r="F521" t="inlineStr">
        <is>
          <t>יבש</t>
        </is>
      </c>
      <c r="G521" t="inlineStr">
        <is>
          <t>בוגר</t>
        </is>
      </c>
      <c r="H521" t="inlineStr">
        <is>
          <t>כלב</t>
        </is>
      </c>
      <c r="I521" t="inlineStr">
        <is>
          <t>מעל 7 ק"ג</t>
        </is>
      </c>
      <c r="J521" t="inlineStr">
        <is>
          <t>2026-04</t>
        </is>
      </c>
      <c r="K521" t="n">
        <v>374</v>
      </c>
      <c r="L521" t="n">
        <v>441.32</v>
      </c>
      <c r="M521">
        <f>הגדרות!B6</f>
        <v/>
      </c>
      <c r="N521">
        <f>K521*(1-M521/100)*1.18</f>
        <v/>
      </c>
      <c r="O521">
        <f>הגדרות!C6</f>
        <v/>
      </c>
      <c r="P521">
        <f>הגדרות!D6</f>
        <v/>
      </c>
      <c r="Q521">
        <f>N521*(1+O521/100)+P521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וטרינרי / רפואי</t>
        </is>
      </c>
      <c r="F522" t="inlineStr">
        <is>
          <t>יבש</t>
        </is>
      </c>
      <c r="G522" t="inlineStr">
        <is>
          <t>מבוגר</t>
        </is>
      </c>
      <c r="H522" t="inlineStr">
        <is>
          <t>כלב</t>
        </is>
      </c>
      <c r="I522" t="inlineStr">
        <is>
          <t>עד 7 ק"ג</t>
        </is>
      </c>
      <c r="J522" t="inlineStr">
        <is>
          <t>2026-04</t>
        </is>
      </c>
      <c r="K522" t="n">
        <v>88</v>
      </c>
      <c r="L522" t="n">
        <v>103.84</v>
      </c>
      <c r="M522">
        <f>הגדרות!B6</f>
        <v/>
      </c>
      <c r="N522">
        <f>K522*(1-M522/100)*1.18</f>
        <v/>
      </c>
      <c r="O522">
        <f>הגדרות!C6</f>
        <v/>
      </c>
      <c r="P522">
        <f>הגדרות!D6</f>
        <v/>
      </c>
      <c r="Q522">
        <f>N522*(1+O522/100)+P522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וטרינרי / רפואי</t>
        </is>
      </c>
      <c r="F523" t="inlineStr">
        <is>
          <t>יבש</t>
        </is>
      </c>
      <c r="G523" t="inlineStr">
        <is>
          <t>גורים</t>
        </is>
      </c>
      <c r="H523" t="inlineStr">
        <is>
          <t>חתול</t>
        </is>
      </c>
      <c r="I523" t="inlineStr"/>
      <c r="J523" t="inlineStr">
        <is>
          <t>2026-04</t>
        </is>
      </c>
      <c r="K523" t="n">
        <v>81</v>
      </c>
      <c r="L523" t="n">
        <v>95.58</v>
      </c>
      <c r="M523">
        <f>הגדרות!B6</f>
        <v/>
      </c>
      <c r="N523">
        <f>K523*(1-M523/100)*1.18</f>
        <v/>
      </c>
      <c r="O523">
        <f>הגדרות!C6</f>
        <v/>
      </c>
      <c r="P523">
        <f>הגדרות!D6</f>
        <v/>
      </c>
      <c r="Q523">
        <f>N523*(1+O523/100)+P523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וטרינרי / רפואי</t>
        </is>
      </c>
      <c r="F524" t="inlineStr">
        <is>
          <t>יבש</t>
        </is>
      </c>
      <c r="G524" t="inlineStr">
        <is>
          <t>גורים</t>
        </is>
      </c>
      <c r="H524" t="inlineStr">
        <is>
          <t>חתול</t>
        </is>
      </c>
      <c r="I524" t="inlineStr"/>
      <c r="J524" t="inlineStr">
        <is>
          <t>2026-04</t>
        </is>
      </c>
      <c r="K524" t="n">
        <v>142</v>
      </c>
      <c r="L524" t="n">
        <v>167.56</v>
      </c>
      <c r="M524">
        <f>הגדרות!B6</f>
        <v/>
      </c>
      <c r="N524">
        <f>K524*(1-M524/100)*1.18</f>
        <v/>
      </c>
      <c r="O524">
        <f>הגדרות!C6</f>
        <v/>
      </c>
      <c r="P524">
        <f>הגדרות!D6</f>
        <v/>
      </c>
      <c r="Q524">
        <f>N524*(1+O524/100)+P524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וטרינרי / רפואי</t>
        </is>
      </c>
      <c r="F525" t="inlineStr">
        <is>
          <t>יבש</t>
        </is>
      </c>
      <c r="G525" t="inlineStr">
        <is>
          <t>מבוגר</t>
        </is>
      </c>
      <c r="H525" t="inlineStr">
        <is>
          <t>חתול</t>
        </is>
      </c>
      <c r="I525" t="inlineStr"/>
      <c r="J525" t="inlineStr">
        <is>
          <t>2026-04</t>
        </is>
      </c>
      <c r="K525" t="n">
        <v>148</v>
      </c>
      <c r="L525" t="n">
        <v>174.64</v>
      </c>
      <c r="M525">
        <f>הגדרות!B6</f>
        <v/>
      </c>
      <c r="N525">
        <f>K525*(1-M525/100)*1.18</f>
        <v/>
      </c>
      <c r="O525">
        <f>הגדרות!C6</f>
        <v/>
      </c>
      <c r="P525">
        <f>הגדרות!D6</f>
        <v/>
      </c>
      <c r="Q525">
        <f>N525*(1+O525/100)+P525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וטרינרי / רפואי</t>
        </is>
      </c>
      <c r="F526" t="inlineStr">
        <is>
          <t>יבש</t>
        </is>
      </c>
      <c r="G526" t="inlineStr">
        <is>
          <t>מבוגר</t>
        </is>
      </c>
      <c r="H526" t="inlineStr">
        <is>
          <t>חתול</t>
        </is>
      </c>
      <c r="I526" t="inlineStr"/>
      <c r="J526" t="inlineStr">
        <is>
          <t>2026-04</t>
        </is>
      </c>
      <c r="K526" t="n">
        <v>261</v>
      </c>
      <c r="L526" t="n">
        <v>307.98</v>
      </c>
      <c r="M526">
        <f>הגדרות!B6</f>
        <v/>
      </c>
      <c r="N526">
        <f>K526*(1-M526/100)*1.18</f>
        <v/>
      </c>
      <c r="O526">
        <f>הגדרות!C6</f>
        <v/>
      </c>
      <c r="P526">
        <f>הגדרות!D6</f>
        <v/>
      </c>
      <c r="Q526">
        <f>N526*(1+O526/100)+P526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וטרינרי / רפואי</t>
        </is>
      </c>
      <c r="F527" t="inlineStr">
        <is>
          <t>יבש</t>
        </is>
      </c>
      <c r="G527" t="inlineStr">
        <is>
          <t>בוגר</t>
        </is>
      </c>
      <c r="H527" t="inlineStr">
        <is>
          <t>חתול</t>
        </is>
      </c>
      <c r="I527" t="inlineStr"/>
      <c r="J527" t="inlineStr">
        <is>
          <t>2026-04</t>
        </is>
      </c>
      <c r="K527" t="n">
        <v>145</v>
      </c>
      <c r="L527" t="n">
        <v>171.1</v>
      </c>
      <c r="M527">
        <f>הגדרות!B6</f>
        <v/>
      </c>
      <c r="N527">
        <f>K527*(1-M527/100)*1.18</f>
        <v/>
      </c>
      <c r="O527">
        <f>הגדרות!C6</f>
        <v/>
      </c>
      <c r="P527">
        <f>הגדרות!D6</f>
        <v/>
      </c>
      <c r="Q527">
        <f>N527*(1+O527/100)+P527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וטרינרי / רפואי</t>
        </is>
      </c>
      <c r="F528" t="inlineStr">
        <is>
          <t>יבש</t>
        </is>
      </c>
      <c r="G528" t="inlineStr">
        <is>
          <t>מבוגר</t>
        </is>
      </c>
      <c r="H528" t="inlineStr">
        <is>
          <t>חתול</t>
        </is>
      </c>
      <c r="I528" t="inlineStr"/>
      <c r="J528" t="inlineStr">
        <is>
          <t>2026-04</t>
        </is>
      </c>
      <c r="K528" t="n">
        <v>146</v>
      </c>
      <c r="L528" t="n">
        <v>172.28</v>
      </c>
      <c r="M528">
        <f>הגדרות!B6</f>
        <v/>
      </c>
      <c r="N528">
        <f>K528*(1-M528/100)*1.18</f>
        <v/>
      </c>
      <c r="O528">
        <f>הגדרות!C6</f>
        <v/>
      </c>
      <c r="P528">
        <f>הגדרות!D6</f>
        <v/>
      </c>
      <c r="Q528">
        <f>N528*(1+O528/100)+P528</f>
        <v/>
      </c>
    </row>
    <row r="529">
      <c r="A529" t="inlineStr">
        <is>
          <t>VetLife (פרמינה)</t>
        </is>
      </c>
      <c r="B529" t="inlineStr">
        <is>
          <t>וטלייף סטרוויט מנג'מנט חתול 5 ק"ג</t>
        </is>
      </c>
      <c r="D529" t="inlineStr">
        <is>
          <t>5560200</t>
        </is>
      </c>
      <c r="E529" t="inlineStr">
        <is>
          <t>וטרינרי / רפואי</t>
        </is>
      </c>
      <c r="F529" t="inlineStr">
        <is>
          <t>יבש</t>
        </is>
      </c>
      <c r="G529" t="inlineStr"/>
      <c r="H529" t="inlineStr">
        <is>
          <t>חתול</t>
        </is>
      </c>
      <c r="I529" t="inlineStr"/>
      <c r="J529" t="inlineStr">
        <is>
          <t>2026-08</t>
        </is>
      </c>
      <c r="K529" t="n">
        <v>298.25</v>
      </c>
      <c r="L529" t="n">
        <v>351.94</v>
      </c>
      <c r="M529">
        <f>הגדרות!B7</f>
        <v/>
      </c>
      <c r="N529">
        <f>K529*(1-M529/100)*1.18</f>
        <v/>
      </c>
      <c r="O529">
        <f>הגדרות!C7</f>
        <v/>
      </c>
      <c r="P529">
        <f>הגדרות!D7</f>
        <v/>
      </c>
      <c r="Q529">
        <f>N529*(1+O529/100)+P529</f>
        <v/>
      </c>
    </row>
    <row r="530">
      <c r="A530" t="inlineStr">
        <is>
          <t>VetLife (פרמינה)</t>
        </is>
      </c>
      <c r="B530" t="inlineStr">
        <is>
          <t>וטלייף חתולה מעוקרת 5 ק"ג</t>
        </is>
      </c>
      <c r="D530" t="inlineStr">
        <is>
          <t>5560213</t>
        </is>
      </c>
      <c r="E530" t="inlineStr">
        <is>
          <t>וטרינרי / רפואי</t>
        </is>
      </c>
      <c r="F530" t="inlineStr">
        <is>
          <t>יבש</t>
        </is>
      </c>
      <c r="G530" t="inlineStr"/>
      <c r="H530" t="inlineStr">
        <is>
          <t>חתול</t>
        </is>
      </c>
      <c r="I530" t="inlineStr"/>
      <c r="J530" t="inlineStr">
        <is>
          <t>2026-08</t>
        </is>
      </c>
      <c r="K530" t="n">
        <v>323.02</v>
      </c>
      <c r="L530" t="n">
        <v>381.16</v>
      </c>
      <c r="M530">
        <f>הגדרות!B7</f>
        <v/>
      </c>
      <c r="N530">
        <f>K530*(1-M530/100)*1.18</f>
        <v/>
      </c>
      <c r="O530">
        <f>הגדרות!C7</f>
        <v/>
      </c>
      <c r="P530">
        <f>הגדרות!D7</f>
        <v/>
      </c>
      <c r="Q530">
        <f>N530*(1+O530/100)+P530</f>
        <v/>
      </c>
    </row>
    <row r="531">
      <c r="A531" t="inlineStr">
        <is>
          <t>VetLife (פרמינה)</t>
        </is>
      </c>
      <c r="B531" t="inlineStr">
        <is>
          <t>וטלייף חתול מסורס 5 ק"ג</t>
        </is>
      </c>
      <c r="D531" t="inlineStr">
        <is>
          <t>5560214</t>
        </is>
      </c>
      <c r="E531" t="inlineStr">
        <is>
          <t>וטרינרי / רפואי</t>
        </is>
      </c>
      <c r="F531" t="inlineStr">
        <is>
          <t>יבש</t>
        </is>
      </c>
      <c r="G531" t="inlineStr"/>
      <c r="H531" t="inlineStr">
        <is>
          <t>חתול</t>
        </is>
      </c>
      <c r="I531" t="inlineStr"/>
      <c r="J531" t="inlineStr">
        <is>
          <t>2026-08</t>
        </is>
      </c>
      <c r="K531" t="n">
        <v>323.02</v>
      </c>
      <c r="L531" t="n">
        <v>381.16</v>
      </c>
      <c r="M531">
        <f>הגדרות!B7</f>
        <v/>
      </c>
      <c r="N531">
        <f>K531*(1-M531/100)*1.18</f>
        <v/>
      </c>
      <c r="O531">
        <f>הגדרות!C7</f>
        <v/>
      </c>
      <c r="P531">
        <f>הגדרות!D7</f>
        <v/>
      </c>
      <c r="Q531">
        <f>N531*(1+O531/100)+P531</f>
        <v/>
      </c>
    </row>
    <row r="532">
      <c r="A532" t="inlineStr">
        <is>
          <t>VetLife (פרמינה)</t>
        </is>
      </c>
      <c r="B532" t="inlineStr">
        <is>
          <t>וטלייף רנאל חתול 5 ק"ג</t>
        </is>
      </c>
      <c r="D532" t="inlineStr">
        <is>
          <t>5560215</t>
        </is>
      </c>
      <c r="E532" t="inlineStr">
        <is>
          <t>וטרינרי / רפואי</t>
        </is>
      </c>
      <c r="F532" t="inlineStr">
        <is>
          <t>יבש</t>
        </is>
      </c>
      <c r="G532" t="inlineStr"/>
      <c r="H532" t="inlineStr">
        <is>
          <t>חתול</t>
        </is>
      </c>
      <c r="I532" t="inlineStr"/>
      <c r="J532" t="inlineStr">
        <is>
          <t>2026-08</t>
        </is>
      </c>
      <c r="K532" t="n">
        <v>323.02</v>
      </c>
      <c r="L532" t="n">
        <v>381.16</v>
      </c>
      <c r="M532">
        <f>הגדרות!B7</f>
        <v/>
      </c>
      <c r="N532">
        <f>K532*(1-M532/100)*1.18</f>
        <v/>
      </c>
      <c r="O532">
        <f>הגדרות!C7</f>
        <v/>
      </c>
      <c r="P532">
        <f>הגדרות!D7</f>
        <v/>
      </c>
      <c r="Q532">
        <f>N532*(1+O532/100)+P532</f>
        <v/>
      </c>
    </row>
    <row r="533">
      <c r="A533" t="inlineStr">
        <is>
          <t>VetLife (פרמינה)</t>
        </is>
      </c>
      <c r="B533" t="inlineStr">
        <is>
          <t>וטלייף גסטרו אינטסטינל חתול 5 ק"ג</t>
        </is>
      </c>
      <c r="D533" t="inlineStr">
        <is>
          <t>5560217</t>
        </is>
      </c>
      <c r="E533" t="inlineStr">
        <is>
          <t>וטרינרי / רפואי</t>
        </is>
      </c>
      <c r="F533" t="inlineStr">
        <is>
          <t>יבש</t>
        </is>
      </c>
      <c r="G533" t="inlineStr"/>
      <c r="H533" t="inlineStr">
        <is>
          <t>חתול</t>
        </is>
      </c>
      <c r="I533" t="inlineStr"/>
      <c r="J533" t="inlineStr">
        <is>
          <t>2026-08</t>
        </is>
      </c>
      <c r="K533" t="n">
        <v>323.02</v>
      </c>
      <c r="L533" t="n">
        <v>381.16</v>
      </c>
      <c r="M533">
        <f>הגדרות!B7</f>
        <v/>
      </c>
      <c r="N533">
        <f>K533*(1-M533/100)*1.18</f>
        <v/>
      </c>
      <c r="O533">
        <f>הגדרות!C7</f>
        <v/>
      </c>
      <c r="P533">
        <f>הגדרות!D7</f>
        <v/>
      </c>
      <c r="Q533">
        <f>N533*(1+O533/100)+P533</f>
        <v/>
      </c>
    </row>
    <row r="534">
      <c r="A534" t="inlineStr">
        <is>
          <t>VetLife (פרמינה)</t>
        </is>
      </c>
      <c r="B534" t="inlineStr">
        <is>
          <t>וטלייף אובסיטי חתול 5 ק"ג</t>
        </is>
      </c>
      <c r="D534" t="inlineStr">
        <is>
          <t>5560219</t>
        </is>
      </c>
      <c r="E534" t="inlineStr">
        <is>
          <t>וטרינרי / רפואי</t>
        </is>
      </c>
      <c r="F534" t="inlineStr">
        <is>
          <t>יבש</t>
        </is>
      </c>
      <c r="G534" t="inlineStr"/>
      <c r="H534" t="inlineStr">
        <is>
          <t>חתול</t>
        </is>
      </c>
      <c r="I534" t="inlineStr"/>
      <c r="J534" t="inlineStr">
        <is>
          <t>2026-08</t>
        </is>
      </c>
      <c r="K534" t="n">
        <v>323.02</v>
      </c>
      <c r="L534" t="n">
        <v>381.16</v>
      </c>
      <c r="M534">
        <f>הגדרות!B7</f>
        <v/>
      </c>
      <c r="N534">
        <f>K534*(1-M534/100)*1.18</f>
        <v/>
      </c>
      <c r="O534">
        <f>הגדרות!C7</f>
        <v/>
      </c>
      <c r="P534">
        <f>הגדרות!D7</f>
        <v/>
      </c>
      <c r="Q534">
        <f>N534*(1+O534/100)+P534</f>
        <v/>
      </c>
    </row>
    <row r="535">
      <c r="A535" t="inlineStr">
        <is>
          <t>VetLife (פרמינה)</t>
        </is>
      </c>
      <c r="B535" t="inlineStr">
        <is>
          <t>וטלייף גסטרו אינטסטינל חתול 2 ק"ג</t>
        </is>
      </c>
      <c r="D535" t="inlineStr">
        <is>
          <t>5560220</t>
        </is>
      </c>
      <c r="E535" t="inlineStr">
        <is>
          <t>וטרינרי / רפואי</t>
        </is>
      </c>
      <c r="F535" t="inlineStr">
        <is>
          <t>יבש</t>
        </is>
      </c>
      <c r="G535" t="inlineStr"/>
      <c r="H535" t="inlineStr">
        <is>
          <t>חתול</t>
        </is>
      </c>
      <c r="I535" t="inlineStr"/>
      <c r="J535" t="inlineStr">
        <is>
          <t>2026-08</t>
        </is>
      </c>
      <c r="K535" t="n">
        <v>146.54</v>
      </c>
      <c r="L535" t="n">
        <v>172.92</v>
      </c>
      <c r="M535">
        <f>הגדרות!B7</f>
        <v/>
      </c>
      <c r="N535">
        <f>K535*(1-M535/100)*1.18</f>
        <v/>
      </c>
      <c r="O535">
        <f>הגדרות!C7</f>
        <v/>
      </c>
      <c r="P535">
        <f>הגדרות!D7</f>
        <v/>
      </c>
      <c r="Q535">
        <f>N535*(1+O535/100)+P535</f>
        <v/>
      </c>
    </row>
    <row r="536">
      <c r="A536" t="inlineStr">
        <is>
          <t>VetLife (פרמינה)</t>
        </is>
      </c>
      <c r="B536" t="inlineStr">
        <is>
          <t>וטלייף אובסיטי חתול 2 ק"ג</t>
        </is>
      </c>
      <c r="D536" t="inlineStr">
        <is>
          <t>5560221</t>
        </is>
      </c>
      <c r="E536" t="inlineStr">
        <is>
          <t>וטרינרי / רפואי</t>
        </is>
      </c>
      <c r="F536" t="inlineStr">
        <is>
          <t>יבש</t>
        </is>
      </c>
      <c r="G536" t="inlineStr"/>
      <c r="H536" t="inlineStr">
        <is>
          <t>חתול</t>
        </is>
      </c>
      <c r="I536" t="inlineStr"/>
      <c r="J536" t="inlineStr">
        <is>
          <t>2026-08</t>
        </is>
      </c>
      <c r="K536" t="n">
        <v>146.54</v>
      </c>
      <c r="L536" t="n">
        <v>172.92</v>
      </c>
      <c r="M536">
        <f>הגדרות!B7</f>
        <v/>
      </c>
      <c r="N536">
        <f>K536*(1-M536/100)*1.18</f>
        <v/>
      </c>
      <c r="O536">
        <f>הגדרות!C7</f>
        <v/>
      </c>
      <c r="P536">
        <f>הגדרות!D7</f>
        <v/>
      </c>
      <c r="Q536">
        <f>N536*(1+O536/100)+P536</f>
        <v/>
      </c>
    </row>
    <row r="537">
      <c r="A537" t="inlineStr">
        <is>
          <t>VetLife (פרמינה)</t>
        </is>
      </c>
      <c r="B537" t="inlineStr">
        <is>
          <t>וטלייף רנאל חתול 2 ק"ג</t>
        </is>
      </c>
      <c r="D537" t="inlineStr">
        <is>
          <t>5560222</t>
        </is>
      </c>
      <c r="E537" t="inlineStr">
        <is>
          <t>וטרינרי / רפואי</t>
        </is>
      </c>
      <c r="F537" t="inlineStr">
        <is>
          <t>יבש</t>
        </is>
      </c>
      <c r="G537" t="inlineStr"/>
      <c r="H537" t="inlineStr">
        <is>
          <t>חתול</t>
        </is>
      </c>
      <c r="I537" t="inlineStr"/>
      <c r="J537" t="inlineStr">
        <is>
          <t>2026-08</t>
        </is>
      </c>
      <c r="K537" t="n">
        <v>146.54</v>
      </c>
      <c r="L537" t="n">
        <v>172.92</v>
      </c>
      <c r="M537">
        <f>הגדרות!B7</f>
        <v/>
      </c>
      <c r="N537">
        <f>K537*(1-M537/100)*1.18</f>
        <v/>
      </c>
      <c r="O537">
        <f>הגדרות!C7</f>
        <v/>
      </c>
      <c r="P537">
        <f>הגדרות!D7</f>
        <v/>
      </c>
      <c r="Q537">
        <f>N537*(1+O537/100)+P537</f>
        <v/>
      </c>
    </row>
    <row r="538">
      <c r="A538" t="inlineStr">
        <is>
          <t>VetLife (פרמינה)</t>
        </is>
      </c>
      <c r="B538" t="inlineStr">
        <is>
          <t>וטלייף סטרוויט חתול 2 ק"ג</t>
        </is>
      </c>
      <c r="D538" t="inlineStr">
        <is>
          <t>5560223</t>
        </is>
      </c>
      <c r="E538" t="inlineStr">
        <is>
          <t>וטרינרי / רפואי</t>
        </is>
      </c>
      <c r="F538" t="inlineStr">
        <is>
          <t>יבש</t>
        </is>
      </c>
      <c r="G538" t="inlineStr"/>
      <c r="H538" t="inlineStr">
        <is>
          <t>חתול</t>
        </is>
      </c>
      <c r="I538" t="inlineStr"/>
      <c r="J538" t="inlineStr">
        <is>
          <t>2026-08</t>
        </is>
      </c>
      <c r="K538" t="n">
        <v>146.54</v>
      </c>
      <c r="L538" t="n">
        <v>172.92</v>
      </c>
      <c r="M538">
        <f>הגדרות!B7</f>
        <v/>
      </c>
      <c r="N538">
        <f>K538*(1-M538/100)*1.18</f>
        <v/>
      </c>
      <c r="O538">
        <f>הגדרות!C7</f>
        <v/>
      </c>
      <c r="P538">
        <f>הגדרות!D7</f>
        <v/>
      </c>
      <c r="Q538">
        <f>N538*(1+O538/100)+P538</f>
        <v/>
      </c>
    </row>
    <row r="539">
      <c r="A539" t="inlineStr">
        <is>
          <t>VetLife (פרמינה)</t>
        </is>
      </c>
      <c r="B539" t="inlineStr">
        <is>
          <t>וטלייף דיאבטיק (סוכרת) חתול 2 ק"ג</t>
        </is>
      </c>
      <c r="D539" t="inlineStr">
        <is>
          <t>5560224</t>
        </is>
      </c>
      <c r="E539" t="inlineStr">
        <is>
          <t>וטרינרי / רפואי</t>
        </is>
      </c>
      <c r="F539" t="inlineStr">
        <is>
          <t>יבש</t>
        </is>
      </c>
      <c r="G539" t="inlineStr"/>
      <c r="H539" t="inlineStr">
        <is>
          <t>חתול</t>
        </is>
      </c>
      <c r="I539" t="inlineStr"/>
      <c r="J539" t="inlineStr">
        <is>
          <t>2026-08</t>
        </is>
      </c>
      <c r="K539" t="n">
        <v>146.54</v>
      </c>
      <c r="L539" t="n">
        <v>172.92</v>
      </c>
      <c r="M539">
        <f>הגדרות!B7</f>
        <v/>
      </c>
      <c r="N539">
        <f>K539*(1-M539/100)*1.18</f>
        <v/>
      </c>
      <c r="O539">
        <f>הגדרות!C7</f>
        <v/>
      </c>
      <c r="P539">
        <f>הגדרות!D7</f>
        <v/>
      </c>
      <c r="Q539">
        <f>N539*(1+O539/100)+P539</f>
        <v/>
      </c>
    </row>
    <row r="540">
      <c r="A540" t="inlineStr">
        <is>
          <t>VetLife (פרמינה)</t>
        </is>
      </c>
      <c r="B540" t="inlineStr">
        <is>
          <t>וטלייף אולטרהיפו חתול 2 ק"ג</t>
        </is>
      </c>
      <c r="D540" t="inlineStr">
        <is>
          <t>5560227</t>
        </is>
      </c>
      <c r="E540" t="inlineStr">
        <is>
          <t>וטרינרי / רפואי</t>
        </is>
      </c>
      <c r="F540" t="inlineStr">
        <is>
          <t>יבש</t>
        </is>
      </c>
      <c r="G540" t="inlineStr"/>
      <c r="H540" t="inlineStr">
        <is>
          <t>חתול</t>
        </is>
      </c>
      <c r="I540" t="inlineStr"/>
      <c r="J540" t="inlineStr">
        <is>
          <t>2026-08</t>
        </is>
      </c>
      <c r="K540" t="n">
        <v>172.34</v>
      </c>
      <c r="L540" t="n">
        <v>203.36</v>
      </c>
      <c r="M540">
        <f>הגדרות!B7</f>
        <v/>
      </c>
      <c r="N540">
        <f>K540*(1-M540/100)*1.18</f>
        <v/>
      </c>
      <c r="O540">
        <f>הגדרות!C7</f>
        <v/>
      </c>
      <c r="P540">
        <f>הגדרות!D7</f>
        <v/>
      </c>
      <c r="Q540">
        <f>N540*(1+O540/100)+P540</f>
        <v/>
      </c>
    </row>
    <row r="541">
      <c r="A541" t="inlineStr">
        <is>
          <t>VetLife (פרמינה)</t>
        </is>
      </c>
      <c r="B541" t="inlineStr">
        <is>
          <t>וטלייף סטרוויט מנג'מנט חתול 2 ק"ג</t>
        </is>
      </c>
      <c r="D541" t="inlineStr">
        <is>
          <t>5560228</t>
        </is>
      </c>
      <c r="E541" t="inlineStr">
        <is>
          <t>וטרינרי / רפואי</t>
        </is>
      </c>
      <c r="F541" t="inlineStr">
        <is>
          <t>יבש</t>
        </is>
      </c>
      <c r="G541" t="inlineStr"/>
      <c r="H541" t="inlineStr">
        <is>
          <t>חתול</t>
        </is>
      </c>
      <c r="I541" t="inlineStr"/>
      <c r="J541" t="inlineStr">
        <is>
          <t>2026-08</t>
        </is>
      </c>
      <c r="K541" t="n">
        <v>146.54</v>
      </c>
      <c r="L541" t="n">
        <v>172.92</v>
      </c>
      <c r="M541">
        <f>הגדרות!B7</f>
        <v/>
      </c>
      <c r="N541">
        <f>K541*(1-M541/100)*1.18</f>
        <v/>
      </c>
      <c r="O541">
        <f>הגדרות!C7</f>
        <v/>
      </c>
      <c r="P541">
        <f>הגדרות!D7</f>
        <v/>
      </c>
      <c r="Q541">
        <f>N541*(1+O541/100)+P541</f>
        <v/>
      </c>
    </row>
    <row r="542">
      <c r="A542" t="inlineStr">
        <is>
          <t>VetLife (פרמינה)</t>
        </is>
      </c>
      <c r="B542" t="inlineStr">
        <is>
          <t>וטלייף הפטיק חתול 2 ק"ג</t>
        </is>
      </c>
      <c r="D542" t="inlineStr">
        <is>
          <t>5560230</t>
        </is>
      </c>
      <c r="E542" t="inlineStr">
        <is>
          <t>וטרינרי / רפואי</t>
        </is>
      </c>
      <c r="F542" t="inlineStr">
        <is>
          <t>יבש</t>
        </is>
      </c>
      <c r="G542" t="inlineStr"/>
      <c r="H542" t="inlineStr">
        <is>
          <t>חתול</t>
        </is>
      </c>
      <c r="I542" t="inlineStr"/>
      <c r="J542" t="inlineStr">
        <is>
          <t>2026-08</t>
        </is>
      </c>
      <c r="K542" t="n">
        <v>135.19</v>
      </c>
      <c r="L542" t="n">
        <v>159.52</v>
      </c>
      <c r="M542">
        <f>הגדרות!B7</f>
        <v/>
      </c>
      <c r="N542">
        <f>K542*(1-M542/100)*1.18</f>
        <v/>
      </c>
      <c r="O542">
        <f>הגדרות!C7</f>
        <v/>
      </c>
      <c r="P542">
        <f>הגדרות!D7</f>
        <v/>
      </c>
      <c r="Q542">
        <f>N542*(1+O542/100)+P542</f>
        <v/>
      </c>
    </row>
    <row r="543">
      <c r="A543" t="inlineStr">
        <is>
          <t>VetLife (פרמינה)</t>
        </is>
      </c>
      <c r="B543" t="inlineStr">
        <is>
          <t>וטלייף סטרוויט מנג'מנט חתול 10 ק"ג</t>
        </is>
      </c>
      <c r="D543" t="inlineStr">
        <is>
          <t>5560231</t>
        </is>
      </c>
      <c r="E543" t="inlineStr">
        <is>
          <t>וטרינרי / רפואי</t>
        </is>
      </c>
      <c r="F543" t="inlineStr">
        <is>
          <t>יבש</t>
        </is>
      </c>
      <c r="G543" t="inlineStr"/>
      <c r="H543" t="inlineStr">
        <is>
          <t>חתול</t>
        </is>
      </c>
      <c r="I543" t="inlineStr"/>
      <c r="J543" t="inlineStr">
        <is>
          <t>2026-08</t>
        </is>
      </c>
      <c r="K543" t="n">
        <v>535.61</v>
      </c>
      <c r="L543" t="n">
        <v>632.02</v>
      </c>
      <c r="M543">
        <f>הגדרות!B7</f>
        <v/>
      </c>
      <c r="N543">
        <f>K543*(1-M543/100)*1.18</f>
        <v/>
      </c>
      <c r="O543">
        <f>הגדרות!C7</f>
        <v/>
      </c>
      <c r="P543">
        <f>הגדרות!D7</f>
        <v/>
      </c>
      <c r="Q543">
        <f>N543*(1+O543/100)+P543</f>
        <v/>
      </c>
    </row>
    <row r="544">
      <c r="A544" t="inlineStr">
        <is>
          <t>VetLife (פרמינה)</t>
        </is>
      </c>
      <c r="B544" t="inlineStr">
        <is>
          <t>ווטלייף היפואלרגני חזיר תפוא חתול 1.5קג</t>
        </is>
      </c>
      <c r="D544" t="inlineStr">
        <is>
          <t>5560484</t>
        </is>
      </c>
      <c r="E544" t="inlineStr">
        <is>
          <t>וטרינרי / רפואי</t>
        </is>
      </c>
      <c r="F544" t="inlineStr">
        <is>
          <t>יבש</t>
        </is>
      </c>
      <c r="G544" t="inlineStr"/>
      <c r="H544" t="inlineStr">
        <is>
          <t>חתול</t>
        </is>
      </c>
      <c r="I544" t="inlineStr"/>
      <c r="J544" t="inlineStr">
        <is>
          <t>2026-08</t>
        </is>
      </c>
      <c r="K544" t="n">
        <v>122.81</v>
      </c>
      <c r="L544" t="n">
        <v>144.92</v>
      </c>
      <c r="M544">
        <f>הגדרות!B7</f>
        <v/>
      </c>
      <c r="N544">
        <f>K544*(1-M544/100)*1.18</f>
        <v/>
      </c>
      <c r="O544">
        <f>הגדרות!C7</f>
        <v/>
      </c>
      <c r="P544">
        <f>הגדרות!D7</f>
        <v/>
      </c>
      <c r="Q544">
        <f>N544*(1+O544/100)+P544</f>
        <v/>
      </c>
    </row>
    <row r="545">
      <c r="A545" t="inlineStr">
        <is>
          <t>VetLife (פרמינה)</t>
        </is>
      </c>
      <c r="B545" t="inlineStr">
        <is>
          <t>וטלייף אינטסטינל אולטרקר דל שומן 1.5 ק"ג</t>
        </is>
      </c>
      <c r="D545" t="inlineStr">
        <is>
          <t>5555808</t>
        </is>
      </c>
      <c r="E545" t="inlineStr">
        <is>
          <t>וטרינרי / רפואי</t>
        </is>
      </c>
      <c r="F545" t="inlineStr">
        <is>
          <t>יבש</t>
        </is>
      </c>
      <c r="G545" t="inlineStr"/>
      <c r="H545" t="inlineStr"/>
      <c r="I545" t="inlineStr"/>
      <c r="J545" t="inlineStr">
        <is>
          <t>2026-08</t>
        </is>
      </c>
      <c r="K545" t="n">
        <v>89.56</v>
      </c>
      <c r="L545" t="n">
        <v>105.68</v>
      </c>
      <c r="M545">
        <f>הגדרות!B7</f>
        <v/>
      </c>
      <c r="N545">
        <f>K545*(1-M545/100)*1.18</f>
        <v/>
      </c>
      <c r="O545">
        <f>הגדרות!C7</f>
        <v/>
      </c>
      <c r="P545">
        <f>הגדרות!D7</f>
        <v/>
      </c>
      <c r="Q545">
        <f>N545*(1+O545/100)+P545</f>
        <v/>
      </c>
    </row>
    <row r="546">
      <c r="A546" t="inlineStr">
        <is>
          <t>VetLife (פרמינה)</t>
        </is>
      </c>
      <c r="B546" t="inlineStr">
        <is>
          <t>וטלייף היפואלרגני דג ותפו"א כלב 12 ק"ג</t>
        </is>
      </c>
      <c r="D546" t="inlineStr">
        <is>
          <t>5560189</t>
        </is>
      </c>
      <c r="E546" t="inlineStr">
        <is>
          <t>וטרינרי / רפואי</t>
        </is>
      </c>
      <c r="F546" t="inlineStr">
        <is>
          <t>יבש</t>
        </is>
      </c>
      <c r="G546" t="inlineStr"/>
      <c r="H546" t="inlineStr">
        <is>
          <t>כלב</t>
        </is>
      </c>
      <c r="I546" t="inlineStr"/>
      <c r="J546" t="inlineStr">
        <is>
          <t>2026-08</t>
        </is>
      </c>
      <c r="K546" t="n">
        <v>539.74</v>
      </c>
      <c r="L546" t="n">
        <v>636.89</v>
      </c>
      <c r="M546">
        <f>הגדרות!B7</f>
        <v/>
      </c>
      <c r="N546">
        <f>K546*(1-M546/100)*1.18</f>
        <v/>
      </c>
      <c r="O546">
        <f>הגדרות!C7</f>
        <v/>
      </c>
      <c r="P546">
        <f>הגדרות!D7</f>
        <v/>
      </c>
      <c r="Q546">
        <f>N546*(1+O546/100)+P546</f>
        <v/>
      </c>
    </row>
    <row r="547">
      <c r="A547" t="inlineStr">
        <is>
          <t>VetLife (פרמינה)</t>
        </is>
      </c>
      <c r="B547" t="inlineStr">
        <is>
          <t>וטלייף היפואלרגני ביצה ואורז כלב 12 ק"ג</t>
        </is>
      </c>
      <c r="D547" t="inlineStr">
        <is>
          <t>5560190</t>
        </is>
      </c>
      <c r="E547" t="inlineStr">
        <is>
          <t>וטרינרי / רפואי</t>
        </is>
      </c>
      <c r="F547" t="inlineStr">
        <is>
          <t>יבש</t>
        </is>
      </c>
      <c r="G547" t="inlineStr"/>
      <c r="H547" t="inlineStr">
        <is>
          <t>כלב</t>
        </is>
      </c>
      <c r="I547" t="inlineStr"/>
      <c r="J547" t="inlineStr">
        <is>
          <t>2026-08</t>
        </is>
      </c>
      <c r="K547" t="n">
        <v>539.74</v>
      </c>
      <c r="L547" t="n">
        <v>636.89</v>
      </c>
      <c r="M547">
        <f>הגדרות!B7</f>
        <v/>
      </c>
      <c r="N547">
        <f>K547*(1-M547/100)*1.18</f>
        <v/>
      </c>
      <c r="O547">
        <f>הגדרות!C7</f>
        <v/>
      </c>
      <c r="P547">
        <f>הגדרות!D7</f>
        <v/>
      </c>
      <c r="Q547">
        <f>N547*(1+O547/100)+P547</f>
        <v/>
      </c>
    </row>
    <row r="548">
      <c r="A548" t="inlineStr">
        <is>
          <t>VetLife (פרמינה)</t>
        </is>
      </c>
      <c r="B548" t="inlineStr">
        <is>
          <t>וטלייף אולטרהיפו כלב 12 ק"ג</t>
        </is>
      </c>
      <c r="D548" t="inlineStr">
        <is>
          <t>5560191</t>
        </is>
      </c>
      <c r="E548" t="inlineStr">
        <is>
          <t>וטרינרי / רפואי</t>
        </is>
      </c>
      <c r="F548" t="inlineStr">
        <is>
          <t>יבש</t>
        </is>
      </c>
      <c r="G548" t="inlineStr"/>
      <c r="H548" t="inlineStr">
        <is>
          <t>כלב</t>
        </is>
      </c>
      <c r="I548" t="inlineStr"/>
      <c r="J548" t="inlineStr">
        <is>
          <t>2026-08</t>
        </is>
      </c>
      <c r="K548" t="n">
        <v>583.08</v>
      </c>
      <c r="L548" t="n">
        <v>688.03</v>
      </c>
      <c r="M548">
        <f>הגדרות!B7</f>
        <v/>
      </c>
      <c r="N548">
        <f>K548*(1-M548/100)*1.18</f>
        <v/>
      </c>
      <c r="O548">
        <f>הגדרות!C7</f>
        <v/>
      </c>
      <c r="P548">
        <f>הגדרות!D7</f>
        <v/>
      </c>
      <c r="Q548">
        <f>N548*(1+O548/100)+P548</f>
        <v/>
      </c>
    </row>
    <row r="549">
      <c r="A549" t="inlineStr">
        <is>
          <t>VetLife (פרמינה)</t>
        </is>
      </c>
      <c r="B549" t="inlineStr">
        <is>
          <t>וטלייף גסטרו אינטסטינל כלב 12 ק"ג</t>
        </is>
      </c>
      <c r="D549" t="inlineStr">
        <is>
          <t>5560192</t>
        </is>
      </c>
      <c r="E549" t="inlineStr">
        <is>
          <t>וטרינרי / רפואי</t>
        </is>
      </c>
      <c r="F549" t="inlineStr">
        <is>
          <t>יבש</t>
        </is>
      </c>
      <c r="G549" t="inlineStr"/>
      <c r="H549" t="inlineStr">
        <is>
          <t>כלב</t>
        </is>
      </c>
      <c r="I549" t="inlineStr"/>
      <c r="J549" t="inlineStr">
        <is>
          <t>2026-08</t>
        </is>
      </c>
      <c r="K549" t="n">
        <v>539.74</v>
      </c>
      <c r="L549" t="n">
        <v>636.89</v>
      </c>
      <c r="M549">
        <f>הגדרות!B7</f>
        <v/>
      </c>
      <c r="N549">
        <f>K549*(1-M549/100)*1.18</f>
        <v/>
      </c>
      <c r="O549">
        <f>הגדרות!C7</f>
        <v/>
      </c>
      <c r="P549">
        <f>הגדרות!D7</f>
        <v/>
      </c>
      <c r="Q549">
        <f>N549*(1+O549/100)+P549</f>
        <v/>
      </c>
    </row>
    <row r="550">
      <c r="A550" t="inlineStr">
        <is>
          <t>VetLife (פרמינה)</t>
        </is>
      </c>
      <c r="B550" t="inlineStr">
        <is>
          <t>וטלייף גסטרו אינטסטינל כלב 2 ק"ג</t>
        </is>
      </c>
      <c r="D550" t="inlineStr">
        <is>
          <t>5560193</t>
        </is>
      </c>
      <c r="E550" t="inlineStr">
        <is>
          <t>וטרינרי / רפואי</t>
        </is>
      </c>
      <c r="F550" t="inlineStr">
        <is>
          <t>יבש</t>
        </is>
      </c>
      <c r="G550" t="inlineStr"/>
      <c r="H550" t="inlineStr">
        <is>
          <t>כלב</t>
        </is>
      </c>
      <c r="I550" t="inlineStr"/>
      <c r="J550" t="inlineStr">
        <is>
          <t>2026-08</t>
        </is>
      </c>
      <c r="K550" t="n">
        <v>135.19</v>
      </c>
      <c r="L550" t="n">
        <v>159.52</v>
      </c>
      <c r="M550">
        <f>הגדרות!B7</f>
        <v/>
      </c>
      <c r="N550">
        <f>K550*(1-M550/100)*1.18</f>
        <v/>
      </c>
      <c r="O550">
        <f>הגדרות!C7</f>
        <v/>
      </c>
      <c r="P550">
        <f>הגדרות!D7</f>
        <v/>
      </c>
      <c r="Q550">
        <f>N550*(1+O550/100)+P550</f>
        <v/>
      </c>
    </row>
    <row r="551">
      <c r="A551" t="inlineStr">
        <is>
          <t>VetLife (פרמינה)</t>
        </is>
      </c>
      <c r="B551" t="inlineStr">
        <is>
          <t>וטלייף אובסיטי כלב 12 ק"ג</t>
        </is>
      </c>
      <c r="D551" t="inlineStr">
        <is>
          <t>5560194</t>
        </is>
      </c>
      <c r="E551" t="inlineStr">
        <is>
          <t>וטרינרי / רפואי</t>
        </is>
      </c>
      <c r="F551" t="inlineStr">
        <is>
          <t>יבש</t>
        </is>
      </c>
      <c r="G551" t="inlineStr"/>
      <c r="H551" t="inlineStr">
        <is>
          <t>כלב</t>
        </is>
      </c>
      <c r="I551" t="inlineStr"/>
      <c r="J551" t="inlineStr">
        <is>
          <t>2026-08</t>
        </is>
      </c>
      <c r="K551" t="n">
        <v>518.0599999999999</v>
      </c>
      <c r="L551" t="n">
        <v>611.3099999999999</v>
      </c>
      <c r="M551">
        <f>הגדרות!B7</f>
        <v/>
      </c>
      <c r="N551">
        <f>K551*(1-M551/100)*1.18</f>
        <v/>
      </c>
      <c r="O551">
        <f>הגדרות!C7</f>
        <v/>
      </c>
      <c r="P551">
        <f>הגדרות!D7</f>
        <v/>
      </c>
      <c r="Q551">
        <f>N551*(1+O551/100)+P551</f>
        <v/>
      </c>
    </row>
    <row r="552">
      <c r="A552" t="inlineStr">
        <is>
          <t>VetLife (פרמינה)</t>
        </is>
      </c>
      <c r="B552" t="inlineStr">
        <is>
          <t>וטלייף רנאל כלב 12 ק"ג</t>
        </is>
      </c>
      <c r="D552" t="inlineStr">
        <is>
          <t>5560195</t>
        </is>
      </c>
      <c r="E552" t="inlineStr">
        <is>
          <t>וטרינרי / רפואי</t>
        </is>
      </c>
      <c r="F552" t="inlineStr">
        <is>
          <t>יבש</t>
        </is>
      </c>
      <c r="G552" t="inlineStr"/>
      <c r="H552" t="inlineStr">
        <is>
          <t>כלב</t>
        </is>
      </c>
      <c r="I552" t="inlineStr"/>
      <c r="J552" t="inlineStr">
        <is>
          <t>2026-08</t>
        </is>
      </c>
      <c r="K552" t="n">
        <v>539.74</v>
      </c>
      <c r="L552" t="n">
        <v>636.89</v>
      </c>
      <c r="M552">
        <f>הגדרות!B7</f>
        <v/>
      </c>
      <c r="N552">
        <f>K552*(1-M552/100)*1.18</f>
        <v/>
      </c>
      <c r="O552">
        <f>הגדרות!C7</f>
        <v/>
      </c>
      <c r="P552">
        <f>הגדרות!D7</f>
        <v/>
      </c>
      <c r="Q552">
        <f>N552*(1+O552/100)+P552</f>
        <v/>
      </c>
    </row>
    <row r="553">
      <c r="A553" t="inlineStr">
        <is>
          <t>VetLife (פרמינה)</t>
        </is>
      </c>
      <c r="B553" t="inlineStr">
        <is>
          <t>וטלייף סטרוויט כלב 12 ק"ג</t>
        </is>
      </c>
      <c r="D553" t="inlineStr">
        <is>
          <t>5560196</t>
        </is>
      </c>
      <c r="E553" t="inlineStr">
        <is>
          <t>וטרינרי / רפואי</t>
        </is>
      </c>
      <c r="F553" t="inlineStr">
        <is>
          <t>יבש</t>
        </is>
      </c>
      <c r="G553" t="inlineStr"/>
      <c r="H553" t="inlineStr">
        <is>
          <t>כלב</t>
        </is>
      </c>
      <c r="I553" t="inlineStr"/>
      <c r="J553" t="inlineStr">
        <is>
          <t>2026-08</t>
        </is>
      </c>
      <c r="K553" t="n">
        <v>539.74</v>
      </c>
      <c r="L553" t="n">
        <v>636.89</v>
      </c>
      <c r="M553">
        <f>הגדרות!B7</f>
        <v/>
      </c>
      <c r="N553">
        <f>K553*(1-M553/100)*1.18</f>
        <v/>
      </c>
      <c r="O553">
        <f>הגדרות!C7</f>
        <v/>
      </c>
      <c r="P553">
        <f>הגדרות!D7</f>
        <v/>
      </c>
      <c r="Q553">
        <f>N553*(1+O553/100)+P553</f>
        <v/>
      </c>
    </row>
    <row r="554">
      <c r="A554" t="inlineStr">
        <is>
          <t>VetLife (פרמינה)</t>
        </is>
      </c>
      <c r="B554" t="inlineStr">
        <is>
          <t>וטלייף סטרוויט כלב 2 ק"ג</t>
        </is>
      </c>
      <c r="D554" t="inlineStr">
        <is>
          <t>5560197</t>
        </is>
      </c>
      <c r="E554" t="inlineStr">
        <is>
          <t>וטרינרי / רפואי</t>
        </is>
      </c>
      <c r="F554" t="inlineStr">
        <is>
          <t>יבש</t>
        </is>
      </c>
      <c r="G554" t="inlineStr"/>
      <c r="H554" t="inlineStr">
        <is>
          <t>כלב</t>
        </is>
      </c>
      <c r="I554" t="inlineStr"/>
      <c r="J554" t="inlineStr">
        <is>
          <t>2026-08</t>
        </is>
      </c>
      <c r="K554" t="n">
        <v>135.19</v>
      </c>
      <c r="L554" t="n">
        <v>159.52</v>
      </c>
      <c r="M554">
        <f>הגדרות!B7</f>
        <v/>
      </c>
      <c r="N554">
        <f>K554*(1-M554/100)*1.18</f>
        <v/>
      </c>
      <c r="O554">
        <f>הגדרות!C7</f>
        <v/>
      </c>
      <c r="P554">
        <f>הגדרות!D7</f>
        <v/>
      </c>
      <c r="Q554">
        <f>N554*(1+O554/100)+P554</f>
        <v/>
      </c>
    </row>
    <row r="555">
      <c r="A555" t="inlineStr">
        <is>
          <t>VetLife (פרמינה)</t>
        </is>
      </c>
      <c r="B555" t="inlineStr">
        <is>
          <t>וטלייף אולטרהיפו כלב 2 ק"ג</t>
        </is>
      </c>
      <c r="D555" t="inlineStr">
        <is>
          <t>5560198</t>
        </is>
      </c>
      <c r="E555" t="inlineStr">
        <is>
          <t>וטרינרי / רפואי</t>
        </is>
      </c>
      <c r="F555" t="inlineStr">
        <is>
          <t>יבש</t>
        </is>
      </c>
      <c r="G555" t="inlineStr"/>
      <c r="H555" t="inlineStr">
        <is>
          <t>כלב</t>
        </is>
      </c>
      <c r="I555" t="inlineStr"/>
      <c r="J555" t="inlineStr">
        <is>
          <t>2026-08</t>
        </is>
      </c>
      <c r="K555" t="n">
        <v>160.99</v>
      </c>
      <c r="L555" t="n">
        <v>189.97</v>
      </c>
      <c r="M555">
        <f>הגדרות!B7</f>
        <v/>
      </c>
      <c r="N555">
        <f>K555*(1-M555/100)*1.18</f>
        <v/>
      </c>
      <c r="O555">
        <f>הגדרות!C7</f>
        <v/>
      </c>
      <c r="P555">
        <f>הגדרות!D7</f>
        <v/>
      </c>
      <c r="Q555">
        <f>N555*(1+O555/100)+P555</f>
        <v/>
      </c>
    </row>
    <row r="556">
      <c r="A556" t="inlineStr">
        <is>
          <t>VetLife (פרמינה)</t>
        </is>
      </c>
      <c r="B556" t="inlineStr">
        <is>
          <t>וטלייף היפואלרגני דג תפו"א כלב 2 ק"ג</t>
        </is>
      </c>
      <c r="D556" t="inlineStr">
        <is>
          <t>5560199</t>
        </is>
      </c>
      <c r="E556" t="inlineStr">
        <is>
          <t>וטרינרי / רפואי</t>
        </is>
      </c>
      <c r="F556" t="inlineStr">
        <is>
          <t>יבש</t>
        </is>
      </c>
      <c r="G556" t="inlineStr"/>
      <c r="H556" t="inlineStr">
        <is>
          <t>כלב</t>
        </is>
      </c>
      <c r="I556" t="inlineStr"/>
      <c r="J556" t="inlineStr">
        <is>
          <t>2026-08</t>
        </is>
      </c>
      <c r="K556" t="n">
        <v>139.32</v>
      </c>
      <c r="L556" t="n">
        <v>164.4</v>
      </c>
      <c r="M556">
        <f>הגדרות!B7</f>
        <v/>
      </c>
      <c r="N556">
        <f>K556*(1-M556/100)*1.18</f>
        <v/>
      </c>
      <c r="O556">
        <f>הגדרות!C7</f>
        <v/>
      </c>
      <c r="P556">
        <f>הגדרות!D7</f>
        <v/>
      </c>
      <c r="Q556">
        <f>N556*(1+O556/100)+P556</f>
        <v/>
      </c>
    </row>
    <row r="557">
      <c r="A557" t="inlineStr">
        <is>
          <t>VetLife (פרמינה)</t>
        </is>
      </c>
      <c r="B557" t="inlineStr">
        <is>
          <t>וטלייף מנג'מנט סטרוויט כלב 12 ק"ג</t>
        </is>
      </c>
      <c r="D557" t="inlineStr">
        <is>
          <t>5560201</t>
        </is>
      </c>
      <c r="E557" t="inlineStr">
        <is>
          <t>וטרינרי / רפואי</t>
        </is>
      </c>
      <c r="F557" t="inlineStr">
        <is>
          <t>יבש</t>
        </is>
      </c>
      <c r="G557" t="inlineStr"/>
      <c r="H557" t="inlineStr">
        <is>
          <t>כלב</t>
        </is>
      </c>
      <c r="I557" t="inlineStr"/>
      <c r="J557" t="inlineStr">
        <is>
          <t>2026-08</t>
        </is>
      </c>
      <c r="K557" t="n">
        <v>539.74</v>
      </c>
      <c r="L557" t="n">
        <v>636.89</v>
      </c>
      <c r="M557">
        <f>הגדרות!B7</f>
        <v/>
      </c>
      <c r="N557">
        <f>K557*(1-M557/100)*1.18</f>
        <v/>
      </c>
      <c r="O557">
        <f>הגדרות!C7</f>
        <v/>
      </c>
      <c r="P557">
        <f>הגדרות!D7</f>
        <v/>
      </c>
      <c r="Q557">
        <f>N557*(1+O557/100)+P557</f>
        <v/>
      </c>
    </row>
    <row r="558">
      <c r="A558" t="inlineStr">
        <is>
          <t>VetLife (פרמינה)</t>
        </is>
      </c>
      <c r="B558" t="inlineStr">
        <is>
          <t>וטלייף הפטיק כלב 12 ק"ג</t>
        </is>
      </c>
      <c r="D558" t="inlineStr">
        <is>
          <t>5560216</t>
        </is>
      </c>
      <c r="E558" t="inlineStr">
        <is>
          <t>וטרינרי / רפואי</t>
        </is>
      </c>
      <c r="F558" t="inlineStr">
        <is>
          <t>יבש</t>
        </is>
      </c>
      <c r="G558" t="inlineStr"/>
      <c r="H558" t="inlineStr">
        <is>
          <t>כלב</t>
        </is>
      </c>
      <c r="I558" t="inlineStr"/>
      <c r="J558" t="inlineStr">
        <is>
          <t>2026-08</t>
        </is>
      </c>
      <c r="K558" t="n">
        <v>507.74</v>
      </c>
      <c r="L558" t="n">
        <v>599.13</v>
      </c>
      <c r="M558">
        <f>הגדרות!B7</f>
        <v/>
      </c>
      <c r="N558">
        <f>K558*(1-M558/100)*1.18</f>
        <v/>
      </c>
      <c r="O558">
        <f>הגדרות!C7</f>
        <v/>
      </c>
      <c r="P558">
        <f>הגדרות!D7</f>
        <v/>
      </c>
      <c r="Q558">
        <f>N558*(1+O558/100)+P558</f>
        <v/>
      </c>
    </row>
    <row r="559">
      <c r="A559" t="inlineStr">
        <is>
          <t>VetLife (פרמינה)</t>
        </is>
      </c>
      <c r="B559" t="inlineStr">
        <is>
          <t>וטלייף ג'וינט מפרקים כלב 12 ק"ג</t>
        </is>
      </c>
      <c r="D559" t="inlineStr">
        <is>
          <t>5560218</t>
        </is>
      </c>
      <c r="E559" t="inlineStr">
        <is>
          <t>וטרינרי / רפואי</t>
        </is>
      </c>
      <c r="F559" t="inlineStr">
        <is>
          <t>יבש</t>
        </is>
      </c>
      <c r="G559" t="inlineStr"/>
      <c r="H559" t="inlineStr">
        <is>
          <t>כלב</t>
        </is>
      </c>
      <c r="I559" t="inlineStr"/>
      <c r="J559" t="inlineStr">
        <is>
          <t>2026-08</t>
        </is>
      </c>
      <c r="K559" t="n">
        <v>539.74</v>
      </c>
      <c r="L559" t="n">
        <v>636.89</v>
      </c>
      <c r="M559">
        <f>הגדרות!B7</f>
        <v/>
      </c>
      <c r="N559">
        <f>K559*(1-M559/100)*1.18</f>
        <v/>
      </c>
      <c r="O559">
        <f>הגדרות!C7</f>
        <v/>
      </c>
      <c r="P559">
        <f>הגדרות!D7</f>
        <v/>
      </c>
      <c r="Q559">
        <f>N559*(1+O559/100)+P559</f>
        <v/>
      </c>
    </row>
    <row r="560">
      <c r="A560" t="inlineStr">
        <is>
          <t>VetLife (פרמינה)</t>
        </is>
      </c>
      <c r="B560" t="inlineStr">
        <is>
          <t>וטלייף מנג'מנט סטרוויט כלב 2 ק"ג</t>
        </is>
      </c>
      <c r="D560" t="inlineStr">
        <is>
          <t>5560225</t>
        </is>
      </c>
      <c r="E560" t="inlineStr">
        <is>
          <t>וטרינרי / רפואי</t>
        </is>
      </c>
      <c r="F560" t="inlineStr">
        <is>
          <t>יבש</t>
        </is>
      </c>
      <c r="G560" t="inlineStr"/>
      <c r="H560" t="inlineStr">
        <is>
          <t>כלב</t>
        </is>
      </c>
      <c r="I560" t="inlineStr"/>
      <c r="J560" t="inlineStr">
        <is>
          <t>2026-08</t>
        </is>
      </c>
      <c r="K560" t="n">
        <v>135.19</v>
      </c>
      <c r="L560" t="n">
        <v>159.52</v>
      </c>
      <c r="M560">
        <f>הגדרות!B7</f>
        <v/>
      </c>
      <c r="N560">
        <f>K560*(1-M560/100)*1.18</f>
        <v/>
      </c>
      <c r="O560">
        <f>הגדרות!C7</f>
        <v/>
      </c>
      <c r="P560">
        <f>הגדרות!D7</f>
        <v/>
      </c>
      <c r="Q560">
        <f>N560*(1+O560/100)+P560</f>
        <v/>
      </c>
    </row>
    <row r="561">
      <c r="A561" t="inlineStr">
        <is>
          <t>VetLife (פרמינה)</t>
        </is>
      </c>
      <c r="B561" t="inlineStr">
        <is>
          <t>וטלייף ג'וינט מפרקים כלב 2 ק"ג</t>
        </is>
      </c>
      <c r="D561" t="inlineStr">
        <is>
          <t>5560226</t>
        </is>
      </c>
      <c r="E561" t="inlineStr">
        <is>
          <t>וטרינרי / רפואי</t>
        </is>
      </c>
      <c r="F561" t="inlineStr">
        <is>
          <t>יבש</t>
        </is>
      </c>
      <c r="G561" t="inlineStr"/>
      <c r="H561" t="inlineStr">
        <is>
          <t>כלב</t>
        </is>
      </c>
      <c r="I561" t="inlineStr"/>
      <c r="J561" t="inlineStr">
        <is>
          <t>2026-08</t>
        </is>
      </c>
      <c r="K561" t="n">
        <v>135.19</v>
      </c>
      <c r="L561" t="n">
        <v>159.52</v>
      </c>
      <c r="M561">
        <f>הגדרות!B7</f>
        <v/>
      </c>
      <c r="N561">
        <f>K561*(1-M561/100)*1.18</f>
        <v/>
      </c>
      <c r="O561">
        <f>הגדרות!C7</f>
        <v/>
      </c>
      <c r="P561">
        <f>הגדרות!D7</f>
        <v/>
      </c>
      <c r="Q561">
        <f>N561*(1+O561/100)+P561</f>
        <v/>
      </c>
    </row>
    <row r="562">
      <c r="A562" t="inlineStr">
        <is>
          <t>VetLife (פרמינה)</t>
        </is>
      </c>
      <c r="B562" t="inlineStr">
        <is>
          <t>וטלייף רנאל כלב 2 ק"ג</t>
        </is>
      </c>
      <c r="D562" t="inlineStr">
        <is>
          <t>5560229</t>
        </is>
      </c>
      <c r="E562" t="inlineStr">
        <is>
          <t>וטרינרי / רפואי</t>
        </is>
      </c>
      <c r="F562" t="inlineStr">
        <is>
          <t>יבש</t>
        </is>
      </c>
      <c r="G562" t="inlineStr"/>
      <c r="H562" t="inlineStr">
        <is>
          <t>כלב</t>
        </is>
      </c>
      <c r="I562" t="inlineStr"/>
      <c r="J562" t="inlineStr">
        <is>
          <t>2026-08</t>
        </is>
      </c>
      <c r="K562" t="n">
        <v>135.19</v>
      </c>
      <c r="L562" t="n">
        <v>159.52</v>
      </c>
      <c r="M562">
        <f>הגדרות!B7</f>
        <v/>
      </c>
      <c r="N562">
        <f>K562*(1-M562/100)*1.18</f>
        <v/>
      </c>
      <c r="O562">
        <f>הגדרות!C7</f>
        <v/>
      </c>
      <c r="P562">
        <f>הגדרות!D7</f>
        <v/>
      </c>
      <c r="Q562">
        <f>N562*(1+O562/100)+P562</f>
        <v/>
      </c>
    </row>
    <row r="563">
      <c r="A563" t="inlineStr">
        <is>
          <t>VetLife (פרמינה)</t>
        </is>
      </c>
      <c r="B563" t="inlineStr">
        <is>
          <t>וטלייף דיאבטיק כלב 12 ק"ג</t>
        </is>
      </c>
      <c r="D563" t="inlineStr">
        <is>
          <t>5560232</t>
        </is>
      </c>
      <c r="E563" t="inlineStr">
        <is>
          <t>וטרינרי / רפואי</t>
        </is>
      </c>
      <c r="F563" t="inlineStr">
        <is>
          <t>יבש</t>
        </is>
      </c>
      <c r="G563" t="inlineStr"/>
      <c r="H563" t="inlineStr">
        <is>
          <t>כלב</t>
        </is>
      </c>
      <c r="I563" t="inlineStr"/>
      <c r="J563" t="inlineStr">
        <is>
          <t>2026-08</t>
        </is>
      </c>
      <c r="K563" t="n">
        <v>539.74</v>
      </c>
      <c r="L563" t="n">
        <v>636.89</v>
      </c>
      <c r="M563">
        <f>הגדרות!B7</f>
        <v/>
      </c>
      <c r="N563">
        <f>K563*(1-M563/100)*1.18</f>
        <v/>
      </c>
      <c r="O563">
        <f>הגדרות!C7</f>
        <v/>
      </c>
      <c r="P563">
        <f>הגדרות!D7</f>
        <v/>
      </c>
      <c r="Q563">
        <f>N563*(1+O563/100)+P563</f>
        <v/>
      </c>
    </row>
    <row r="564">
      <c r="A564" t="inlineStr">
        <is>
          <t>VetLife (פרמינה)</t>
        </is>
      </c>
      <c r="B564" t="inlineStr">
        <is>
          <t>וטלייף דיאבטיק כלב 2 ק"ג</t>
        </is>
      </c>
      <c r="D564" t="inlineStr">
        <is>
          <t>5560233</t>
        </is>
      </c>
      <c r="E564" t="inlineStr">
        <is>
          <t>וטרינרי / רפואי</t>
        </is>
      </c>
      <c r="F564" t="inlineStr">
        <is>
          <t>יבש</t>
        </is>
      </c>
      <c r="G564" t="inlineStr"/>
      <c r="H564" t="inlineStr">
        <is>
          <t>כלב</t>
        </is>
      </c>
      <c r="I564" t="inlineStr"/>
      <c r="J564" t="inlineStr">
        <is>
          <t>2026-08</t>
        </is>
      </c>
      <c r="K564" t="n">
        <v>135.19</v>
      </c>
      <c r="L564" t="n">
        <v>159.52</v>
      </c>
      <c r="M564">
        <f>הגדרות!B7</f>
        <v/>
      </c>
      <c r="N564">
        <f>K564*(1-M564/100)*1.18</f>
        <v/>
      </c>
      <c r="O564">
        <f>הגדרות!C7</f>
        <v/>
      </c>
      <c r="P564">
        <f>הגדרות!D7</f>
        <v/>
      </c>
      <c r="Q564">
        <f>N564*(1+O564/100)+P564</f>
        <v/>
      </c>
    </row>
    <row r="565">
      <c r="A565" t="inlineStr">
        <is>
          <t>VetLife (פרמינה)</t>
        </is>
      </c>
      <c r="B565" t="inlineStr">
        <is>
          <t>וטלייף אובסיטי דגים כלב 2 ק"ג</t>
        </is>
      </c>
      <c r="D565" t="inlineStr">
        <is>
          <t>5560234</t>
        </is>
      </c>
      <c r="E565" t="inlineStr">
        <is>
          <t>וטרינרי / רפואי</t>
        </is>
      </c>
      <c r="F565" t="inlineStr">
        <is>
          <t>יבש</t>
        </is>
      </c>
      <c r="G565" t="inlineStr"/>
      <c r="H565" t="inlineStr">
        <is>
          <t>כלב</t>
        </is>
      </c>
      <c r="I565" t="inlineStr"/>
      <c r="J565" t="inlineStr">
        <is>
          <t>2026-08</t>
        </is>
      </c>
      <c r="K565" t="n">
        <v>146.54</v>
      </c>
      <c r="L565" t="n">
        <v>172.92</v>
      </c>
      <c r="M565">
        <f>הגדרות!B7</f>
        <v/>
      </c>
      <c r="N565">
        <f>K565*(1-M565/100)*1.18</f>
        <v/>
      </c>
      <c r="O565">
        <f>הגדרות!C7</f>
        <v/>
      </c>
      <c r="P565">
        <f>הגדרות!D7</f>
        <v/>
      </c>
      <c r="Q565">
        <f>N565*(1+O565/100)+P565</f>
        <v/>
      </c>
    </row>
    <row r="566">
      <c r="A566" t="inlineStr">
        <is>
          <t>VetLife (פרמינה)</t>
        </is>
      </c>
      <c r="B566" t="inlineStr">
        <is>
          <t>וטלייף היפואלרגני חזיר -תפו"א כלב 2 ק"ג</t>
        </is>
      </c>
      <c r="D566" t="inlineStr">
        <is>
          <t>5560235</t>
        </is>
      </c>
      <c r="E566" t="inlineStr">
        <is>
          <t>וטרינרי / רפואי</t>
        </is>
      </c>
      <c r="F566" t="inlineStr">
        <is>
          <t>יבש</t>
        </is>
      </c>
      <c r="G566" t="inlineStr"/>
      <c r="H566" t="inlineStr">
        <is>
          <t>כלב</t>
        </is>
      </c>
      <c r="I566" t="inlineStr"/>
      <c r="J566" t="inlineStr">
        <is>
          <t>2026-08</t>
        </is>
      </c>
      <c r="K566" t="n">
        <v>139.32</v>
      </c>
      <c r="L566" t="n">
        <v>164.4</v>
      </c>
      <c r="M566">
        <f>הגדרות!B7</f>
        <v/>
      </c>
      <c r="N566">
        <f>K566*(1-M566/100)*1.18</f>
        <v/>
      </c>
      <c r="O566">
        <f>הגדרות!C7</f>
        <v/>
      </c>
      <c r="P566">
        <f>הגדרות!D7</f>
        <v/>
      </c>
      <c r="Q566">
        <f>N566*(1+O566/100)+P566</f>
        <v/>
      </c>
    </row>
    <row r="567">
      <c r="A567" t="inlineStr">
        <is>
          <t>VetLife (פרמינה)</t>
        </is>
      </c>
      <c r="B567" t="inlineStr">
        <is>
          <t>וטלייף אובסיטי כלב 2 ק"ג</t>
        </is>
      </c>
      <c r="D567" t="inlineStr">
        <is>
          <t>5560236</t>
        </is>
      </c>
      <c r="E567" t="inlineStr">
        <is>
          <t>וטרינרי / רפואי</t>
        </is>
      </c>
      <c r="F567" t="inlineStr">
        <is>
          <t>יבש</t>
        </is>
      </c>
      <c r="G567" t="inlineStr"/>
      <c r="H567" t="inlineStr">
        <is>
          <t>כלב</t>
        </is>
      </c>
      <c r="I567" t="inlineStr"/>
      <c r="J567" t="inlineStr">
        <is>
          <t>2026-08</t>
        </is>
      </c>
      <c r="K567" t="n">
        <v>124.87</v>
      </c>
      <c r="L567" t="n">
        <v>147.35</v>
      </c>
      <c r="M567">
        <f>הגדרות!B7</f>
        <v/>
      </c>
      <c r="N567">
        <f>K567*(1-M567/100)*1.18</f>
        <v/>
      </c>
      <c r="O567">
        <f>הגדרות!C7</f>
        <v/>
      </c>
      <c r="P567">
        <f>הגדרות!D7</f>
        <v/>
      </c>
      <c r="Q567">
        <f>N567*(1+O567/100)+P567</f>
        <v/>
      </c>
    </row>
    <row r="568">
      <c r="A568" t="inlineStr">
        <is>
          <t>VetLife (פרמינה)</t>
        </is>
      </c>
      <c r="B568" t="inlineStr">
        <is>
          <t>וטלייף אובסיטי דג כלב 12 ק"ג</t>
        </is>
      </c>
      <c r="D568" t="inlineStr">
        <is>
          <t>5560399</t>
        </is>
      </c>
      <c r="E568" t="inlineStr">
        <is>
          <t>וטרינרי / רפואי</t>
        </is>
      </c>
      <c r="F568" t="inlineStr">
        <is>
          <t>יבש</t>
        </is>
      </c>
      <c r="G568" t="inlineStr"/>
      <c r="H568" t="inlineStr">
        <is>
          <t>כלב</t>
        </is>
      </c>
      <c r="I568" t="inlineStr"/>
      <c r="J568" t="inlineStr">
        <is>
          <t>2026-08</t>
        </is>
      </c>
      <c r="K568" t="n">
        <v>539.74</v>
      </c>
      <c r="L568" t="n">
        <v>636.89</v>
      </c>
      <c r="M568">
        <f>הגדרות!B7</f>
        <v/>
      </c>
      <c r="N568">
        <f>K568*(1-M568/100)*1.18</f>
        <v/>
      </c>
      <c r="O568">
        <f>הגדרות!C7</f>
        <v/>
      </c>
      <c r="P568">
        <f>הגדרות!D7</f>
        <v/>
      </c>
      <c r="Q568">
        <f>N568*(1+O568/100)+P568</f>
        <v/>
      </c>
    </row>
    <row r="569">
      <c r="A569" t="inlineStr">
        <is>
          <t>VetLife (פרמינה)</t>
        </is>
      </c>
      <c r="B569" t="inlineStr">
        <is>
          <t>ווטלייף גסטרואינטסטינל גורים 2 ק"ג</t>
        </is>
      </c>
      <c r="D569" t="inlineStr">
        <is>
          <t>5560483</t>
        </is>
      </c>
      <c r="E569" t="inlineStr">
        <is>
          <t>וטרינרי / רפואי</t>
        </is>
      </c>
      <c r="F569" t="inlineStr">
        <is>
          <t>יבש</t>
        </is>
      </c>
      <c r="G569" t="inlineStr">
        <is>
          <t>גורים</t>
        </is>
      </c>
      <c r="H569" t="inlineStr"/>
      <c r="I569" t="inlineStr"/>
      <c r="J569" t="inlineStr">
        <is>
          <t>2026-08</t>
        </is>
      </c>
      <c r="K569" t="n">
        <v>135.19</v>
      </c>
      <c r="L569" t="n">
        <v>159.52</v>
      </c>
      <c r="M569">
        <f>הגדרות!B7</f>
        <v/>
      </c>
      <c r="N569">
        <f>K569*(1-M569/100)*1.18</f>
        <v/>
      </c>
      <c r="O569">
        <f>הגדרות!C7</f>
        <v/>
      </c>
      <c r="P569">
        <f>הגדרות!D7</f>
        <v/>
      </c>
      <c r="Q569">
        <f>N569*(1+O569/100)+P569</f>
        <v/>
      </c>
    </row>
    <row r="570">
      <c r="A570" t="inlineStr">
        <is>
          <t>VetLife (פרמינה)</t>
        </is>
      </c>
      <c r="B570" t="inlineStr">
        <is>
          <t>וטלייף שימור קונבלסנס(ריקברי) חתול 85 ג'</t>
        </is>
      </c>
      <c r="D570" t="inlineStr">
        <is>
          <t>5560204</t>
        </is>
      </c>
      <c r="E570" t="inlineStr">
        <is>
          <t>וטרינרי / רפואי</t>
        </is>
      </c>
      <c r="F570" t="inlineStr">
        <is>
          <t>רטוב</t>
        </is>
      </c>
      <c r="G570" t="inlineStr"/>
      <c r="H570" t="inlineStr">
        <is>
          <t>חתול</t>
        </is>
      </c>
      <c r="I570" t="inlineStr"/>
      <c r="J570" t="inlineStr">
        <is>
          <t>2026-08</t>
        </is>
      </c>
      <c r="K570" t="n">
        <v>9.289999999999999</v>
      </c>
      <c r="L570" t="n">
        <v>10.96</v>
      </c>
      <c r="M570">
        <f>הגדרות!B7</f>
        <v/>
      </c>
      <c r="N570">
        <f>K570*(1-M570/100)*1.18</f>
        <v/>
      </c>
      <c r="O570">
        <f>הגדרות!C7</f>
        <v/>
      </c>
      <c r="P570">
        <f>הגדרות!D7</f>
        <v/>
      </c>
      <c r="Q570">
        <f>N570*(1+O570/100)+P570</f>
        <v/>
      </c>
    </row>
    <row r="571">
      <c r="A571" t="inlineStr">
        <is>
          <t>VetLife (פרמינה)</t>
        </is>
      </c>
      <c r="B571" t="inlineStr">
        <is>
          <t>וטלייף שימורים גסטרו חתול 85ג'</t>
        </is>
      </c>
      <c r="D571" t="inlineStr">
        <is>
          <t>5560205</t>
        </is>
      </c>
      <c r="E571" t="inlineStr">
        <is>
          <t>וטרינרי / רפואי</t>
        </is>
      </c>
      <c r="F571" t="inlineStr">
        <is>
          <t>רטוב</t>
        </is>
      </c>
      <c r="G571" t="inlineStr"/>
      <c r="H571" t="inlineStr">
        <is>
          <t>חתול</t>
        </is>
      </c>
      <c r="I571" t="inlineStr"/>
      <c r="J571" t="inlineStr">
        <is>
          <t>2026-08</t>
        </is>
      </c>
      <c r="K571" t="n">
        <v>9.289999999999999</v>
      </c>
      <c r="L571" t="n">
        <v>10.96</v>
      </c>
      <c r="M571">
        <f>הגדרות!B7</f>
        <v/>
      </c>
      <c r="N571">
        <f>K571*(1-M571/100)*1.18</f>
        <v/>
      </c>
      <c r="O571">
        <f>הגדרות!C7</f>
        <v/>
      </c>
      <c r="P571">
        <f>הגדרות!D7</f>
        <v/>
      </c>
      <c r="Q571">
        <f>N571*(1+O571/100)+P571</f>
        <v/>
      </c>
    </row>
    <row r="572">
      <c r="A572" t="inlineStr">
        <is>
          <t>VetLife (פרמינה)</t>
        </is>
      </c>
      <c r="B572" t="inlineStr">
        <is>
          <t>וטלייף שימורים רנאל חתול 85ג'</t>
        </is>
      </c>
      <c r="D572" t="inlineStr">
        <is>
          <t>5560206</t>
        </is>
      </c>
      <c r="E572" t="inlineStr">
        <is>
          <t>וטרינרי / רפואי</t>
        </is>
      </c>
      <c r="F572" t="inlineStr">
        <is>
          <t>רטוב</t>
        </is>
      </c>
      <c r="G572" t="inlineStr"/>
      <c r="H572" t="inlineStr">
        <is>
          <t>חתול</t>
        </is>
      </c>
      <c r="I572" t="inlineStr"/>
      <c r="J572" t="inlineStr">
        <is>
          <t>2026-08</t>
        </is>
      </c>
      <c r="K572" t="n">
        <v>9.289999999999999</v>
      </c>
      <c r="L572" t="n">
        <v>10.96</v>
      </c>
      <c r="M572">
        <f>הגדרות!B7</f>
        <v/>
      </c>
      <c r="N572">
        <f>K572*(1-M572/100)*1.18</f>
        <v/>
      </c>
      <c r="O572">
        <f>הגדרות!C7</f>
        <v/>
      </c>
      <c r="P572">
        <f>הגדרות!D7</f>
        <v/>
      </c>
      <c r="Q572">
        <f>N572*(1+O572/100)+P572</f>
        <v/>
      </c>
    </row>
    <row r="573">
      <c r="A573" t="inlineStr">
        <is>
          <t>VetLife (פרמינה)</t>
        </is>
      </c>
      <c r="B573" t="inlineStr">
        <is>
          <t>וטלייף שימורים סטרוויט חתול 85ג'</t>
        </is>
      </c>
      <c r="D573" t="inlineStr">
        <is>
          <t>5560207</t>
        </is>
      </c>
      <c r="E573" t="inlineStr">
        <is>
          <t>וטרינרי / רפואי</t>
        </is>
      </c>
      <c r="F573" t="inlineStr">
        <is>
          <t>רטוב</t>
        </is>
      </c>
      <c r="G573" t="inlineStr"/>
      <c r="H573" t="inlineStr">
        <is>
          <t>חתול</t>
        </is>
      </c>
      <c r="I573" t="inlineStr"/>
      <c r="J573" t="inlineStr">
        <is>
          <t>2026-08</t>
        </is>
      </c>
      <c r="K573" t="n">
        <v>9.289999999999999</v>
      </c>
      <c r="L573" t="n">
        <v>10.96</v>
      </c>
      <c r="M573">
        <f>הגדרות!B7</f>
        <v/>
      </c>
      <c r="N573">
        <f>K573*(1-M573/100)*1.18</f>
        <v/>
      </c>
      <c r="O573">
        <f>הגדרות!C7</f>
        <v/>
      </c>
      <c r="P573">
        <f>הגדרות!D7</f>
        <v/>
      </c>
      <c r="Q573">
        <f>N573*(1+O573/100)+P573</f>
        <v/>
      </c>
    </row>
    <row r="574">
      <c r="A574" t="inlineStr">
        <is>
          <t>VetLife (פרמינה)</t>
        </is>
      </c>
      <c r="B574" t="inlineStr">
        <is>
          <t>וטלייף שימור קונבלסנס (ריקברי) כלב 300 ג</t>
        </is>
      </c>
      <c r="D574" t="inlineStr">
        <is>
          <t>5560208</t>
        </is>
      </c>
      <c r="E574" t="inlineStr">
        <is>
          <t>וטרינרי / רפואי</t>
        </is>
      </c>
      <c r="F574" t="inlineStr">
        <is>
          <t>רטוב</t>
        </is>
      </c>
      <c r="G574" t="inlineStr"/>
      <c r="H574" t="inlineStr">
        <is>
          <t>כלב</t>
        </is>
      </c>
      <c r="I574" t="inlineStr"/>
      <c r="J574" t="inlineStr">
        <is>
          <t>2026-08</t>
        </is>
      </c>
      <c r="K574" t="n">
        <v>17.54</v>
      </c>
      <c r="L574" t="n">
        <v>20.7</v>
      </c>
      <c r="M574">
        <f>הגדרות!B7</f>
        <v/>
      </c>
      <c r="N574">
        <f>K574*(1-M574/100)*1.18</f>
        <v/>
      </c>
      <c r="O574">
        <f>הגדרות!C7</f>
        <v/>
      </c>
      <c r="P574">
        <f>הגדרות!D7</f>
        <v/>
      </c>
      <c r="Q574">
        <f>N574*(1+O574/100)+P574</f>
        <v/>
      </c>
    </row>
    <row r="575">
      <c r="A575" t="inlineStr">
        <is>
          <t>VetLife (פרמינה)</t>
        </is>
      </c>
      <c r="B575" t="inlineStr">
        <is>
          <t>וטלייף שימורים גסטרו כלב 300ג'</t>
        </is>
      </c>
      <c r="D575" t="inlineStr">
        <is>
          <t>5560209</t>
        </is>
      </c>
      <c r="E575" t="inlineStr">
        <is>
          <t>וטרינרי / רפואי</t>
        </is>
      </c>
      <c r="F575" t="inlineStr">
        <is>
          <t>רטוב</t>
        </is>
      </c>
      <c r="G575" t="inlineStr"/>
      <c r="H575" t="inlineStr">
        <is>
          <t>כלב</t>
        </is>
      </c>
      <c r="I575" t="inlineStr"/>
      <c r="J575" t="inlineStr">
        <is>
          <t>2026-08</t>
        </is>
      </c>
      <c r="K575" t="n">
        <v>17.54</v>
      </c>
      <c r="L575" t="n">
        <v>20.7</v>
      </c>
      <c r="M575">
        <f>הגדרות!B7</f>
        <v/>
      </c>
      <c r="N575">
        <f>K575*(1-M575/100)*1.18</f>
        <v/>
      </c>
      <c r="O575">
        <f>הגדרות!C7</f>
        <v/>
      </c>
      <c r="P575">
        <f>הגדרות!D7</f>
        <v/>
      </c>
      <c r="Q575">
        <f>N575*(1+O575/100)+P575</f>
        <v/>
      </c>
    </row>
    <row r="576">
      <c r="A576" t="inlineStr">
        <is>
          <t>VetLife (פרמינה)</t>
        </is>
      </c>
      <c r="B576" t="inlineStr">
        <is>
          <t>וטלייף שימורים היפואלרגני דג תפו"א 300ג'</t>
        </is>
      </c>
      <c r="D576" t="inlineStr">
        <is>
          <t>5560210</t>
        </is>
      </c>
      <c r="E576" t="inlineStr">
        <is>
          <t>וטרינרי / רפואי</t>
        </is>
      </c>
      <c r="F576" t="inlineStr">
        <is>
          <t>רטוב</t>
        </is>
      </c>
      <c r="G576" t="inlineStr"/>
      <c r="H576" t="inlineStr"/>
      <c r="I576" t="inlineStr"/>
      <c r="J576" t="inlineStr">
        <is>
          <t>2026-08</t>
        </is>
      </c>
      <c r="K576" t="n">
        <v>17.54</v>
      </c>
      <c r="L576" t="n">
        <v>20.7</v>
      </c>
      <c r="M576">
        <f>הגדרות!B7</f>
        <v/>
      </c>
      <c r="N576">
        <f>K576*(1-M576/100)*1.18</f>
        <v/>
      </c>
      <c r="O576">
        <f>הגדרות!C7</f>
        <v/>
      </c>
      <c r="P576">
        <f>הגדרות!D7</f>
        <v/>
      </c>
      <c r="Q576">
        <f>N576*(1+O576/100)+P576</f>
        <v/>
      </c>
    </row>
    <row r="577">
      <c r="A577" t="inlineStr">
        <is>
          <t>VetLife (פרמינה)</t>
        </is>
      </c>
      <c r="B577" t="inlineStr">
        <is>
          <t>וטלייף שימורים רנאל כלב 300ג'</t>
        </is>
      </c>
      <c r="D577" t="inlineStr">
        <is>
          <t>5560211</t>
        </is>
      </c>
      <c r="E577" t="inlineStr">
        <is>
          <t>וטרינרי / רפואי</t>
        </is>
      </c>
      <c r="F577" t="inlineStr">
        <is>
          <t>רטוב</t>
        </is>
      </c>
      <c r="G577" t="inlineStr"/>
      <c r="H577" t="inlineStr">
        <is>
          <t>כלב</t>
        </is>
      </c>
      <c r="I577" t="inlineStr"/>
      <c r="J577" t="inlineStr">
        <is>
          <t>2026-08</t>
        </is>
      </c>
      <c r="K577" t="n">
        <v>17.54</v>
      </c>
      <c r="L577" t="n">
        <v>20.7</v>
      </c>
      <c r="M577">
        <f>הגדרות!B7</f>
        <v/>
      </c>
      <c r="N577">
        <f>K577*(1-M577/100)*1.18</f>
        <v/>
      </c>
      <c r="O577">
        <f>הגדרות!C7</f>
        <v/>
      </c>
      <c r="P577">
        <f>הגדרות!D7</f>
        <v/>
      </c>
      <c r="Q577">
        <f>N577*(1+O577/100)+P577</f>
        <v/>
      </c>
    </row>
    <row r="578">
      <c r="A578" t="inlineStr">
        <is>
          <t>VetLife (פרמינה)</t>
        </is>
      </c>
      <c r="B578" t="inlineStr">
        <is>
          <t>וטלייף שימורים סטרוויט כלב 300ג'</t>
        </is>
      </c>
      <c r="D578" t="inlineStr">
        <is>
          <t>5560212</t>
        </is>
      </c>
      <c r="E578" t="inlineStr">
        <is>
          <t>וטרינרי / רפואי</t>
        </is>
      </c>
      <c r="F578" t="inlineStr">
        <is>
          <t>רטוב</t>
        </is>
      </c>
      <c r="G578" t="inlineStr"/>
      <c r="H578" t="inlineStr">
        <is>
          <t>כלב</t>
        </is>
      </c>
      <c r="I578" t="inlineStr"/>
      <c r="J578" t="inlineStr">
        <is>
          <t>2026-08</t>
        </is>
      </c>
      <c r="K578" t="n">
        <v>17.54</v>
      </c>
      <c r="L578" t="n">
        <v>20.7</v>
      </c>
      <c r="M578">
        <f>הגדרות!B7</f>
        <v/>
      </c>
      <c r="N578">
        <f>K578*(1-M578/100)*1.18</f>
        <v/>
      </c>
      <c r="O578">
        <f>הגדרות!C7</f>
        <v/>
      </c>
      <c r="P578">
        <f>הגדרות!D7</f>
        <v/>
      </c>
      <c r="Q578">
        <f>N578*(1+O578/100)+P578</f>
        <v/>
      </c>
    </row>
    <row r="579">
      <c r="A579" t="inlineStr">
        <is>
          <t>VetLife (פרמינה)</t>
        </is>
      </c>
      <c r="B579" t="inlineStr">
        <is>
          <t>וט לייף שימורים אובסיטי חתול 85 גרם</t>
        </is>
      </c>
      <c r="D579" t="inlineStr">
        <is>
          <t>5560393</t>
        </is>
      </c>
      <c r="E579" t="inlineStr">
        <is>
          <t>וטרינרי / רפואי</t>
        </is>
      </c>
      <c r="F579" t="inlineStr">
        <is>
          <t>רטוב</t>
        </is>
      </c>
      <c r="G579" t="inlineStr"/>
      <c r="H579" t="inlineStr">
        <is>
          <t>חתול</t>
        </is>
      </c>
      <c r="I579" t="inlineStr"/>
      <c r="J579" t="inlineStr">
        <is>
          <t>2026-08</t>
        </is>
      </c>
      <c r="K579" t="n">
        <v>9.289999999999999</v>
      </c>
      <c r="L579" t="n">
        <v>10.96</v>
      </c>
      <c r="M579">
        <f>הגדרות!B7</f>
        <v/>
      </c>
      <c r="N579">
        <f>K579*(1-M579/100)*1.18</f>
        <v/>
      </c>
      <c r="O579">
        <f>הגדרות!C7</f>
        <v/>
      </c>
      <c r="P579">
        <f>הגדרות!D7</f>
        <v/>
      </c>
      <c r="Q579">
        <f>N579*(1+O579/100)+P579</f>
        <v/>
      </c>
    </row>
    <row r="580">
      <c r="A580" t="inlineStr">
        <is>
          <t>VetLife (פרמינה)</t>
        </is>
      </c>
      <c r="B580" t="inlineStr">
        <is>
          <t>וט לייף שימורים אובסיטי כלב 300 גרם</t>
        </is>
      </c>
      <c r="D580" t="inlineStr">
        <is>
          <t>5560394</t>
        </is>
      </c>
      <c r="E580" t="inlineStr">
        <is>
          <t>וטרינרי / רפואי</t>
        </is>
      </c>
      <c r="F580" t="inlineStr">
        <is>
          <t>רטוב</t>
        </is>
      </c>
      <c r="G580" t="inlineStr"/>
      <c r="H580" t="inlineStr">
        <is>
          <t>כלב</t>
        </is>
      </c>
      <c r="I580" t="inlineStr"/>
      <c r="J580" t="inlineStr">
        <is>
          <t>2026-08</t>
        </is>
      </c>
      <c r="K580" t="n">
        <v>17.54</v>
      </c>
      <c r="L580" t="n">
        <v>20.7</v>
      </c>
      <c r="M580">
        <f>הגדרות!B7</f>
        <v/>
      </c>
      <c r="N580">
        <f>K580*(1-M580/100)*1.18</f>
        <v/>
      </c>
      <c r="O580">
        <f>הגדרות!C7</f>
        <v/>
      </c>
      <c r="P580">
        <f>הגדרות!D7</f>
        <v/>
      </c>
      <c r="Q580">
        <f>N580*(1+O580/100)+P580</f>
        <v/>
      </c>
    </row>
    <row r="581">
      <c r="A581" t="inlineStr">
        <is>
          <t>VetLife (פרמינה)</t>
        </is>
      </c>
      <c r="B581" t="inlineStr">
        <is>
          <t>ווטלייף שימור אולטרהיפו 300 גר</t>
        </is>
      </c>
      <c r="D581" t="inlineStr">
        <is>
          <t>5560467</t>
        </is>
      </c>
      <c r="E581" t="inlineStr">
        <is>
          <t>וטרינרי / רפואי</t>
        </is>
      </c>
      <c r="F581" t="inlineStr">
        <is>
          <t>רטוב</t>
        </is>
      </c>
      <c r="G581" t="inlineStr"/>
      <c r="H581" t="inlineStr"/>
      <c r="I581" t="inlineStr"/>
      <c r="J581" t="inlineStr">
        <is>
          <t>2026-08</t>
        </is>
      </c>
      <c r="K581" t="n">
        <v>17.54</v>
      </c>
      <c r="L581" t="n">
        <v>20.7</v>
      </c>
      <c r="M581">
        <f>הגדרות!B7</f>
        <v/>
      </c>
      <c r="N581">
        <f>K581*(1-M581/100)*1.18</f>
        <v/>
      </c>
      <c r="O581">
        <f>הגדרות!C7</f>
        <v/>
      </c>
      <c r="P581">
        <f>הגדרות!D7</f>
        <v/>
      </c>
      <c r="Q581">
        <f>N581*(1+O581/100)+P581</f>
        <v/>
      </c>
    </row>
    <row r="582">
      <c r="A582" t="inlineStr">
        <is>
          <t>VetLife (פרמינה)</t>
        </is>
      </c>
      <c r="B582" t="inlineStr">
        <is>
          <t>ווטלייף שימור סטרוויט מנג'מנט 300גר</t>
        </is>
      </c>
      <c r="D582" t="inlineStr">
        <is>
          <t>5560468</t>
        </is>
      </c>
      <c r="E582" t="inlineStr">
        <is>
          <t>וטרינרי / רפואי</t>
        </is>
      </c>
      <c r="F582" t="inlineStr">
        <is>
          <t>רטוב</t>
        </is>
      </c>
      <c r="G582" t="inlineStr"/>
      <c r="H582" t="inlineStr"/>
      <c r="I582" t="inlineStr"/>
      <c r="J582" t="inlineStr">
        <is>
          <t>2026-08</t>
        </is>
      </c>
      <c r="K582" t="n">
        <v>17.54</v>
      </c>
      <c r="L582" t="n">
        <v>20.7</v>
      </c>
      <c r="M582">
        <f>הגדרות!B7</f>
        <v/>
      </c>
      <c r="N582">
        <f>K582*(1-M582/100)*1.18</f>
        <v/>
      </c>
      <c r="O582">
        <f>הגדרות!C7</f>
        <v/>
      </c>
      <c r="P582">
        <f>הגדרות!D7</f>
        <v/>
      </c>
      <c r="Q582">
        <f>N582*(1+O582/100)+P582</f>
        <v/>
      </c>
    </row>
    <row r="583">
      <c r="A583" t="inlineStr">
        <is>
          <t>VetLife (פרמינה)</t>
        </is>
      </c>
      <c r="B583" t="inlineStr">
        <is>
          <t>ווטלייף שימור היפואלרגניק חזיר חתול 85גר</t>
        </is>
      </c>
      <c r="D583" t="inlineStr">
        <is>
          <t>5560469</t>
        </is>
      </c>
      <c r="E583" t="inlineStr">
        <is>
          <t>וטרינרי / רפואי</t>
        </is>
      </c>
      <c r="F583" t="inlineStr">
        <is>
          <t>רטוב</t>
        </is>
      </c>
      <c r="G583" t="inlineStr"/>
      <c r="H583" t="inlineStr">
        <is>
          <t>חתול</t>
        </is>
      </c>
      <c r="I583" t="inlineStr"/>
      <c r="J583" t="inlineStr">
        <is>
          <t>2026-08</t>
        </is>
      </c>
      <c r="K583" t="n">
        <v>9.289999999999999</v>
      </c>
      <c r="L583" t="n">
        <v>10.96</v>
      </c>
      <c r="M583">
        <f>הגדרות!B7</f>
        <v/>
      </c>
      <c r="N583">
        <f>K583*(1-M583/100)*1.18</f>
        <v/>
      </c>
      <c r="O583">
        <f>הגדרות!C7</f>
        <v/>
      </c>
      <c r="P583">
        <f>הגדרות!D7</f>
        <v/>
      </c>
      <c r="Q583">
        <f>N583*(1+O583/100)+P583</f>
        <v/>
      </c>
    </row>
    <row r="584">
      <c r="A584" t="inlineStr">
        <is>
          <t>VetLife (פרמינה)</t>
        </is>
      </c>
      <c r="B584" t="inlineStr">
        <is>
          <t>ווטלייף שימור סטרוויט מנג'מנט חתול 85גר</t>
        </is>
      </c>
      <c r="D584" t="inlineStr">
        <is>
          <t>5560470</t>
        </is>
      </c>
      <c r="E584" t="inlineStr">
        <is>
          <t>וטרינרי / רפואי</t>
        </is>
      </c>
      <c r="F584" t="inlineStr">
        <is>
          <t>רטוב</t>
        </is>
      </c>
      <c r="G584" t="inlineStr"/>
      <c r="H584" t="inlineStr">
        <is>
          <t>חתול</t>
        </is>
      </c>
      <c r="I584" t="inlineStr"/>
      <c r="J584" t="inlineStr">
        <is>
          <t>2026-08</t>
        </is>
      </c>
      <c r="K584" t="n">
        <v>9.289999999999999</v>
      </c>
      <c r="L584" t="n">
        <v>10.96</v>
      </c>
      <c r="M584">
        <f>הגדרות!B7</f>
        <v/>
      </c>
      <c r="N584">
        <f>K584*(1-M584/100)*1.18</f>
        <v/>
      </c>
      <c r="O584">
        <f>הגדרות!C7</f>
        <v/>
      </c>
      <c r="P584">
        <f>הגדרות!D7</f>
        <v/>
      </c>
      <c r="Q584">
        <f>N584*(1+O584/100)+P584</f>
        <v/>
      </c>
    </row>
    <row r="585">
      <c r="A585" t="inlineStr">
        <is>
          <t>פרמינה N&amp;D</t>
        </is>
      </c>
      <c r="B585" t="inlineStr">
        <is>
          <t>טרופיקל כבש חתלתול 1.5 קג ND</t>
        </is>
      </c>
      <c r="C585" t="inlineStr">
        <is>
          <t>N&amp;D חתול 1.5</t>
        </is>
      </c>
      <c r="D585" t="inlineStr">
        <is>
          <t>5555418</t>
        </is>
      </c>
      <c r="E585" t="inlineStr">
        <is>
          <t>רגיל</t>
        </is>
      </c>
      <c r="F585" t="inlineStr">
        <is>
          <t>יבש</t>
        </is>
      </c>
      <c r="G585" t="inlineStr">
        <is>
          <t>גורים</t>
        </is>
      </c>
      <c r="H585" t="inlineStr">
        <is>
          <t>חתול</t>
        </is>
      </c>
      <c r="I585" t="inlineStr"/>
      <c r="J585" t="inlineStr">
        <is>
          <t>2026-08</t>
        </is>
      </c>
      <c r="K585" t="n">
        <v>87</v>
      </c>
      <c r="L585" t="n">
        <v>102.66</v>
      </c>
      <c r="M585">
        <f>הגדרות!B8</f>
        <v/>
      </c>
      <c r="N585">
        <f>K585*(1-M585/100)*1.18</f>
        <v/>
      </c>
      <c r="O585">
        <f>הגדרות!C8</f>
        <v/>
      </c>
      <c r="P585">
        <f>הגדרות!D8</f>
        <v/>
      </c>
      <c r="Q585">
        <f>N585*(1+O585/100)+P585</f>
        <v/>
      </c>
    </row>
    <row r="586">
      <c r="A586" t="inlineStr">
        <is>
          <t>פרמינה N&amp;D</t>
        </is>
      </c>
      <c r="B586" t="inlineStr">
        <is>
          <t>ND אנסס עוף רימון חתול מסורס 1.5 ק"ג</t>
        </is>
      </c>
      <c r="C586" t="inlineStr">
        <is>
          <t>N&amp;D חתול 1.5</t>
        </is>
      </c>
      <c r="D586" t="inlineStr">
        <is>
          <t>5555809</t>
        </is>
      </c>
      <c r="E586" t="inlineStr">
        <is>
          <t>רגיל</t>
        </is>
      </c>
      <c r="F586" t="inlineStr">
        <is>
          <t>יבש</t>
        </is>
      </c>
      <c r="G586" t="inlineStr"/>
      <c r="H586" t="inlineStr">
        <is>
          <t>חתול</t>
        </is>
      </c>
      <c r="I586" t="inlineStr"/>
      <c r="J586" t="inlineStr">
        <is>
          <t>2026-08</t>
        </is>
      </c>
      <c r="K586" t="n">
        <v>86.15000000000001</v>
      </c>
      <c r="L586" t="n">
        <v>101.66</v>
      </c>
      <c r="M586">
        <f>הגדרות!B8</f>
        <v/>
      </c>
      <c r="N586">
        <f>K586*(1-M586/100)*1.18</f>
        <v/>
      </c>
      <c r="O586">
        <f>הגדרות!C8</f>
        <v/>
      </c>
      <c r="P586">
        <f>הגדרות!D8</f>
        <v/>
      </c>
      <c r="Q586">
        <f>N586*(1+O586/100)+P586</f>
        <v/>
      </c>
    </row>
    <row r="587">
      <c r="A587" t="inlineStr">
        <is>
          <t>פרמינה N&amp;D</t>
        </is>
      </c>
      <c r="B587" t="inlineStr">
        <is>
          <t>ND פריים עוף רימון חתלתולים 1.5 ק"ג</t>
        </is>
      </c>
      <c r="C587" t="inlineStr">
        <is>
          <t>N&amp;D חתול 1.5</t>
        </is>
      </c>
      <c r="D587" t="inlineStr">
        <is>
          <t>5560238</t>
        </is>
      </c>
      <c r="E587" t="inlineStr">
        <is>
          <t>רגיל</t>
        </is>
      </c>
      <c r="F587" t="inlineStr">
        <is>
          <t>יבש</t>
        </is>
      </c>
      <c r="G587" t="inlineStr">
        <is>
          <t>גורים</t>
        </is>
      </c>
      <c r="H587" t="inlineStr">
        <is>
          <t>חתול</t>
        </is>
      </c>
      <c r="I587" t="inlineStr"/>
      <c r="J587" t="inlineStr">
        <is>
          <t>2026-08</t>
        </is>
      </c>
      <c r="K587" t="n">
        <v>109.39</v>
      </c>
      <c r="L587" t="n">
        <v>129.08</v>
      </c>
      <c r="M587">
        <f>הגדרות!B8</f>
        <v/>
      </c>
      <c r="N587">
        <f>K587*(1-M587/100)*1.18</f>
        <v/>
      </c>
      <c r="O587">
        <f>הגדרות!C8</f>
        <v/>
      </c>
      <c r="P587">
        <f>הגדרות!D8</f>
        <v/>
      </c>
      <c r="Q587">
        <f>N587*(1+O587/100)+P587</f>
        <v/>
      </c>
    </row>
    <row r="588">
      <c r="A588" t="inlineStr">
        <is>
          <t>פרמינה N&amp;D</t>
        </is>
      </c>
      <c r="B588" t="inlineStr">
        <is>
          <t>ND דלעת ברוז מלון חתול 1.5 ק"ג</t>
        </is>
      </c>
      <c r="C588" t="inlineStr">
        <is>
          <t>N&amp;D חתול 1.5</t>
        </is>
      </c>
      <c r="D588" t="inlineStr">
        <is>
          <t>5560253</t>
        </is>
      </c>
      <c r="E588" t="inlineStr">
        <is>
          <t>רגיל</t>
        </is>
      </c>
      <c r="F588" t="inlineStr">
        <is>
          <t>יבש</t>
        </is>
      </c>
      <c r="G588" t="inlineStr"/>
      <c r="H588" t="inlineStr">
        <is>
          <t>חתול</t>
        </is>
      </c>
      <c r="I588" t="inlineStr"/>
      <c r="J588" t="inlineStr">
        <is>
          <t>2026-08</t>
        </is>
      </c>
      <c r="K588" t="n">
        <v>105.26</v>
      </c>
      <c r="L588" t="n">
        <v>124.21</v>
      </c>
      <c r="M588">
        <f>הגדרות!B8</f>
        <v/>
      </c>
      <c r="N588">
        <f>K588*(1-M588/100)*1.18</f>
        <v/>
      </c>
      <c r="O588">
        <f>הגדרות!C8</f>
        <v/>
      </c>
      <c r="P588">
        <f>הגדרות!D8</f>
        <v/>
      </c>
      <c r="Q588">
        <f>N588*(1+O588/100)+P588</f>
        <v/>
      </c>
    </row>
    <row r="589">
      <c r="A589" t="inlineStr">
        <is>
          <t>פרמינה N&amp;D</t>
        </is>
      </c>
      <c r="B589" t="inlineStr">
        <is>
          <t>ND דלעת צבי תפוח חתול 1.5 ק"ג</t>
        </is>
      </c>
      <c r="C589" t="inlineStr">
        <is>
          <t>N&amp;D חתול 1.5</t>
        </is>
      </c>
      <c r="D589" t="inlineStr">
        <is>
          <t>5560254</t>
        </is>
      </c>
      <c r="E589" t="inlineStr">
        <is>
          <t>רגיל</t>
        </is>
      </c>
      <c r="F589" t="inlineStr">
        <is>
          <t>יבש</t>
        </is>
      </c>
      <c r="G589" t="inlineStr"/>
      <c r="H589" t="inlineStr">
        <is>
          <t>חתול</t>
        </is>
      </c>
      <c r="I589" t="inlineStr"/>
      <c r="J589" t="inlineStr">
        <is>
          <t>2026-08</t>
        </is>
      </c>
      <c r="K589" t="n">
        <v>105.26</v>
      </c>
      <c r="L589" t="n">
        <v>124.21</v>
      </c>
      <c r="M589">
        <f>הגדרות!B8</f>
        <v/>
      </c>
      <c r="N589">
        <f>K589*(1-M589/100)*1.18</f>
        <v/>
      </c>
      <c r="O589">
        <f>הגדרות!C8</f>
        <v/>
      </c>
      <c r="P589">
        <f>הגדרות!D8</f>
        <v/>
      </c>
      <c r="Q589">
        <f>N589*(1+O589/100)+P589</f>
        <v/>
      </c>
    </row>
    <row r="590">
      <c r="A590" t="inlineStr">
        <is>
          <t>פרמינה N&amp;D</t>
        </is>
      </c>
      <c r="B590" t="inlineStr">
        <is>
          <t>ND דלעת שליו רימון חתול מסורס 1.5 ק"ג</t>
        </is>
      </c>
      <c r="C590" t="inlineStr">
        <is>
          <t>N&amp;D חתול 1.5</t>
        </is>
      </c>
      <c r="D590" t="inlineStr">
        <is>
          <t>5560255</t>
        </is>
      </c>
      <c r="E590" t="inlineStr">
        <is>
          <t>רגיל</t>
        </is>
      </c>
      <c r="F590" t="inlineStr">
        <is>
          <t>יבש</t>
        </is>
      </c>
      <c r="G590" t="inlineStr"/>
      <c r="H590" t="inlineStr">
        <is>
          <t>חתול</t>
        </is>
      </c>
      <c r="I590" t="inlineStr"/>
      <c r="J590" t="inlineStr">
        <is>
          <t>2026-08</t>
        </is>
      </c>
      <c r="K590" t="n">
        <v>105.26</v>
      </c>
      <c r="L590" t="n">
        <v>124.21</v>
      </c>
      <c r="M590">
        <f>הגדרות!B8</f>
        <v/>
      </c>
      <c r="N590">
        <f>K590*(1-M590/100)*1.18</f>
        <v/>
      </c>
      <c r="O590">
        <f>הגדרות!C8</f>
        <v/>
      </c>
      <c r="P590">
        <f>הגדרות!D8</f>
        <v/>
      </c>
      <c r="Q590">
        <f>N590*(1+O590/100)+P590</f>
        <v/>
      </c>
    </row>
    <row r="591">
      <c r="A591" t="inlineStr">
        <is>
          <t>פרמינה N&amp;D</t>
        </is>
      </c>
      <c r="B591" t="inlineStr">
        <is>
          <t>ND אנסס עוף רימון חתול 1.5 ק"ג</t>
        </is>
      </c>
      <c r="C591" t="inlineStr">
        <is>
          <t>N&amp;D חתול 1.5</t>
        </is>
      </c>
      <c r="D591" t="inlineStr">
        <is>
          <t>5560261</t>
        </is>
      </c>
      <c r="E591" t="inlineStr">
        <is>
          <t>רגיל</t>
        </is>
      </c>
      <c r="F591" t="inlineStr">
        <is>
          <t>יבש</t>
        </is>
      </c>
      <c r="G591" t="inlineStr"/>
      <c r="H591" t="inlineStr">
        <is>
          <t>חתול</t>
        </is>
      </c>
      <c r="I591" t="inlineStr"/>
      <c r="J591" t="inlineStr">
        <is>
          <t>2026-08</t>
        </is>
      </c>
      <c r="K591" t="n">
        <v>88.75</v>
      </c>
      <c r="L591" t="n">
        <v>104.73</v>
      </c>
      <c r="M591">
        <f>הגדרות!B8</f>
        <v/>
      </c>
      <c r="N591">
        <f>K591*(1-M591/100)*1.18</f>
        <v/>
      </c>
      <c r="O591">
        <f>הגדרות!C8</f>
        <v/>
      </c>
      <c r="P591">
        <f>הגדרות!D8</f>
        <v/>
      </c>
      <c r="Q591">
        <f>N591*(1+O591/100)+P591</f>
        <v/>
      </c>
    </row>
    <row r="592">
      <c r="A592" t="inlineStr">
        <is>
          <t>פרמינה N&amp;D</t>
        </is>
      </c>
      <c r="B592" t="inlineStr">
        <is>
          <t>ND אנסס כבש אוכמניות חתול 1.5 ק"ג</t>
        </is>
      </c>
      <c r="C592" t="inlineStr">
        <is>
          <t>N&amp;D חתול 1.5</t>
        </is>
      </c>
      <c r="D592" t="inlineStr">
        <is>
          <t>5560262</t>
        </is>
      </c>
      <c r="E592" t="inlineStr">
        <is>
          <t>רגיל</t>
        </is>
      </c>
      <c r="F592" t="inlineStr">
        <is>
          <t>יבש</t>
        </is>
      </c>
      <c r="G592" t="inlineStr"/>
      <c r="H592" t="inlineStr">
        <is>
          <t>חתול</t>
        </is>
      </c>
      <c r="I592" t="inlineStr"/>
      <c r="J592" t="inlineStr">
        <is>
          <t>2026-08</t>
        </is>
      </c>
      <c r="K592" t="n">
        <v>88.75</v>
      </c>
      <c r="L592" t="n">
        <v>104.73</v>
      </c>
      <c r="M592">
        <f>הגדרות!B8</f>
        <v/>
      </c>
      <c r="N592">
        <f>K592*(1-M592/100)*1.18</f>
        <v/>
      </c>
      <c r="O592">
        <f>הגדרות!C8</f>
        <v/>
      </c>
      <c r="P592">
        <f>הגדרות!D8</f>
        <v/>
      </c>
      <c r="Q592">
        <f>N592*(1+O592/100)+P592</f>
        <v/>
      </c>
    </row>
    <row r="593">
      <c r="A593" t="inlineStr">
        <is>
          <t>פרמינה N&amp;D</t>
        </is>
      </c>
      <c r="B593" t="inlineStr">
        <is>
          <t>ND קינואה יורינרי ברווז חתול 1.5 קג</t>
        </is>
      </c>
      <c r="C593" t="inlineStr">
        <is>
          <t>N&amp;D חתול 1.5</t>
        </is>
      </c>
      <c r="D593" t="inlineStr">
        <is>
          <t>5560279</t>
        </is>
      </c>
      <c r="E593" t="inlineStr">
        <is>
          <t>רגיל</t>
        </is>
      </c>
      <c r="F593" t="inlineStr">
        <is>
          <t>יבש</t>
        </is>
      </c>
      <c r="G593" t="inlineStr"/>
      <c r="H593" t="inlineStr">
        <is>
          <t>חתול</t>
        </is>
      </c>
      <c r="I593" t="inlineStr"/>
      <c r="J593" t="inlineStr">
        <is>
          <t>2026-08</t>
        </is>
      </c>
      <c r="K593" t="n">
        <v>108.36</v>
      </c>
      <c r="L593" t="n">
        <v>127.86</v>
      </c>
      <c r="M593">
        <f>הגדרות!B8</f>
        <v/>
      </c>
      <c r="N593">
        <f>K593*(1-M593/100)*1.18</f>
        <v/>
      </c>
      <c r="O593">
        <f>הגדרות!C8</f>
        <v/>
      </c>
      <c r="P593">
        <f>הגדרות!D8</f>
        <v/>
      </c>
      <c r="Q593">
        <f>N593*(1+O593/100)+P593</f>
        <v/>
      </c>
    </row>
    <row r="594">
      <c r="A594" t="inlineStr">
        <is>
          <t>פרמינה N&amp;D</t>
        </is>
      </c>
      <c r="B594" t="inlineStr">
        <is>
          <t>ND אושן קוד דלעת מלון חתלתולים 1.5 ק"ג</t>
        </is>
      </c>
      <c r="C594" t="inlineStr">
        <is>
          <t>N&amp;D חתול 1.5</t>
        </is>
      </c>
      <c r="D594" t="inlineStr">
        <is>
          <t>5560293</t>
        </is>
      </c>
      <c r="E594" t="inlineStr">
        <is>
          <t>רגיל</t>
        </is>
      </c>
      <c r="F594" t="inlineStr">
        <is>
          <t>יבש</t>
        </is>
      </c>
      <c r="G594" t="inlineStr">
        <is>
          <t>גורים</t>
        </is>
      </c>
      <c r="H594" t="inlineStr">
        <is>
          <t>חתול</t>
        </is>
      </c>
      <c r="I594" t="inlineStr"/>
      <c r="J594" t="inlineStr">
        <is>
          <t>2026-08</t>
        </is>
      </c>
      <c r="K594" t="n">
        <v>109.39</v>
      </c>
      <c r="L594" t="n">
        <v>129.08</v>
      </c>
      <c r="M594">
        <f>הגדרות!B8</f>
        <v/>
      </c>
      <c r="N594">
        <f>K594*(1-M594/100)*1.18</f>
        <v/>
      </c>
      <c r="O594">
        <f>הגדרות!C8</f>
        <v/>
      </c>
      <c r="P594">
        <f>הגדרות!D8</f>
        <v/>
      </c>
      <c r="Q594">
        <f>N594*(1+O594/100)+P594</f>
        <v/>
      </c>
    </row>
    <row r="595">
      <c r="A595" t="inlineStr">
        <is>
          <t>פרמינה N&amp;D</t>
        </is>
      </c>
      <c r="B595" t="inlineStr">
        <is>
          <t>ND אושן קוד דגנים תפוז חתול 1.5 ק"ג</t>
        </is>
      </c>
      <c r="C595" t="inlineStr">
        <is>
          <t>N&amp;D חתול 1.5</t>
        </is>
      </c>
      <c r="D595" t="inlineStr">
        <is>
          <t>5560309</t>
        </is>
      </c>
      <c r="E595" t="inlineStr">
        <is>
          <t>רגיל</t>
        </is>
      </c>
      <c r="F595" t="inlineStr">
        <is>
          <t>יבש</t>
        </is>
      </c>
      <c r="G595" t="inlineStr"/>
      <c r="H595" t="inlineStr">
        <is>
          <t>חתול</t>
        </is>
      </c>
      <c r="I595" t="inlineStr"/>
      <c r="J595" t="inlineStr">
        <is>
          <t>2026-08</t>
        </is>
      </c>
      <c r="K595" t="n">
        <v>91.84999999999999</v>
      </c>
      <c r="L595" t="n">
        <v>108.38</v>
      </c>
      <c r="M595">
        <f>הגדרות!B8</f>
        <v/>
      </c>
      <c r="N595">
        <f>K595*(1-M595/100)*1.18</f>
        <v/>
      </c>
      <c r="O595">
        <f>הגדרות!C8</f>
        <v/>
      </c>
      <c r="P595">
        <f>הגדרות!D8</f>
        <v/>
      </c>
      <c r="Q595">
        <f>N595*(1+O595/100)+P595</f>
        <v/>
      </c>
    </row>
    <row r="596">
      <c r="A596" t="inlineStr">
        <is>
          <t>פרמינה N&amp;D</t>
        </is>
      </c>
      <c r="B596" t="inlineStr">
        <is>
          <t>ND אושן הרינג דלעת תפוז חתול 1.5 קג</t>
        </is>
      </c>
      <c r="C596" t="inlineStr">
        <is>
          <t>N&amp;D חתול 1.5</t>
        </is>
      </c>
      <c r="D596" t="inlineStr">
        <is>
          <t>5560312</t>
        </is>
      </c>
      <c r="E596" t="inlineStr">
        <is>
          <t>רגיל</t>
        </is>
      </c>
      <c r="F596" t="inlineStr">
        <is>
          <t>יבש</t>
        </is>
      </c>
      <c r="G596" t="inlineStr"/>
      <c r="H596" t="inlineStr">
        <is>
          <t>חתול</t>
        </is>
      </c>
      <c r="I596" t="inlineStr"/>
      <c r="J596" t="inlineStr">
        <is>
          <t>2026-08</t>
        </is>
      </c>
      <c r="K596" t="n">
        <v>105.26</v>
      </c>
      <c r="L596" t="n">
        <v>124.21</v>
      </c>
      <c r="M596">
        <f>הגדרות!B8</f>
        <v/>
      </c>
      <c r="N596">
        <f>K596*(1-M596/100)*1.18</f>
        <v/>
      </c>
      <c r="O596">
        <f>הגדרות!C8</f>
        <v/>
      </c>
      <c r="P596">
        <f>הגדרות!D8</f>
        <v/>
      </c>
      <c r="Q596">
        <f>N596*(1+O596/100)+P596</f>
        <v/>
      </c>
    </row>
    <row r="597">
      <c r="A597" t="inlineStr">
        <is>
          <t>פרמינה N&amp;D</t>
        </is>
      </c>
      <c r="B597" t="inlineStr">
        <is>
          <t>טרופיקל עוף חתול 1.5 קג ND</t>
        </is>
      </c>
      <c r="C597" t="inlineStr">
        <is>
          <t>N&amp;D חתול 1.5</t>
        </is>
      </c>
      <c r="D597" t="inlineStr">
        <is>
          <t>5560461</t>
        </is>
      </c>
      <c r="E597" t="inlineStr">
        <is>
          <t>רגיל</t>
        </is>
      </c>
      <c r="F597" t="inlineStr">
        <is>
          <t>יבש</t>
        </is>
      </c>
      <c r="G597" t="inlineStr"/>
      <c r="H597" t="inlineStr">
        <is>
          <t>חתול</t>
        </is>
      </c>
      <c r="I597" t="inlineStr"/>
      <c r="J597" t="inlineStr">
        <is>
          <t>2026-08</t>
        </is>
      </c>
      <c r="K597" t="n">
        <v>88.75</v>
      </c>
      <c r="L597" t="n">
        <v>104.73</v>
      </c>
      <c r="M597">
        <f>הגדרות!B8</f>
        <v/>
      </c>
      <c r="N597">
        <f>K597*(1-M597/100)*1.18</f>
        <v/>
      </c>
      <c r="O597">
        <f>הגדרות!C8</f>
        <v/>
      </c>
      <c r="P597">
        <f>הגדרות!D8</f>
        <v/>
      </c>
      <c r="Q597">
        <f>N597*(1+O597/100)+P597</f>
        <v/>
      </c>
    </row>
    <row r="598">
      <c r="A598" t="inlineStr">
        <is>
          <t>פרמינה N&amp;D</t>
        </is>
      </c>
      <c r="B598" t="inlineStr">
        <is>
          <t>טרופיקל עוף חתול מסורס 1.5 קג ND</t>
        </is>
      </c>
      <c r="C598" t="inlineStr">
        <is>
          <t>N&amp;D חתול 1.5</t>
        </is>
      </c>
      <c r="D598" t="inlineStr">
        <is>
          <t>5560463</t>
        </is>
      </c>
      <c r="E598" t="inlineStr">
        <is>
          <t>רגיל</t>
        </is>
      </c>
      <c r="F598" t="inlineStr">
        <is>
          <t>יבש</t>
        </is>
      </c>
      <c r="G598" t="inlineStr"/>
      <c r="H598" t="inlineStr">
        <is>
          <t>חתול</t>
        </is>
      </c>
      <c r="I598" t="inlineStr"/>
      <c r="J598" t="inlineStr">
        <is>
          <t>2026-08</t>
        </is>
      </c>
      <c r="K598" t="n">
        <v>88.75</v>
      </c>
      <c r="L598" t="n">
        <v>104.73</v>
      </c>
      <c r="M598">
        <f>הגדרות!B8</f>
        <v/>
      </c>
      <c r="N598">
        <f>K598*(1-M598/100)*1.18</f>
        <v/>
      </c>
      <c r="O598">
        <f>הגדרות!C8</f>
        <v/>
      </c>
      <c r="P598">
        <f>הגדרות!D8</f>
        <v/>
      </c>
      <c r="Q598">
        <f>N598*(1+O598/100)+P598</f>
        <v/>
      </c>
    </row>
    <row r="599">
      <c r="A599" t="inlineStr">
        <is>
          <t>פרמינה N&amp;D</t>
        </is>
      </c>
      <c r="B599" t="inlineStr">
        <is>
          <t>טרופיקל כבש חתול מסורס 1.5 קג ND</t>
        </is>
      </c>
      <c r="C599" t="inlineStr">
        <is>
          <t>N&amp;D חתול 1.5</t>
        </is>
      </c>
      <c r="D599" t="inlineStr">
        <is>
          <t>5560465</t>
        </is>
      </c>
      <c r="E599" t="inlineStr">
        <is>
          <t>רגיל</t>
        </is>
      </c>
      <c r="F599" t="inlineStr">
        <is>
          <t>יבש</t>
        </is>
      </c>
      <c r="G599" t="inlineStr"/>
      <c r="H599" t="inlineStr">
        <is>
          <t>חתול</t>
        </is>
      </c>
      <c r="I599" t="inlineStr"/>
      <c r="J599" t="inlineStr">
        <is>
          <t>2026-08</t>
        </is>
      </c>
      <c r="K599" t="n">
        <v>88.75</v>
      </c>
      <c r="L599" t="n">
        <v>104.73</v>
      </c>
      <c r="M599">
        <f>הגדרות!B8</f>
        <v/>
      </c>
      <c r="N599">
        <f>K599*(1-M599/100)*1.18</f>
        <v/>
      </c>
      <c r="O599">
        <f>הגדרות!C8</f>
        <v/>
      </c>
      <c r="P599">
        <f>הגדרות!D8</f>
        <v/>
      </c>
      <c r="Q599">
        <f>N599*(1+O599/100)+P599</f>
        <v/>
      </c>
    </row>
    <row r="600">
      <c r="A600" t="inlineStr">
        <is>
          <t>פרמינה N&amp;D</t>
        </is>
      </c>
      <c r="B600" t="inlineStr">
        <is>
          <t>ND דלעת ברוז מלון חתול 5 ק"ג</t>
        </is>
      </c>
      <c r="C600" t="inlineStr">
        <is>
          <t>N&amp;D חתול 5</t>
        </is>
      </c>
      <c r="D600" t="inlineStr">
        <is>
          <t>5555810</t>
        </is>
      </c>
      <c r="E600" t="inlineStr">
        <is>
          <t>רגיל</t>
        </is>
      </c>
      <c r="F600" t="inlineStr">
        <is>
          <t>יבש</t>
        </is>
      </c>
      <c r="G600" t="inlineStr"/>
      <c r="H600" t="inlineStr">
        <is>
          <t>חתול</t>
        </is>
      </c>
      <c r="I600" t="inlineStr"/>
      <c r="J600" t="inlineStr">
        <is>
          <t>2026-08</t>
        </is>
      </c>
      <c r="K600" t="n">
        <v>262.58</v>
      </c>
      <c r="L600" t="n">
        <v>309.84</v>
      </c>
      <c r="M600">
        <f>הגדרות!B8</f>
        <v/>
      </c>
      <c r="N600">
        <f>K600*(1-M600/100)*1.18</f>
        <v/>
      </c>
      <c r="O600">
        <f>הגדרות!C8</f>
        <v/>
      </c>
      <c r="P600">
        <f>הגדרות!D8</f>
        <v/>
      </c>
      <c r="Q600">
        <f>N600*(1+O600/100)+P600</f>
        <v/>
      </c>
    </row>
    <row r="601">
      <c r="A601" t="inlineStr">
        <is>
          <t>פרמינה N&amp;D</t>
        </is>
      </c>
      <c r="B601" t="inlineStr">
        <is>
          <t>ND דלעת כבש ואוכמניות חתול מסורס 5 ק"ג</t>
        </is>
      </c>
      <c r="C601" t="inlineStr">
        <is>
          <t>N&amp;D חתול 5</t>
        </is>
      </c>
      <c r="D601" t="inlineStr">
        <is>
          <t>5555811</t>
        </is>
      </c>
      <c r="E601" t="inlineStr">
        <is>
          <t>רגיל</t>
        </is>
      </c>
      <c r="F601" t="inlineStr">
        <is>
          <t>יבש</t>
        </is>
      </c>
      <c r="G601" t="inlineStr"/>
      <c r="H601" t="inlineStr">
        <is>
          <t>חתול</t>
        </is>
      </c>
      <c r="I601" t="inlineStr"/>
      <c r="J601" t="inlineStr">
        <is>
          <t>2026-08</t>
        </is>
      </c>
      <c r="K601" t="n">
        <v>262.58</v>
      </c>
      <c r="L601" t="n">
        <v>309.84</v>
      </c>
      <c r="M601">
        <f>הגדרות!B8</f>
        <v/>
      </c>
      <c r="N601">
        <f>K601*(1-M601/100)*1.18</f>
        <v/>
      </c>
      <c r="O601">
        <f>הגדרות!C8</f>
        <v/>
      </c>
      <c r="P601">
        <f>הגדרות!D8</f>
        <v/>
      </c>
      <c r="Q601">
        <f>N601*(1+O601/100)+P601</f>
        <v/>
      </c>
    </row>
    <row r="602">
      <c r="A602" t="inlineStr">
        <is>
          <t>פרמינה N&amp;D</t>
        </is>
      </c>
      <c r="B602" t="inlineStr">
        <is>
          <t>ND אנסס עוף רימון חתול 10 ק"ג</t>
        </is>
      </c>
      <c r="C602" t="inlineStr">
        <is>
          <t>N&amp;D חתול 5</t>
        </is>
      </c>
      <c r="D602" t="inlineStr">
        <is>
          <t>5555812</t>
        </is>
      </c>
      <c r="E602" t="inlineStr">
        <is>
          <t>רגיל</t>
        </is>
      </c>
      <c r="F602" t="inlineStr">
        <is>
          <t>יבש</t>
        </is>
      </c>
      <c r="G602" t="inlineStr"/>
      <c r="H602" t="inlineStr">
        <is>
          <t>חתול</t>
        </is>
      </c>
      <c r="I602" t="inlineStr"/>
      <c r="J602" t="inlineStr">
        <is>
          <t>2026-08</t>
        </is>
      </c>
      <c r="K602" t="n">
        <v>361</v>
      </c>
      <c r="L602" t="n">
        <v>425.98</v>
      </c>
      <c r="M602">
        <f>הגדרות!B8</f>
        <v/>
      </c>
      <c r="N602">
        <f>K602*(1-M602/100)*1.18</f>
        <v/>
      </c>
      <c r="O602">
        <f>הגדרות!C8</f>
        <v/>
      </c>
      <c r="P602">
        <f>הגדרות!D8</f>
        <v/>
      </c>
      <c r="Q602">
        <f>N602*(1+O602/100)+P602</f>
        <v/>
      </c>
    </row>
    <row r="603">
      <c r="A603" t="inlineStr">
        <is>
          <t>פרמינה N&amp;D</t>
        </is>
      </c>
      <c r="B603" t="inlineStr">
        <is>
          <t>ND אנסס עוף רימון חתול מסורס 10 ק"ג</t>
        </is>
      </c>
      <c r="C603" t="inlineStr">
        <is>
          <t>N&amp;D חתול 5</t>
        </is>
      </c>
      <c r="D603" t="inlineStr">
        <is>
          <t>5555813</t>
        </is>
      </c>
      <c r="E603" t="inlineStr">
        <is>
          <t>רגיל</t>
        </is>
      </c>
      <c r="F603" t="inlineStr">
        <is>
          <t>יבש</t>
        </is>
      </c>
      <c r="G603" t="inlineStr"/>
      <c r="H603" t="inlineStr">
        <is>
          <t>חתול</t>
        </is>
      </c>
      <c r="I603" t="inlineStr"/>
      <c r="J603" t="inlineStr">
        <is>
          <t>2026-08</t>
        </is>
      </c>
      <c r="K603" t="n">
        <v>361</v>
      </c>
      <c r="L603" t="n">
        <v>425.98</v>
      </c>
      <c r="M603">
        <f>הגדרות!B8</f>
        <v/>
      </c>
      <c r="N603">
        <f>K603*(1-M603/100)*1.18</f>
        <v/>
      </c>
      <c r="O603">
        <f>הגדרות!C8</f>
        <v/>
      </c>
      <c r="P603">
        <f>הגדרות!D8</f>
        <v/>
      </c>
      <c r="Q603">
        <f>N603*(1+O603/100)+P603</f>
        <v/>
      </c>
    </row>
    <row r="604">
      <c r="A604" t="inlineStr">
        <is>
          <t>פרמינה N&amp;D</t>
        </is>
      </c>
      <c r="B604" t="inlineStr">
        <is>
          <t>ND אנסס כבש ואוכמניות חתול 10 ק"ג</t>
        </is>
      </c>
      <c r="C604" t="inlineStr">
        <is>
          <t>N&amp;D חתול 5</t>
        </is>
      </c>
      <c r="D604" t="inlineStr">
        <is>
          <t>5555814</t>
        </is>
      </c>
      <c r="E604" t="inlineStr">
        <is>
          <t>רגיל</t>
        </is>
      </c>
      <c r="F604" t="inlineStr">
        <is>
          <t>יבש</t>
        </is>
      </c>
      <c r="G604" t="inlineStr"/>
      <c r="H604" t="inlineStr">
        <is>
          <t>חתול</t>
        </is>
      </c>
      <c r="I604" t="inlineStr"/>
      <c r="J604" t="inlineStr">
        <is>
          <t>2026-08</t>
        </is>
      </c>
      <c r="K604" t="n">
        <v>361</v>
      </c>
      <c r="L604" t="n">
        <v>425.98</v>
      </c>
      <c r="M604">
        <f>הגדרות!B8</f>
        <v/>
      </c>
      <c r="N604">
        <f>K604*(1-M604/100)*1.18</f>
        <v/>
      </c>
      <c r="O604">
        <f>הגדרות!C8</f>
        <v/>
      </c>
      <c r="P604">
        <f>הגדרות!D8</f>
        <v/>
      </c>
      <c r="Q604">
        <f>N604*(1+O604/100)+P604</f>
        <v/>
      </c>
    </row>
    <row r="605">
      <c r="A605" t="inlineStr">
        <is>
          <t>פרמינה N&amp;D</t>
        </is>
      </c>
      <c r="B605" t="inlineStr">
        <is>
          <t>ND אושן קוד דגנים תפוז חתול 5 קג</t>
        </is>
      </c>
      <c r="C605" t="inlineStr">
        <is>
          <t>N&amp;D חתול 5</t>
        </is>
      </c>
      <c r="D605" t="inlineStr">
        <is>
          <t>5560237</t>
        </is>
      </c>
      <c r="E605" t="inlineStr">
        <is>
          <t>רגיל</t>
        </is>
      </c>
      <c r="F605" t="inlineStr">
        <is>
          <t>יבש</t>
        </is>
      </c>
      <c r="G605" t="inlineStr"/>
      <c r="H605" t="inlineStr">
        <is>
          <t>חתול</t>
        </is>
      </c>
      <c r="I605" t="inlineStr"/>
      <c r="J605" t="inlineStr">
        <is>
          <t>2026-08</t>
        </is>
      </c>
      <c r="K605" t="n">
        <v>204.34</v>
      </c>
      <c r="L605" t="n">
        <v>241.12</v>
      </c>
      <c r="M605">
        <f>הגדרות!B8</f>
        <v/>
      </c>
      <c r="N605">
        <f>K605*(1-M605/100)*1.18</f>
        <v/>
      </c>
      <c r="O605">
        <f>הגדרות!C8</f>
        <v/>
      </c>
      <c r="P605">
        <f>הגדרות!D8</f>
        <v/>
      </c>
      <c r="Q605">
        <f>N605*(1+O605/100)+P605</f>
        <v/>
      </c>
    </row>
    <row r="606">
      <c r="A606" t="inlineStr">
        <is>
          <t>פרמינה N&amp;D</t>
        </is>
      </c>
      <c r="B606" t="inlineStr">
        <is>
          <t>ND אנסס עוף רימון חתול מסורס 5 ק"ג</t>
        </is>
      </c>
      <c r="C606" t="inlineStr">
        <is>
          <t>N&amp;D חתול 5</t>
        </is>
      </c>
      <c r="D606" t="inlineStr">
        <is>
          <t>5560256</t>
        </is>
      </c>
      <c r="E606" t="inlineStr">
        <is>
          <t>רגיל</t>
        </is>
      </c>
      <c r="F606" t="inlineStr">
        <is>
          <t>יבש</t>
        </is>
      </c>
      <c r="G606" t="inlineStr"/>
      <c r="H606" t="inlineStr">
        <is>
          <t>חתול</t>
        </is>
      </c>
      <c r="I606" t="inlineStr"/>
      <c r="J606" t="inlineStr">
        <is>
          <t>2026-08</t>
        </is>
      </c>
      <c r="K606" t="n">
        <v>188.86</v>
      </c>
      <c r="L606" t="n">
        <v>222.85</v>
      </c>
      <c r="M606">
        <f>הגדרות!B8</f>
        <v/>
      </c>
      <c r="N606">
        <f>K606*(1-M606/100)*1.18</f>
        <v/>
      </c>
      <c r="O606">
        <f>הגדרות!C8</f>
        <v/>
      </c>
      <c r="P606">
        <f>הגדרות!D8</f>
        <v/>
      </c>
      <c r="Q606">
        <f>N606*(1+O606/100)+P606</f>
        <v/>
      </c>
    </row>
    <row r="607">
      <c r="A607" t="inlineStr">
        <is>
          <t>פרמינה N&amp;D</t>
        </is>
      </c>
      <c r="B607" t="inlineStr">
        <is>
          <t>ND אנסס עוף רימון חתול 5 ק"ג</t>
        </is>
      </c>
      <c r="C607" t="inlineStr">
        <is>
          <t>N&amp;D חתול 5</t>
        </is>
      </c>
      <c r="D607" t="inlineStr">
        <is>
          <t>5560265</t>
        </is>
      </c>
      <c r="E607" t="inlineStr">
        <is>
          <t>רגיל</t>
        </is>
      </c>
      <c r="F607" t="inlineStr">
        <is>
          <t>יבש</t>
        </is>
      </c>
      <c r="G607" t="inlineStr"/>
      <c r="H607" t="inlineStr">
        <is>
          <t>חתול</t>
        </is>
      </c>
      <c r="I607" t="inlineStr"/>
      <c r="J607" t="inlineStr">
        <is>
          <t>2026-08</t>
        </is>
      </c>
      <c r="K607" t="n">
        <v>188.86</v>
      </c>
      <c r="L607" t="n">
        <v>222.85</v>
      </c>
      <c r="M607">
        <f>הגדרות!B8</f>
        <v/>
      </c>
      <c r="N607">
        <f>K607*(1-M607/100)*1.18</f>
        <v/>
      </c>
      <c r="O607">
        <f>הגדרות!C8</f>
        <v/>
      </c>
      <c r="P607">
        <f>הגדרות!D8</f>
        <v/>
      </c>
      <c r="Q607">
        <f>N607*(1+O607/100)+P607</f>
        <v/>
      </c>
    </row>
    <row r="608">
      <c r="A608" t="inlineStr">
        <is>
          <t>פרמינה N&amp;D</t>
        </is>
      </c>
      <c r="B608" t="inlineStr">
        <is>
          <t>ND אנסס כבש אוכמניות חתול 5 ק"ג</t>
        </is>
      </c>
      <c r="C608" t="inlineStr">
        <is>
          <t>N&amp;D חתול 5</t>
        </is>
      </c>
      <c r="D608" t="inlineStr">
        <is>
          <t>5560266</t>
        </is>
      </c>
      <c r="E608" t="inlineStr">
        <is>
          <t>רגיל</t>
        </is>
      </c>
      <c r="F608" t="inlineStr">
        <is>
          <t>יבש</t>
        </is>
      </c>
      <c r="G608" t="inlineStr"/>
      <c r="H608" t="inlineStr">
        <is>
          <t>חתול</t>
        </is>
      </c>
      <c r="I608" t="inlineStr"/>
      <c r="J608" t="inlineStr">
        <is>
          <t>2026-08</t>
        </is>
      </c>
      <c r="K608" t="n">
        <v>188.86</v>
      </c>
      <c r="L608" t="n">
        <v>222.85</v>
      </c>
      <c r="M608">
        <f>הגדרות!B8</f>
        <v/>
      </c>
      <c r="N608">
        <f>K608*(1-M608/100)*1.18</f>
        <v/>
      </c>
      <c r="O608">
        <f>הגדרות!C8</f>
        <v/>
      </c>
      <c r="P608">
        <f>הגדרות!D8</f>
        <v/>
      </c>
      <c r="Q608">
        <f>N608*(1+O608/100)+P608</f>
        <v/>
      </c>
    </row>
    <row r="609">
      <c r="A609" t="inlineStr">
        <is>
          <t>פרמינה N&amp;D</t>
        </is>
      </c>
      <c r="B609" t="inlineStr">
        <is>
          <t>ND פריים עוף רימון חתלתולים 5 ק"ג</t>
        </is>
      </c>
      <c r="C609" t="inlineStr">
        <is>
          <t>N&amp;D חתול 5</t>
        </is>
      </c>
      <c r="D609" t="inlineStr">
        <is>
          <t>5560280</t>
        </is>
      </c>
      <c r="E609" t="inlineStr">
        <is>
          <t>רגיל</t>
        </is>
      </c>
      <c r="F609" t="inlineStr">
        <is>
          <t>יבש</t>
        </is>
      </c>
      <c r="G609" t="inlineStr">
        <is>
          <t>גורים</t>
        </is>
      </c>
      <c r="H609" t="inlineStr">
        <is>
          <t>חתול</t>
        </is>
      </c>
      <c r="I609" t="inlineStr"/>
      <c r="J609" t="inlineStr">
        <is>
          <t>2026-08</t>
        </is>
      </c>
      <c r="K609" t="n">
        <v>268.32</v>
      </c>
      <c r="L609" t="n">
        <v>316.62</v>
      </c>
      <c r="M609">
        <f>הגדרות!B8</f>
        <v/>
      </c>
      <c r="N609">
        <f>K609*(1-M609/100)*1.18</f>
        <v/>
      </c>
      <c r="O609">
        <f>הגדרות!C8</f>
        <v/>
      </c>
      <c r="P609">
        <f>הגדרות!D8</f>
        <v/>
      </c>
      <c r="Q609">
        <f>N609*(1+O609/100)+P609</f>
        <v/>
      </c>
    </row>
    <row r="610">
      <c r="A610" t="inlineStr">
        <is>
          <t>פרמינה N&amp;D</t>
        </is>
      </c>
      <c r="B610" t="inlineStr">
        <is>
          <t>ND דלעת צבי תפוח חתול 5 קג</t>
        </is>
      </c>
      <c r="C610" t="inlineStr">
        <is>
          <t>N&amp;D חתול 5</t>
        </is>
      </c>
      <c r="D610" t="inlineStr">
        <is>
          <t>5560281</t>
        </is>
      </c>
      <c r="E610" t="inlineStr">
        <is>
          <t>רגיל</t>
        </is>
      </c>
      <c r="F610" t="inlineStr">
        <is>
          <t>יבש</t>
        </is>
      </c>
      <c r="G610" t="inlineStr"/>
      <c r="H610" t="inlineStr">
        <is>
          <t>חתול</t>
        </is>
      </c>
      <c r="I610" t="inlineStr"/>
      <c r="J610" t="inlineStr">
        <is>
          <t>2026-08</t>
        </is>
      </c>
      <c r="K610" t="n">
        <v>265.22</v>
      </c>
      <c r="L610" t="n">
        <v>312.96</v>
      </c>
      <c r="M610">
        <f>הגדרות!B8</f>
        <v/>
      </c>
      <c r="N610">
        <f>K610*(1-M610/100)*1.18</f>
        <v/>
      </c>
      <c r="O610">
        <f>הגדרות!C8</f>
        <v/>
      </c>
      <c r="P610">
        <f>הגדרות!D8</f>
        <v/>
      </c>
      <c r="Q610">
        <f>N610*(1+O610/100)+P610</f>
        <v/>
      </c>
    </row>
    <row r="611">
      <c r="A611" t="inlineStr">
        <is>
          <t>פרמינה N&amp;D</t>
        </is>
      </c>
      <c r="B611" t="inlineStr">
        <is>
          <t>ND דלעת שליו רימון חתול מסורס 5 קג</t>
        </is>
      </c>
      <c r="C611" t="inlineStr">
        <is>
          <t>N&amp;D חתול 5</t>
        </is>
      </c>
      <c r="D611" t="inlineStr">
        <is>
          <t>5560282</t>
        </is>
      </c>
      <c r="E611" t="inlineStr">
        <is>
          <t>רגיל</t>
        </is>
      </c>
      <c r="F611" t="inlineStr">
        <is>
          <t>יבש</t>
        </is>
      </c>
      <c r="G611" t="inlineStr"/>
      <c r="H611" t="inlineStr">
        <is>
          <t>חתול</t>
        </is>
      </c>
      <c r="I611" t="inlineStr"/>
      <c r="J611" t="inlineStr">
        <is>
          <t>2026-08</t>
        </is>
      </c>
      <c r="K611" t="n">
        <v>265.22</v>
      </c>
      <c r="L611" t="n">
        <v>312.96</v>
      </c>
      <c r="M611">
        <f>הגדרות!B8</f>
        <v/>
      </c>
      <c r="N611">
        <f>K611*(1-M611/100)*1.18</f>
        <v/>
      </c>
      <c r="O611">
        <f>הגדרות!C8</f>
        <v/>
      </c>
      <c r="P611">
        <f>הגדרות!D8</f>
        <v/>
      </c>
      <c r="Q611">
        <f>N611*(1+O611/100)+P611</f>
        <v/>
      </c>
    </row>
    <row r="612">
      <c r="A612" t="inlineStr">
        <is>
          <t>פרמינה N&amp;D</t>
        </is>
      </c>
      <c r="B612" t="inlineStr">
        <is>
          <t>ND אושן קוד דלעת מלון חתלתולים 5 ק"ג</t>
        </is>
      </c>
      <c r="C612" t="inlineStr">
        <is>
          <t>N&amp;D חתול 5</t>
        </is>
      </c>
      <c r="D612" t="inlineStr">
        <is>
          <t>5560294</t>
        </is>
      </c>
      <c r="E612" t="inlineStr">
        <is>
          <t>רגיל</t>
        </is>
      </c>
      <c r="F612" t="inlineStr">
        <is>
          <t>יבש</t>
        </is>
      </c>
      <c r="G612" t="inlineStr">
        <is>
          <t>גורים</t>
        </is>
      </c>
      <c r="H612" t="inlineStr">
        <is>
          <t>חתול</t>
        </is>
      </c>
      <c r="I612" t="inlineStr"/>
      <c r="J612" t="inlineStr">
        <is>
          <t>2026-08</t>
        </is>
      </c>
      <c r="K612" t="n">
        <v>268.32</v>
      </c>
      <c r="L612" t="n">
        <v>316.62</v>
      </c>
      <c r="M612">
        <f>הגדרות!B8</f>
        <v/>
      </c>
      <c r="N612">
        <f>K612*(1-M612/100)*1.18</f>
        <v/>
      </c>
      <c r="O612">
        <f>הגדרות!C8</f>
        <v/>
      </c>
      <c r="P612">
        <f>הגדרות!D8</f>
        <v/>
      </c>
      <c r="Q612">
        <f>N612*(1+O612/100)+P612</f>
        <v/>
      </c>
    </row>
    <row r="613">
      <c r="A613" t="inlineStr">
        <is>
          <t>פרמינה N&amp;D</t>
        </is>
      </c>
      <c r="B613" t="inlineStr">
        <is>
          <t>ND פריים עוף רימון חתול 5 ק"ג</t>
        </is>
      </c>
      <c r="C613" t="inlineStr">
        <is>
          <t>N&amp;D חתול 5</t>
        </is>
      </c>
      <c r="D613" t="inlineStr">
        <is>
          <t>5560395</t>
        </is>
      </c>
      <c r="E613" t="inlineStr">
        <is>
          <t>רגיל</t>
        </is>
      </c>
      <c r="F613" t="inlineStr">
        <is>
          <t>יבש</t>
        </is>
      </c>
      <c r="G613" t="inlineStr"/>
      <c r="H613" t="inlineStr">
        <is>
          <t>חתול</t>
        </is>
      </c>
      <c r="I613" t="inlineStr"/>
      <c r="J613" t="inlineStr">
        <is>
          <t>2026-08</t>
        </is>
      </c>
      <c r="K613" t="n">
        <v>262.13</v>
      </c>
      <c r="L613" t="n">
        <v>309.31</v>
      </c>
      <c r="M613">
        <f>הגדרות!B8</f>
        <v/>
      </c>
      <c r="N613">
        <f>K613*(1-M613/100)*1.18</f>
        <v/>
      </c>
      <c r="O613">
        <f>הגדרות!C8</f>
        <v/>
      </c>
      <c r="P613">
        <f>הגדרות!D8</f>
        <v/>
      </c>
      <c r="Q613">
        <f>N613*(1+O613/100)+P613</f>
        <v/>
      </c>
    </row>
    <row r="614">
      <c r="A614" t="inlineStr">
        <is>
          <t>פרמינה N&amp;D</t>
        </is>
      </c>
      <c r="B614" t="inlineStr">
        <is>
          <t>ND פריים עוף רימון חתול מסורס 5 ק"ג</t>
        </is>
      </c>
      <c r="C614" t="inlineStr">
        <is>
          <t>N&amp;D חתול 5</t>
        </is>
      </c>
      <c r="D614" t="inlineStr">
        <is>
          <t>5560396</t>
        </is>
      </c>
      <c r="E614" t="inlineStr">
        <is>
          <t>רגיל</t>
        </is>
      </c>
      <c r="F614" t="inlineStr">
        <is>
          <t>יבש</t>
        </is>
      </c>
      <c r="G614" t="inlineStr"/>
      <c r="H614" t="inlineStr">
        <is>
          <t>חתול</t>
        </is>
      </c>
      <c r="I614" t="inlineStr"/>
      <c r="J614" t="inlineStr">
        <is>
          <t>2026-08</t>
        </is>
      </c>
      <c r="K614" t="n">
        <v>262.13</v>
      </c>
      <c r="L614" t="n">
        <v>309.31</v>
      </c>
      <c r="M614">
        <f>הגדרות!B8</f>
        <v/>
      </c>
      <c r="N614">
        <f>K614*(1-M614/100)*1.18</f>
        <v/>
      </c>
      <c r="O614">
        <f>הגדרות!C8</f>
        <v/>
      </c>
      <c r="P614">
        <f>הגדרות!D8</f>
        <v/>
      </c>
      <c r="Q614">
        <f>N614*(1+O614/100)+P614</f>
        <v/>
      </c>
    </row>
    <row r="615">
      <c r="A615" t="inlineStr">
        <is>
          <t>פרמינה N&amp;D</t>
        </is>
      </c>
      <c r="B615" t="inlineStr">
        <is>
          <t>ND פריים כבש אוכמניות חתול 5 ק"ג</t>
        </is>
      </c>
      <c r="C615" t="inlineStr">
        <is>
          <t>N&amp;D חתול 5</t>
        </is>
      </c>
      <c r="D615" t="inlineStr">
        <is>
          <t>5560397</t>
        </is>
      </c>
      <c r="E615" t="inlineStr">
        <is>
          <t>רגיל</t>
        </is>
      </c>
      <c r="F615" t="inlineStr">
        <is>
          <t>יבש</t>
        </is>
      </c>
      <c r="G615" t="inlineStr"/>
      <c r="H615" t="inlineStr">
        <is>
          <t>חתול</t>
        </is>
      </c>
      <c r="I615" t="inlineStr"/>
      <c r="J615" t="inlineStr">
        <is>
          <t>2026-08</t>
        </is>
      </c>
      <c r="K615" t="n">
        <v>262.13</v>
      </c>
      <c r="L615" t="n">
        <v>309.31</v>
      </c>
      <c r="M615">
        <f>הגדרות!B8</f>
        <v/>
      </c>
      <c r="N615">
        <f>K615*(1-M615/100)*1.18</f>
        <v/>
      </c>
      <c r="O615">
        <f>הגדרות!C8</f>
        <v/>
      </c>
      <c r="P615">
        <f>הגדרות!D8</f>
        <v/>
      </c>
      <c r="Q615">
        <f>N615*(1+O615/100)+P615</f>
        <v/>
      </c>
    </row>
    <row r="616">
      <c r="A616" t="inlineStr">
        <is>
          <t>פרמינה N&amp;D</t>
        </is>
      </c>
      <c r="B616" t="inlineStr">
        <is>
          <t>טרופיקל עוף חתול 5 קג ND</t>
        </is>
      </c>
      <c r="C616" t="inlineStr">
        <is>
          <t>N&amp;D חתול 5</t>
        </is>
      </c>
      <c r="D616" t="inlineStr">
        <is>
          <t>5560462</t>
        </is>
      </c>
      <c r="E616" t="inlineStr">
        <is>
          <t>רגיל</t>
        </is>
      </c>
      <c r="F616" t="inlineStr">
        <is>
          <t>יבש</t>
        </is>
      </c>
      <c r="G616" t="inlineStr"/>
      <c r="H616" t="inlineStr">
        <is>
          <t>חתול</t>
        </is>
      </c>
      <c r="I616" t="inlineStr"/>
      <c r="J616" t="inlineStr">
        <is>
          <t>2026-08</t>
        </is>
      </c>
      <c r="K616" t="n">
        <v>188.86</v>
      </c>
      <c r="L616" t="n">
        <v>222.85</v>
      </c>
      <c r="M616">
        <f>הגדרות!B8</f>
        <v/>
      </c>
      <c r="N616">
        <f>K616*(1-M616/100)*1.18</f>
        <v/>
      </c>
      <c r="O616">
        <f>הגדרות!C8</f>
        <v/>
      </c>
      <c r="P616">
        <f>הגדרות!D8</f>
        <v/>
      </c>
      <c r="Q616">
        <f>N616*(1+O616/100)+P616</f>
        <v/>
      </c>
    </row>
    <row r="617">
      <c r="A617" t="inlineStr">
        <is>
          <t>פרמינה N&amp;D</t>
        </is>
      </c>
      <c r="B617" t="inlineStr">
        <is>
          <t>טרופיקל עוף חתול מסורס 5 קג ND</t>
        </is>
      </c>
      <c r="C617" t="inlineStr">
        <is>
          <t>N&amp;D חתול 5</t>
        </is>
      </c>
      <c r="D617" t="inlineStr">
        <is>
          <t>5560464</t>
        </is>
      </c>
      <c r="E617" t="inlineStr">
        <is>
          <t>רגיל</t>
        </is>
      </c>
      <c r="F617" t="inlineStr">
        <is>
          <t>יבש</t>
        </is>
      </c>
      <c r="G617" t="inlineStr"/>
      <c r="H617" t="inlineStr">
        <is>
          <t>חתול</t>
        </is>
      </c>
      <c r="I617" t="inlineStr"/>
      <c r="J617" t="inlineStr">
        <is>
          <t>2026-08</t>
        </is>
      </c>
      <c r="K617" t="n">
        <v>188.86</v>
      </c>
      <c r="L617" t="n">
        <v>222.85</v>
      </c>
      <c r="M617">
        <f>הגדרות!B8</f>
        <v/>
      </c>
      <c r="N617">
        <f>K617*(1-M617/100)*1.18</f>
        <v/>
      </c>
      <c r="O617">
        <f>הגדרות!C8</f>
        <v/>
      </c>
      <c r="P617">
        <f>הגדרות!D8</f>
        <v/>
      </c>
      <c r="Q617">
        <f>N617*(1+O617/100)+P617</f>
        <v/>
      </c>
    </row>
    <row r="618">
      <c r="A618" t="inlineStr">
        <is>
          <t>פרמינה N&amp;D</t>
        </is>
      </c>
      <c r="B618" t="inlineStr">
        <is>
          <t>טרופיקל כבש חתול מסורס 5 קג ND</t>
        </is>
      </c>
      <c r="C618" t="inlineStr">
        <is>
          <t>N&amp;D חתול 5</t>
        </is>
      </c>
      <c r="D618" t="inlineStr">
        <is>
          <t>5560466</t>
        </is>
      </c>
      <c r="E618" t="inlineStr">
        <is>
          <t>רגיל</t>
        </is>
      </c>
      <c r="F618" t="inlineStr">
        <is>
          <t>יבש</t>
        </is>
      </c>
      <c r="G618" t="inlineStr"/>
      <c r="H618" t="inlineStr">
        <is>
          <t>חתול</t>
        </is>
      </c>
      <c r="I618" t="inlineStr"/>
      <c r="J618" t="inlineStr">
        <is>
          <t>2026-08</t>
        </is>
      </c>
      <c r="K618" t="n">
        <v>188.86</v>
      </c>
      <c r="L618" t="n">
        <v>222.85</v>
      </c>
      <c r="M618">
        <f>הגדרות!B8</f>
        <v/>
      </c>
      <c r="N618">
        <f>K618*(1-M618/100)*1.18</f>
        <v/>
      </c>
      <c r="O618">
        <f>הגדרות!C8</f>
        <v/>
      </c>
      <c r="P618">
        <f>הגדרות!D8</f>
        <v/>
      </c>
      <c r="Q618">
        <f>N618*(1+O618/100)+P618</f>
        <v/>
      </c>
    </row>
    <row r="619">
      <c r="A619" t="inlineStr">
        <is>
          <t>פרמינה N&amp;D</t>
        </is>
      </c>
      <c r="B619" t="inlineStr">
        <is>
          <t>ND דלעת חזיר תפוח כלב מד' 12 ק"ג</t>
        </is>
      </c>
      <c r="C619" t="inlineStr">
        <is>
          <t>N&amp;D כלב 12</t>
        </is>
      </c>
      <c r="D619" t="inlineStr">
        <is>
          <t>5560240</t>
        </is>
      </c>
      <c r="E619" t="inlineStr">
        <is>
          <t>רגיל</t>
        </is>
      </c>
      <c r="F619" t="inlineStr">
        <is>
          <t>יבש</t>
        </is>
      </c>
      <c r="G619" t="inlineStr"/>
      <c r="H619" t="inlineStr">
        <is>
          <t>כלב</t>
        </is>
      </c>
      <c r="I619" t="inlineStr">
        <is>
          <t>מעל 7 ק"ג</t>
        </is>
      </c>
      <c r="J619" t="inlineStr">
        <is>
          <t>2026-08</t>
        </is>
      </c>
      <c r="K619" t="n">
        <v>341.59</v>
      </c>
      <c r="L619" t="n">
        <v>403.08</v>
      </c>
      <c r="M619">
        <f>הגדרות!B8</f>
        <v/>
      </c>
      <c r="N619">
        <f>K619*(1-M619/100)*1.18</f>
        <v/>
      </c>
      <c r="O619">
        <f>הגדרות!C8</f>
        <v/>
      </c>
      <c r="P619">
        <f>הגדרות!D8</f>
        <v/>
      </c>
      <c r="Q619">
        <f>N619*(1+O619/100)+P619</f>
        <v/>
      </c>
    </row>
    <row r="620">
      <c r="A620" t="inlineStr">
        <is>
          <t>פרמינה N&amp;D</t>
        </is>
      </c>
      <c r="B620" t="inlineStr">
        <is>
          <t>ND דלעת עוף רימון כלב מד' 12 ק"ג</t>
        </is>
      </c>
      <c r="C620" t="inlineStr">
        <is>
          <t>N&amp;D כלב 12</t>
        </is>
      </c>
      <c r="D620" t="inlineStr">
        <is>
          <t>5560243</t>
        </is>
      </c>
      <c r="E620" t="inlineStr">
        <is>
          <t>רגיל</t>
        </is>
      </c>
      <c r="F620" t="inlineStr">
        <is>
          <t>יבש</t>
        </is>
      </c>
      <c r="G620" t="inlineStr"/>
      <c r="H620" t="inlineStr">
        <is>
          <t>כלב</t>
        </is>
      </c>
      <c r="I620" t="inlineStr">
        <is>
          <t>מעל 7 ק"ג</t>
        </is>
      </c>
      <c r="J620" t="inlineStr">
        <is>
          <t>2026-08</t>
        </is>
      </c>
      <c r="K620" t="n">
        <v>324.05</v>
      </c>
      <c r="L620" t="n">
        <v>382.38</v>
      </c>
      <c r="M620">
        <f>הגדרות!B8</f>
        <v/>
      </c>
      <c r="N620">
        <f>K620*(1-M620/100)*1.18</f>
        <v/>
      </c>
      <c r="O620">
        <f>הגדרות!C8</f>
        <v/>
      </c>
      <c r="P620">
        <f>הגדרות!D8</f>
        <v/>
      </c>
      <c r="Q620">
        <f>N620*(1+O620/100)+P620</f>
        <v/>
      </c>
    </row>
    <row r="621">
      <c r="A621" t="inlineStr">
        <is>
          <t>פרמינה N&amp;D</t>
        </is>
      </c>
      <c r="B621" t="inlineStr">
        <is>
          <t>ND דלעת כבש אוכמניות כלב מד' 12 ק"ג</t>
        </is>
      </c>
      <c r="C621" t="inlineStr">
        <is>
          <t>N&amp;D כלב 12</t>
        </is>
      </c>
      <c r="D621" t="inlineStr">
        <is>
          <t>5560247</t>
        </is>
      </c>
      <c r="E621" t="inlineStr">
        <is>
          <t>רגיל</t>
        </is>
      </c>
      <c r="F621" t="inlineStr">
        <is>
          <t>יבש</t>
        </is>
      </c>
      <c r="G621" t="inlineStr"/>
      <c r="H621" t="inlineStr">
        <is>
          <t>כלב</t>
        </is>
      </c>
      <c r="I621" t="inlineStr">
        <is>
          <t>מעל 7 ק"ג</t>
        </is>
      </c>
      <c r="J621" t="inlineStr">
        <is>
          <t>2026-08</t>
        </is>
      </c>
      <c r="K621" t="n">
        <v>341.59</v>
      </c>
      <c r="L621" t="n">
        <v>403.08</v>
      </c>
      <c r="M621">
        <f>הגדרות!B8</f>
        <v/>
      </c>
      <c r="N621">
        <f>K621*(1-M621/100)*1.18</f>
        <v/>
      </c>
      <c r="O621">
        <f>הגדרות!C8</f>
        <v/>
      </c>
      <c r="P621">
        <f>הגדרות!D8</f>
        <v/>
      </c>
      <c r="Q621">
        <f>N621*(1+O621/100)+P621</f>
        <v/>
      </c>
    </row>
    <row r="622">
      <c r="A622" t="inlineStr">
        <is>
          <t>פרמינה N&amp;D</t>
        </is>
      </c>
      <c r="B622" t="inlineStr">
        <is>
          <t>ND דלעת כבש אוכמניות גור מד' 12 ק"ג</t>
        </is>
      </c>
      <c r="C622" t="inlineStr">
        <is>
          <t>N&amp;D כלב 12</t>
        </is>
      </c>
      <c r="D622" t="inlineStr">
        <is>
          <t>5560250</t>
        </is>
      </c>
      <c r="E622" t="inlineStr">
        <is>
          <t>רגיל</t>
        </is>
      </c>
      <c r="F622" t="inlineStr">
        <is>
          <t>יבש</t>
        </is>
      </c>
      <c r="G622" t="inlineStr">
        <is>
          <t>גורים</t>
        </is>
      </c>
      <c r="H622" t="inlineStr">
        <is>
          <t>כלב</t>
        </is>
      </c>
      <c r="I622" t="inlineStr">
        <is>
          <t>מעל 7 ק"ג</t>
        </is>
      </c>
      <c r="J622" t="inlineStr">
        <is>
          <t>2026-08</t>
        </is>
      </c>
      <c r="K622" t="n">
        <v>341.59</v>
      </c>
      <c r="L622" t="n">
        <v>403.08</v>
      </c>
      <c r="M622">
        <f>הגדרות!B8</f>
        <v/>
      </c>
      <c r="N622">
        <f>K622*(1-M622/100)*1.18</f>
        <v/>
      </c>
      <c r="O622">
        <f>הגדרות!C8</f>
        <v/>
      </c>
      <c r="P622">
        <f>הגדרות!D8</f>
        <v/>
      </c>
      <c r="Q622">
        <f>N622*(1+O622/100)+P622</f>
        <v/>
      </c>
    </row>
    <row r="623">
      <c r="A623" t="inlineStr">
        <is>
          <t>פרמינה N&amp;D</t>
        </is>
      </c>
      <c r="B623" t="inlineStr">
        <is>
          <t>ND אנסס עוף רימון גור מד' 12 ק"ג</t>
        </is>
      </c>
      <c r="C623" t="inlineStr">
        <is>
          <t>N&amp;D כלב 12</t>
        </is>
      </c>
      <c r="D623" t="inlineStr">
        <is>
          <t>5560258</t>
        </is>
      </c>
      <c r="E623" t="inlineStr">
        <is>
          <t>רגיל</t>
        </is>
      </c>
      <c r="F623" t="inlineStr">
        <is>
          <t>יבש</t>
        </is>
      </c>
      <c r="G623" t="inlineStr">
        <is>
          <t>גורים</t>
        </is>
      </c>
      <c r="H623" t="inlineStr">
        <is>
          <t>כלב</t>
        </is>
      </c>
      <c r="I623" t="inlineStr">
        <is>
          <t>מעל 7 ק"ג</t>
        </is>
      </c>
      <c r="J623" t="inlineStr">
        <is>
          <t>2026-08</t>
        </is>
      </c>
      <c r="K623" t="n">
        <v>300.31</v>
      </c>
      <c r="L623" t="n">
        <v>354.37</v>
      </c>
      <c r="M623">
        <f>הגדרות!B8</f>
        <v/>
      </c>
      <c r="N623">
        <f>K623*(1-M623/100)*1.18</f>
        <v/>
      </c>
      <c r="O623">
        <f>הגדרות!C8</f>
        <v/>
      </c>
      <c r="P623">
        <f>הגדרות!D8</f>
        <v/>
      </c>
      <c r="Q623">
        <f>N623*(1+O623/100)+P623</f>
        <v/>
      </c>
    </row>
    <row r="624">
      <c r="A624" t="inlineStr">
        <is>
          <t>פרמינה N&amp;D</t>
        </is>
      </c>
      <c r="B624" t="inlineStr">
        <is>
          <t>ND אנסס כבש אוכמניות כלב מד' 12 ק"ג</t>
        </is>
      </c>
      <c r="C624" t="inlineStr">
        <is>
          <t>N&amp;D כלב 12</t>
        </is>
      </c>
      <c r="D624" t="inlineStr">
        <is>
          <t>5560259</t>
        </is>
      </c>
      <c r="E624" t="inlineStr">
        <is>
          <t>רגיל</t>
        </is>
      </c>
      <c r="F624" t="inlineStr">
        <is>
          <t>יבש</t>
        </is>
      </c>
      <c r="G624" t="inlineStr"/>
      <c r="H624" t="inlineStr">
        <is>
          <t>כלב</t>
        </is>
      </c>
      <c r="I624" t="inlineStr">
        <is>
          <t>מעל 7 ק"ג</t>
        </is>
      </c>
      <c r="J624" t="inlineStr">
        <is>
          <t>2026-08</t>
        </is>
      </c>
      <c r="K624" t="n">
        <v>300.31</v>
      </c>
      <c r="L624" t="n">
        <v>354.37</v>
      </c>
      <c r="M624">
        <f>הגדרות!B8</f>
        <v/>
      </c>
      <c r="N624">
        <f>K624*(1-M624/100)*1.18</f>
        <v/>
      </c>
      <c r="O624">
        <f>הגדרות!C8</f>
        <v/>
      </c>
      <c r="P624">
        <f>הגדרות!D8</f>
        <v/>
      </c>
      <c r="Q624">
        <f>N624*(1+O624/100)+P624</f>
        <v/>
      </c>
    </row>
    <row r="625">
      <c r="A625" t="inlineStr">
        <is>
          <t>פרמינה N&amp;D</t>
        </is>
      </c>
      <c r="B625" t="inlineStr">
        <is>
          <t>ND אנסס עוף רימון סניור 12 ק"ג</t>
        </is>
      </c>
      <c r="C625" t="inlineStr">
        <is>
          <t>N&amp;D כלב 12</t>
        </is>
      </c>
      <c r="D625" t="inlineStr">
        <is>
          <t>5560263</t>
        </is>
      </c>
      <c r="E625" t="inlineStr">
        <is>
          <t>רגיל</t>
        </is>
      </c>
      <c r="F625" t="inlineStr">
        <is>
          <t>יבש</t>
        </is>
      </c>
      <c r="G625" t="inlineStr">
        <is>
          <t>מבוגר</t>
        </is>
      </c>
      <c r="H625" t="inlineStr">
        <is>
          <t>כלב</t>
        </is>
      </c>
      <c r="I625" t="inlineStr"/>
      <c r="J625" t="inlineStr">
        <is>
          <t>2026-08</t>
        </is>
      </c>
      <c r="K625" t="n">
        <v>304.44</v>
      </c>
      <c r="L625" t="n">
        <v>359.24</v>
      </c>
      <c r="M625">
        <f>הגדרות!B8</f>
        <v/>
      </c>
      <c r="N625">
        <f>K625*(1-M625/100)*1.18</f>
        <v/>
      </c>
      <c r="O625">
        <f>הגדרות!C8</f>
        <v/>
      </c>
      <c r="P625">
        <f>הגדרות!D8</f>
        <v/>
      </c>
      <c r="Q625">
        <f>N625*(1+O625/100)+P625</f>
        <v/>
      </c>
    </row>
    <row r="626">
      <c r="A626" t="inlineStr">
        <is>
          <t>פרמינה N&amp;D</t>
        </is>
      </c>
      <c r="B626" t="inlineStr">
        <is>
          <t>ND אנסס עוף רימון כלב לייט 12 ק"ג</t>
        </is>
      </c>
      <c r="C626" t="inlineStr">
        <is>
          <t>N&amp;D כלב 12</t>
        </is>
      </c>
      <c r="D626" t="inlineStr">
        <is>
          <t>5560270</t>
        </is>
      </c>
      <c r="E626" t="inlineStr">
        <is>
          <t>רגיל</t>
        </is>
      </c>
      <c r="F626" t="inlineStr">
        <is>
          <t>יבש</t>
        </is>
      </c>
      <c r="G626" t="inlineStr"/>
      <c r="H626" t="inlineStr">
        <is>
          <t>כלב</t>
        </is>
      </c>
      <c r="I626" t="inlineStr"/>
      <c r="J626" t="inlineStr">
        <is>
          <t>2026-08</t>
        </is>
      </c>
      <c r="K626" t="n">
        <v>300.31</v>
      </c>
      <c r="L626" t="n">
        <v>354.37</v>
      </c>
      <c r="M626">
        <f>הגדרות!B8</f>
        <v/>
      </c>
      <c r="N626">
        <f>K626*(1-M626/100)*1.18</f>
        <v/>
      </c>
      <c r="O626">
        <f>הגדרות!C8</f>
        <v/>
      </c>
      <c r="P626">
        <f>הגדרות!D8</f>
        <v/>
      </c>
      <c r="Q626">
        <f>N626*(1+O626/100)+P626</f>
        <v/>
      </c>
    </row>
    <row r="627">
      <c r="A627" t="inlineStr">
        <is>
          <t>פרמינה N&amp;D</t>
        </is>
      </c>
      <c r="B627" t="inlineStr">
        <is>
          <t>ND אנסס כבש אוכמניות גור מד' 12 ק"ג</t>
        </is>
      </c>
      <c r="C627" t="inlineStr">
        <is>
          <t>N&amp;D כלב 12</t>
        </is>
      </c>
      <c r="D627" t="inlineStr">
        <is>
          <t>5560277</t>
        </is>
      </c>
      <c r="E627" t="inlineStr">
        <is>
          <t>רגיל</t>
        </is>
      </c>
      <c r="F627" t="inlineStr">
        <is>
          <t>יבש</t>
        </is>
      </c>
      <c r="G627" t="inlineStr">
        <is>
          <t>גורים</t>
        </is>
      </c>
      <c r="H627" t="inlineStr">
        <is>
          <t>כלב</t>
        </is>
      </c>
      <c r="I627" t="inlineStr">
        <is>
          <t>מעל 7 ק"ג</t>
        </is>
      </c>
      <c r="J627" t="inlineStr">
        <is>
          <t>2026-08</t>
        </is>
      </c>
      <c r="K627" t="n">
        <v>300.31</v>
      </c>
      <c r="L627" t="n">
        <v>354.37</v>
      </c>
      <c r="M627">
        <f>הגדרות!B8</f>
        <v/>
      </c>
      <c r="N627">
        <f>K627*(1-M627/100)*1.18</f>
        <v/>
      </c>
      <c r="O627">
        <f>הגדרות!C8</f>
        <v/>
      </c>
      <c r="P627">
        <f>הגדרות!D8</f>
        <v/>
      </c>
      <c r="Q627">
        <f>N627*(1+O627/100)+P627</f>
        <v/>
      </c>
    </row>
    <row r="628">
      <c r="A628" t="inlineStr">
        <is>
          <t>פרמינה N&amp;D</t>
        </is>
      </c>
      <c r="B628" t="inlineStr">
        <is>
          <t>ND אנסס סלקשן עוף רימון כלב מד' 15 ק"ג</t>
        </is>
      </c>
      <c r="C628" t="inlineStr">
        <is>
          <t>N&amp;D כלב 12</t>
        </is>
      </c>
      <c r="D628" t="inlineStr">
        <is>
          <t>5560298</t>
        </is>
      </c>
      <c r="E628" t="inlineStr">
        <is>
          <t>רגיל</t>
        </is>
      </c>
      <c r="F628" t="inlineStr">
        <is>
          <t>יבש</t>
        </is>
      </c>
      <c r="G628" t="inlineStr"/>
      <c r="H628" t="inlineStr">
        <is>
          <t>כלב</t>
        </is>
      </c>
      <c r="I628" t="inlineStr">
        <is>
          <t>מעל 7 ק"ג</t>
        </is>
      </c>
      <c r="J628" t="inlineStr">
        <is>
          <t>2026-08</t>
        </is>
      </c>
      <c r="K628" t="n">
        <v>286.9</v>
      </c>
      <c r="L628" t="n">
        <v>338.54</v>
      </c>
      <c r="M628">
        <f>הגדרות!B8</f>
        <v/>
      </c>
      <c r="N628">
        <f>K628*(1-M628/100)*1.18</f>
        <v/>
      </c>
      <c r="O628">
        <f>הגדרות!C8</f>
        <v/>
      </c>
      <c r="P628">
        <f>הגדרות!D8</f>
        <v/>
      </c>
      <c r="Q628">
        <f>N628*(1+O628/100)+P628</f>
        <v/>
      </c>
    </row>
    <row r="629">
      <c r="A629" t="inlineStr">
        <is>
          <t>פרמינה N&amp;D</t>
        </is>
      </c>
      <c r="B629" t="inlineStr">
        <is>
          <t>ND אושן קוד דגנים תפוז כלב מד' 12 ק"ג</t>
        </is>
      </c>
      <c r="C629" t="inlineStr">
        <is>
          <t>N&amp;D כלב 12</t>
        </is>
      </c>
      <c r="D629" t="inlineStr">
        <is>
          <t>5560308</t>
        </is>
      </c>
      <c r="E629" t="inlineStr">
        <is>
          <t>רגיל</t>
        </is>
      </c>
      <c r="F629" t="inlineStr">
        <is>
          <t>יבש</t>
        </is>
      </c>
      <c r="G629" t="inlineStr"/>
      <c r="H629" t="inlineStr">
        <is>
          <t>כלב</t>
        </is>
      </c>
      <c r="I629" t="inlineStr">
        <is>
          <t>מעל 7 ק"ג</t>
        </is>
      </c>
      <c r="J629" t="inlineStr">
        <is>
          <t>2026-08</t>
        </is>
      </c>
      <c r="K629" t="n">
        <v>307.54</v>
      </c>
      <c r="L629" t="n">
        <v>362.9</v>
      </c>
      <c r="M629">
        <f>הגדרות!B8</f>
        <v/>
      </c>
      <c r="N629">
        <f>K629*(1-M629/100)*1.18</f>
        <v/>
      </c>
      <c r="O629">
        <f>הגדרות!C8</f>
        <v/>
      </c>
      <c r="P629">
        <f>הגדרות!D8</f>
        <v/>
      </c>
      <c r="Q629">
        <f>N629*(1+O629/100)+P629</f>
        <v/>
      </c>
    </row>
    <row r="630">
      <c r="A630" t="inlineStr">
        <is>
          <t>פרמינה N&amp;D</t>
        </is>
      </c>
      <c r="B630" t="inlineStr">
        <is>
          <t>ND אושן הרינג דלעת תפוז כלב מד' 12 ק"ג</t>
        </is>
      </c>
      <c r="C630" t="inlineStr">
        <is>
          <t>N&amp;D כלב 12</t>
        </is>
      </c>
      <c r="D630" t="inlineStr">
        <is>
          <t>5560311</t>
        </is>
      </c>
      <c r="E630" t="inlineStr">
        <is>
          <t>רגיל</t>
        </is>
      </c>
      <c r="F630" t="inlineStr">
        <is>
          <t>יבש</t>
        </is>
      </c>
      <c r="G630" t="inlineStr"/>
      <c r="H630" t="inlineStr">
        <is>
          <t>כלב</t>
        </is>
      </c>
      <c r="I630" t="inlineStr">
        <is>
          <t>מעל 7 ק"ג</t>
        </is>
      </c>
      <c r="J630" t="inlineStr">
        <is>
          <t>2026-08</t>
        </is>
      </c>
      <c r="K630" t="n">
        <v>352.94</v>
      </c>
      <c r="L630" t="n">
        <v>416.47</v>
      </c>
      <c r="M630">
        <f>הגדרות!B8</f>
        <v/>
      </c>
      <c r="N630">
        <f>K630*(1-M630/100)*1.18</f>
        <v/>
      </c>
      <c r="O630">
        <f>הגדרות!C8</f>
        <v/>
      </c>
      <c r="P630">
        <f>הגדרות!D8</f>
        <v/>
      </c>
      <c r="Q630">
        <f>N630*(1+O630/100)+P630</f>
        <v/>
      </c>
    </row>
    <row r="631">
      <c r="A631" t="inlineStr">
        <is>
          <t>פרמינה N&amp;D</t>
        </is>
      </c>
      <c r="B631" t="inlineStr">
        <is>
          <t>טרופיקל כבש בוגר מדיום 10 קג ND</t>
        </is>
      </c>
      <c r="C631" t="inlineStr">
        <is>
          <t>N&amp;D כלב 12</t>
        </is>
      </c>
      <c r="D631" t="inlineStr">
        <is>
          <t>5560456</t>
        </is>
      </c>
      <c r="E631" t="inlineStr">
        <is>
          <t>רגיל</t>
        </is>
      </c>
      <c r="F631" t="inlineStr">
        <is>
          <t>יבש</t>
        </is>
      </c>
      <c r="G631" t="inlineStr">
        <is>
          <t>בוגר</t>
        </is>
      </c>
      <c r="H631" t="inlineStr">
        <is>
          <t>כלב</t>
        </is>
      </c>
      <c r="I631" t="inlineStr">
        <is>
          <t>מעל 7 ק"ג</t>
        </is>
      </c>
      <c r="J631" t="inlineStr">
        <is>
          <t>2026-08</t>
        </is>
      </c>
      <c r="K631" t="n">
        <v>269.35</v>
      </c>
      <c r="L631" t="n">
        <v>317.83</v>
      </c>
      <c r="M631">
        <f>הגדרות!B8</f>
        <v/>
      </c>
      <c r="N631">
        <f>K631*(1-M631/100)*1.18</f>
        <v/>
      </c>
      <c r="O631">
        <f>הגדרות!C8</f>
        <v/>
      </c>
      <c r="P631">
        <f>הגדרות!D8</f>
        <v/>
      </c>
      <c r="Q631">
        <f>N631*(1+O631/100)+P631</f>
        <v/>
      </c>
    </row>
    <row r="632">
      <c r="A632" t="inlineStr">
        <is>
          <t>פרמינה N&amp;D</t>
        </is>
      </c>
      <c r="B632" t="inlineStr">
        <is>
          <t>טרופיקל עוף בוגר מדיום 10 קג ND</t>
        </is>
      </c>
      <c r="C632" t="inlineStr">
        <is>
          <t>N&amp;D כלב 12</t>
        </is>
      </c>
      <c r="D632" t="inlineStr">
        <is>
          <t>5560458</t>
        </is>
      </c>
      <c r="E632" t="inlineStr">
        <is>
          <t>רגיל</t>
        </is>
      </c>
      <c r="F632" t="inlineStr">
        <is>
          <t>יבש</t>
        </is>
      </c>
      <c r="G632" t="inlineStr">
        <is>
          <t>בוגר</t>
        </is>
      </c>
      <c r="H632" t="inlineStr">
        <is>
          <t>כלב</t>
        </is>
      </c>
      <c r="I632" t="inlineStr">
        <is>
          <t>מעל 7 ק"ג</t>
        </is>
      </c>
      <c r="J632" t="inlineStr">
        <is>
          <t>2026-08</t>
        </is>
      </c>
      <c r="K632" t="n">
        <v>245.62</v>
      </c>
      <c r="L632" t="n">
        <v>289.83</v>
      </c>
      <c r="M632">
        <f>הגדרות!B8</f>
        <v/>
      </c>
      <c r="N632">
        <f>K632*(1-M632/100)*1.18</f>
        <v/>
      </c>
      <c r="O632">
        <f>הגדרות!C8</f>
        <v/>
      </c>
      <c r="P632">
        <f>הגדרות!D8</f>
        <v/>
      </c>
      <c r="Q632">
        <f>N632*(1+O632/100)+P632</f>
        <v/>
      </c>
    </row>
    <row r="633">
      <c r="A633" t="inlineStr">
        <is>
          <t>פרמינה N&amp;D</t>
        </is>
      </c>
      <c r="B633" t="inlineStr">
        <is>
          <t>טרופיקל סלמון בוגר מדיום 10קג ND</t>
        </is>
      </c>
      <c r="C633" t="inlineStr">
        <is>
          <t>N&amp;D כלב 12</t>
        </is>
      </c>
      <c r="D633" t="inlineStr">
        <is>
          <t>5560460</t>
        </is>
      </c>
      <c r="E633" t="inlineStr">
        <is>
          <t>רגיל</t>
        </is>
      </c>
      <c r="F633" t="inlineStr">
        <is>
          <t>יבש</t>
        </is>
      </c>
      <c r="G633" t="inlineStr">
        <is>
          <t>בוגר</t>
        </is>
      </c>
      <c r="H633" t="inlineStr">
        <is>
          <t>כלב</t>
        </is>
      </c>
      <c r="I633" t="inlineStr">
        <is>
          <t>מעל 7 ק"ג</t>
        </is>
      </c>
      <c r="J633" t="inlineStr">
        <is>
          <t>2026-08</t>
        </is>
      </c>
      <c r="K633" t="n">
        <v>269.35</v>
      </c>
      <c r="L633" t="n">
        <v>317.83</v>
      </c>
      <c r="M633">
        <f>הגדרות!B8</f>
        <v/>
      </c>
      <c r="N633">
        <f>K633*(1-M633/100)*1.18</f>
        <v/>
      </c>
      <c r="O633">
        <f>הגדרות!C8</f>
        <v/>
      </c>
      <c r="P633">
        <f>הגדרות!D8</f>
        <v/>
      </c>
      <c r="Q633">
        <f>N633*(1+O633/100)+P633</f>
        <v/>
      </c>
    </row>
    <row r="634">
      <c r="A634" t="inlineStr">
        <is>
          <t>פרמינה N&amp;D</t>
        </is>
      </c>
      <c r="B634" t="inlineStr">
        <is>
          <t>ND קינואה פרווה הרינג מיני 2.5 ק"ג</t>
        </is>
      </c>
      <c r="C634" t="inlineStr">
        <is>
          <t>N&amp;D כלב 2.5</t>
        </is>
      </c>
      <c r="D634" t="inlineStr">
        <is>
          <t>5555657</t>
        </is>
      </c>
      <c r="E634" t="inlineStr">
        <is>
          <t>רגיל</t>
        </is>
      </c>
      <c r="F634" t="inlineStr">
        <is>
          <t>יבש</t>
        </is>
      </c>
      <c r="G634" t="inlineStr"/>
      <c r="H634" t="inlineStr">
        <is>
          <t>כלב</t>
        </is>
      </c>
      <c r="I634" t="inlineStr">
        <is>
          <t>עד 7 ק"ג</t>
        </is>
      </c>
      <c r="J634" t="inlineStr">
        <is>
          <t>2026-08</t>
        </is>
      </c>
      <c r="K634" t="n">
        <v>141.38</v>
      </c>
      <c r="L634" t="n">
        <v>166.83</v>
      </c>
      <c r="M634">
        <f>הגדרות!B8</f>
        <v/>
      </c>
      <c r="N634">
        <f>K634*(1-M634/100)*1.18</f>
        <v/>
      </c>
      <c r="O634">
        <f>הגדרות!C8</f>
        <v/>
      </c>
      <c r="P634">
        <f>הגדרות!D8</f>
        <v/>
      </c>
      <c r="Q634">
        <f>N634*(1+O634/100)+P634</f>
        <v/>
      </c>
    </row>
    <row r="635">
      <c r="A635" t="inlineStr">
        <is>
          <t>פרמינה N&amp;D</t>
        </is>
      </c>
      <c r="B635" t="inlineStr">
        <is>
          <t>ND קינואה משקל כבש מיני 2.5 ק"ג</t>
        </is>
      </c>
      <c r="C635" t="inlineStr">
        <is>
          <t>N&amp;D כלב 2.5</t>
        </is>
      </c>
      <c r="D635" t="inlineStr">
        <is>
          <t>5555658</t>
        </is>
      </c>
      <c r="E635" t="inlineStr">
        <is>
          <t>רגיל</t>
        </is>
      </c>
      <c r="F635" t="inlineStr">
        <is>
          <t>יבש</t>
        </is>
      </c>
      <c r="G635" t="inlineStr"/>
      <c r="H635" t="inlineStr">
        <is>
          <t>כלב</t>
        </is>
      </c>
      <c r="I635" t="inlineStr">
        <is>
          <t>עד 7 ק"ג</t>
        </is>
      </c>
      <c r="J635" t="inlineStr">
        <is>
          <t>2026-08</t>
        </is>
      </c>
      <c r="K635" t="n">
        <v>141.38</v>
      </c>
      <c r="L635" t="n">
        <v>166.83</v>
      </c>
      <c r="M635">
        <f>הגדרות!B8</f>
        <v/>
      </c>
      <c r="N635">
        <f>K635*(1-M635/100)*1.18</f>
        <v/>
      </c>
      <c r="O635">
        <f>הגדרות!C8</f>
        <v/>
      </c>
      <c r="P635">
        <f>הגדרות!D8</f>
        <v/>
      </c>
      <c r="Q635">
        <f>N635*(1+O635/100)+P635</f>
        <v/>
      </c>
    </row>
    <row r="636">
      <c r="A636" t="inlineStr">
        <is>
          <t>פרמינה N&amp;D</t>
        </is>
      </c>
      <c r="B636" t="inlineStr">
        <is>
          <t>ND אושן קוד דגנים תפוז כלב מיני 2.5 ק"ג</t>
        </is>
      </c>
      <c r="C636" t="inlineStr">
        <is>
          <t>N&amp;D כלב 2.5</t>
        </is>
      </c>
      <c r="D636" t="inlineStr">
        <is>
          <t>5560239</t>
        </is>
      </c>
      <c r="E636" t="inlineStr">
        <is>
          <t>רגיל</t>
        </is>
      </c>
      <c r="F636" t="inlineStr">
        <is>
          <t>יבש</t>
        </is>
      </c>
      <c r="G636" t="inlineStr"/>
      <c r="H636" t="inlineStr">
        <is>
          <t>כלב</t>
        </is>
      </c>
      <c r="I636" t="inlineStr">
        <is>
          <t>עד 7 ק"ג</t>
        </is>
      </c>
      <c r="J636" t="inlineStr">
        <is>
          <t>2026-08</t>
        </is>
      </c>
      <c r="K636" t="n">
        <v>105.26</v>
      </c>
      <c r="L636" t="n">
        <v>124.21</v>
      </c>
      <c r="M636">
        <f>הגדרות!B8</f>
        <v/>
      </c>
      <c r="N636">
        <f>K636*(1-M636/100)*1.18</f>
        <v/>
      </c>
      <c r="O636">
        <f>הגדרות!C8</f>
        <v/>
      </c>
      <c r="P636">
        <f>הגדרות!D8</f>
        <v/>
      </c>
      <c r="Q636">
        <f>N636*(1+O636/100)+P636</f>
        <v/>
      </c>
    </row>
    <row r="637">
      <c r="A637" t="inlineStr">
        <is>
          <t>פרמינה N&amp;D</t>
        </is>
      </c>
      <c r="B637" t="inlineStr">
        <is>
          <t>ND דלעת חזיר תפוח כלב מיני 2.5 ק"ג</t>
        </is>
      </c>
      <c r="C637" t="inlineStr">
        <is>
          <t>N&amp;D כלב 2.5</t>
        </is>
      </c>
      <c r="D637" t="inlineStr">
        <is>
          <t>5560241</t>
        </is>
      </c>
      <c r="E637" t="inlineStr">
        <is>
          <t>רגיל</t>
        </is>
      </c>
      <c r="F637" t="inlineStr">
        <is>
          <t>יבש</t>
        </is>
      </c>
      <c r="G637" t="inlineStr"/>
      <c r="H637" t="inlineStr">
        <is>
          <t>כלב</t>
        </is>
      </c>
      <c r="I637" t="inlineStr">
        <is>
          <t>עד 7 ק"ג</t>
        </is>
      </c>
      <c r="J637" t="inlineStr">
        <is>
          <t>2026-08</t>
        </is>
      </c>
      <c r="K637" t="n">
        <v>120.74</v>
      </c>
      <c r="L637" t="n">
        <v>142.47</v>
      </c>
      <c r="M637">
        <f>הגדרות!B8</f>
        <v/>
      </c>
      <c r="N637">
        <f>K637*(1-M637/100)*1.18</f>
        <v/>
      </c>
      <c r="O637">
        <f>הגדרות!C8</f>
        <v/>
      </c>
      <c r="P637">
        <f>הגדרות!D8</f>
        <v/>
      </c>
      <c r="Q637">
        <f>N637*(1+O637/100)+P637</f>
        <v/>
      </c>
    </row>
    <row r="638">
      <c r="A638" t="inlineStr">
        <is>
          <t>פרמינה N&amp;D</t>
        </is>
      </c>
      <c r="B638" t="inlineStr">
        <is>
          <t>ND דלעת עוף רימון כלב מיני 2.5 ק"ג</t>
        </is>
      </c>
      <c r="C638" t="inlineStr">
        <is>
          <t>N&amp;D כלב 2.5</t>
        </is>
      </c>
      <c r="D638" t="inlineStr">
        <is>
          <t>5560244</t>
        </is>
      </c>
      <c r="E638" t="inlineStr">
        <is>
          <t>רגיל</t>
        </is>
      </c>
      <c r="F638" t="inlineStr">
        <is>
          <t>יבש</t>
        </is>
      </c>
      <c r="G638" t="inlineStr"/>
      <c r="H638" t="inlineStr">
        <is>
          <t>כלב</t>
        </is>
      </c>
      <c r="I638" t="inlineStr">
        <is>
          <t>עד 7 ק"ג</t>
        </is>
      </c>
      <c r="J638" t="inlineStr">
        <is>
          <t>2026-08</t>
        </is>
      </c>
      <c r="K638" t="n">
        <v>112.49</v>
      </c>
      <c r="L638" t="n">
        <v>132.74</v>
      </c>
      <c r="M638">
        <f>הגדרות!B8</f>
        <v/>
      </c>
      <c r="N638">
        <f>K638*(1-M638/100)*1.18</f>
        <v/>
      </c>
      <c r="O638">
        <f>הגדרות!C8</f>
        <v/>
      </c>
      <c r="P638">
        <f>הגדרות!D8</f>
        <v/>
      </c>
      <c r="Q638">
        <f>N638*(1+O638/100)+P638</f>
        <v/>
      </c>
    </row>
    <row r="639">
      <c r="A639" t="inlineStr">
        <is>
          <t>פרמינה N&amp;D</t>
        </is>
      </c>
      <c r="B639" t="inlineStr">
        <is>
          <t>ND דלעת כבש אוכמניות כלב מיני 2.5 ק"ג</t>
        </is>
      </c>
      <c r="C639" t="inlineStr">
        <is>
          <t>N&amp;D כלב 2.5</t>
        </is>
      </c>
      <c r="D639" t="inlineStr">
        <is>
          <t>5560248</t>
        </is>
      </c>
      <c r="E639" t="inlineStr">
        <is>
          <t>רגיל</t>
        </is>
      </c>
      <c r="F639" t="inlineStr">
        <is>
          <t>יבש</t>
        </is>
      </c>
      <c r="G639" t="inlineStr"/>
      <c r="H639" t="inlineStr">
        <is>
          <t>כלב</t>
        </is>
      </c>
      <c r="I639" t="inlineStr">
        <is>
          <t>עד 7 ק"ג</t>
        </is>
      </c>
      <c r="J639" t="inlineStr">
        <is>
          <t>2026-08</t>
        </is>
      </c>
      <c r="K639" t="n">
        <v>120.74</v>
      </c>
      <c r="L639" t="n">
        <v>142.47</v>
      </c>
      <c r="M639">
        <f>הגדרות!B8</f>
        <v/>
      </c>
      <c r="N639">
        <f>K639*(1-M639/100)*1.18</f>
        <v/>
      </c>
      <c r="O639">
        <f>הגדרות!C8</f>
        <v/>
      </c>
      <c r="P639">
        <f>הגדרות!D8</f>
        <v/>
      </c>
      <c r="Q639">
        <f>N639*(1+O639/100)+P639</f>
        <v/>
      </c>
    </row>
    <row r="640">
      <c r="A640" t="inlineStr">
        <is>
          <t>פרמינה N&amp;D</t>
        </is>
      </c>
      <c r="B640" t="inlineStr">
        <is>
          <t>ND דלעת כבש אוכמניות גור מיני 2.5 ק"ג</t>
        </is>
      </c>
      <c r="C640" t="inlineStr">
        <is>
          <t>N&amp;D כלב 2.5</t>
        </is>
      </c>
      <c r="D640" t="inlineStr">
        <is>
          <t>5560251</t>
        </is>
      </c>
      <c r="E640" t="inlineStr">
        <is>
          <t>רגיל</t>
        </is>
      </c>
      <c r="F640" t="inlineStr">
        <is>
          <t>יבש</t>
        </is>
      </c>
      <c r="G640" t="inlineStr">
        <is>
          <t>גורים</t>
        </is>
      </c>
      <c r="H640" t="inlineStr">
        <is>
          <t>כלב</t>
        </is>
      </c>
      <c r="I640" t="inlineStr">
        <is>
          <t>עד 7 ק"ג</t>
        </is>
      </c>
      <c r="J640" t="inlineStr">
        <is>
          <t>2026-08</t>
        </is>
      </c>
      <c r="K640" t="n">
        <v>120.74</v>
      </c>
      <c r="L640" t="n">
        <v>142.47</v>
      </c>
      <c r="M640">
        <f>הגדרות!B8</f>
        <v/>
      </c>
      <c r="N640">
        <f>K640*(1-M640/100)*1.18</f>
        <v/>
      </c>
      <c r="O640">
        <f>הגדרות!C8</f>
        <v/>
      </c>
      <c r="P640">
        <f>הגדרות!D8</f>
        <v/>
      </c>
      <c r="Q640">
        <f>N640*(1+O640/100)+P640</f>
        <v/>
      </c>
    </row>
    <row r="641">
      <c r="A641" t="inlineStr">
        <is>
          <t>פרמינה N&amp;D</t>
        </is>
      </c>
      <c r="B641" t="inlineStr">
        <is>
          <t>ND אנסס כבש אוכמניות כלב מד' 2.5 ק"ג</t>
        </is>
      </c>
      <c r="C641" t="inlineStr">
        <is>
          <t>N&amp;D כלב 2.5</t>
        </is>
      </c>
      <c r="D641" t="inlineStr">
        <is>
          <t>5560260</t>
        </is>
      </c>
      <c r="E641" t="inlineStr">
        <is>
          <t>רגיל</t>
        </is>
      </c>
      <c r="F641" t="inlineStr">
        <is>
          <t>יבש</t>
        </is>
      </c>
      <c r="G641" t="inlineStr"/>
      <c r="H641" t="inlineStr">
        <is>
          <t>כלב</t>
        </is>
      </c>
      <c r="I641" t="inlineStr">
        <is>
          <t>מעל 7 ק"ג</t>
        </is>
      </c>
      <c r="J641" t="inlineStr">
        <is>
          <t>2026-08</t>
        </is>
      </c>
      <c r="K641" t="n">
        <v>108.36</v>
      </c>
      <c r="L641" t="n">
        <v>127.86</v>
      </c>
      <c r="M641">
        <f>הגדרות!B8</f>
        <v/>
      </c>
      <c r="N641">
        <f>K641*(1-M641/100)*1.18</f>
        <v/>
      </c>
      <c r="O641">
        <f>הגדרות!C8</f>
        <v/>
      </c>
      <c r="P641">
        <f>הגדרות!D8</f>
        <v/>
      </c>
      <c r="Q641">
        <f>N641*(1+O641/100)+P641</f>
        <v/>
      </c>
    </row>
    <row r="642">
      <c r="A642" t="inlineStr">
        <is>
          <t>פרמינה N&amp;D</t>
        </is>
      </c>
      <c r="B642" t="inlineStr">
        <is>
          <t>ND אנסס עוף רימון כלב מיני 2.5 ק"ג</t>
        </is>
      </c>
      <c r="C642" t="inlineStr">
        <is>
          <t>N&amp;D כלב 2.5</t>
        </is>
      </c>
      <c r="D642" t="inlineStr">
        <is>
          <t>5560264</t>
        </is>
      </c>
      <c r="E642" t="inlineStr">
        <is>
          <t>רגיל</t>
        </is>
      </c>
      <c r="F642" t="inlineStr">
        <is>
          <t>יבש</t>
        </is>
      </c>
      <c r="G642" t="inlineStr"/>
      <c r="H642" t="inlineStr">
        <is>
          <t>כלב</t>
        </is>
      </c>
      <c r="I642" t="inlineStr">
        <is>
          <t>עד 7 ק"ג</t>
        </is>
      </c>
      <c r="J642" t="inlineStr">
        <is>
          <t>2026-08</t>
        </is>
      </c>
      <c r="K642" t="n">
        <v>101.14</v>
      </c>
      <c r="L642" t="n">
        <v>119.35</v>
      </c>
      <c r="M642">
        <f>הגדרות!B8</f>
        <v/>
      </c>
      <c r="N642">
        <f>K642*(1-M642/100)*1.18</f>
        <v/>
      </c>
      <c r="O642">
        <f>הגדרות!C8</f>
        <v/>
      </c>
      <c r="P642">
        <f>הגדרות!D8</f>
        <v/>
      </c>
      <c r="Q642">
        <f>N642*(1+O642/100)+P642</f>
        <v/>
      </c>
    </row>
    <row r="643">
      <c r="A643" t="inlineStr">
        <is>
          <t>פרמינה N&amp;D</t>
        </is>
      </c>
      <c r="B643" t="inlineStr">
        <is>
          <t>ND אנסס כבש אוכמניות כלב מיני 2.5 קג</t>
        </is>
      </c>
      <c r="C643" t="inlineStr">
        <is>
          <t>N&amp;D כלב 2.5</t>
        </is>
      </c>
      <c r="D643" t="inlineStr">
        <is>
          <t>5560268</t>
        </is>
      </c>
      <c r="E643" t="inlineStr">
        <is>
          <t>רגיל</t>
        </is>
      </c>
      <c r="F643" t="inlineStr">
        <is>
          <t>יבש</t>
        </is>
      </c>
      <c r="G643" t="inlineStr"/>
      <c r="H643" t="inlineStr">
        <is>
          <t>כלב</t>
        </is>
      </c>
      <c r="I643" t="inlineStr">
        <is>
          <t>עד 7 ק"ג</t>
        </is>
      </c>
      <c r="J643" t="inlineStr">
        <is>
          <t>2026-08</t>
        </is>
      </c>
      <c r="K643" t="n">
        <v>108.36</v>
      </c>
      <c r="L643" t="n">
        <v>127.86</v>
      </c>
      <c r="M643">
        <f>הגדרות!B8</f>
        <v/>
      </c>
      <c r="N643">
        <f>K643*(1-M643/100)*1.18</f>
        <v/>
      </c>
      <c r="O643">
        <f>הגדרות!C8</f>
        <v/>
      </c>
      <c r="P643">
        <f>הגדרות!D8</f>
        <v/>
      </c>
      <c r="Q643">
        <f>N643*(1+O643/100)+P643</f>
        <v/>
      </c>
    </row>
    <row r="644">
      <c r="A644" t="inlineStr">
        <is>
          <t>פרמינה N&amp;D</t>
        </is>
      </c>
      <c r="B644" t="inlineStr">
        <is>
          <t>ND אנסס כבש אוכמניות גור מיני 2.5 קג</t>
        </is>
      </c>
      <c r="C644" t="inlineStr">
        <is>
          <t>N&amp;D כלב 2.5</t>
        </is>
      </c>
      <c r="D644" t="inlineStr">
        <is>
          <t>5560278</t>
        </is>
      </c>
      <c r="E644" t="inlineStr">
        <is>
          <t>רגיל</t>
        </is>
      </c>
      <c r="F644" t="inlineStr">
        <is>
          <t>יבש</t>
        </is>
      </c>
      <c r="G644" t="inlineStr">
        <is>
          <t>גורים</t>
        </is>
      </c>
      <c r="H644" t="inlineStr">
        <is>
          <t>כלב</t>
        </is>
      </c>
      <c r="I644" t="inlineStr">
        <is>
          <t>עד 7 ק"ג</t>
        </is>
      </c>
      <c r="J644" t="inlineStr">
        <is>
          <t>2026-08</t>
        </is>
      </c>
      <c r="K644" t="n">
        <v>108.36</v>
      </c>
      <c r="L644" t="n">
        <v>127.86</v>
      </c>
      <c r="M644">
        <f>הגדרות!B8</f>
        <v/>
      </c>
      <c r="N644">
        <f>K644*(1-M644/100)*1.18</f>
        <v/>
      </c>
      <c r="O644">
        <f>הגדרות!C8</f>
        <v/>
      </c>
      <c r="P644">
        <f>הגדרות!D8</f>
        <v/>
      </c>
      <c r="Q644">
        <f>N644*(1+O644/100)+P644</f>
        <v/>
      </c>
    </row>
    <row r="645">
      <c r="A645" t="inlineStr">
        <is>
          <t>פרמינה N&amp;D</t>
        </is>
      </c>
      <c r="B645" t="inlineStr">
        <is>
          <t>ND קינואה פרווה ברווז כלב מיני 2.5 קג</t>
        </is>
      </c>
      <c r="C645" t="inlineStr">
        <is>
          <t>N&amp;D כלב 2.5</t>
        </is>
      </c>
      <c r="D645" t="inlineStr">
        <is>
          <t>5560284</t>
        </is>
      </c>
      <c r="E645" t="inlineStr">
        <is>
          <t>רגיל</t>
        </is>
      </c>
      <c r="F645" t="inlineStr">
        <is>
          <t>יבש</t>
        </is>
      </c>
      <c r="G645" t="inlineStr"/>
      <c r="H645" t="inlineStr">
        <is>
          <t>כלב</t>
        </is>
      </c>
      <c r="I645" t="inlineStr">
        <is>
          <t>עד 7 ק"ג</t>
        </is>
      </c>
      <c r="J645" t="inlineStr">
        <is>
          <t>2026-08</t>
        </is>
      </c>
      <c r="K645" t="n">
        <v>132.1</v>
      </c>
      <c r="L645" t="n">
        <v>155.88</v>
      </c>
      <c r="M645">
        <f>הגדרות!B8</f>
        <v/>
      </c>
      <c r="N645">
        <f>K645*(1-M645/100)*1.18</f>
        <v/>
      </c>
      <c r="O645">
        <f>הגדרות!C8</f>
        <v/>
      </c>
      <c r="P645">
        <f>הגדרות!D8</f>
        <v/>
      </c>
      <c r="Q645">
        <f>N645*(1+O645/100)+P645</f>
        <v/>
      </c>
    </row>
    <row r="646">
      <c r="A646" t="inlineStr">
        <is>
          <t>פרמינה N&amp;D</t>
        </is>
      </c>
      <c r="B646" t="inlineStr">
        <is>
          <t>ND קינואה פרווה צבי כלב מיני 2.5 ק"ג</t>
        </is>
      </c>
      <c r="C646" t="inlineStr">
        <is>
          <t>N&amp;D כלב 2.5</t>
        </is>
      </c>
      <c r="D646" t="inlineStr">
        <is>
          <t>5560286</t>
        </is>
      </c>
      <c r="E646" t="inlineStr">
        <is>
          <t>רגיל</t>
        </is>
      </c>
      <c r="F646" t="inlineStr">
        <is>
          <t>יבש</t>
        </is>
      </c>
      <c r="G646" t="inlineStr"/>
      <c r="H646" t="inlineStr">
        <is>
          <t>כלב</t>
        </is>
      </c>
      <c r="I646" t="inlineStr">
        <is>
          <t>עד 7 ק"ג</t>
        </is>
      </c>
      <c r="J646" t="inlineStr">
        <is>
          <t>2026-08</t>
        </is>
      </c>
      <c r="K646" t="n">
        <v>132.1</v>
      </c>
      <c r="L646" t="n">
        <v>155.88</v>
      </c>
      <c r="M646">
        <f>הגדרות!B8</f>
        <v/>
      </c>
      <c r="N646">
        <f>K646*(1-M646/100)*1.18</f>
        <v/>
      </c>
      <c r="O646">
        <f>הגדרות!C8</f>
        <v/>
      </c>
      <c r="P646">
        <f>הגדרות!D8</f>
        <v/>
      </c>
      <c r="Q646">
        <f>N646*(1+O646/100)+P646</f>
        <v/>
      </c>
    </row>
    <row r="647">
      <c r="A647" t="inlineStr">
        <is>
          <t>פרמינה N&amp;D</t>
        </is>
      </c>
      <c r="B647" t="inlineStr">
        <is>
          <t>ND אושן קוד דלעת מלון גור מיני 2.5 ק"ג</t>
        </is>
      </c>
      <c r="C647" t="inlineStr">
        <is>
          <t>N&amp;D כלב 2.5</t>
        </is>
      </c>
      <c r="D647" t="inlineStr">
        <is>
          <t>5560295</t>
        </is>
      </c>
      <c r="E647" t="inlineStr">
        <is>
          <t>רגיל</t>
        </is>
      </c>
      <c r="F647" t="inlineStr">
        <is>
          <t>יבש</t>
        </is>
      </c>
      <c r="G647" t="inlineStr">
        <is>
          <t>גורים</t>
        </is>
      </c>
      <c r="H647" t="inlineStr">
        <is>
          <t>כלב</t>
        </is>
      </c>
      <c r="I647" t="inlineStr">
        <is>
          <t>עד 7 ק"ג</t>
        </is>
      </c>
      <c r="J647" t="inlineStr">
        <is>
          <t>2026-08</t>
        </is>
      </c>
      <c r="K647" t="n">
        <v>117.65</v>
      </c>
      <c r="L647" t="n">
        <v>138.83</v>
      </c>
      <c r="M647">
        <f>הגדרות!B8</f>
        <v/>
      </c>
      <c r="N647">
        <f>K647*(1-M647/100)*1.18</f>
        <v/>
      </c>
      <c r="O647">
        <f>הגדרות!C8</f>
        <v/>
      </c>
      <c r="P647">
        <f>הגדרות!D8</f>
        <v/>
      </c>
      <c r="Q647">
        <f>N647*(1+O647/100)+P647</f>
        <v/>
      </c>
    </row>
    <row r="648">
      <c r="A648" t="inlineStr">
        <is>
          <t>פרמינה N&amp;D</t>
        </is>
      </c>
      <c r="B648" t="inlineStr">
        <is>
          <t>ND אנסס עוף רימון כלב גור מיני 2.5 ק"ג</t>
        </is>
      </c>
      <c r="C648" t="inlineStr">
        <is>
          <t>N&amp;D כלב 2.5</t>
        </is>
      </c>
      <c r="D648" t="inlineStr">
        <is>
          <t>5560299</t>
        </is>
      </c>
      <c r="E648" t="inlineStr">
        <is>
          <t>רגיל</t>
        </is>
      </c>
      <c r="F648" t="inlineStr">
        <is>
          <t>יבש</t>
        </is>
      </c>
      <c r="G648" t="inlineStr">
        <is>
          <t>גורים</t>
        </is>
      </c>
      <c r="H648" t="inlineStr">
        <is>
          <t>כלב</t>
        </is>
      </c>
      <c r="I648" t="inlineStr">
        <is>
          <t>עד 7 ק"ג</t>
        </is>
      </c>
      <c r="J648" t="inlineStr">
        <is>
          <t>2026-08</t>
        </is>
      </c>
      <c r="K648" t="n">
        <v>108.36</v>
      </c>
      <c r="L648" t="n">
        <v>127.86</v>
      </c>
      <c r="M648">
        <f>הגדרות!B8</f>
        <v/>
      </c>
      <c r="N648">
        <f>K648*(1-M648/100)*1.18</f>
        <v/>
      </c>
      <c r="O648">
        <f>הגדרות!C8</f>
        <v/>
      </c>
      <c r="P648">
        <f>הגדרות!D8</f>
        <v/>
      </c>
      <c r="Q648">
        <f>N648*(1+O648/100)+P648</f>
        <v/>
      </c>
    </row>
    <row r="649">
      <c r="A649" t="inlineStr">
        <is>
          <t>פרמינה N&amp;D</t>
        </is>
      </c>
      <c r="B649" t="inlineStr">
        <is>
          <t>ND אושן הרינג דלעת תפוז כלב מיני 2.5 ק"ג</t>
        </is>
      </c>
      <c r="C649" t="inlineStr">
        <is>
          <t>N&amp;D כלב 2.5</t>
        </is>
      </c>
      <c r="D649" t="inlineStr">
        <is>
          <t>5560313</t>
        </is>
      </c>
      <c r="E649" t="inlineStr">
        <is>
          <t>רגיל</t>
        </is>
      </c>
      <c r="F649" t="inlineStr">
        <is>
          <t>יבש</t>
        </is>
      </c>
      <c r="G649" t="inlineStr"/>
      <c r="H649" t="inlineStr">
        <is>
          <t>כלב</t>
        </is>
      </c>
      <c r="I649" t="inlineStr">
        <is>
          <t>עד 7 ק"ג</t>
        </is>
      </c>
      <c r="J649" t="inlineStr">
        <is>
          <t>2026-08</t>
        </is>
      </c>
      <c r="K649" t="n">
        <v>117.65</v>
      </c>
      <c r="L649" t="n">
        <v>138.83</v>
      </c>
      <c r="M649">
        <f>הגדרות!B8</f>
        <v/>
      </c>
      <c r="N649">
        <f>K649*(1-M649/100)*1.18</f>
        <v/>
      </c>
      <c r="O649">
        <f>הגדרות!C8</f>
        <v/>
      </c>
      <c r="P649">
        <f>הגדרות!D8</f>
        <v/>
      </c>
      <c r="Q649">
        <f>N649*(1+O649/100)+P649</f>
        <v/>
      </c>
    </row>
    <row r="650">
      <c r="A650" t="inlineStr">
        <is>
          <t>פרמינה N&amp;D</t>
        </is>
      </c>
      <c r="B650" t="inlineStr">
        <is>
          <t>ND כלב לבן מיני 2 ק"ג</t>
        </is>
      </c>
      <c r="C650" t="inlineStr">
        <is>
          <t>N&amp;D כלב 2.5</t>
        </is>
      </c>
      <c r="D650" t="inlineStr">
        <is>
          <t>5560429</t>
        </is>
      </c>
      <c r="E650" t="inlineStr">
        <is>
          <t>רגיל</t>
        </is>
      </c>
      <c r="F650" t="inlineStr">
        <is>
          <t>יבש</t>
        </is>
      </c>
      <c r="G650" t="inlineStr"/>
      <c r="H650" t="inlineStr">
        <is>
          <t>כלב</t>
        </is>
      </c>
      <c r="I650" t="inlineStr">
        <is>
          <t>עד 7 ק"ג</t>
        </is>
      </c>
      <c r="J650" t="inlineStr">
        <is>
          <t>2026-08</t>
        </is>
      </c>
      <c r="K650" t="n">
        <v>136.47</v>
      </c>
      <c r="L650" t="n">
        <v>161.03</v>
      </c>
      <c r="M650">
        <f>הגדרות!B8</f>
        <v/>
      </c>
      <c r="N650">
        <f>K650*(1-M650/100)*1.18</f>
        <v/>
      </c>
      <c r="O650">
        <f>הגדרות!C8</f>
        <v/>
      </c>
      <c r="P650">
        <f>הגדרות!D8</f>
        <v/>
      </c>
      <c r="Q650">
        <f>N650*(1+O650/100)+P650</f>
        <v/>
      </c>
    </row>
    <row r="651">
      <c r="A651" t="inlineStr">
        <is>
          <t>פרמינה N&amp;D</t>
        </is>
      </c>
      <c r="B651" t="inlineStr">
        <is>
          <t>ND כלב חום מיני 2 ק"ג</t>
        </is>
      </c>
      <c r="C651" t="inlineStr">
        <is>
          <t>N&amp;D כלב 2.5</t>
        </is>
      </c>
      <c r="D651" t="inlineStr">
        <is>
          <t>5560430</t>
        </is>
      </c>
      <c r="E651" t="inlineStr">
        <is>
          <t>רגיל</t>
        </is>
      </c>
      <c r="F651" t="inlineStr">
        <is>
          <t>יבש</t>
        </is>
      </c>
      <c r="G651" t="inlineStr"/>
      <c r="H651" t="inlineStr">
        <is>
          <t>כלב</t>
        </is>
      </c>
      <c r="I651" t="inlineStr">
        <is>
          <t>עד 7 ק"ג</t>
        </is>
      </c>
      <c r="J651" t="inlineStr">
        <is>
          <t>2026-08</t>
        </is>
      </c>
      <c r="K651" t="n">
        <v>136.47</v>
      </c>
      <c r="L651" t="n">
        <v>161.03</v>
      </c>
      <c r="M651">
        <f>הגדרות!B8</f>
        <v/>
      </c>
      <c r="N651">
        <f>K651*(1-M651/100)*1.18</f>
        <v/>
      </c>
      <c r="O651">
        <f>הגדרות!C8</f>
        <v/>
      </c>
      <c r="P651">
        <f>הגדרות!D8</f>
        <v/>
      </c>
      <c r="Q651">
        <f>N651*(1+O651/100)+P651</f>
        <v/>
      </c>
    </row>
    <row r="652">
      <c r="A652" t="inlineStr">
        <is>
          <t>פרמינה N&amp;D</t>
        </is>
      </c>
      <c r="B652" t="inlineStr">
        <is>
          <t>ND גורים כלב לבן 1.5 ק"ג</t>
        </is>
      </c>
      <c r="C652" t="inlineStr">
        <is>
          <t>N&amp;D כלב 2.5</t>
        </is>
      </c>
      <c r="D652" t="inlineStr">
        <is>
          <t>5560488</t>
        </is>
      </c>
      <c r="E652" t="inlineStr">
        <is>
          <t>רגיל</t>
        </is>
      </c>
      <c r="F652" t="inlineStr">
        <is>
          <t>יבש</t>
        </is>
      </c>
      <c r="G652" t="inlineStr">
        <is>
          <t>גורים</t>
        </is>
      </c>
      <c r="H652" t="inlineStr">
        <is>
          <t>כלב</t>
        </is>
      </c>
      <c r="I652" t="inlineStr"/>
      <c r="J652" t="inlineStr">
        <is>
          <t>2026-08</t>
        </is>
      </c>
      <c r="K652" t="n">
        <v>113</v>
      </c>
      <c r="L652" t="n">
        <v>133.34</v>
      </c>
      <c r="M652">
        <f>הגדרות!B8</f>
        <v/>
      </c>
      <c r="N652">
        <f>K652*(1-M652/100)*1.18</f>
        <v/>
      </c>
      <c r="O652">
        <f>הגדרות!C8</f>
        <v/>
      </c>
      <c r="P652">
        <f>הגדרות!D8</f>
        <v/>
      </c>
      <c r="Q652">
        <f>N652*(1+O652/100)+P652</f>
        <v/>
      </c>
    </row>
    <row r="653">
      <c r="A653" t="inlineStr">
        <is>
          <t>פרמינה N&amp;D</t>
        </is>
      </c>
      <c r="B653" t="inlineStr">
        <is>
          <t>ND גורים כלב חום 1.5 ק"ג</t>
        </is>
      </c>
      <c r="C653" t="inlineStr">
        <is>
          <t>N&amp;D כלב 2.5</t>
        </is>
      </c>
      <c r="D653" t="inlineStr">
        <is>
          <t>5560489</t>
        </is>
      </c>
      <c r="E653" t="inlineStr">
        <is>
          <t>רגיל</t>
        </is>
      </c>
      <c r="F653" t="inlineStr">
        <is>
          <t>יבש</t>
        </is>
      </c>
      <c r="G653" t="inlineStr">
        <is>
          <t>גורים</t>
        </is>
      </c>
      <c r="H653" t="inlineStr">
        <is>
          <t>כלב</t>
        </is>
      </c>
      <c r="I653" t="inlineStr"/>
      <c r="J653" t="inlineStr">
        <is>
          <t>2026-08</t>
        </is>
      </c>
      <c r="K653" t="n">
        <v>113</v>
      </c>
      <c r="L653" t="n">
        <v>133.34</v>
      </c>
      <c r="M653">
        <f>הגדרות!B8</f>
        <v/>
      </c>
      <c r="N653">
        <f>K653*(1-M653/100)*1.18</f>
        <v/>
      </c>
      <c r="O653">
        <f>הגדרות!C8</f>
        <v/>
      </c>
      <c r="P653">
        <f>הגדרות!D8</f>
        <v/>
      </c>
      <c r="Q653">
        <f>N653*(1+O653/100)+P653</f>
        <v/>
      </c>
    </row>
    <row r="654">
      <c r="A654" t="inlineStr">
        <is>
          <t>פרמינה N&amp;D</t>
        </is>
      </c>
      <c r="B654" t="inlineStr">
        <is>
          <t>ND כלב לבן מדיום 7 ק"ג</t>
        </is>
      </c>
      <c r="C654" t="inlineStr">
        <is>
          <t>N&amp;D כלב 7</t>
        </is>
      </c>
      <c r="D654" t="inlineStr">
        <is>
          <t>5555659</t>
        </is>
      </c>
      <c r="E654" t="inlineStr">
        <is>
          <t>רגיל</t>
        </is>
      </c>
      <c r="F654" t="inlineStr">
        <is>
          <t>יבש</t>
        </is>
      </c>
      <c r="G654" t="inlineStr"/>
      <c r="H654" t="inlineStr">
        <is>
          <t>כלב</t>
        </is>
      </c>
      <c r="I654" t="inlineStr">
        <is>
          <t>מעל 7 ק"ג</t>
        </is>
      </c>
      <c r="J654" t="inlineStr">
        <is>
          <t>2026-08</t>
        </is>
      </c>
      <c r="K654" t="n">
        <v>307</v>
      </c>
      <c r="L654" t="n">
        <v>362.26</v>
      </c>
      <c r="M654">
        <f>הגדרות!B8</f>
        <v/>
      </c>
      <c r="N654">
        <f>K654*(1-M654/100)*1.18</f>
        <v/>
      </c>
      <c r="O654">
        <f>הגדרות!C8</f>
        <v/>
      </c>
      <c r="P654">
        <f>הגדרות!D8</f>
        <v/>
      </c>
      <c r="Q654">
        <f>N654*(1+O654/100)+P654</f>
        <v/>
      </c>
    </row>
    <row r="655">
      <c r="A655" t="inlineStr">
        <is>
          <t>פרמינה N&amp;D</t>
        </is>
      </c>
      <c r="B655" t="inlineStr">
        <is>
          <t>ND דלעת חזיר תפוח כלב מיני 7 ק"ג</t>
        </is>
      </c>
      <c r="C655" t="inlineStr">
        <is>
          <t>N&amp;D כלב 7</t>
        </is>
      </c>
      <c r="D655" t="inlineStr">
        <is>
          <t>5560242</t>
        </is>
      </c>
      <c r="E655" t="inlineStr">
        <is>
          <t>רגיל</t>
        </is>
      </c>
      <c r="F655" t="inlineStr">
        <is>
          <t>יבש</t>
        </is>
      </c>
      <c r="G655" t="inlineStr"/>
      <c r="H655" t="inlineStr">
        <is>
          <t>כלב</t>
        </is>
      </c>
      <c r="I655" t="inlineStr">
        <is>
          <t>עד 7 ק"ג</t>
        </is>
      </c>
      <c r="J655" t="inlineStr">
        <is>
          <t>2026-08</t>
        </is>
      </c>
      <c r="K655" t="n">
        <v>223.94</v>
      </c>
      <c r="L655" t="n">
        <v>264.25</v>
      </c>
      <c r="M655">
        <f>הגדרות!B8</f>
        <v/>
      </c>
      <c r="N655">
        <f>K655*(1-M655/100)*1.18</f>
        <v/>
      </c>
      <c r="O655">
        <f>הגדרות!C8</f>
        <v/>
      </c>
      <c r="P655">
        <f>הגדרות!D8</f>
        <v/>
      </c>
      <c r="Q655">
        <f>N655*(1+O655/100)+P655</f>
        <v/>
      </c>
    </row>
    <row r="656">
      <c r="A656" t="inlineStr">
        <is>
          <t>פרמינה N&amp;D</t>
        </is>
      </c>
      <c r="B656" t="inlineStr">
        <is>
          <t>ND דלעת עוף רימון כלב מיני 7 ק"ג</t>
        </is>
      </c>
      <c r="C656" t="inlineStr">
        <is>
          <t>N&amp;D כלב 7</t>
        </is>
      </c>
      <c r="D656" t="inlineStr">
        <is>
          <t>5560245</t>
        </is>
      </c>
      <c r="E656" t="inlineStr">
        <is>
          <t>רגיל</t>
        </is>
      </c>
      <c r="F656" t="inlineStr">
        <is>
          <t>יבש</t>
        </is>
      </c>
      <c r="G656" t="inlineStr"/>
      <c r="H656" t="inlineStr">
        <is>
          <t>כלב</t>
        </is>
      </c>
      <c r="I656" t="inlineStr">
        <is>
          <t>עד 7 ק"ג</t>
        </is>
      </c>
      <c r="J656" t="inlineStr">
        <is>
          <t>2026-08</t>
        </is>
      </c>
      <c r="K656" t="n">
        <v>203.3</v>
      </c>
      <c r="L656" t="n">
        <v>239.89</v>
      </c>
      <c r="M656">
        <f>הגדרות!B8</f>
        <v/>
      </c>
      <c r="N656">
        <f>K656*(1-M656/100)*1.18</f>
        <v/>
      </c>
      <c r="O656">
        <f>הגדרות!C8</f>
        <v/>
      </c>
      <c r="P656">
        <f>הגדרות!D8</f>
        <v/>
      </c>
      <c r="Q656">
        <f>N656*(1+O656/100)+P656</f>
        <v/>
      </c>
    </row>
    <row r="657">
      <c r="A657" t="inlineStr">
        <is>
          <t>פרמינה N&amp;D</t>
        </is>
      </c>
      <c r="B657" t="inlineStr">
        <is>
          <t>ND דלעת כבש אוכמניות כלב מיני 7 ק"ג</t>
        </is>
      </c>
      <c r="C657" t="inlineStr">
        <is>
          <t>N&amp;D כלב 7</t>
        </is>
      </c>
      <c r="D657" t="inlineStr">
        <is>
          <t>5560249</t>
        </is>
      </c>
      <c r="E657" t="inlineStr">
        <is>
          <t>רגיל</t>
        </is>
      </c>
      <c r="F657" t="inlineStr">
        <is>
          <t>יבש</t>
        </is>
      </c>
      <c r="G657" t="inlineStr"/>
      <c r="H657" t="inlineStr">
        <is>
          <t>כלב</t>
        </is>
      </c>
      <c r="I657" t="inlineStr">
        <is>
          <t>עד 7 ק"ג</t>
        </is>
      </c>
      <c r="J657" t="inlineStr">
        <is>
          <t>2026-08</t>
        </is>
      </c>
      <c r="K657" t="n">
        <v>223.94</v>
      </c>
      <c r="L657" t="n">
        <v>264.25</v>
      </c>
      <c r="M657">
        <f>הגדרות!B8</f>
        <v/>
      </c>
      <c r="N657">
        <f>K657*(1-M657/100)*1.18</f>
        <v/>
      </c>
      <c r="O657">
        <f>הגדרות!C8</f>
        <v/>
      </c>
      <c r="P657">
        <f>הגדרות!D8</f>
        <v/>
      </c>
      <c r="Q657">
        <f>N657*(1+O657/100)+P657</f>
        <v/>
      </c>
    </row>
    <row r="658">
      <c r="A658" t="inlineStr">
        <is>
          <t>פרמינה N&amp;D</t>
        </is>
      </c>
      <c r="B658" t="inlineStr">
        <is>
          <t>ND דלעת כבש אוכמניות גור מיני 7 ק"ג</t>
        </is>
      </c>
      <c r="C658" t="inlineStr">
        <is>
          <t>N&amp;D כלב 7</t>
        </is>
      </c>
      <c r="D658" t="inlineStr">
        <is>
          <t>5560252</t>
        </is>
      </c>
      <c r="E658" t="inlineStr">
        <is>
          <t>רגיל</t>
        </is>
      </c>
      <c r="F658" t="inlineStr">
        <is>
          <t>יבש</t>
        </is>
      </c>
      <c r="G658" t="inlineStr">
        <is>
          <t>גורים</t>
        </is>
      </c>
      <c r="H658" t="inlineStr">
        <is>
          <t>כלב</t>
        </is>
      </c>
      <c r="I658" t="inlineStr">
        <is>
          <t>עד 7 ק"ג</t>
        </is>
      </c>
      <c r="J658" t="inlineStr">
        <is>
          <t>2026-08</t>
        </is>
      </c>
      <c r="K658" t="n">
        <v>239.42</v>
      </c>
      <c r="L658" t="n">
        <v>282.52</v>
      </c>
      <c r="M658">
        <f>הגדרות!B8</f>
        <v/>
      </c>
      <c r="N658">
        <f>K658*(1-M658/100)*1.18</f>
        <v/>
      </c>
      <c r="O658">
        <f>הגדרות!C8</f>
        <v/>
      </c>
      <c r="P658">
        <f>הגדרות!D8</f>
        <v/>
      </c>
      <c r="Q658">
        <f>N658*(1+O658/100)+P658</f>
        <v/>
      </c>
    </row>
    <row r="659">
      <c r="A659" t="inlineStr">
        <is>
          <t>פרמינה N&amp;D</t>
        </is>
      </c>
      <c r="B659" t="inlineStr">
        <is>
          <t>ND אנסס כבש אוכמניות כלב מיני 7 ק"ג</t>
        </is>
      </c>
      <c r="C659" t="inlineStr">
        <is>
          <t>N&amp;D כלב 7</t>
        </is>
      </c>
      <c r="D659" t="inlineStr">
        <is>
          <t>5560267</t>
        </is>
      </c>
      <c r="E659" t="inlineStr">
        <is>
          <t>רגיל</t>
        </is>
      </c>
      <c r="F659" t="inlineStr">
        <is>
          <t>יבש</t>
        </is>
      </c>
      <c r="G659" t="inlineStr"/>
      <c r="H659" t="inlineStr">
        <is>
          <t>כלב</t>
        </is>
      </c>
      <c r="I659" t="inlineStr">
        <is>
          <t>עד 7 ק"ג</t>
        </is>
      </c>
      <c r="J659" t="inlineStr">
        <is>
          <t>2026-08</t>
        </is>
      </c>
      <c r="K659" t="n">
        <v>197.11</v>
      </c>
      <c r="L659" t="n">
        <v>232.59</v>
      </c>
      <c r="M659">
        <f>הגדרות!B8</f>
        <v/>
      </c>
      <c r="N659">
        <f>K659*(1-M659/100)*1.18</f>
        <v/>
      </c>
      <c r="O659">
        <f>הגדרות!C8</f>
        <v/>
      </c>
      <c r="P659">
        <f>הגדרות!D8</f>
        <v/>
      </c>
      <c r="Q659">
        <f>N659*(1+O659/100)+P659</f>
        <v/>
      </c>
    </row>
    <row r="660">
      <c r="A660" t="inlineStr">
        <is>
          <t>פרמינה N&amp;D</t>
        </is>
      </c>
      <c r="B660" t="inlineStr">
        <is>
          <t>ND אנסס עוף רימון כלב מיני 7 ק"ג</t>
        </is>
      </c>
      <c r="C660" t="inlineStr">
        <is>
          <t>N&amp;D כלב 7</t>
        </is>
      </c>
      <c r="D660" t="inlineStr">
        <is>
          <t>5560269</t>
        </is>
      </c>
      <c r="E660" t="inlineStr">
        <is>
          <t>רגיל</t>
        </is>
      </c>
      <c r="F660" t="inlineStr">
        <is>
          <t>יבש</t>
        </is>
      </c>
      <c r="G660" t="inlineStr"/>
      <c r="H660" t="inlineStr">
        <is>
          <t>כלב</t>
        </is>
      </c>
      <c r="I660" t="inlineStr">
        <is>
          <t>עד 7 ק"ג</t>
        </is>
      </c>
      <c r="J660" t="inlineStr">
        <is>
          <t>2026-08</t>
        </is>
      </c>
      <c r="K660" t="n">
        <v>197.11</v>
      </c>
      <c r="L660" t="n">
        <v>232.59</v>
      </c>
      <c r="M660">
        <f>הגדרות!B8</f>
        <v/>
      </c>
      <c r="N660">
        <f>K660*(1-M660/100)*1.18</f>
        <v/>
      </c>
      <c r="O660">
        <f>הגדרות!C8</f>
        <v/>
      </c>
      <c r="P660">
        <f>הגדרות!D8</f>
        <v/>
      </c>
      <c r="Q660">
        <f>N660*(1+O660/100)+P660</f>
        <v/>
      </c>
    </row>
    <row r="661">
      <c r="A661" t="inlineStr">
        <is>
          <t>פרמינה N&amp;D</t>
        </is>
      </c>
      <c r="B661" t="inlineStr">
        <is>
          <t>ND אנסס כבש אוכמניות גור מיני 7 ק"ג</t>
        </is>
      </c>
      <c r="C661" t="inlineStr">
        <is>
          <t>N&amp;D כלב 7</t>
        </is>
      </c>
      <c r="D661" t="inlineStr">
        <is>
          <t>5560276</t>
        </is>
      </c>
      <c r="E661" t="inlineStr">
        <is>
          <t>רגיל</t>
        </is>
      </c>
      <c r="F661" t="inlineStr">
        <is>
          <t>יבש</t>
        </is>
      </c>
      <c r="G661" t="inlineStr">
        <is>
          <t>גורים</t>
        </is>
      </c>
      <c r="H661" t="inlineStr">
        <is>
          <t>כלב</t>
        </is>
      </c>
      <c r="I661" t="inlineStr">
        <is>
          <t>עד 7 ק"ג</t>
        </is>
      </c>
      <c r="J661" t="inlineStr">
        <is>
          <t>2026-08</t>
        </is>
      </c>
      <c r="K661" t="n">
        <v>197.11</v>
      </c>
      <c r="L661" t="n">
        <v>232.59</v>
      </c>
      <c r="M661">
        <f>הגדרות!B8</f>
        <v/>
      </c>
      <c r="N661">
        <f>K661*(1-M661/100)*1.18</f>
        <v/>
      </c>
      <c r="O661">
        <f>הגדרות!C8</f>
        <v/>
      </c>
      <c r="P661">
        <f>הגדרות!D8</f>
        <v/>
      </c>
      <c r="Q661">
        <f>N661*(1+O661/100)+P661</f>
        <v/>
      </c>
    </row>
    <row r="662">
      <c r="A662" t="inlineStr">
        <is>
          <t>פרמינה N&amp;D</t>
        </is>
      </c>
      <c r="B662" t="inlineStr">
        <is>
          <t>ND קינואה פרווה ברווז כלב מדיום 7 קג</t>
        </is>
      </c>
      <c r="C662" t="inlineStr">
        <is>
          <t>N&amp;D כלב 7</t>
        </is>
      </c>
      <c r="D662" t="inlineStr">
        <is>
          <t>5560289</t>
        </is>
      </c>
      <c r="E662" t="inlineStr">
        <is>
          <t>רגיל</t>
        </is>
      </c>
      <c r="F662" t="inlineStr">
        <is>
          <t>יבש</t>
        </is>
      </c>
      <c r="G662" t="inlineStr"/>
      <c r="H662" t="inlineStr">
        <is>
          <t>כלב</t>
        </is>
      </c>
      <c r="I662" t="inlineStr">
        <is>
          <t>מעל 7 ק"ג</t>
        </is>
      </c>
      <c r="J662" t="inlineStr">
        <is>
          <t>2026-08</t>
        </is>
      </c>
      <c r="K662" t="n">
        <v>295.15</v>
      </c>
      <c r="L662" t="n">
        <v>348.28</v>
      </c>
      <c r="M662">
        <f>הגדרות!B8</f>
        <v/>
      </c>
      <c r="N662">
        <f>K662*(1-M662/100)*1.18</f>
        <v/>
      </c>
      <c r="O662">
        <f>הגדרות!C8</f>
        <v/>
      </c>
      <c r="P662">
        <f>הגדרות!D8</f>
        <v/>
      </c>
      <c r="Q662">
        <f>N662*(1+O662/100)+P662</f>
        <v/>
      </c>
    </row>
    <row r="663">
      <c r="A663" t="inlineStr">
        <is>
          <t>פרמינה N&amp;D</t>
        </is>
      </c>
      <c r="B663" t="inlineStr">
        <is>
          <t>ND קינואה פרווה צבי כלב מדיום 7 קג</t>
        </is>
      </c>
      <c r="C663" t="inlineStr">
        <is>
          <t>N&amp;D כלב 7</t>
        </is>
      </c>
      <c r="D663" t="inlineStr">
        <is>
          <t>5560291</t>
        </is>
      </c>
      <c r="E663" t="inlineStr">
        <is>
          <t>רגיל</t>
        </is>
      </c>
      <c r="F663" t="inlineStr">
        <is>
          <t>יבש</t>
        </is>
      </c>
      <c r="G663" t="inlineStr"/>
      <c r="H663" t="inlineStr">
        <is>
          <t>כלב</t>
        </is>
      </c>
      <c r="I663" t="inlineStr">
        <is>
          <t>מעל 7 ק"ג</t>
        </is>
      </c>
      <c r="J663" t="inlineStr">
        <is>
          <t>2026-08</t>
        </is>
      </c>
      <c r="K663" t="n">
        <v>295.15</v>
      </c>
      <c r="L663" t="n">
        <v>348.28</v>
      </c>
      <c r="M663">
        <f>הגדרות!B8</f>
        <v/>
      </c>
      <c r="N663">
        <f>K663*(1-M663/100)*1.18</f>
        <v/>
      </c>
      <c r="O663">
        <f>הגדרות!C8</f>
        <v/>
      </c>
      <c r="P663">
        <f>הגדרות!D8</f>
        <v/>
      </c>
      <c r="Q663">
        <f>N663*(1+O663/100)+P663</f>
        <v/>
      </c>
    </row>
    <row r="664">
      <c r="A664" t="inlineStr">
        <is>
          <t>פרמינה N&amp;D</t>
        </is>
      </c>
      <c r="B664" t="inlineStr">
        <is>
          <t>ND אושן קוד דלעת מלון גור מיני 7 ק"ג</t>
        </is>
      </c>
      <c r="C664" t="inlineStr">
        <is>
          <t>N&amp;D כלב 7</t>
        </is>
      </c>
      <c r="D664" t="inlineStr">
        <is>
          <t>5560296</t>
        </is>
      </c>
      <c r="E664" t="inlineStr">
        <is>
          <t>רגיל</t>
        </is>
      </c>
      <c r="F664" t="inlineStr">
        <is>
          <t>יבש</t>
        </is>
      </c>
      <c r="G664" t="inlineStr">
        <is>
          <t>גורים</t>
        </is>
      </c>
      <c r="H664" t="inlineStr">
        <is>
          <t>כלב</t>
        </is>
      </c>
      <c r="I664" t="inlineStr">
        <is>
          <t>עד 7 ק"ג</t>
        </is>
      </c>
      <c r="J664" t="inlineStr">
        <is>
          <t>2026-08</t>
        </is>
      </c>
      <c r="K664" t="n">
        <v>236.33</v>
      </c>
      <c r="L664" t="n">
        <v>278.87</v>
      </c>
      <c r="M664">
        <f>הגדרות!B8</f>
        <v/>
      </c>
      <c r="N664">
        <f>K664*(1-M664/100)*1.18</f>
        <v/>
      </c>
      <c r="O664">
        <f>הגדרות!C8</f>
        <v/>
      </c>
      <c r="P664">
        <f>הגדרות!D8</f>
        <v/>
      </c>
      <c r="Q664">
        <f>N664*(1+O664/100)+P664</f>
        <v/>
      </c>
    </row>
    <row r="665">
      <c r="A665" t="inlineStr">
        <is>
          <t>פרמינה N&amp;D</t>
        </is>
      </c>
      <c r="B665" t="inlineStr">
        <is>
          <t>ND אנסס עוף רימון כלב גור מיני 7 ק"ג</t>
        </is>
      </c>
      <c r="C665" t="inlineStr">
        <is>
          <t>N&amp;D כלב 7</t>
        </is>
      </c>
      <c r="D665" t="inlineStr">
        <is>
          <t>5560300</t>
        </is>
      </c>
      <c r="E665" t="inlineStr">
        <is>
          <t>רגיל</t>
        </is>
      </c>
      <c r="F665" t="inlineStr">
        <is>
          <t>יבש</t>
        </is>
      </c>
      <c r="G665" t="inlineStr">
        <is>
          <t>גורים</t>
        </is>
      </c>
      <c r="H665" t="inlineStr">
        <is>
          <t>כלב</t>
        </is>
      </c>
      <c r="I665" t="inlineStr">
        <is>
          <t>עד 7 ק"ג</t>
        </is>
      </c>
      <c r="J665" t="inlineStr">
        <is>
          <t>2026-08</t>
        </is>
      </c>
      <c r="K665" t="n">
        <v>197.11</v>
      </c>
      <c r="L665" t="n">
        <v>232.59</v>
      </c>
      <c r="M665">
        <f>הגדרות!B8</f>
        <v/>
      </c>
      <c r="N665">
        <f>K665*(1-M665/100)*1.18</f>
        <v/>
      </c>
      <c r="O665">
        <f>הגדרות!C8</f>
        <v/>
      </c>
      <c r="P665">
        <f>הגדרות!D8</f>
        <v/>
      </c>
      <c r="Q665">
        <f>N665*(1+O665/100)+P665</f>
        <v/>
      </c>
    </row>
    <row r="666">
      <c r="A666" t="inlineStr">
        <is>
          <t>פרמינה N&amp;D</t>
        </is>
      </c>
      <c r="B666" t="inlineStr">
        <is>
          <t>ND אושן קוד דגנים תפוז כלב מיני 7 ק"ג</t>
        </is>
      </c>
      <c r="C666" t="inlineStr">
        <is>
          <t>N&amp;D כלב 7</t>
        </is>
      </c>
      <c r="D666" t="inlineStr">
        <is>
          <t>5560310</t>
        </is>
      </c>
      <c r="E666" t="inlineStr">
        <is>
          <t>רגיל</t>
        </is>
      </c>
      <c r="F666" t="inlineStr">
        <is>
          <t>יבש</t>
        </is>
      </c>
      <c r="G666" t="inlineStr"/>
      <c r="H666" t="inlineStr">
        <is>
          <t>כלב</t>
        </is>
      </c>
      <c r="I666" t="inlineStr">
        <is>
          <t>עד 7 ק"ג</t>
        </is>
      </c>
      <c r="J666" t="inlineStr">
        <is>
          <t>2026-08</t>
        </is>
      </c>
      <c r="K666" t="n">
        <v>200.21</v>
      </c>
      <c r="L666" t="n">
        <v>236.25</v>
      </c>
      <c r="M666">
        <f>הגדרות!B8</f>
        <v/>
      </c>
      <c r="N666">
        <f>K666*(1-M666/100)*1.18</f>
        <v/>
      </c>
      <c r="O666">
        <f>הגדרות!C8</f>
        <v/>
      </c>
      <c r="P666">
        <f>הגדרות!D8</f>
        <v/>
      </c>
      <c r="Q666">
        <f>N666*(1+O666/100)+P666</f>
        <v/>
      </c>
    </row>
    <row r="667">
      <c r="A667" t="inlineStr">
        <is>
          <t>פרמינה N&amp;D</t>
        </is>
      </c>
      <c r="B667" t="inlineStr">
        <is>
          <t>ND אושן הרינג דלעת תפוז כלב מיני 7 ק"ג</t>
        </is>
      </c>
      <c r="C667" t="inlineStr">
        <is>
          <t>N&amp;D כלב 7</t>
        </is>
      </c>
      <c r="D667" t="inlineStr">
        <is>
          <t>5560314</t>
        </is>
      </c>
      <c r="E667" t="inlineStr">
        <is>
          <t>רגיל</t>
        </is>
      </c>
      <c r="F667" t="inlineStr">
        <is>
          <t>יבש</t>
        </is>
      </c>
      <c r="G667" t="inlineStr"/>
      <c r="H667" t="inlineStr">
        <is>
          <t>כלב</t>
        </is>
      </c>
      <c r="I667" t="inlineStr">
        <is>
          <t>עד 7 ק"ג</t>
        </is>
      </c>
      <c r="J667" t="inlineStr">
        <is>
          <t>2026-08</t>
        </is>
      </c>
      <c r="K667" t="n">
        <v>220.85</v>
      </c>
      <c r="L667" t="n">
        <v>260.6</v>
      </c>
      <c r="M667">
        <f>הגדרות!B8</f>
        <v/>
      </c>
      <c r="N667">
        <f>K667*(1-M667/100)*1.18</f>
        <v/>
      </c>
      <c r="O667">
        <f>הגדרות!C8</f>
        <v/>
      </c>
      <c r="P667">
        <f>הגדרות!D8</f>
        <v/>
      </c>
      <c r="Q667">
        <f>N667*(1+O667/100)+P667</f>
        <v/>
      </c>
    </row>
    <row r="668">
      <c r="A668" t="inlineStr">
        <is>
          <t>פרמינה N&amp;D</t>
        </is>
      </c>
      <c r="B668" t="inlineStr">
        <is>
          <t>טרופיקל כלב כבש בוגר מיני 5 קג ND</t>
        </is>
      </c>
      <c r="C668" t="inlineStr">
        <is>
          <t>N&amp;D כלב 7</t>
        </is>
      </c>
      <c r="D668" t="inlineStr">
        <is>
          <t>5560455</t>
        </is>
      </c>
      <c r="E668" t="inlineStr">
        <is>
          <t>רגיל</t>
        </is>
      </c>
      <c r="F668" t="inlineStr">
        <is>
          <t>יבש</t>
        </is>
      </c>
      <c r="G668" t="inlineStr">
        <is>
          <t>בוגר</t>
        </is>
      </c>
      <c r="H668" t="inlineStr">
        <is>
          <t>כלב</t>
        </is>
      </c>
      <c r="I668" t="inlineStr">
        <is>
          <t>עד 7 ק"ג</t>
        </is>
      </c>
      <c r="J668" t="inlineStr">
        <is>
          <t>2026-08</t>
        </is>
      </c>
      <c r="K668" t="n">
        <v>168.22</v>
      </c>
      <c r="L668" t="n">
        <v>198.5</v>
      </c>
      <c r="M668">
        <f>הגדרות!B8</f>
        <v/>
      </c>
      <c r="N668">
        <f>K668*(1-M668/100)*1.18</f>
        <v/>
      </c>
      <c r="O668">
        <f>הגדרות!C8</f>
        <v/>
      </c>
      <c r="P668">
        <f>הגדרות!D8</f>
        <v/>
      </c>
      <c r="Q668">
        <f>N668*(1+O668/100)+P668</f>
        <v/>
      </c>
    </row>
    <row r="669">
      <c r="A669" t="inlineStr">
        <is>
          <t>פרמינה N&amp;D</t>
        </is>
      </c>
      <c r="B669" t="inlineStr">
        <is>
          <t>טרופיקל כלב עוף בוגר מיני 5 קג ND</t>
        </is>
      </c>
      <c r="C669" t="inlineStr">
        <is>
          <t>N&amp;D כלב 7</t>
        </is>
      </c>
      <c r="D669" t="inlineStr">
        <is>
          <t>5560457</t>
        </is>
      </c>
      <c r="E669" t="inlineStr">
        <is>
          <t>רגיל</t>
        </is>
      </c>
      <c r="F669" t="inlineStr">
        <is>
          <t>יבש</t>
        </is>
      </c>
      <c r="G669" t="inlineStr">
        <is>
          <t>בוגר</t>
        </is>
      </c>
      <c r="H669" t="inlineStr">
        <is>
          <t>כלב</t>
        </is>
      </c>
      <c r="I669" t="inlineStr">
        <is>
          <t>עד 7 ק"ג</t>
        </is>
      </c>
      <c r="J669" t="inlineStr">
        <is>
          <t>2026-08</t>
        </is>
      </c>
      <c r="K669" t="n">
        <v>164.09</v>
      </c>
      <c r="L669" t="n">
        <v>193.63</v>
      </c>
      <c r="M669">
        <f>הגדרות!B8</f>
        <v/>
      </c>
      <c r="N669">
        <f>K669*(1-M669/100)*1.18</f>
        <v/>
      </c>
      <c r="O669">
        <f>הגדרות!C8</f>
        <v/>
      </c>
      <c r="P669">
        <f>הגדרות!D8</f>
        <v/>
      </c>
      <c r="Q669">
        <f>N669*(1+O669/100)+P669</f>
        <v/>
      </c>
    </row>
    <row r="670">
      <c r="A670" t="inlineStr">
        <is>
          <t>פרמינה N&amp;D</t>
        </is>
      </c>
      <c r="B670" t="inlineStr">
        <is>
          <t>טרופיקל כלב סלמון בוגר מיני 5 קג ND</t>
        </is>
      </c>
      <c r="C670" t="inlineStr">
        <is>
          <t>N&amp;D כלב 7</t>
        </is>
      </c>
      <c r="D670" t="inlineStr">
        <is>
          <t>5560459</t>
        </is>
      </c>
      <c r="E670" t="inlineStr">
        <is>
          <t>רגיל</t>
        </is>
      </c>
      <c r="F670" t="inlineStr">
        <is>
          <t>יבש</t>
        </is>
      </c>
      <c r="G670" t="inlineStr">
        <is>
          <t>בוגר</t>
        </is>
      </c>
      <c r="H670" t="inlineStr">
        <is>
          <t>כלב</t>
        </is>
      </c>
      <c r="I670" t="inlineStr">
        <is>
          <t>עד 7 ק"ג</t>
        </is>
      </c>
      <c r="J670" t="inlineStr">
        <is>
          <t>2026-08</t>
        </is>
      </c>
      <c r="K670" t="n">
        <v>168.22</v>
      </c>
      <c r="L670" t="n">
        <v>198.5</v>
      </c>
      <c r="M670">
        <f>הגדרות!B8</f>
        <v/>
      </c>
      <c r="N670">
        <f>K670*(1-M670/100)*1.18</f>
        <v/>
      </c>
      <c r="O670">
        <f>הגדרות!C8</f>
        <v/>
      </c>
      <c r="P670">
        <f>הגדרות!D8</f>
        <v/>
      </c>
      <c r="Q670">
        <f>N670*(1+O670/100)+P670</f>
        <v/>
      </c>
    </row>
    <row r="671">
      <c r="A671" t="inlineStr">
        <is>
          <t>פרמינה N&amp;D</t>
        </is>
      </c>
      <c r="B671" t="inlineStr">
        <is>
          <t>טים ברידר עוף כלב 20 קג</t>
        </is>
      </c>
      <c r="C671" t="inlineStr">
        <is>
          <t>TEAM BREEDER 20</t>
        </is>
      </c>
      <c r="D671" t="inlineStr">
        <is>
          <t>5560140</t>
        </is>
      </c>
      <c r="E671" t="inlineStr">
        <is>
          <t>רגיל</t>
        </is>
      </c>
      <c r="F671" t="inlineStr">
        <is>
          <t>יבש</t>
        </is>
      </c>
      <c r="G671" t="inlineStr"/>
      <c r="H671" t="inlineStr">
        <is>
          <t>כלב</t>
        </is>
      </c>
      <c r="I671" t="inlineStr"/>
      <c r="J671" t="inlineStr">
        <is>
          <t>2026-08</t>
        </is>
      </c>
      <c r="K671" t="n">
        <v>283.8</v>
      </c>
      <c r="L671" t="n">
        <v>334.88</v>
      </c>
      <c r="M671">
        <f>הגדרות!B8</f>
        <v/>
      </c>
      <c r="N671">
        <f>K671*(1-M671/100)*1.18</f>
        <v/>
      </c>
      <c r="O671">
        <f>הגדרות!C8</f>
        <v/>
      </c>
      <c r="P671">
        <f>הגדרות!D8</f>
        <v/>
      </c>
      <c r="Q671">
        <f>N671*(1+O671/100)+P671</f>
        <v/>
      </c>
    </row>
    <row r="672">
      <c r="A672" t="inlineStr">
        <is>
          <t>פרמינה N&amp;D</t>
        </is>
      </c>
      <c r="B672" t="inlineStr">
        <is>
          <t>טים ברידר כלב מינט מקסי 20 ק"ג</t>
        </is>
      </c>
      <c r="C672" t="inlineStr">
        <is>
          <t>TEAM BREEDER 20</t>
        </is>
      </c>
      <c r="D672" t="inlineStr">
        <is>
          <t>5560146</t>
        </is>
      </c>
      <c r="E672" t="inlineStr">
        <is>
          <t>רגיל</t>
        </is>
      </c>
      <c r="F672" t="inlineStr">
        <is>
          <t>יבש</t>
        </is>
      </c>
      <c r="G672" t="inlineStr"/>
      <c r="H672" t="inlineStr">
        <is>
          <t>כלב</t>
        </is>
      </c>
      <c r="I672" t="inlineStr">
        <is>
          <t>מעל 7 ק"ג</t>
        </is>
      </c>
      <c r="J672" t="inlineStr">
        <is>
          <t>2026-08</t>
        </is>
      </c>
      <c r="K672" t="n">
        <v>325.08</v>
      </c>
      <c r="L672" t="n">
        <v>383.59</v>
      </c>
      <c r="M672">
        <f>הגדרות!B8</f>
        <v/>
      </c>
      <c r="N672">
        <f>K672*(1-M672/100)*1.18</f>
        <v/>
      </c>
      <c r="O672">
        <f>הגדרות!C8</f>
        <v/>
      </c>
      <c r="P672">
        <f>הגדרות!D8</f>
        <v/>
      </c>
      <c r="Q672">
        <f>N672*(1+O672/100)+P672</f>
        <v/>
      </c>
    </row>
    <row r="673">
      <c r="A673" t="inlineStr">
        <is>
          <t>פרמינה N&amp;D</t>
        </is>
      </c>
      <c r="B673" t="inlineStr">
        <is>
          <t>טים ברידר כלב גורים 20 קג</t>
        </is>
      </c>
      <c r="C673" t="inlineStr">
        <is>
          <t>TEAM BREEDER 20</t>
        </is>
      </c>
      <c r="D673" t="inlineStr">
        <is>
          <t>5560151</t>
        </is>
      </c>
      <c r="E673" t="inlineStr">
        <is>
          <t>רגיל</t>
        </is>
      </c>
      <c r="F673" t="inlineStr">
        <is>
          <t>יבש</t>
        </is>
      </c>
      <c r="G673" t="inlineStr">
        <is>
          <t>גורים</t>
        </is>
      </c>
      <c r="H673" t="inlineStr">
        <is>
          <t>כלב</t>
        </is>
      </c>
      <c r="I673" t="inlineStr"/>
      <c r="J673" t="inlineStr">
        <is>
          <t>2026-08</t>
        </is>
      </c>
      <c r="K673" t="n">
        <v>325.08</v>
      </c>
      <c r="L673" t="n">
        <v>383.59</v>
      </c>
      <c r="M673">
        <f>הגדרות!B8</f>
        <v/>
      </c>
      <c r="N673">
        <f>K673*(1-M673/100)*1.18</f>
        <v/>
      </c>
      <c r="O673">
        <f>הגדרות!C8</f>
        <v/>
      </c>
      <c r="P673">
        <f>הגדרות!D8</f>
        <v/>
      </c>
      <c r="Q673">
        <f>N673*(1+O673/100)+P673</f>
        <v/>
      </c>
    </row>
    <row r="674">
      <c r="A674" t="inlineStr">
        <is>
          <t>פרמינה N&amp;D</t>
        </is>
      </c>
      <c r="B674" t="inlineStr">
        <is>
          <t>טים ברידר כלב דגים 20 קג</t>
        </is>
      </c>
      <c r="C674" t="inlineStr">
        <is>
          <t>TEAM BREEDER 20</t>
        </is>
      </c>
      <c r="D674" t="inlineStr">
        <is>
          <t>5560152</t>
        </is>
      </c>
      <c r="E674" t="inlineStr">
        <is>
          <t>רגיל</t>
        </is>
      </c>
      <c r="F674" t="inlineStr">
        <is>
          <t>יבש</t>
        </is>
      </c>
      <c r="G674" t="inlineStr"/>
      <c r="H674" t="inlineStr">
        <is>
          <t>כלב</t>
        </is>
      </c>
      <c r="I674" t="inlineStr"/>
      <c r="J674" t="inlineStr">
        <is>
          <t>2026-08</t>
        </is>
      </c>
      <c r="K674" t="n">
        <v>369.46</v>
      </c>
      <c r="L674" t="n">
        <v>435.96</v>
      </c>
      <c r="M674">
        <f>הגדרות!B8</f>
        <v/>
      </c>
      <c r="N674">
        <f>K674*(1-M674/100)*1.18</f>
        <v/>
      </c>
      <c r="O674">
        <f>הגדרות!C8</f>
        <v/>
      </c>
      <c r="P674">
        <f>הגדרות!D8</f>
        <v/>
      </c>
      <c r="Q674">
        <f>N674*(1+O674/100)+P674</f>
        <v/>
      </c>
    </row>
    <row r="675">
      <c r="A675" t="inlineStr">
        <is>
          <t>פרמינה N&amp;D</t>
        </is>
      </c>
      <c r="B675" t="inlineStr">
        <is>
          <t>טים ברידר כלב כבש 20 קג</t>
        </is>
      </c>
      <c r="C675" t="inlineStr">
        <is>
          <t>TEAM BREEDER 20</t>
        </is>
      </c>
      <c r="D675" t="inlineStr">
        <is>
          <t>5560153</t>
        </is>
      </c>
      <c r="E675" t="inlineStr">
        <is>
          <t>רגיל</t>
        </is>
      </c>
      <c r="F675" t="inlineStr">
        <is>
          <t>יבש</t>
        </is>
      </c>
      <c r="G675" t="inlineStr"/>
      <c r="H675" t="inlineStr">
        <is>
          <t>כלב</t>
        </is>
      </c>
      <c r="I675" t="inlineStr"/>
      <c r="J675" t="inlineStr">
        <is>
          <t>2026-08</t>
        </is>
      </c>
      <c r="K675" t="n">
        <v>369.46</v>
      </c>
      <c r="L675" t="n">
        <v>435.96</v>
      </c>
      <c r="M675">
        <f>הגדרות!B8</f>
        <v/>
      </c>
      <c r="N675">
        <f>K675*(1-M675/100)*1.18</f>
        <v/>
      </c>
      <c r="O675">
        <f>הגדרות!C8</f>
        <v/>
      </c>
      <c r="P675">
        <f>הגדרות!D8</f>
        <v/>
      </c>
      <c r="Q675">
        <f>N675*(1+O675/100)+P675</f>
        <v/>
      </c>
    </row>
    <row r="676">
      <c r="A676" t="inlineStr">
        <is>
          <t>פרמינה N&amp;D</t>
        </is>
      </c>
      <c r="B676" t="inlineStr">
        <is>
          <t>טים ברידר כלב ב.ג'ונ. 20 קג</t>
        </is>
      </c>
      <c r="C676" t="inlineStr">
        <is>
          <t>TEAM BREEDER 20</t>
        </is>
      </c>
      <c r="D676" t="inlineStr">
        <is>
          <t>5560185</t>
        </is>
      </c>
      <c r="E676" t="inlineStr">
        <is>
          <t>רגיל</t>
        </is>
      </c>
      <c r="F676" t="inlineStr">
        <is>
          <t>יבש</t>
        </is>
      </c>
      <c r="G676" t="inlineStr"/>
      <c r="H676" t="inlineStr">
        <is>
          <t>כלב</t>
        </is>
      </c>
      <c r="I676" t="inlineStr"/>
      <c r="J676" t="inlineStr">
        <is>
          <t>2026-08</t>
        </is>
      </c>
      <c r="K676" t="n">
        <v>286.9</v>
      </c>
      <c r="L676" t="n">
        <v>338.54</v>
      </c>
      <c r="M676">
        <f>הגדרות!B8</f>
        <v/>
      </c>
      <c r="N676">
        <f>K676*(1-M676/100)*1.18</f>
        <v/>
      </c>
      <c r="O676">
        <f>הגדרות!C8</f>
        <v/>
      </c>
      <c r="P676">
        <f>הגדרות!D8</f>
        <v/>
      </c>
      <c r="Q676">
        <f>N676*(1+O676/100)+P676</f>
        <v/>
      </c>
    </row>
    <row r="677">
      <c r="A677" t="inlineStr">
        <is>
          <t>פרמינה N&amp;D</t>
        </is>
      </c>
      <c r="B677" t="inlineStr">
        <is>
          <t>טים ברידר LG דג תפוז כלב 20 קג</t>
        </is>
      </c>
      <c r="C677" t="inlineStr">
        <is>
          <t>TEAM BREEDER 20</t>
        </is>
      </c>
      <c r="D677" t="inlineStr">
        <is>
          <t>5560202</t>
        </is>
      </c>
      <c r="E677" t="inlineStr">
        <is>
          <t>רגיל</t>
        </is>
      </c>
      <c r="F677" t="inlineStr">
        <is>
          <t>יבש</t>
        </is>
      </c>
      <c r="G677" t="inlineStr"/>
      <c r="H677" t="inlineStr">
        <is>
          <t>כלב</t>
        </is>
      </c>
      <c r="I677" t="inlineStr"/>
      <c r="J677" t="inlineStr">
        <is>
          <t>2026-08</t>
        </is>
      </c>
      <c r="K677" t="n">
        <v>450.98</v>
      </c>
      <c r="L677" t="n">
        <v>532.16</v>
      </c>
      <c r="M677">
        <f>הגדרות!B8</f>
        <v/>
      </c>
      <c r="N677">
        <f>K677*(1-M677/100)*1.18</f>
        <v/>
      </c>
      <c r="O677">
        <f>הגדרות!C8</f>
        <v/>
      </c>
      <c r="P677">
        <f>הגדרות!D8</f>
        <v/>
      </c>
      <c r="Q677">
        <f>N677*(1+O677/100)+P677</f>
        <v/>
      </c>
    </row>
    <row r="678">
      <c r="A678" t="inlineStr">
        <is>
          <t>פרמינה N&amp;D</t>
        </is>
      </c>
      <c r="B678" t="inlineStr">
        <is>
          <t>טים ברידר LG בייבי סטארטר כלב 20 ק"ג</t>
        </is>
      </c>
      <c r="C678" t="inlineStr">
        <is>
          <t>TEAM BREEDER 20</t>
        </is>
      </c>
      <c r="D678" t="inlineStr">
        <is>
          <t>5560203</t>
        </is>
      </c>
      <c r="E678" t="inlineStr">
        <is>
          <t>רגיל</t>
        </is>
      </c>
      <c r="F678" t="inlineStr">
        <is>
          <t>יבש</t>
        </is>
      </c>
      <c r="G678" t="inlineStr"/>
      <c r="H678" t="inlineStr">
        <is>
          <t>כלב</t>
        </is>
      </c>
      <c r="I678" t="inlineStr"/>
      <c r="J678" t="inlineStr">
        <is>
          <t>2026-08</t>
        </is>
      </c>
      <c r="K678" t="n">
        <v>539.74</v>
      </c>
      <c r="L678" t="n">
        <v>636.89</v>
      </c>
      <c r="M678">
        <f>הגדרות!B8</f>
        <v/>
      </c>
      <c r="N678">
        <f>K678*(1-M678/100)*1.18</f>
        <v/>
      </c>
      <c r="O678">
        <f>הגדרות!C8</f>
        <v/>
      </c>
      <c r="P678">
        <f>הגדרות!D8</f>
        <v/>
      </c>
      <c r="Q678">
        <f>N678*(1+O678/100)+P678</f>
        <v/>
      </c>
    </row>
    <row r="679">
      <c r="A679" t="inlineStr">
        <is>
          <t>Purina Pro Plan VET</t>
        </is>
      </c>
      <c r="B679" t="inlineStr">
        <is>
          <t>פרו פלאן פאוצ' HYDRA CARE לחתול 75*10 גרם</t>
        </is>
      </c>
      <c r="D679" t="inlineStr">
        <is>
          <t>12619091</t>
        </is>
      </c>
      <c r="E679" t="inlineStr">
        <is>
          <t>וטרינרי / רפואי</t>
        </is>
      </c>
      <c r="F679" t="inlineStr">
        <is>
          <t>יבש</t>
        </is>
      </c>
      <c r="G679" t="inlineStr"/>
      <c r="H679" t="inlineStr">
        <is>
          <t>חתול</t>
        </is>
      </c>
      <c r="I679" t="inlineStr"/>
      <c r="J679" t="inlineStr">
        <is>
          <t>2026-06</t>
        </is>
      </c>
      <c r="K679" t="n">
        <v>5.92</v>
      </c>
      <c r="L679" t="n">
        <v>6.99</v>
      </c>
      <c r="M679">
        <f>הגדרות!B9</f>
        <v/>
      </c>
      <c r="N679">
        <f>K679*(1-M679/100)*1.18</f>
        <v/>
      </c>
      <c r="O679">
        <f>הגדרות!C9</f>
        <v/>
      </c>
      <c r="P679">
        <f>הגדרות!D9</f>
        <v/>
      </c>
      <c r="Q679">
        <f>N679*(1+O679/100)+P679</f>
        <v/>
      </c>
    </row>
    <row r="680">
      <c r="A680" t="inlineStr">
        <is>
          <t>Purina Pro Plan VET</t>
        </is>
      </c>
      <c r="B680" t="inlineStr">
        <is>
          <t>פרו פלאן "מזון יעודי" לחתול DM - לסיוע בטיפול בסוכרת</t>
        </is>
      </c>
      <c r="D680" t="inlineStr">
        <is>
          <t>12483229</t>
        </is>
      </c>
      <c r="E680" t="inlineStr">
        <is>
          <t>וטרינרי / רפואי</t>
        </is>
      </c>
      <c r="F680" t="inlineStr">
        <is>
          <t>יבש</t>
        </is>
      </c>
      <c r="G680" t="inlineStr"/>
      <c r="H680" t="inlineStr">
        <is>
          <t>חתול</t>
        </is>
      </c>
      <c r="I680" t="inlineStr"/>
      <c r="J680" t="inlineStr">
        <is>
          <t>2026-06</t>
        </is>
      </c>
      <c r="K680" t="n">
        <v>76.06999999999999</v>
      </c>
      <c r="L680" t="n">
        <v>89.76000000000001</v>
      </c>
      <c r="M680">
        <f>הגדרות!B9</f>
        <v/>
      </c>
      <c r="N680">
        <f>K680*(1-M680/100)*1.18</f>
        <v/>
      </c>
      <c r="O680">
        <f>הגדרות!C9</f>
        <v/>
      </c>
      <c r="P680">
        <f>הגדרות!D9</f>
        <v/>
      </c>
      <c r="Q680">
        <f>N680*(1+O680/100)+P680</f>
        <v/>
      </c>
    </row>
    <row r="681">
      <c r="A681" t="inlineStr">
        <is>
          <t>Purina Pro Plan VET</t>
        </is>
      </c>
      <c r="B681" t="inlineStr">
        <is>
          <t>פרו פלאן "מזון יעודי" לחתול DM - לסיוע בטיפול בסוכרת</t>
        </is>
      </c>
      <c r="D681" t="inlineStr">
        <is>
          <t>12500438</t>
        </is>
      </c>
      <c r="E681" t="inlineStr">
        <is>
          <t>וטרינרי / רפואי</t>
        </is>
      </c>
      <c r="F681" t="inlineStr">
        <is>
          <t>יבש</t>
        </is>
      </c>
      <c r="G681" t="inlineStr"/>
      <c r="H681" t="inlineStr">
        <is>
          <t>חתול</t>
        </is>
      </c>
      <c r="I681" t="inlineStr"/>
      <c r="J681" t="inlineStr">
        <is>
          <t>2026-06</t>
        </is>
      </c>
      <c r="K681" t="n">
        <v>241.53</v>
      </c>
      <c r="L681" t="n">
        <v>285.01</v>
      </c>
      <c r="M681">
        <f>הגדרות!B9</f>
        <v/>
      </c>
      <c r="N681">
        <f>K681*(1-M681/100)*1.18</f>
        <v/>
      </c>
      <c r="O681">
        <f>הגדרות!C9</f>
        <v/>
      </c>
      <c r="P681">
        <f>הגדרות!D9</f>
        <v/>
      </c>
      <c r="Q681">
        <f>N681*(1+O681/100)+P681</f>
        <v/>
      </c>
    </row>
    <row r="682">
      <c r="A682" t="inlineStr">
        <is>
          <t>Purina Pro Plan VET</t>
        </is>
      </c>
      <c r="B682" t="inlineStr">
        <is>
          <t>פרו פלאן "מזון יעודי" לחתול NF לטיפול במחלות כליה</t>
        </is>
      </c>
      <c r="D682" t="inlineStr">
        <is>
          <t>12499695</t>
        </is>
      </c>
      <c r="E682" t="inlineStr">
        <is>
          <t>וטרינרי / רפואי</t>
        </is>
      </c>
      <c r="F682" t="inlineStr">
        <is>
          <t>יבש</t>
        </is>
      </c>
      <c r="G682" t="inlineStr"/>
      <c r="H682" t="inlineStr">
        <is>
          <t>חתול</t>
        </is>
      </c>
      <c r="I682" t="inlineStr"/>
      <c r="J682" t="inlineStr">
        <is>
          <t>2026-06</t>
        </is>
      </c>
      <c r="K682" t="n">
        <v>89.95</v>
      </c>
      <c r="L682" t="n">
        <v>106.14</v>
      </c>
      <c r="M682">
        <f>הגדרות!B9</f>
        <v/>
      </c>
      <c r="N682">
        <f>K682*(1-M682/100)*1.18</f>
        <v/>
      </c>
      <c r="O682">
        <f>הגדרות!C9</f>
        <v/>
      </c>
      <c r="P682">
        <f>הגדרות!D9</f>
        <v/>
      </c>
      <c r="Q682">
        <f>N682*(1+O682/100)+P682</f>
        <v/>
      </c>
    </row>
    <row r="683">
      <c r="A683" t="inlineStr">
        <is>
          <t>Purina Pro Plan VET</t>
        </is>
      </c>
      <c r="B683" t="inlineStr">
        <is>
          <t>פרו פלאן "מזון יעודי" לחתול NF - לטיפול במחלות כליה</t>
        </is>
      </c>
      <c r="D683" t="inlineStr">
        <is>
          <t>12499857</t>
        </is>
      </c>
      <c r="E683" t="inlineStr">
        <is>
          <t>וטרינרי / רפואי</t>
        </is>
      </c>
      <c r="F683" t="inlineStr">
        <is>
          <t>יבש</t>
        </is>
      </c>
      <c r="G683" t="inlineStr"/>
      <c r="H683" t="inlineStr">
        <is>
          <t>חתול</t>
        </is>
      </c>
      <c r="I683" t="inlineStr"/>
      <c r="J683" t="inlineStr">
        <is>
          <t>2026-06</t>
        </is>
      </c>
      <c r="K683" t="n">
        <v>187.43</v>
      </c>
      <c r="L683" t="n">
        <v>221.17</v>
      </c>
      <c r="M683">
        <f>הגדרות!B9</f>
        <v/>
      </c>
      <c r="N683">
        <f>K683*(1-M683/100)*1.18</f>
        <v/>
      </c>
      <c r="O683">
        <f>הגדרות!C9</f>
        <v/>
      </c>
      <c r="P683">
        <f>הגדרות!D9</f>
        <v/>
      </c>
      <c r="Q683">
        <f>N683*(1+O683/100)+P683</f>
        <v/>
      </c>
    </row>
    <row r="684">
      <c r="A684" t="inlineStr">
        <is>
          <t>Purina Pro Plan VET</t>
        </is>
      </c>
      <c r="B684" t="inlineStr">
        <is>
          <t>פרו פלאן "מזון יעודי" לחתול HA לסיוע במניעת אלרגיה למזון</t>
        </is>
      </c>
      <c r="D684" t="inlineStr">
        <is>
          <t>12485187</t>
        </is>
      </c>
      <c r="E684" t="inlineStr">
        <is>
          <t>וטרינרי / רפואי</t>
        </is>
      </c>
      <c r="F684" t="inlineStr">
        <is>
          <t>יבש</t>
        </is>
      </c>
      <c r="G684" t="inlineStr"/>
      <c r="H684" t="inlineStr">
        <is>
          <t>חתול</t>
        </is>
      </c>
      <c r="I684" t="inlineStr"/>
      <c r="J684" t="inlineStr">
        <is>
          <t>2026-06</t>
        </is>
      </c>
      <c r="K684" t="n">
        <v>104.48</v>
      </c>
      <c r="L684" t="n">
        <v>123.29</v>
      </c>
      <c r="M684">
        <f>הגדרות!B9</f>
        <v/>
      </c>
      <c r="N684">
        <f>K684*(1-M684/100)*1.18</f>
        <v/>
      </c>
      <c r="O684">
        <f>הגדרות!C9</f>
        <v/>
      </c>
      <c r="P684">
        <f>הגדרות!D9</f>
        <v/>
      </c>
      <c r="Q684">
        <f>N684*(1+O684/100)+P684</f>
        <v/>
      </c>
    </row>
    <row r="685">
      <c r="A685" t="inlineStr">
        <is>
          <t>Purina Pro Plan VET</t>
        </is>
      </c>
      <c r="B685" t="inlineStr">
        <is>
          <t>פרו פלאן "מזון יעודי" לחתול HA לסיוע במניעת אלרגיה למזון</t>
        </is>
      </c>
      <c r="D685" t="inlineStr">
        <is>
          <t>12619882</t>
        </is>
      </c>
      <c r="E685" t="inlineStr">
        <is>
          <t>וטרינרי / רפואי</t>
        </is>
      </c>
      <c r="F685" t="inlineStr">
        <is>
          <t>יבש</t>
        </is>
      </c>
      <c r="G685" t="inlineStr"/>
      <c r="H685" t="inlineStr">
        <is>
          <t>חתול</t>
        </is>
      </c>
      <c r="I685" t="inlineStr"/>
      <c r="J685" t="inlineStr">
        <is>
          <t>2026-06</t>
        </is>
      </c>
      <c r="K685" t="n">
        <v>247.74</v>
      </c>
      <c r="L685" t="n">
        <v>292.33</v>
      </c>
      <c r="M685">
        <f>הגדרות!B9</f>
        <v/>
      </c>
      <c r="N685">
        <f>K685*(1-M685/100)*1.18</f>
        <v/>
      </c>
      <c r="O685">
        <f>הגדרות!C9</f>
        <v/>
      </c>
      <c r="P685">
        <f>הגדרות!D9</f>
        <v/>
      </c>
      <c r="Q685">
        <f>N685*(1+O685/100)+P685</f>
        <v/>
      </c>
    </row>
    <row r="686">
      <c r="A686" t="inlineStr">
        <is>
          <t>Purina Pro Plan VET</t>
        </is>
      </c>
      <c r="B686" t="inlineStr">
        <is>
          <t>פרו פלאן "מזון יעודי" לחתול דגי ים UR למניעת היווצרות קריסטלים בדרכי השתן</t>
        </is>
      </c>
      <c r="D686" t="inlineStr">
        <is>
          <t>12483400</t>
        </is>
      </c>
      <c r="E686" t="inlineStr">
        <is>
          <t>וטרינרי / רפואי</t>
        </is>
      </c>
      <c r="F686" t="inlineStr">
        <is>
          <t>יבש</t>
        </is>
      </c>
      <c r="G686" t="inlineStr"/>
      <c r="H686" t="inlineStr">
        <is>
          <t>חתול</t>
        </is>
      </c>
      <c r="I686" t="inlineStr"/>
      <c r="J686" t="inlineStr">
        <is>
          <t>2026-06</t>
        </is>
      </c>
      <c r="K686" t="n">
        <v>79.08</v>
      </c>
      <c r="L686" t="n">
        <v>93.31</v>
      </c>
      <c r="M686">
        <f>הגדרות!B9</f>
        <v/>
      </c>
      <c r="N686">
        <f>K686*(1-M686/100)*1.18</f>
        <v/>
      </c>
      <c r="O686">
        <f>הגדרות!C9</f>
        <v/>
      </c>
      <c r="P686">
        <f>הגדרות!D9</f>
        <v/>
      </c>
      <c r="Q686">
        <f>N686*(1+O686/100)+P686</f>
        <v/>
      </c>
    </row>
    <row r="687">
      <c r="A687" t="inlineStr">
        <is>
          <t>Purina Pro Plan VET</t>
        </is>
      </c>
      <c r="B687" t="inlineStr">
        <is>
          <t>פרו פלאן "מזון יעודי" לחתול דגי ים UR - למניעת היווצרות קריסטלים בדרכי השתן</t>
        </is>
      </c>
      <c r="D687" t="inlineStr">
        <is>
          <t>12484139</t>
        </is>
      </c>
      <c r="E687" t="inlineStr">
        <is>
          <t>וטרינרי / רפואי</t>
        </is>
      </c>
      <c r="F687" t="inlineStr">
        <is>
          <t>יבש</t>
        </is>
      </c>
      <c r="G687" t="inlineStr"/>
      <c r="H687" t="inlineStr">
        <is>
          <t>חתול</t>
        </is>
      </c>
      <c r="I687" t="inlineStr"/>
      <c r="J687" t="inlineStr">
        <is>
          <t>2026-06</t>
        </is>
      </c>
      <c r="K687" t="n">
        <v>187.43</v>
      </c>
      <c r="L687" t="n">
        <v>221.17</v>
      </c>
      <c r="M687">
        <f>הגדרות!B9</f>
        <v/>
      </c>
      <c r="N687">
        <f>K687*(1-M687/100)*1.18</f>
        <v/>
      </c>
      <c r="O687">
        <f>הגדרות!C9</f>
        <v/>
      </c>
      <c r="P687">
        <f>הגדרות!D9</f>
        <v/>
      </c>
      <c r="Q687">
        <f>N687*(1+O687/100)+P687</f>
        <v/>
      </c>
    </row>
    <row r="688">
      <c r="A688" t="inlineStr">
        <is>
          <t>Purina Pro Plan VET</t>
        </is>
      </c>
      <c r="B688" t="inlineStr">
        <is>
          <t>פרו פלאן "מזון יעודי" לחתול OM - לירידה ושמירה על משקל תקין</t>
        </is>
      </c>
      <c r="D688" t="inlineStr">
        <is>
          <t>12484875</t>
        </is>
      </c>
      <c r="E688" t="inlineStr">
        <is>
          <t>וטרינרי / רפואי</t>
        </is>
      </c>
      <c r="F688" t="inlineStr">
        <is>
          <t>יבש</t>
        </is>
      </c>
      <c r="G688" t="inlineStr"/>
      <c r="H688" t="inlineStr">
        <is>
          <t>חתול</t>
        </is>
      </c>
      <c r="I688" t="inlineStr"/>
      <c r="J688" t="inlineStr">
        <is>
          <t>2026-06</t>
        </is>
      </c>
      <c r="K688" t="n">
        <v>198.45</v>
      </c>
      <c r="L688" t="n">
        <v>234.17</v>
      </c>
      <c r="M688">
        <f>הגדרות!B9</f>
        <v/>
      </c>
      <c r="N688">
        <f>K688*(1-M688/100)*1.18</f>
        <v/>
      </c>
      <c r="O688">
        <f>הגדרות!C9</f>
        <v/>
      </c>
      <c r="P688">
        <f>הגדרות!D9</f>
        <v/>
      </c>
      <c r="Q688">
        <f>N688*(1+O688/100)+P688</f>
        <v/>
      </c>
    </row>
    <row r="689">
      <c r="A689" t="inlineStr">
        <is>
          <t>Purina Pro Plan VET</t>
        </is>
      </c>
      <c r="B689" t="inlineStr">
        <is>
          <t>פרו פלאן "מזון יעודי" לחתול EN - לתמיכה במערכת העיכול</t>
        </is>
      </c>
      <c r="D689" t="inlineStr">
        <is>
          <t>12483237</t>
        </is>
      </c>
      <c r="E689" t="inlineStr">
        <is>
          <t>וטרינרי / רפואי</t>
        </is>
      </c>
      <c r="F689" t="inlineStr">
        <is>
          <t>יבש</t>
        </is>
      </c>
      <c r="G689" t="inlineStr"/>
      <c r="H689" t="inlineStr">
        <is>
          <t>חתול</t>
        </is>
      </c>
      <c r="I689" t="inlineStr"/>
      <c r="J689" t="inlineStr">
        <is>
          <t>2026-06</t>
        </is>
      </c>
      <c r="K689" t="n">
        <v>76.06999999999999</v>
      </c>
      <c r="L689" t="n">
        <v>89.76000000000001</v>
      </c>
      <c r="M689">
        <f>הגדרות!B9</f>
        <v/>
      </c>
      <c r="N689">
        <f>K689*(1-M689/100)*1.18</f>
        <v/>
      </c>
      <c r="O689">
        <f>הגדרות!C9</f>
        <v/>
      </c>
      <c r="P689">
        <f>הגדרות!D9</f>
        <v/>
      </c>
      <c r="Q689">
        <f>N689*(1+O689/100)+P689</f>
        <v/>
      </c>
    </row>
    <row r="690">
      <c r="A690" t="inlineStr">
        <is>
          <t>Purina Pro Plan VET</t>
        </is>
      </c>
      <c r="B690" t="inlineStr">
        <is>
          <t>פרו פלאן "מזון יעודי" לחתול EN - לתמיכה במערכת העיכול</t>
        </is>
      </c>
      <c r="D690" t="inlineStr">
        <is>
          <t>12620304</t>
        </is>
      </c>
      <c r="E690" t="inlineStr">
        <is>
          <t>וטרינרי / רפואי</t>
        </is>
      </c>
      <c r="F690" t="inlineStr">
        <is>
          <t>יבש</t>
        </is>
      </c>
      <c r="G690" t="inlineStr"/>
      <c r="H690" t="inlineStr">
        <is>
          <t>חתול</t>
        </is>
      </c>
      <c r="I690" t="inlineStr"/>
      <c r="J690" t="inlineStr">
        <is>
          <t>2026-06</t>
        </is>
      </c>
      <c r="K690" t="n">
        <v>253.56</v>
      </c>
      <c r="L690" t="n">
        <v>299.2</v>
      </c>
      <c r="M690">
        <f>הגדרות!B9</f>
        <v/>
      </c>
      <c r="N690">
        <f>K690*(1-M690/100)*1.18</f>
        <v/>
      </c>
      <c r="O690">
        <f>הגדרות!C9</f>
        <v/>
      </c>
      <c r="P690">
        <f>הגדרות!D9</f>
        <v/>
      </c>
      <c r="Q690">
        <f>N690*(1+O690/100)+P690</f>
        <v/>
      </c>
    </row>
    <row r="691">
      <c r="A691" t="inlineStr">
        <is>
          <t>Purina Pro Plan VET</t>
        </is>
      </c>
      <c r="B691" t="inlineStr">
        <is>
          <t>פרו פלאן "מזון יעודי" לכלב UR - למניעת היווצרות קריסטלים בדרכי השתן</t>
        </is>
      </c>
      <c r="D691" t="inlineStr">
        <is>
          <t>12500925</t>
        </is>
      </c>
      <c r="E691" t="inlineStr">
        <is>
          <t>וטרינרי / רפואי</t>
        </is>
      </c>
      <c r="F691" t="inlineStr">
        <is>
          <t>יבש</t>
        </is>
      </c>
      <c r="G691" t="inlineStr"/>
      <c r="H691" t="inlineStr">
        <is>
          <t>כלב</t>
        </is>
      </c>
      <c r="I691" t="inlineStr"/>
      <c r="J691" t="inlineStr">
        <is>
          <t>2026-06</t>
        </is>
      </c>
      <c r="K691" t="n">
        <v>407.12</v>
      </c>
      <c r="L691" t="n">
        <v>480.4</v>
      </c>
      <c r="M691">
        <f>הגדרות!B9</f>
        <v/>
      </c>
      <c r="N691">
        <f>K691*(1-M691/100)*1.18</f>
        <v/>
      </c>
      <c r="O691">
        <f>הגדרות!C9</f>
        <v/>
      </c>
      <c r="P691">
        <f>הגדרות!D9</f>
        <v/>
      </c>
      <c r="Q691">
        <f>N691*(1+O691/100)+P691</f>
        <v/>
      </c>
    </row>
    <row r="692">
      <c r="A692" t="inlineStr">
        <is>
          <t>Purina Pro Plan VET</t>
        </is>
      </c>
      <c r="B692" t="inlineStr">
        <is>
          <t>פרו פלאן "מזון יעודי" לכלב JM - לתמיכה בדלקות פרקים</t>
        </is>
      </c>
      <c r="D692" t="inlineStr">
        <is>
          <t>12620192</t>
        </is>
      </c>
      <c r="E692" t="inlineStr">
        <is>
          <t>וטרינרי / רפואי</t>
        </is>
      </c>
      <c r="F692" t="inlineStr">
        <is>
          <t>יבש</t>
        </is>
      </c>
      <c r="G692" t="inlineStr"/>
      <c r="H692" t="inlineStr">
        <is>
          <t>כלב</t>
        </is>
      </c>
      <c r="I692" t="inlineStr"/>
      <c r="J692" t="inlineStr">
        <is>
          <t>2026-06</t>
        </is>
      </c>
      <c r="K692" t="n">
        <v>383.67</v>
      </c>
      <c r="L692" t="n">
        <v>452.73</v>
      </c>
      <c r="M692">
        <f>הגדרות!B9</f>
        <v/>
      </c>
      <c r="N692">
        <f>K692*(1-M692/100)*1.18</f>
        <v/>
      </c>
      <c r="O692">
        <f>הגדרות!C9</f>
        <v/>
      </c>
      <c r="P692">
        <f>הגדרות!D9</f>
        <v/>
      </c>
      <c r="Q692">
        <f>N692*(1+O692/100)+P692</f>
        <v/>
      </c>
    </row>
    <row r="693">
      <c r="A693" t="inlineStr">
        <is>
          <t>Purina Pro Plan VET</t>
        </is>
      </c>
      <c r="B693" t="inlineStr">
        <is>
          <t>פרו פלאן "מזון יעודי" לכלב NC - לסיוע בהתקפי אפילפסיה ותמיכה במערכת העצבים</t>
        </is>
      </c>
      <c r="D693" t="inlineStr">
        <is>
          <t>12484885</t>
        </is>
      </c>
      <c r="E693" t="inlineStr">
        <is>
          <t>וטרינרי / רפואי</t>
        </is>
      </c>
      <c r="F693" t="inlineStr">
        <is>
          <t>יבש</t>
        </is>
      </c>
      <c r="G693" t="inlineStr"/>
      <c r="H693" t="inlineStr">
        <is>
          <t>כלב</t>
        </is>
      </c>
      <c r="I693" t="inlineStr"/>
      <c r="J693" t="inlineStr">
        <is>
          <t>2026-06</t>
        </is>
      </c>
      <c r="K693" t="n">
        <v>407.12</v>
      </c>
      <c r="L693" t="n">
        <v>480.4</v>
      </c>
      <c r="M693">
        <f>הגדרות!B9</f>
        <v/>
      </c>
      <c r="N693">
        <f>K693*(1-M693/100)*1.18</f>
        <v/>
      </c>
      <c r="O693">
        <f>הגדרות!C9</f>
        <v/>
      </c>
      <c r="P693">
        <f>הגדרות!D9</f>
        <v/>
      </c>
      <c r="Q693">
        <f>N693*(1+O693/100)+P693</f>
        <v/>
      </c>
    </row>
    <row r="694">
      <c r="A694" t="inlineStr">
        <is>
          <t>Purina Pro Plan VET</t>
        </is>
      </c>
      <c r="B694" t="inlineStr">
        <is>
          <t>פרו פלאן "מזון יעודי" לכלב OM - לירידה ושמירה על משקל תקין</t>
        </is>
      </c>
      <c r="D694" t="inlineStr">
        <is>
          <t>12483425</t>
        </is>
      </c>
      <c r="E694" t="inlineStr">
        <is>
          <t>וטרינרי / רפואי</t>
        </is>
      </c>
      <c r="F694" t="inlineStr">
        <is>
          <t>יבש</t>
        </is>
      </c>
      <c r="G694" t="inlineStr"/>
      <c r="H694" t="inlineStr">
        <is>
          <t>כלב</t>
        </is>
      </c>
      <c r="I694" t="inlineStr"/>
      <c r="J694" t="inlineStr">
        <is>
          <t>2026-06</t>
        </is>
      </c>
      <c r="K694" t="n">
        <v>130.91</v>
      </c>
      <c r="L694" t="n">
        <v>154.47</v>
      </c>
      <c r="M694">
        <f>הגדרות!B9</f>
        <v/>
      </c>
      <c r="N694">
        <f>K694*(1-M694/100)*1.18</f>
        <v/>
      </c>
      <c r="O694">
        <f>הגדרות!C9</f>
        <v/>
      </c>
      <c r="P694">
        <f>הגדרות!D9</f>
        <v/>
      </c>
      <c r="Q694">
        <f>N694*(1+O694/100)+P694</f>
        <v/>
      </c>
    </row>
    <row r="695">
      <c r="A695" t="inlineStr">
        <is>
          <t>Purina Pro Plan VET</t>
        </is>
      </c>
      <c r="B695" t="inlineStr">
        <is>
          <t>פרו פלאן "מזון יעודי" לכלב OM - לירידה ושמירה על משקל תקין</t>
        </is>
      </c>
      <c r="D695" t="inlineStr">
        <is>
          <t>12484887</t>
        </is>
      </c>
      <c r="E695" t="inlineStr">
        <is>
          <t>וטרינרי / רפואי</t>
        </is>
      </c>
      <c r="F695" t="inlineStr">
        <is>
          <t>יבש</t>
        </is>
      </c>
      <c r="G695" t="inlineStr"/>
      <c r="H695" t="inlineStr">
        <is>
          <t>כלב</t>
        </is>
      </c>
      <c r="I695" t="inlineStr"/>
      <c r="J695" t="inlineStr">
        <is>
          <t>2026-06</t>
        </is>
      </c>
      <c r="K695" t="n">
        <v>361.62</v>
      </c>
      <c r="L695" t="n">
        <v>426.71</v>
      </c>
      <c r="M695">
        <f>הגדרות!B9</f>
        <v/>
      </c>
      <c r="N695">
        <f>K695*(1-M695/100)*1.18</f>
        <v/>
      </c>
      <c r="O695">
        <f>הגדרות!C9</f>
        <v/>
      </c>
      <c r="P695">
        <f>הגדרות!D9</f>
        <v/>
      </c>
      <c r="Q695">
        <f>N695*(1+O695/100)+P695</f>
        <v/>
      </c>
    </row>
    <row r="696">
      <c r="A696" t="inlineStr">
        <is>
          <t>Purina Pro Plan VET</t>
        </is>
      </c>
      <c r="B696" t="inlineStr">
        <is>
          <t>פרו פלאן "מזון יעודי" לכלב HA - לסיוע במניעת אלרגיה למזון</t>
        </is>
      </c>
      <c r="D696" t="inlineStr">
        <is>
          <t>12484160</t>
        </is>
      </c>
      <c r="E696" t="inlineStr">
        <is>
          <t>וטרינרי / רפואי</t>
        </is>
      </c>
      <c r="F696" t="inlineStr">
        <is>
          <t>יבש</t>
        </is>
      </c>
      <c r="G696" t="inlineStr"/>
      <c r="H696" t="inlineStr">
        <is>
          <t>כלב</t>
        </is>
      </c>
      <c r="I696" t="inlineStr"/>
      <c r="J696" t="inlineStr">
        <is>
          <t>2026-06</t>
        </is>
      </c>
      <c r="K696" t="n">
        <v>79.23</v>
      </c>
      <c r="L696" t="n">
        <v>93.48999999999999</v>
      </c>
      <c r="M696">
        <f>הגדרות!B9</f>
        <v/>
      </c>
      <c r="N696">
        <f>K696*(1-M696/100)*1.18</f>
        <v/>
      </c>
      <c r="O696">
        <f>הגדרות!C9</f>
        <v/>
      </c>
      <c r="P696">
        <f>הגדרות!D9</f>
        <v/>
      </c>
      <c r="Q696">
        <f>N696*(1+O696/100)+P696</f>
        <v/>
      </c>
    </row>
    <row r="697">
      <c r="A697" t="inlineStr">
        <is>
          <t>Purina Pro Plan VET</t>
        </is>
      </c>
      <c r="B697" t="inlineStr">
        <is>
          <t>פרו פלאן "מזון יעודי" לכלב HA - לסיוע במניעת אלרגיה למזון</t>
        </is>
      </c>
      <c r="D697" t="inlineStr">
        <is>
          <t>12483245</t>
        </is>
      </c>
      <c r="E697" t="inlineStr">
        <is>
          <t>וטרינרי / רפואי</t>
        </is>
      </c>
      <c r="F697" t="inlineStr">
        <is>
          <t>יבש</t>
        </is>
      </c>
      <c r="G697" t="inlineStr"/>
      <c r="H697" t="inlineStr">
        <is>
          <t>כלב</t>
        </is>
      </c>
      <c r="I697" t="inlineStr"/>
      <c r="J697" t="inlineStr">
        <is>
          <t>2026-06</t>
        </is>
      </c>
      <c r="K697" t="n">
        <v>152.25</v>
      </c>
      <c r="L697" t="n">
        <v>179.66</v>
      </c>
      <c r="M697">
        <f>הגדרות!B9</f>
        <v/>
      </c>
      <c r="N697">
        <f>K697*(1-M697/100)*1.18</f>
        <v/>
      </c>
      <c r="O697">
        <f>הגדרות!C9</f>
        <v/>
      </c>
      <c r="P697">
        <f>הגדרות!D9</f>
        <v/>
      </c>
      <c r="Q697">
        <f>N697*(1+O697/100)+P697</f>
        <v/>
      </c>
    </row>
    <row r="698">
      <c r="A698" t="inlineStr">
        <is>
          <t>Purina Pro Plan VET</t>
        </is>
      </c>
      <c r="B698" t="inlineStr">
        <is>
          <t>פרו פלאן "מזון יעודי" לכלב HA - לסיוע במניעת אלרגיה למזון</t>
        </is>
      </c>
      <c r="D698" t="inlineStr">
        <is>
          <t>12484156</t>
        </is>
      </c>
      <c r="E698" t="inlineStr">
        <is>
          <t>וטרינרי / רפואי</t>
        </is>
      </c>
      <c r="F698" t="inlineStr">
        <is>
          <t>יבש</t>
        </is>
      </c>
      <c r="G698" t="inlineStr"/>
      <c r="H698" t="inlineStr">
        <is>
          <t>כלב</t>
        </is>
      </c>
      <c r="I698" t="inlineStr"/>
      <c r="J698" t="inlineStr">
        <is>
          <t>2026-06</t>
        </is>
      </c>
      <c r="K698" t="n">
        <v>448.28</v>
      </c>
      <c r="L698" t="n">
        <v>528.97</v>
      </c>
      <c r="M698">
        <f>הגדרות!B9</f>
        <v/>
      </c>
      <c r="N698">
        <f>K698*(1-M698/100)*1.18</f>
        <v/>
      </c>
      <c r="O698">
        <f>הגדרות!C9</f>
        <v/>
      </c>
      <c r="P698">
        <f>הגדרות!D9</f>
        <v/>
      </c>
      <c r="Q698">
        <f>N698*(1+O698/100)+P698</f>
        <v/>
      </c>
    </row>
    <row r="699">
      <c r="A699" t="inlineStr">
        <is>
          <t>Purina Pro Plan VET</t>
        </is>
      </c>
      <c r="B699" t="inlineStr">
        <is>
          <t>פרו פלאן "מזון יעודי" לכלב EN - לתמיכה במערכת העיכול</t>
        </is>
      </c>
      <c r="D699" t="inlineStr">
        <is>
          <t>12483402</t>
        </is>
      </c>
      <c r="E699" t="inlineStr">
        <is>
          <t>וטרינרי / רפואי</t>
        </is>
      </c>
      <c r="F699" t="inlineStr">
        <is>
          <t>יבש</t>
        </is>
      </c>
      <c r="G699" t="inlineStr"/>
      <c r="H699" t="inlineStr">
        <is>
          <t>כלב</t>
        </is>
      </c>
      <c r="I699" t="inlineStr"/>
      <c r="J699" t="inlineStr">
        <is>
          <t>2026-06</t>
        </is>
      </c>
      <c r="K699" t="n">
        <v>81.89</v>
      </c>
      <c r="L699" t="n">
        <v>96.63</v>
      </c>
      <c r="M699">
        <f>הגדרות!B9</f>
        <v/>
      </c>
      <c r="N699">
        <f>K699*(1-M699/100)*1.18</f>
        <v/>
      </c>
      <c r="O699">
        <f>הגדרות!C9</f>
        <v/>
      </c>
      <c r="P699">
        <f>הגדרות!D9</f>
        <v/>
      </c>
      <c r="Q699">
        <f>N699*(1+O699/100)+P699</f>
        <v/>
      </c>
    </row>
    <row r="700">
      <c r="A700" t="inlineStr">
        <is>
          <t>Purina Pro Plan VET</t>
        </is>
      </c>
      <c r="B700" t="inlineStr">
        <is>
          <t>פרו פלאן "מזון יעודי" לכלב EN - לתמיכה במערכת העיכול</t>
        </is>
      </c>
      <c r="D700" t="inlineStr">
        <is>
          <t>12484151</t>
        </is>
      </c>
      <c r="E700" t="inlineStr">
        <is>
          <t>וטרינרי / רפואי</t>
        </is>
      </c>
      <c r="F700" t="inlineStr">
        <is>
          <t>יבש</t>
        </is>
      </c>
      <c r="G700" t="inlineStr"/>
      <c r="H700" t="inlineStr">
        <is>
          <t>כלב</t>
        </is>
      </c>
      <c r="I700" t="inlineStr"/>
      <c r="J700" t="inlineStr">
        <is>
          <t>2026-06</t>
        </is>
      </c>
      <c r="K700" t="n">
        <v>183.86</v>
      </c>
      <c r="L700" t="n">
        <v>216.95</v>
      </c>
      <c r="M700">
        <f>הגדרות!B9</f>
        <v/>
      </c>
      <c r="N700">
        <f>K700*(1-M700/100)*1.18</f>
        <v/>
      </c>
      <c r="O700">
        <f>הגדרות!C9</f>
        <v/>
      </c>
      <c r="P700">
        <f>הגדרות!D9</f>
        <v/>
      </c>
      <c r="Q700">
        <f>N700*(1+O700/100)+P700</f>
        <v/>
      </c>
    </row>
    <row r="701">
      <c r="A701" t="inlineStr">
        <is>
          <t>Purina Pro Plan VET</t>
        </is>
      </c>
      <c r="B701" t="inlineStr">
        <is>
          <t>פרו פלאן "מזון יעודי" לכלב EN - לתמיכה במערכת העיכול</t>
        </is>
      </c>
      <c r="D701" t="inlineStr">
        <is>
          <t>12484218</t>
        </is>
      </c>
      <c r="E701" t="inlineStr">
        <is>
          <t>וטרינרי / רפואי</t>
        </is>
      </c>
      <c r="F701" t="inlineStr">
        <is>
          <t>יבש</t>
        </is>
      </c>
      <c r="G701" t="inlineStr"/>
      <c r="H701" t="inlineStr">
        <is>
          <t>כלב</t>
        </is>
      </c>
      <c r="I701" t="inlineStr"/>
      <c r="J701" t="inlineStr">
        <is>
          <t>2026-06</t>
        </is>
      </c>
      <c r="K701" t="n">
        <v>383.67</v>
      </c>
      <c r="L701" t="n">
        <v>452.73</v>
      </c>
      <c r="M701">
        <f>הגדרות!B9</f>
        <v/>
      </c>
      <c r="N701">
        <f>K701*(1-M701/100)*1.18</f>
        <v/>
      </c>
      <c r="O701">
        <f>הגדרות!C9</f>
        <v/>
      </c>
      <c r="P701">
        <f>הגדרות!D9</f>
        <v/>
      </c>
      <c r="Q701">
        <f>N701*(1+O701/100)+P701</f>
        <v/>
      </c>
    </row>
    <row r="702">
      <c r="A702" t="inlineStr">
        <is>
          <t>Purina Pro Plan VET</t>
        </is>
      </c>
      <c r="B702" t="inlineStr">
        <is>
          <t>פרו פלאן "מזון יעודי" לכלב DRM - לטיפול ברגישות / אלרגיה עורית</t>
        </is>
      </c>
      <c r="D702" t="inlineStr">
        <is>
          <t>12483405</t>
        </is>
      </c>
      <c r="E702" t="inlineStr">
        <is>
          <t>וטרינרי / רפואי</t>
        </is>
      </c>
      <c r="F702" t="inlineStr">
        <is>
          <t>יבש</t>
        </is>
      </c>
      <c r="G702" t="inlineStr"/>
      <c r="H702" t="inlineStr">
        <is>
          <t>כלב</t>
        </is>
      </c>
      <c r="I702" t="inlineStr"/>
      <c r="J702" t="inlineStr">
        <is>
          <t>2026-06</t>
        </is>
      </c>
      <c r="K702" t="n">
        <v>115.1</v>
      </c>
      <c r="L702" t="n">
        <v>135.82</v>
      </c>
      <c r="M702">
        <f>הגדרות!B9</f>
        <v/>
      </c>
      <c r="N702">
        <f>K702*(1-M702/100)*1.18</f>
        <v/>
      </c>
      <c r="O702">
        <f>הגדרות!C9</f>
        <v/>
      </c>
      <c r="P702">
        <f>הגדרות!D9</f>
        <v/>
      </c>
      <c r="Q702">
        <f>N702*(1+O702/100)+P702</f>
        <v/>
      </c>
    </row>
    <row r="703">
      <c r="A703" t="inlineStr">
        <is>
          <t>Purina Pro Plan VET</t>
        </is>
      </c>
      <c r="B703" t="inlineStr">
        <is>
          <t>פרו פלאן "מזון יעודי" לכלב DRM - לטיפול ברגישות / אלרגיה עורית</t>
        </is>
      </c>
      <c r="D703" t="inlineStr">
        <is>
          <t>12483541</t>
        </is>
      </c>
      <c r="E703" t="inlineStr">
        <is>
          <t>וטרינרי / רפואי</t>
        </is>
      </c>
      <c r="F703" t="inlineStr">
        <is>
          <t>יבש</t>
        </is>
      </c>
      <c r="G703" t="inlineStr"/>
      <c r="H703" t="inlineStr">
        <is>
          <t>כלב</t>
        </is>
      </c>
      <c r="I703" t="inlineStr"/>
      <c r="J703" t="inlineStr">
        <is>
          <t>2026-06</t>
        </is>
      </c>
      <c r="K703" t="n">
        <v>383.67</v>
      </c>
      <c r="L703" t="n">
        <v>452.73</v>
      </c>
      <c r="M703">
        <f>הגדרות!B9</f>
        <v/>
      </c>
      <c r="N703">
        <f>K703*(1-M703/100)*1.18</f>
        <v/>
      </c>
      <c r="O703">
        <f>הגדרות!C9</f>
        <v/>
      </c>
      <c r="P703">
        <f>הגדרות!D9</f>
        <v/>
      </c>
      <c r="Q703">
        <f>N703*(1+O703/100)+P703</f>
        <v/>
      </c>
    </row>
    <row r="704">
      <c r="A704" t="inlineStr">
        <is>
          <t>Purina Pro Plan VET</t>
        </is>
      </c>
      <c r="B704" t="inlineStr">
        <is>
          <t>פרו פלאן "מזון יעודי" לכלב NF - לטיפול במחלות כליה</t>
        </is>
      </c>
      <c r="D704" t="inlineStr">
        <is>
          <t>12484894</t>
        </is>
      </c>
      <c r="E704" t="inlineStr">
        <is>
          <t>וטרינרי / רפואי</t>
        </is>
      </c>
      <c r="F704" t="inlineStr">
        <is>
          <t>יבש</t>
        </is>
      </c>
      <c r="G704" t="inlineStr"/>
      <c r="H704" t="inlineStr">
        <is>
          <t>כלב</t>
        </is>
      </c>
      <c r="I704" t="inlineStr"/>
      <c r="J704" t="inlineStr">
        <is>
          <t>2026-06</t>
        </is>
      </c>
      <c r="K704" t="n">
        <v>365.4</v>
      </c>
      <c r="L704" t="n">
        <v>431.17</v>
      </c>
      <c r="M704">
        <f>הגדרות!B9</f>
        <v/>
      </c>
      <c r="N704">
        <f>K704*(1-M704/100)*1.18</f>
        <v/>
      </c>
      <c r="O704">
        <f>הגדרות!C9</f>
        <v/>
      </c>
      <c r="P704">
        <f>הגדרות!D9</f>
        <v/>
      </c>
      <c r="Q704">
        <f>N704*(1+O704/100)+P704</f>
        <v/>
      </c>
    </row>
    <row r="705">
      <c r="A705" t="inlineStr">
        <is>
          <t>Purina Pro Plan VET</t>
        </is>
      </c>
      <c r="B705" t="inlineStr">
        <is>
          <t>פרו פלאן "מזון יעודי" לכלב NF - לטיפול במחלות כליה</t>
        </is>
      </c>
      <c r="D705" t="inlineStr">
        <is>
          <t>12483420</t>
        </is>
      </c>
      <c r="E705" t="inlineStr">
        <is>
          <t>וטרינרי / רפואי</t>
        </is>
      </c>
      <c r="F705" t="inlineStr">
        <is>
          <t>יבש</t>
        </is>
      </c>
      <c r="G705" t="inlineStr"/>
      <c r="H705" t="inlineStr">
        <is>
          <t>כלב</t>
        </is>
      </c>
      <c r="I705" t="inlineStr"/>
      <c r="J705" t="inlineStr">
        <is>
          <t>2026-06</t>
        </is>
      </c>
      <c r="K705" t="n">
        <v>118.89</v>
      </c>
      <c r="L705" t="n">
        <v>140.29</v>
      </c>
      <c r="M705">
        <f>הגדרות!B9</f>
        <v/>
      </c>
      <c r="N705">
        <f>K705*(1-M705/100)*1.18</f>
        <v/>
      </c>
      <c r="O705">
        <f>הגדרות!C9</f>
        <v/>
      </c>
      <c r="P705">
        <f>הגדרות!D9</f>
        <v/>
      </c>
      <c r="Q705">
        <f>N705*(1+O705/100)+P705</f>
        <v/>
      </c>
    </row>
    <row r="706">
      <c r="A706" t="inlineStr">
        <is>
          <t>Purina Pro Plan VET</t>
        </is>
      </c>
      <c r="B706" t="inlineStr">
        <is>
          <t>פרו פלאן "מזון יעודי" לחתול ולכלב CN - לסיוע בהתאוששת לאחר ניתוח ומחלות</t>
        </is>
      </c>
      <c r="D706" t="inlineStr">
        <is>
          <t>12603084</t>
        </is>
      </c>
      <c r="E706" t="inlineStr">
        <is>
          <t>וטרינרי / רפואי</t>
        </is>
      </c>
      <c r="F706" t="inlineStr">
        <is>
          <t>יבש</t>
        </is>
      </c>
      <c r="G706" t="inlineStr"/>
      <c r="H706" t="inlineStr">
        <is>
          <t>חתול</t>
        </is>
      </c>
      <c r="I706" t="inlineStr"/>
      <c r="J706" t="inlineStr">
        <is>
          <t>2026-06</t>
        </is>
      </c>
      <c r="K706" t="n">
        <v>9.130000000000001</v>
      </c>
      <c r="L706" t="n">
        <v>10.77</v>
      </c>
      <c r="M706">
        <f>הגדרות!B9</f>
        <v/>
      </c>
      <c r="N706">
        <f>K706*(1-M706/100)*1.18</f>
        <v/>
      </c>
      <c r="O706">
        <f>הגדרות!C9</f>
        <v/>
      </c>
      <c r="P706">
        <f>הגדרות!D9</f>
        <v/>
      </c>
      <c r="Q706">
        <f>N706*(1+O706/100)+P706</f>
        <v/>
      </c>
    </row>
    <row r="707">
      <c r="A707" t="inlineStr">
        <is>
          <t>Purina Pro Plan VET</t>
        </is>
      </c>
      <c r="B707" t="inlineStr">
        <is>
          <t>פרו פלאן "מזון יעודי" לחתול UR - למניעת היווצרות קריסטלים בדרכי השתן</t>
        </is>
      </c>
      <c r="D707" t="inlineStr">
        <is>
          <t>13672647</t>
        </is>
      </c>
      <c r="E707" t="inlineStr">
        <is>
          <t>וטרינרי / רפואי</t>
        </is>
      </c>
      <c r="F707" t="inlineStr">
        <is>
          <t>יבש</t>
        </is>
      </c>
      <c r="G707" t="inlineStr"/>
      <c r="H707" t="inlineStr">
        <is>
          <t>חתול</t>
        </is>
      </c>
      <c r="I707" t="inlineStr"/>
      <c r="J707" t="inlineStr">
        <is>
          <t>2026-06</t>
        </is>
      </c>
      <c r="K707" t="n">
        <v>8.039999999999999</v>
      </c>
      <c r="L707" t="n">
        <v>9.49</v>
      </c>
      <c r="M707">
        <f>הגדרות!B9</f>
        <v/>
      </c>
      <c r="N707">
        <f>K707*(1-M707/100)*1.18</f>
        <v/>
      </c>
      <c r="O707">
        <f>הגדרות!C9</f>
        <v/>
      </c>
      <c r="P707">
        <f>הגדרות!D9</f>
        <v/>
      </c>
      <c r="Q707">
        <f>N707*(1+O707/100)+P707</f>
        <v/>
      </c>
    </row>
    <row r="708">
      <c r="A708" t="inlineStr">
        <is>
          <t>Purina Pro Plan VET</t>
        </is>
      </c>
      <c r="B708" t="inlineStr">
        <is>
          <t>פרו פלאן "מזון יעודי" לחתול UR - למניעת היווצרות קריסטלים בדרכי השתן</t>
        </is>
      </c>
      <c r="D708" t="inlineStr">
        <is>
          <t>12603144</t>
        </is>
      </c>
      <c r="E708" t="inlineStr">
        <is>
          <t>וטרינרי / רפואי</t>
        </is>
      </c>
      <c r="F708" t="inlineStr">
        <is>
          <t>יבש</t>
        </is>
      </c>
      <c r="G708" t="inlineStr"/>
      <c r="H708" t="inlineStr">
        <is>
          <t>חתול</t>
        </is>
      </c>
      <c r="I708" t="inlineStr"/>
      <c r="J708" t="inlineStr">
        <is>
          <t>2026-06</t>
        </is>
      </c>
      <c r="K708" t="n">
        <v>9.130000000000001</v>
      </c>
      <c r="L708" t="n">
        <v>10.77</v>
      </c>
      <c r="M708">
        <f>הגדרות!B9</f>
        <v/>
      </c>
      <c r="N708">
        <f>K708*(1-M708/100)*1.18</f>
        <v/>
      </c>
      <c r="O708">
        <f>הגדרות!C9</f>
        <v/>
      </c>
      <c r="P708">
        <f>הגדרות!D9</f>
        <v/>
      </c>
      <c r="Q708">
        <f>N708*(1+O708/100)+P708</f>
        <v/>
      </c>
    </row>
    <row r="709">
      <c r="A709" t="inlineStr">
        <is>
          <t>Purina Pro Plan VET</t>
        </is>
      </c>
      <c r="B709" t="inlineStr">
        <is>
          <t>פרו פלאן "מזון יעודי" לחתול NF - לטיפול במחלות כליה</t>
        </is>
      </c>
      <c r="D709" t="inlineStr">
        <is>
          <t>13670077</t>
        </is>
      </c>
      <c r="E709" t="inlineStr">
        <is>
          <t>וטרינרי / רפואי</t>
        </is>
      </c>
      <c r="F709" t="inlineStr">
        <is>
          <t>יבש</t>
        </is>
      </c>
      <c r="G709" t="inlineStr"/>
      <c r="H709" t="inlineStr">
        <is>
          <t>חתול</t>
        </is>
      </c>
      <c r="I709" t="inlineStr"/>
      <c r="J709" t="inlineStr">
        <is>
          <t>2026-06</t>
        </is>
      </c>
      <c r="K709" t="n">
        <v>8.039999999999999</v>
      </c>
      <c r="L709" t="n">
        <v>9.49</v>
      </c>
      <c r="M709">
        <f>הגדרות!B9</f>
        <v/>
      </c>
      <c r="N709">
        <f>K709*(1-M709/100)*1.18</f>
        <v/>
      </c>
      <c r="O709">
        <f>הגדרות!C9</f>
        <v/>
      </c>
      <c r="P709">
        <f>הגדרות!D9</f>
        <v/>
      </c>
      <c r="Q709">
        <f>N709*(1+O709/100)+P709</f>
        <v/>
      </c>
    </row>
    <row r="710">
      <c r="A710" t="inlineStr">
        <is>
          <t>Purina Pro Plan VET</t>
        </is>
      </c>
      <c r="B710" t="inlineStr">
        <is>
          <t>פרו פלאן "מזון יעודי" לחתול NF - לטיפול במחלות כליה</t>
        </is>
      </c>
      <c r="D710" t="inlineStr">
        <is>
          <t>12603137</t>
        </is>
      </c>
      <c r="E710" t="inlineStr">
        <is>
          <t>וטרינרי / רפואי</t>
        </is>
      </c>
      <c r="F710" t="inlineStr">
        <is>
          <t>יבש</t>
        </is>
      </c>
      <c r="G710" t="inlineStr"/>
      <c r="H710" t="inlineStr">
        <is>
          <t>חתול</t>
        </is>
      </c>
      <c r="I710" t="inlineStr"/>
      <c r="J710" t="inlineStr">
        <is>
          <t>2026-06</t>
        </is>
      </c>
      <c r="K710" t="n">
        <v>9.130000000000001</v>
      </c>
      <c r="L710" t="n">
        <v>10.77</v>
      </c>
      <c r="M710">
        <f>הגדרות!B9</f>
        <v/>
      </c>
      <c r="N710">
        <f>K710*(1-M710/100)*1.18</f>
        <v/>
      </c>
      <c r="O710">
        <f>הגדרות!C9</f>
        <v/>
      </c>
      <c r="P710">
        <f>הגדרות!D9</f>
        <v/>
      </c>
      <c r="Q710">
        <f>N710*(1+O710/100)+P710</f>
        <v/>
      </c>
    </row>
    <row r="711">
      <c r="A711" t="inlineStr">
        <is>
          <t>Purina Pro Plan VET</t>
        </is>
      </c>
      <c r="B711" t="inlineStr">
        <is>
          <t>פרו פלאן "מזון יעודי" לחתול EN - לתמיכה במערכת העיכול</t>
        </is>
      </c>
      <c r="D711" t="inlineStr">
        <is>
          <t>13669496</t>
        </is>
      </c>
      <c r="E711" t="inlineStr">
        <is>
          <t>וטרינרי / רפואי</t>
        </is>
      </c>
      <c r="F711" t="inlineStr">
        <is>
          <t>יבש</t>
        </is>
      </c>
      <c r="G711" t="inlineStr"/>
      <c r="H711" t="inlineStr">
        <is>
          <t>חתול</t>
        </is>
      </c>
      <c r="I711" t="inlineStr"/>
      <c r="J711" t="inlineStr">
        <is>
          <t>2026-06</t>
        </is>
      </c>
      <c r="K711" t="n">
        <v>8.039999999999999</v>
      </c>
      <c r="L711" t="n">
        <v>9.49</v>
      </c>
      <c r="M711">
        <f>הגדרות!B9</f>
        <v/>
      </c>
      <c r="N711">
        <f>K711*(1-M711/100)*1.18</f>
        <v/>
      </c>
      <c r="O711">
        <f>הגדרות!C9</f>
        <v/>
      </c>
      <c r="P711">
        <f>הגדרות!D9</f>
        <v/>
      </c>
      <c r="Q711">
        <f>N711*(1+O711/100)+P711</f>
        <v/>
      </c>
    </row>
    <row r="712">
      <c r="A712" t="inlineStr">
        <is>
          <t>Purina Pro Plan VET</t>
        </is>
      </c>
      <c r="B712" t="inlineStr">
        <is>
          <t>פרו פלאן "מזון יעודי" לחתול EN - לתמיכה במערכת העיכול</t>
        </is>
      </c>
      <c r="D712" t="inlineStr">
        <is>
          <t>12621842</t>
        </is>
      </c>
      <c r="E712" t="inlineStr">
        <is>
          <t>וטרינרי / רפואי</t>
        </is>
      </c>
      <c r="F712" t="inlineStr">
        <is>
          <t>יבש</t>
        </is>
      </c>
      <c r="G712" t="inlineStr"/>
      <c r="H712" t="inlineStr">
        <is>
          <t>חתול</t>
        </is>
      </c>
      <c r="I712" t="inlineStr"/>
      <c r="J712" t="inlineStr">
        <is>
          <t>2026-06</t>
        </is>
      </c>
      <c r="K712" t="n">
        <v>10.92</v>
      </c>
      <c r="L712" t="n">
        <v>12.89</v>
      </c>
      <c r="M712">
        <f>הגדרות!B9</f>
        <v/>
      </c>
      <c r="N712">
        <f>K712*(1-M712/100)*1.18</f>
        <v/>
      </c>
      <c r="O712">
        <f>הגדרות!C9</f>
        <v/>
      </c>
      <c r="P712">
        <f>הגדרות!D9</f>
        <v/>
      </c>
      <c r="Q712">
        <f>N712*(1+O712/100)+P712</f>
        <v/>
      </c>
    </row>
    <row r="713">
      <c r="A713" t="inlineStr">
        <is>
          <t>Purina Pro Plan VET</t>
        </is>
      </c>
      <c r="B713" t="inlineStr">
        <is>
          <t>פרו פלאן "מזון יעודי" לכלב EN - לתמיכה במערכת העיכול</t>
        </is>
      </c>
      <c r="D713" t="inlineStr">
        <is>
          <t>12617132</t>
        </is>
      </c>
      <c r="E713" t="inlineStr">
        <is>
          <t>וטרינרי / רפואי</t>
        </is>
      </c>
      <c r="F713" t="inlineStr">
        <is>
          <t>יבש</t>
        </is>
      </c>
      <c r="G713" t="inlineStr"/>
      <c r="H713" t="inlineStr">
        <is>
          <t>כלב</t>
        </is>
      </c>
      <c r="I713" t="inlineStr"/>
      <c r="J713" t="inlineStr">
        <is>
          <t>2026-06</t>
        </is>
      </c>
      <c r="K713" t="n">
        <v>17.69</v>
      </c>
      <c r="L713" t="n">
        <v>20.87</v>
      </c>
      <c r="M713">
        <f>הגדרות!B9</f>
        <v/>
      </c>
      <c r="N713">
        <f>K713*(1-M713/100)*1.18</f>
        <v/>
      </c>
      <c r="O713">
        <f>הגדרות!C9</f>
        <v/>
      </c>
      <c r="P713">
        <f>הגדרות!D9</f>
        <v/>
      </c>
      <c r="Q713">
        <f>N713*(1+O713/100)+P713</f>
        <v/>
      </c>
    </row>
    <row r="714">
      <c r="A714" t="inlineStr">
        <is>
          <t>Purina Pro Plan VET</t>
        </is>
      </c>
      <c r="B714" t="inlineStr">
        <is>
          <t>פרו פלאן "מזון יעודי" לכלב NF - לטיפול במחלות כליה</t>
        </is>
      </c>
      <c r="D714" t="inlineStr">
        <is>
          <t>12570828</t>
        </is>
      </c>
      <c r="E714" t="inlineStr">
        <is>
          <t>וטרינרי / רפואי</t>
        </is>
      </c>
      <c r="F714" t="inlineStr">
        <is>
          <t>יבש</t>
        </is>
      </c>
      <c r="G714" t="inlineStr"/>
      <c r="H714" t="inlineStr">
        <is>
          <t>כלב</t>
        </is>
      </c>
      <c r="I714" t="inlineStr"/>
      <c r="J714" t="inlineStr">
        <is>
          <t>2026-06</t>
        </is>
      </c>
      <c r="K714" t="n">
        <v>17.69</v>
      </c>
      <c r="L714" t="n">
        <v>20.87</v>
      </c>
      <c r="M714">
        <f>הגדרות!B9</f>
        <v/>
      </c>
      <c r="N714">
        <f>K714*(1-M714/100)*1.18</f>
        <v/>
      </c>
      <c r="O714">
        <f>הגדרות!C9</f>
        <v/>
      </c>
      <c r="P714">
        <f>הגדרות!D9</f>
        <v/>
      </c>
      <c r="Q714">
        <f>N714*(1+O714/100)+P714</f>
        <v/>
      </c>
    </row>
    <row r="715">
      <c r="A715" t="inlineStr">
        <is>
          <t>Purina Pro Plan VET</t>
        </is>
      </c>
      <c r="B715" t="inlineStr">
        <is>
          <t>פרו פלאן "מזון יעודי" לכלב HA - לסיוע במניעת אלרגיה למזון</t>
        </is>
      </c>
      <c r="D715" t="inlineStr">
        <is>
          <t>12603193</t>
        </is>
      </c>
      <c r="E715" t="inlineStr">
        <is>
          <t>וטרינרי / רפואי</t>
        </is>
      </c>
      <c r="F715" t="inlineStr">
        <is>
          <t>יבש</t>
        </is>
      </c>
      <c r="G715" t="inlineStr"/>
      <c r="H715" t="inlineStr">
        <is>
          <t>כלב</t>
        </is>
      </c>
      <c r="I715" t="inlineStr"/>
      <c r="J715" t="inlineStr">
        <is>
          <t>2026-06</t>
        </is>
      </c>
      <c r="K715" t="n">
        <v>18.57</v>
      </c>
      <c r="L715" t="n">
        <v>21.91</v>
      </c>
      <c r="M715">
        <f>הגדרות!B9</f>
        <v/>
      </c>
      <c r="N715">
        <f>K715*(1-M715/100)*1.18</f>
        <v/>
      </c>
      <c r="O715">
        <f>הגדרות!C9</f>
        <v/>
      </c>
      <c r="P715">
        <f>הגדרות!D9</f>
        <v/>
      </c>
      <c r="Q715">
        <f>N715*(1+O715/100)+P715</f>
        <v/>
      </c>
    </row>
    <row r="716">
      <c r="A716" t="inlineStr">
        <is>
          <t>פורינה (חנויות)</t>
        </is>
      </c>
      <c r="B716" t="inlineStr">
        <is>
          <t>פריסקיז מעדני החתול</t>
        </is>
      </c>
      <c r="C716" t="inlineStr">
        <is>
          <t>פריסקיז חתול יבש FRISKIES DRY</t>
        </is>
      </c>
      <c r="D716" t="inlineStr">
        <is>
          <t>12609763</t>
        </is>
      </c>
      <c r="E716" t="inlineStr">
        <is>
          <t>רגיל</t>
        </is>
      </c>
      <c r="F716" t="inlineStr">
        <is>
          <t>יבש</t>
        </is>
      </c>
      <c r="G716" t="inlineStr"/>
      <c r="H716" t="inlineStr">
        <is>
          <t>חתול</t>
        </is>
      </c>
      <c r="I716" t="inlineStr"/>
      <c r="J716" t="inlineStr">
        <is>
          <t>2026-06</t>
        </is>
      </c>
      <c r="K716" t="n">
        <v>28.68</v>
      </c>
      <c r="L716" t="n">
        <v>33.84</v>
      </c>
      <c r="M716">
        <f>הגדרות!B10</f>
        <v/>
      </c>
      <c r="N716">
        <f>K716*(1-M716/100)*1.18</f>
        <v/>
      </c>
      <c r="O716">
        <f>הגדרות!C10</f>
        <v/>
      </c>
      <c r="P716">
        <f>הגדרות!D10</f>
        <v/>
      </c>
      <c r="Q716">
        <f>N716*(1+O716/100)+P716</f>
        <v/>
      </c>
    </row>
    <row r="717">
      <c r="A717" t="inlineStr">
        <is>
          <t>פורינה (חנויות)</t>
        </is>
      </c>
      <c r="B717" t="inlineStr">
        <is>
          <t>פריסקיז מעדני הים</t>
        </is>
      </c>
      <c r="C717" t="inlineStr">
        <is>
          <t>פריסקיז חתול יבש FRISKIES DRY</t>
        </is>
      </c>
      <c r="D717" t="inlineStr">
        <is>
          <t>12609755</t>
        </is>
      </c>
      <c r="E717" t="inlineStr">
        <is>
          <t>רגיל</t>
        </is>
      </c>
      <c r="F717" t="inlineStr">
        <is>
          <t>יבש</t>
        </is>
      </c>
      <c r="G717" t="inlineStr"/>
      <c r="H717" t="inlineStr">
        <is>
          <t>חתול</t>
        </is>
      </c>
      <c r="I717" t="inlineStr"/>
      <c r="J717" t="inlineStr">
        <is>
          <t>2026-06</t>
        </is>
      </c>
      <c r="K717" t="n">
        <v>28.68</v>
      </c>
      <c r="L717" t="n">
        <v>33.84</v>
      </c>
      <c r="M717">
        <f>הגדרות!B10</f>
        <v/>
      </c>
      <c r="N717">
        <f>K717*(1-M717/100)*1.18</f>
        <v/>
      </c>
      <c r="O717">
        <f>הגדרות!C10</f>
        <v/>
      </c>
      <c r="P717">
        <f>הגדרות!D10</f>
        <v/>
      </c>
      <c r="Q717">
        <f>N717*(1+O717/100)+P717</f>
        <v/>
      </c>
    </row>
    <row r="718">
      <c r="A718" t="inlineStr">
        <is>
          <t>פורינה (חנויות)</t>
        </is>
      </c>
      <c r="B718" t="inlineStr">
        <is>
          <t>פריסקיז מעדני הבית</t>
        </is>
      </c>
      <c r="C718" t="inlineStr">
        <is>
          <t>פריסקיז חתול יבש FRISKIES DRY</t>
        </is>
      </c>
      <c r="D718" t="inlineStr">
        <is>
          <t>12624912</t>
        </is>
      </c>
      <c r="E718" t="inlineStr">
        <is>
          <t>רגיל</t>
        </is>
      </c>
      <c r="F718" t="inlineStr">
        <is>
          <t>יבש</t>
        </is>
      </c>
      <c r="G718" t="inlineStr"/>
      <c r="H718" t="inlineStr">
        <is>
          <t>חתול</t>
        </is>
      </c>
      <c r="I718" t="inlineStr"/>
      <c r="J718" t="inlineStr">
        <is>
          <t>2026-06</t>
        </is>
      </c>
      <c r="K718" t="n">
        <v>28.68</v>
      </c>
      <c r="L718" t="n">
        <v>33.84</v>
      </c>
      <c r="M718">
        <f>הגדרות!B10</f>
        <v/>
      </c>
      <c r="N718">
        <f>K718*(1-M718/100)*1.18</f>
        <v/>
      </c>
      <c r="O718">
        <f>הגדרות!C10</f>
        <v/>
      </c>
      <c r="P718">
        <f>הגדרות!D10</f>
        <v/>
      </c>
      <c r="Q718">
        <f>N718*(1+O718/100)+P718</f>
        <v/>
      </c>
    </row>
    <row r="719">
      <c r="A719" t="inlineStr">
        <is>
          <t>פורינה (חנויות)</t>
        </is>
      </c>
      <c r="B719" t="inlineStr">
        <is>
          <t>פריסקיז אקסטרא קראנץ</t>
        </is>
      </c>
      <c r="C719" t="inlineStr">
        <is>
          <t>פריסקיז חתול יבש FRISKIES DRY</t>
        </is>
      </c>
      <c r="D719" t="inlineStr">
        <is>
          <t>13436805</t>
        </is>
      </c>
      <c r="E719" t="inlineStr">
        <is>
          <t>רגיל</t>
        </is>
      </c>
      <c r="F719" t="inlineStr">
        <is>
          <t>יבש</t>
        </is>
      </c>
      <c r="G719" t="inlineStr"/>
      <c r="H719" t="inlineStr">
        <is>
          <t>חתול</t>
        </is>
      </c>
      <c r="I719" t="inlineStr"/>
      <c r="J719" t="inlineStr">
        <is>
          <t>2026-06</t>
        </is>
      </c>
      <c r="K719" t="n">
        <v>28.68</v>
      </c>
      <c r="L719" t="n">
        <v>33.84</v>
      </c>
      <c r="M719">
        <f>הגדרות!B10</f>
        <v/>
      </c>
      <c r="N719">
        <f>K719*(1-M719/100)*1.18</f>
        <v/>
      </c>
      <c r="O719">
        <f>הגדרות!C10</f>
        <v/>
      </c>
      <c r="P719">
        <f>הגדרות!D10</f>
        <v/>
      </c>
      <c r="Q719">
        <f>N719*(1+O719/100)+P719</f>
        <v/>
      </c>
    </row>
    <row r="720">
      <c r="A720" t="inlineStr">
        <is>
          <t>פורינה (חנויות)</t>
        </is>
      </c>
      <c r="B720" t="inlineStr">
        <is>
          <t>פריסקיז נתחי ברביקיו</t>
        </is>
      </c>
      <c r="C720" t="inlineStr">
        <is>
          <t>פריסקיז חתול יבש FRISKIES DRY</t>
        </is>
      </c>
      <c r="D720" t="inlineStr">
        <is>
          <t>13436860</t>
        </is>
      </c>
      <c r="E720" t="inlineStr">
        <is>
          <t>רגיל</t>
        </is>
      </c>
      <c r="F720" t="inlineStr">
        <is>
          <t>יבש</t>
        </is>
      </c>
      <c r="G720" t="inlineStr"/>
      <c r="H720" t="inlineStr">
        <is>
          <t>חתול</t>
        </is>
      </c>
      <c r="I720" t="inlineStr"/>
      <c r="J720" t="inlineStr">
        <is>
          <t>2026-06</t>
        </is>
      </c>
      <c r="K720" t="n">
        <v>28.68</v>
      </c>
      <c r="L720" t="n">
        <v>33.84</v>
      </c>
      <c r="M720">
        <f>הגדרות!B10</f>
        <v/>
      </c>
      <c r="N720">
        <f>K720*(1-M720/100)*1.18</f>
        <v/>
      </c>
      <c r="O720">
        <f>הגדרות!C10</f>
        <v/>
      </c>
      <c r="P720">
        <f>הגדרות!D10</f>
        <v/>
      </c>
      <c r="Q720">
        <f>N720*(1+O720/100)+P720</f>
        <v/>
      </c>
    </row>
    <row r="721">
      <c r="A721" t="inlineStr">
        <is>
          <t>פורינה (חנויות)</t>
        </is>
      </c>
      <c r="B721" t="inlineStr">
        <is>
          <t>פריסקיז מעדני החתול</t>
        </is>
      </c>
      <c r="C721" t="inlineStr">
        <is>
          <t>פריסקיז חתול יבש FRISKIES DRY</t>
        </is>
      </c>
      <c r="D721" t="inlineStr">
        <is>
          <t>12624878</t>
        </is>
      </c>
      <c r="E721" t="inlineStr">
        <is>
          <t>רגיל</t>
        </is>
      </c>
      <c r="F721" t="inlineStr">
        <is>
          <t>יבש</t>
        </is>
      </c>
      <c r="G721" t="inlineStr"/>
      <c r="H721" t="inlineStr">
        <is>
          <t>חתול</t>
        </is>
      </c>
      <c r="I721" t="inlineStr"/>
      <c r="J721" t="inlineStr">
        <is>
          <t>2026-06</t>
        </is>
      </c>
      <c r="K721" t="n">
        <v>132.01</v>
      </c>
      <c r="L721" t="n">
        <v>155.77</v>
      </c>
      <c r="M721">
        <f>הגדרות!B10</f>
        <v/>
      </c>
      <c r="N721">
        <f>K721*(1-M721/100)*1.18</f>
        <v/>
      </c>
      <c r="O721">
        <f>הגדרות!C10</f>
        <v/>
      </c>
      <c r="P721">
        <f>הגדרות!D10</f>
        <v/>
      </c>
      <c r="Q721">
        <f>N721*(1+O721/100)+P721</f>
        <v/>
      </c>
    </row>
    <row r="722">
      <c r="A722" t="inlineStr">
        <is>
          <t>פורינה (חנויות)</t>
        </is>
      </c>
      <c r="B722" t="inlineStr">
        <is>
          <t>פריסקיז מעדני הים</t>
        </is>
      </c>
      <c r="C722" t="inlineStr">
        <is>
          <t>פריסקיז חתול יבש FRISKIES DRY</t>
        </is>
      </c>
      <c r="D722" t="inlineStr">
        <is>
          <t>12624909</t>
        </is>
      </c>
      <c r="E722" t="inlineStr">
        <is>
          <t>רגיל</t>
        </is>
      </c>
      <c r="F722" t="inlineStr">
        <is>
          <t>יבש</t>
        </is>
      </c>
      <c r="G722" t="inlineStr"/>
      <c r="H722" t="inlineStr">
        <is>
          <t>חתול</t>
        </is>
      </c>
      <c r="I722" t="inlineStr"/>
      <c r="J722" t="inlineStr">
        <is>
          <t>2026-06</t>
        </is>
      </c>
      <c r="K722" t="n">
        <v>132.01</v>
      </c>
      <c r="L722" t="n">
        <v>155.77</v>
      </c>
      <c r="M722">
        <f>הגדרות!B10</f>
        <v/>
      </c>
      <c r="N722">
        <f>K722*(1-M722/100)*1.18</f>
        <v/>
      </c>
      <c r="O722">
        <f>הגדרות!C10</f>
        <v/>
      </c>
      <c r="P722">
        <f>הגדרות!D10</f>
        <v/>
      </c>
      <c r="Q722">
        <f>N722*(1+O722/100)+P722</f>
        <v/>
      </c>
    </row>
    <row r="723">
      <c r="A723" t="inlineStr">
        <is>
          <t>פורינה (חנויות)</t>
        </is>
      </c>
      <c r="B723" t="inlineStr">
        <is>
          <t>פריסקיז מעדני הבית</t>
        </is>
      </c>
      <c r="C723" t="inlineStr">
        <is>
          <t>פריסקיז חתול יבש FRISKIES DRY</t>
        </is>
      </c>
      <c r="D723" t="inlineStr">
        <is>
          <t>12624910</t>
        </is>
      </c>
      <c r="E723" t="inlineStr">
        <is>
          <t>רגיל</t>
        </is>
      </c>
      <c r="F723" t="inlineStr">
        <is>
          <t>יבש</t>
        </is>
      </c>
      <c r="G723" t="inlineStr"/>
      <c r="H723" t="inlineStr">
        <is>
          <t>חתול</t>
        </is>
      </c>
      <c r="I723" t="inlineStr"/>
      <c r="J723" t="inlineStr">
        <is>
          <t>2026-06</t>
        </is>
      </c>
      <c r="K723" t="n">
        <v>132.01</v>
      </c>
      <c r="L723" t="n">
        <v>155.77</v>
      </c>
      <c r="M723">
        <f>הגדרות!B10</f>
        <v/>
      </c>
      <c r="N723">
        <f>K723*(1-M723/100)*1.18</f>
        <v/>
      </c>
      <c r="O723">
        <f>הגדרות!C10</f>
        <v/>
      </c>
      <c r="P723">
        <f>הגדרות!D10</f>
        <v/>
      </c>
      <c r="Q723">
        <f>N723*(1+O723/100)+P723</f>
        <v/>
      </c>
    </row>
    <row r="724">
      <c r="A724" t="inlineStr">
        <is>
          <t>פורינה (חנויות)</t>
        </is>
      </c>
      <c r="B724" t="inlineStr">
        <is>
          <t>פריסקיז אקסטרא קראנץ'</t>
        </is>
      </c>
      <c r="C724" t="inlineStr">
        <is>
          <t>פריסקיז חתול יבש FRISKIES DRY</t>
        </is>
      </c>
      <c r="D724" t="inlineStr">
        <is>
          <t>13436832</t>
        </is>
      </c>
      <c r="E724" t="inlineStr">
        <is>
          <t>רגיל</t>
        </is>
      </c>
      <c r="F724" t="inlineStr">
        <is>
          <t>יבש</t>
        </is>
      </c>
      <c r="G724" t="inlineStr"/>
      <c r="H724" t="inlineStr">
        <is>
          <t>חתול</t>
        </is>
      </c>
      <c r="I724" t="inlineStr"/>
      <c r="J724" t="inlineStr">
        <is>
          <t>2026-06</t>
        </is>
      </c>
      <c r="K724" t="n">
        <v>132.01</v>
      </c>
      <c r="L724" t="n">
        <v>155.77</v>
      </c>
      <c r="M724">
        <f>הגדרות!B10</f>
        <v/>
      </c>
      <c r="N724">
        <f>K724*(1-M724/100)*1.18</f>
        <v/>
      </c>
      <c r="O724">
        <f>הגדרות!C10</f>
        <v/>
      </c>
      <c r="P724">
        <f>הגדרות!D10</f>
        <v/>
      </c>
      <c r="Q724">
        <f>N724*(1+O724/100)+P724</f>
        <v/>
      </c>
    </row>
    <row r="725">
      <c r="A725" t="inlineStr">
        <is>
          <t>פורינה (חנויות)</t>
        </is>
      </c>
      <c r="B725" t="inlineStr">
        <is>
          <t>פריסקיז נתחי ברביקיו</t>
        </is>
      </c>
      <c r="C725" t="inlineStr">
        <is>
          <t>פריסקיז חתול יבש FRISKIES DRY</t>
        </is>
      </c>
      <c r="D725" t="inlineStr">
        <is>
          <t>13437066</t>
        </is>
      </c>
      <c r="E725" t="inlineStr">
        <is>
          <t>רגיל</t>
        </is>
      </c>
      <c r="F725" t="inlineStr">
        <is>
          <t>יבש</t>
        </is>
      </c>
      <c r="G725" t="inlineStr"/>
      <c r="H725" t="inlineStr">
        <is>
          <t>חתול</t>
        </is>
      </c>
      <c r="I725" t="inlineStr"/>
      <c r="J725" t="inlineStr">
        <is>
          <t>2026-06</t>
        </is>
      </c>
      <c r="K725" t="n">
        <v>132.01</v>
      </c>
      <c r="L725" t="n">
        <v>155.77</v>
      </c>
      <c r="M725">
        <f>הגדרות!B10</f>
        <v/>
      </c>
      <c r="N725">
        <f>K725*(1-M725/100)*1.18</f>
        <v/>
      </c>
      <c r="O725">
        <f>הגדרות!C10</f>
        <v/>
      </c>
      <c r="P725">
        <f>הגדרות!D10</f>
        <v/>
      </c>
      <c r="Q725">
        <f>N725*(1+O725/100)+P725</f>
        <v/>
      </c>
    </row>
    <row r="726">
      <c r="A726" t="inlineStr">
        <is>
          <t>פורינה (חנויות)</t>
        </is>
      </c>
      <c r="B726" t="inlineStr">
        <is>
          <t>פריסקיז אקסטרא קרנץ'</t>
        </is>
      </c>
      <c r="C726" t="inlineStr">
        <is>
          <t>פריסקיז חתול יבש FRISKIES DRY</t>
        </is>
      </c>
      <c r="D726" t="inlineStr">
        <is>
          <t>13437891</t>
        </is>
      </c>
      <c r="E726" t="inlineStr">
        <is>
          <t>רגיל</t>
        </is>
      </c>
      <c r="F726" t="inlineStr">
        <is>
          <t>יבש</t>
        </is>
      </c>
      <c r="G726" t="inlineStr"/>
      <c r="H726" t="inlineStr">
        <is>
          <t>חתול</t>
        </is>
      </c>
      <c r="I726" t="inlineStr"/>
      <c r="J726" t="inlineStr">
        <is>
          <t>2026-06</t>
        </is>
      </c>
      <c r="K726" t="n">
        <v>174.2</v>
      </c>
      <c r="L726" t="n">
        <v>205.56</v>
      </c>
      <c r="M726">
        <f>הגדרות!B10</f>
        <v/>
      </c>
      <c r="N726">
        <f>K726*(1-M726/100)*1.18</f>
        <v/>
      </c>
      <c r="O726">
        <f>הגדרות!C10</f>
        <v/>
      </c>
      <c r="P726">
        <f>הגדרות!D10</f>
        <v/>
      </c>
      <c r="Q726">
        <f>N726*(1+O726/100)+P726</f>
        <v/>
      </c>
    </row>
    <row r="727">
      <c r="A727" t="inlineStr">
        <is>
          <t>פורינה (חנויות)</t>
        </is>
      </c>
      <c r="B727" t="inlineStr">
        <is>
          <t>פריסקיז מעדני חתול</t>
        </is>
      </c>
      <c r="C727" t="inlineStr">
        <is>
          <t>פריסקיז חתול יבש FRISKIES DRY</t>
        </is>
      </c>
      <c r="D727" t="inlineStr">
        <is>
          <t>12624893</t>
        </is>
      </c>
      <c r="E727" t="inlineStr">
        <is>
          <t>רגיל</t>
        </is>
      </c>
      <c r="F727" t="inlineStr">
        <is>
          <t>יבש</t>
        </is>
      </c>
      <c r="G727" t="inlineStr"/>
      <c r="H727" t="inlineStr">
        <is>
          <t>חתול</t>
        </is>
      </c>
      <c r="I727" t="inlineStr"/>
      <c r="J727" t="inlineStr">
        <is>
          <t>2026-06</t>
        </is>
      </c>
      <c r="K727" t="n">
        <v>174.2</v>
      </c>
      <c r="L727" t="n">
        <v>205.56</v>
      </c>
      <c r="M727">
        <f>הגדרות!B10</f>
        <v/>
      </c>
      <c r="N727">
        <f>K727*(1-M727/100)*1.18</f>
        <v/>
      </c>
      <c r="O727">
        <f>הגדרות!C10</f>
        <v/>
      </c>
      <c r="P727">
        <f>הגדרות!D10</f>
        <v/>
      </c>
      <c r="Q727">
        <f>N727*(1+O727/100)+P727</f>
        <v/>
      </c>
    </row>
    <row r="728">
      <c r="A728" t="inlineStr">
        <is>
          <t>פורינה (חנויות)</t>
        </is>
      </c>
      <c r="B728" t="inlineStr">
        <is>
          <t>פריסקיז מעדני הים</t>
        </is>
      </c>
      <c r="C728" t="inlineStr">
        <is>
          <t>פריסקיז חתול יבש FRISKIES DRY</t>
        </is>
      </c>
      <c r="D728" t="inlineStr">
        <is>
          <t>12624911</t>
        </is>
      </c>
      <c r="E728" t="inlineStr">
        <is>
          <t>רגיל</t>
        </is>
      </c>
      <c r="F728" t="inlineStr">
        <is>
          <t>יבש</t>
        </is>
      </c>
      <c r="G728" t="inlineStr"/>
      <c r="H728" t="inlineStr">
        <is>
          <t>חתול</t>
        </is>
      </c>
      <c r="I728" t="inlineStr"/>
      <c r="J728" t="inlineStr">
        <is>
          <t>2026-06</t>
        </is>
      </c>
      <c r="K728" t="n">
        <v>174.2</v>
      </c>
      <c r="L728" t="n">
        <v>205.56</v>
      </c>
      <c r="M728">
        <f>הגדרות!B10</f>
        <v/>
      </c>
      <c r="N728">
        <f>K728*(1-M728/100)*1.18</f>
        <v/>
      </c>
      <c r="O728">
        <f>הגדרות!C10</f>
        <v/>
      </c>
      <c r="P728">
        <f>הגדרות!D10</f>
        <v/>
      </c>
      <c r="Q728">
        <f>N728*(1+O728/100)+P728</f>
        <v/>
      </c>
    </row>
    <row r="729">
      <c r="A729" t="inlineStr">
        <is>
          <t>פורינה (חנויות)</t>
        </is>
      </c>
      <c r="B729" t="inlineStr">
        <is>
          <t>פריסקיז מעדני הים</t>
        </is>
      </c>
      <c r="C729" t="inlineStr">
        <is>
          <t>פריסקיז חתול יבש FRISKIES DRY</t>
        </is>
      </c>
      <c r="D729" t="inlineStr">
        <is>
          <t>12624879</t>
        </is>
      </c>
      <c r="E729" t="inlineStr">
        <is>
          <t>רגיל</t>
        </is>
      </c>
      <c r="F729" t="inlineStr">
        <is>
          <t>יבש</t>
        </is>
      </c>
      <c r="G729" t="inlineStr"/>
      <c r="H729" t="inlineStr">
        <is>
          <t>חתול</t>
        </is>
      </c>
      <c r="I729" t="inlineStr"/>
      <c r="J729" t="inlineStr">
        <is>
          <t>2026-06</t>
        </is>
      </c>
      <c r="K729" t="n">
        <v>227.5</v>
      </c>
      <c r="L729" t="n">
        <v>268.45</v>
      </c>
      <c r="M729">
        <f>הגדרות!B10</f>
        <v/>
      </c>
      <c r="N729">
        <f>K729*(1-M729/100)*1.18</f>
        <v/>
      </c>
      <c r="O729">
        <f>הגדרות!C10</f>
        <v/>
      </c>
      <c r="P729">
        <f>הגדרות!D10</f>
        <v/>
      </c>
      <c r="Q729">
        <f>N729*(1+O729/100)+P729</f>
        <v/>
      </c>
    </row>
    <row r="730">
      <c r="A730" t="inlineStr">
        <is>
          <t>פורינה (חנויות)</t>
        </is>
      </c>
      <c r="B730" t="inlineStr">
        <is>
          <t>פריסקיז סלמון ברוטב עשיר במיוחד</t>
        </is>
      </c>
      <c r="C730" t="inlineStr">
        <is>
          <t>פריסקיז לח FRISKIES WET</t>
        </is>
      </c>
      <c r="D730" t="inlineStr">
        <is>
          <t>12570347</t>
        </is>
      </c>
      <c r="E730" t="inlineStr">
        <is>
          <t>רגיל</t>
        </is>
      </c>
      <c r="F730" t="inlineStr">
        <is>
          <t>רטוב</t>
        </is>
      </c>
      <c r="G730" t="inlineStr"/>
      <c r="H730" t="inlineStr"/>
      <c r="I730" t="inlineStr"/>
      <c r="J730" t="inlineStr">
        <is>
          <t>2026-06</t>
        </is>
      </c>
      <c r="K730" t="n">
        <v>4.64</v>
      </c>
      <c r="L730" t="n">
        <v>5.48</v>
      </c>
      <c r="M730">
        <f>הגדרות!B10</f>
        <v/>
      </c>
      <c r="N730">
        <f>K730*(1-M730/100)*1.18</f>
        <v/>
      </c>
      <c r="O730">
        <f>הגדרות!C10</f>
        <v/>
      </c>
      <c r="P730">
        <f>הגדרות!D10</f>
        <v/>
      </c>
      <c r="Q730">
        <f>N730*(1+O730/100)+P730</f>
        <v/>
      </c>
    </row>
    <row r="731">
      <c r="A731" t="inlineStr">
        <is>
          <t>פורינה (חנויות)</t>
        </is>
      </c>
      <c r="B731" t="inlineStr">
        <is>
          <t>פריסקיז עוף ברוטב עשיר במיוחד</t>
        </is>
      </c>
      <c r="C731" t="inlineStr">
        <is>
          <t>פריסקיז לח FRISKIES WET</t>
        </is>
      </c>
      <c r="D731" t="inlineStr">
        <is>
          <t>12570345</t>
        </is>
      </c>
      <c r="E731" t="inlineStr">
        <is>
          <t>רגיל</t>
        </is>
      </c>
      <c r="F731" t="inlineStr">
        <is>
          <t>רטוב</t>
        </is>
      </c>
      <c r="G731" t="inlineStr"/>
      <c r="H731" t="inlineStr"/>
      <c r="I731" t="inlineStr"/>
      <c r="J731" t="inlineStr">
        <is>
          <t>2026-06</t>
        </is>
      </c>
      <c r="K731" t="n">
        <v>4.64</v>
      </c>
      <c r="L731" t="n">
        <v>5.48</v>
      </c>
      <c r="M731">
        <f>הגדרות!B10</f>
        <v/>
      </c>
      <c r="N731">
        <f>K731*(1-M731/100)*1.18</f>
        <v/>
      </c>
      <c r="O731">
        <f>הגדרות!C10</f>
        <v/>
      </c>
      <c r="P731">
        <f>הגדרות!D10</f>
        <v/>
      </c>
      <c r="Q731">
        <f>N731*(1+O731/100)+P731</f>
        <v/>
      </c>
    </row>
    <row r="732">
      <c r="A732" t="inlineStr">
        <is>
          <t>פורינה (חנויות)</t>
        </is>
      </c>
      <c r="B732" t="inlineStr">
        <is>
          <t>פריסקיז נתחי עוף ברוטב</t>
        </is>
      </c>
      <c r="C732" t="inlineStr">
        <is>
          <t>פריסקיז לח FRISKIES WET</t>
        </is>
      </c>
      <c r="D732" t="inlineStr">
        <is>
          <t>12587334</t>
        </is>
      </c>
      <c r="E732" t="inlineStr">
        <is>
          <t>רגיל</t>
        </is>
      </c>
      <c r="F732" t="inlineStr">
        <is>
          <t>רטוב</t>
        </is>
      </c>
      <c r="G732" t="inlineStr"/>
      <c r="H732" t="inlineStr"/>
      <c r="I732" t="inlineStr"/>
      <c r="J732" t="inlineStr">
        <is>
          <t>2026-06</t>
        </is>
      </c>
      <c r="K732" t="n">
        <v>4.64</v>
      </c>
      <c r="L732" t="n">
        <v>5.48</v>
      </c>
      <c r="M732">
        <f>הגדרות!B10</f>
        <v/>
      </c>
      <c r="N732">
        <f>K732*(1-M732/100)*1.18</f>
        <v/>
      </c>
      <c r="O732">
        <f>הגדרות!C10</f>
        <v/>
      </c>
      <c r="P732">
        <f>הגדרות!D10</f>
        <v/>
      </c>
      <c r="Q732">
        <f>N732*(1+O732/100)+P732</f>
        <v/>
      </c>
    </row>
    <row r="733">
      <c r="A733" t="inlineStr">
        <is>
          <t>פורינה (חנויות)</t>
        </is>
      </c>
      <c r="B733" t="inlineStr">
        <is>
          <t>פריסקיז נתחי עוף וסלמון ברוטב</t>
        </is>
      </c>
      <c r="C733" t="inlineStr">
        <is>
          <t>פריסקיז לח FRISKIES WET</t>
        </is>
      </c>
      <c r="D733" t="inlineStr">
        <is>
          <t>12587303</t>
        </is>
      </c>
      <c r="E733" t="inlineStr">
        <is>
          <t>רגיל</t>
        </is>
      </c>
      <c r="F733" t="inlineStr">
        <is>
          <t>רטוב</t>
        </is>
      </c>
      <c r="G733" t="inlineStr"/>
      <c r="H733" t="inlineStr"/>
      <c r="I733" t="inlineStr"/>
      <c r="J733" t="inlineStr">
        <is>
          <t>2026-06</t>
        </is>
      </c>
      <c r="K733" t="n">
        <v>4.64</v>
      </c>
      <c r="L733" t="n">
        <v>5.48</v>
      </c>
      <c r="M733">
        <f>הגדרות!B10</f>
        <v/>
      </c>
      <c r="N733">
        <f>K733*(1-M733/100)*1.18</f>
        <v/>
      </c>
      <c r="O733">
        <f>הגדרות!C10</f>
        <v/>
      </c>
      <c r="P733">
        <f>הגדרות!D10</f>
        <v/>
      </c>
      <c r="Q733">
        <f>N733*(1+O733/100)+P733</f>
        <v/>
      </c>
    </row>
    <row r="734">
      <c r="A734" t="inlineStr">
        <is>
          <t>פורינה (חנויות)</t>
        </is>
      </c>
      <c r="B734" t="inlineStr">
        <is>
          <t>פריסקיז פטה דג אוקיינוס</t>
        </is>
      </c>
      <c r="C734" t="inlineStr">
        <is>
          <t>פריסקיז לח FRISKIES WET</t>
        </is>
      </c>
      <c r="D734" t="inlineStr">
        <is>
          <t>12577053</t>
        </is>
      </c>
      <c r="E734" t="inlineStr">
        <is>
          <t>רגיל</t>
        </is>
      </c>
      <c r="F734" t="inlineStr">
        <is>
          <t>יבש</t>
        </is>
      </c>
      <c r="G734" t="inlineStr"/>
      <c r="H734" t="inlineStr"/>
      <c r="I734" t="inlineStr"/>
      <c r="J734" t="inlineStr">
        <is>
          <t>2026-06</t>
        </is>
      </c>
      <c r="K734" t="n">
        <v>4.64</v>
      </c>
      <c r="L734" t="n">
        <v>5.48</v>
      </c>
      <c r="M734">
        <f>הגדרות!B10</f>
        <v/>
      </c>
      <c r="N734">
        <f>K734*(1-M734/100)*1.18</f>
        <v/>
      </c>
      <c r="O734">
        <f>הגדרות!C10</f>
        <v/>
      </c>
      <c r="P734">
        <f>הגדרות!D10</f>
        <v/>
      </c>
      <c r="Q734">
        <f>N734*(1+O734/100)+P734</f>
        <v/>
      </c>
    </row>
    <row r="735">
      <c r="A735" t="inlineStr">
        <is>
          <t>פורינה (חנויות)</t>
        </is>
      </c>
      <c r="B735" t="inlineStr">
        <is>
          <t>פריסקיז פטה הודו</t>
        </is>
      </c>
      <c r="C735" t="inlineStr">
        <is>
          <t>פריסקיז לח FRISKIES WET</t>
        </is>
      </c>
      <c r="D735" t="inlineStr">
        <is>
          <t>12577064</t>
        </is>
      </c>
      <c r="E735" t="inlineStr">
        <is>
          <t>רגיל</t>
        </is>
      </c>
      <c r="F735" t="inlineStr">
        <is>
          <t>יבש</t>
        </is>
      </c>
      <c r="G735" t="inlineStr"/>
      <c r="H735" t="inlineStr"/>
      <c r="I735" t="inlineStr"/>
      <c r="J735" t="inlineStr">
        <is>
          <t>2026-06</t>
        </is>
      </c>
      <c r="K735" t="n">
        <v>4.64</v>
      </c>
      <c r="L735" t="n">
        <v>5.48</v>
      </c>
      <c r="M735">
        <f>הגדרות!B10</f>
        <v/>
      </c>
      <c r="N735">
        <f>K735*(1-M735/100)*1.18</f>
        <v/>
      </c>
      <c r="O735">
        <f>הגדרות!C10</f>
        <v/>
      </c>
      <c r="P735">
        <f>הגדרות!D10</f>
        <v/>
      </c>
      <c r="Q735">
        <f>N735*(1+O735/100)+P735</f>
        <v/>
      </c>
    </row>
    <row r="736">
      <c r="A736" t="inlineStr">
        <is>
          <t>פורינה (חנויות)</t>
        </is>
      </c>
      <c r="B736" t="inlineStr">
        <is>
          <t>פריסקיז פטה כבד ועוף</t>
        </is>
      </c>
      <c r="C736" t="inlineStr">
        <is>
          <t>פריסקיז לח FRISKIES WET</t>
        </is>
      </c>
      <c r="D736" t="inlineStr">
        <is>
          <t>12577034</t>
        </is>
      </c>
      <c r="E736" t="inlineStr">
        <is>
          <t>רגיל</t>
        </is>
      </c>
      <c r="F736" t="inlineStr">
        <is>
          <t>יבש</t>
        </is>
      </c>
      <c r="G736" t="inlineStr"/>
      <c r="H736" t="inlineStr"/>
      <c r="I736" t="inlineStr"/>
      <c r="J736" t="inlineStr">
        <is>
          <t>2026-06</t>
        </is>
      </c>
      <c r="K736" t="n">
        <v>4.64</v>
      </c>
      <c r="L736" t="n">
        <v>5.48</v>
      </c>
      <c r="M736">
        <f>הגדרות!B10</f>
        <v/>
      </c>
      <c r="N736">
        <f>K736*(1-M736/100)*1.18</f>
        <v/>
      </c>
      <c r="O736">
        <f>הגדרות!C10</f>
        <v/>
      </c>
      <c r="P736">
        <f>הגדרות!D10</f>
        <v/>
      </c>
      <c r="Q736">
        <f>N736*(1+O736/100)+P736</f>
        <v/>
      </c>
    </row>
    <row r="737">
      <c r="A737" t="inlineStr">
        <is>
          <t>פורינה (חנויות)</t>
        </is>
      </c>
      <c r="B737" t="inlineStr">
        <is>
          <t>פריסקיז פטה מיקס גריל</t>
        </is>
      </c>
      <c r="C737" t="inlineStr">
        <is>
          <t>פריסקיז לח FRISKIES WET</t>
        </is>
      </c>
      <c r="D737" t="inlineStr">
        <is>
          <t>12577061</t>
        </is>
      </c>
      <c r="E737" t="inlineStr">
        <is>
          <t>רגיל</t>
        </is>
      </c>
      <c r="F737" t="inlineStr">
        <is>
          <t>יבש</t>
        </is>
      </c>
      <c r="G737" t="inlineStr"/>
      <c r="H737" t="inlineStr"/>
      <c r="I737" t="inlineStr"/>
      <c r="J737" t="inlineStr">
        <is>
          <t>2026-06</t>
        </is>
      </c>
      <c r="K737" t="n">
        <v>4.64</v>
      </c>
      <c r="L737" t="n">
        <v>5.48</v>
      </c>
      <c r="M737">
        <f>הגדרות!B10</f>
        <v/>
      </c>
      <c r="N737">
        <f>K737*(1-M737/100)*1.18</f>
        <v/>
      </c>
      <c r="O737">
        <f>הגדרות!C10</f>
        <v/>
      </c>
      <c r="P737">
        <f>הגדרות!D10</f>
        <v/>
      </c>
      <c r="Q737">
        <f>N737*(1+O737/100)+P737</f>
        <v/>
      </c>
    </row>
    <row r="738">
      <c r="A738" t="inlineStr">
        <is>
          <t>פורינה (חנויות)</t>
        </is>
      </c>
      <c r="B738" t="inlineStr">
        <is>
          <t>פריסקיז פטה סלמון</t>
        </is>
      </c>
      <c r="C738" t="inlineStr">
        <is>
          <t>פריסקיז לח FRISKIES WET</t>
        </is>
      </c>
      <c r="D738" t="inlineStr">
        <is>
          <t>12577052</t>
        </is>
      </c>
      <c r="E738" t="inlineStr">
        <is>
          <t>רגיל</t>
        </is>
      </c>
      <c r="F738" t="inlineStr">
        <is>
          <t>יבש</t>
        </is>
      </c>
      <c r="G738" t="inlineStr"/>
      <c r="H738" t="inlineStr"/>
      <c r="I738" t="inlineStr"/>
      <c r="J738" t="inlineStr">
        <is>
          <t>2026-06</t>
        </is>
      </c>
      <c r="K738" t="n">
        <v>4.64</v>
      </c>
      <c r="L738" t="n">
        <v>5.48</v>
      </c>
      <c r="M738">
        <f>הגדרות!B10</f>
        <v/>
      </c>
      <c r="N738">
        <f>K738*(1-M738/100)*1.18</f>
        <v/>
      </c>
      <c r="O738">
        <f>הגדרות!C10</f>
        <v/>
      </c>
      <c r="P738">
        <f>הגדרות!D10</f>
        <v/>
      </c>
      <c r="Q738">
        <f>N738*(1+O738/100)+P738</f>
        <v/>
      </c>
    </row>
    <row r="739">
      <c r="A739" t="inlineStr">
        <is>
          <t>פורינה (חנויות)</t>
        </is>
      </c>
      <c r="B739" t="inlineStr">
        <is>
          <t>פריסקיז פריים פילה עוף ברוטב</t>
        </is>
      </c>
      <c r="C739" t="inlineStr">
        <is>
          <t>פריסקיז לח FRISKIES WET</t>
        </is>
      </c>
      <c r="D739" t="inlineStr">
        <is>
          <t>12579274</t>
        </is>
      </c>
      <c r="E739" t="inlineStr">
        <is>
          <t>רגיל</t>
        </is>
      </c>
      <c r="F739" t="inlineStr">
        <is>
          <t>רטוב</t>
        </is>
      </c>
      <c r="G739" t="inlineStr"/>
      <c r="H739" t="inlineStr"/>
      <c r="I739" t="inlineStr"/>
      <c r="J739" t="inlineStr">
        <is>
          <t>2026-06</t>
        </is>
      </c>
      <c r="K739" t="n">
        <v>4.64</v>
      </c>
      <c r="L739" t="n">
        <v>5.48</v>
      </c>
      <c r="M739">
        <f>הגדרות!B10</f>
        <v/>
      </c>
      <c r="N739">
        <f>K739*(1-M739/100)*1.18</f>
        <v/>
      </c>
      <c r="O739">
        <f>הגדרות!C10</f>
        <v/>
      </c>
      <c r="P739">
        <f>הגדרות!D10</f>
        <v/>
      </c>
      <c r="Q739">
        <f>N739*(1+O739/100)+P739</f>
        <v/>
      </c>
    </row>
    <row r="740">
      <c r="A740" t="inlineStr">
        <is>
          <t>פורינה (חנויות)</t>
        </is>
      </c>
      <c r="B740" t="inlineStr">
        <is>
          <t>פריסקיז פריים פילה הודו ברוטב</t>
        </is>
      </c>
      <c r="C740" t="inlineStr">
        <is>
          <t>פריסקיז לח FRISKIES WET</t>
        </is>
      </c>
      <c r="D740" t="inlineStr">
        <is>
          <t>12579229</t>
        </is>
      </c>
      <c r="E740" t="inlineStr">
        <is>
          <t>רגיל</t>
        </is>
      </c>
      <c r="F740" t="inlineStr">
        <is>
          <t>רטוב</t>
        </is>
      </c>
      <c r="G740" t="inlineStr"/>
      <c r="H740" t="inlineStr"/>
      <c r="I740" t="inlineStr"/>
      <c r="J740" t="inlineStr">
        <is>
          <t>2026-06</t>
        </is>
      </c>
      <c r="K740" t="n">
        <v>4.64</v>
      </c>
      <c r="L740" t="n">
        <v>5.48</v>
      </c>
      <c r="M740">
        <f>הגדרות!B10</f>
        <v/>
      </c>
      <c r="N740">
        <f>K740*(1-M740/100)*1.18</f>
        <v/>
      </c>
      <c r="O740">
        <f>הגדרות!C10</f>
        <v/>
      </c>
      <c r="P740">
        <f>הגדרות!D10</f>
        <v/>
      </c>
      <c r="Q740">
        <f>N740*(1+O740/100)+P740</f>
        <v/>
      </c>
    </row>
    <row r="741">
      <c r="A741" t="inlineStr">
        <is>
          <t>פורינה (חנויות)</t>
        </is>
      </c>
      <c r="B741" t="inlineStr">
        <is>
          <t>פריסקיז טייסטי נתחי הודו כבד ברוטב</t>
        </is>
      </c>
      <c r="C741" t="inlineStr">
        <is>
          <t>פריסקיז לח FRISKIES WET</t>
        </is>
      </c>
      <c r="D741" t="inlineStr">
        <is>
          <t>12591937</t>
        </is>
      </c>
      <c r="E741" t="inlineStr">
        <is>
          <t>רגיל</t>
        </is>
      </c>
      <c r="F741" t="inlineStr">
        <is>
          <t>רטוב</t>
        </is>
      </c>
      <c r="G741" t="inlineStr"/>
      <c r="H741" t="inlineStr"/>
      <c r="I741" t="inlineStr"/>
      <c r="J741" t="inlineStr">
        <is>
          <t>2026-06</t>
        </is>
      </c>
      <c r="K741" t="n">
        <v>4.64</v>
      </c>
      <c r="L741" t="n">
        <v>5.48</v>
      </c>
      <c r="M741">
        <f>הגדרות!B10</f>
        <v/>
      </c>
      <c r="N741">
        <f>K741*(1-M741/100)*1.18</f>
        <v/>
      </c>
      <c r="O741">
        <f>הגדרות!C10</f>
        <v/>
      </c>
      <c r="P741">
        <f>הגדרות!D10</f>
        <v/>
      </c>
      <c r="Q741">
        <f>N741*(1+O741/100)+P741</f>
        <v/>
      </c>
    </row>
    <row r="742">
      <c r="A742" t="inlineStr">
        <is>
          <t>פורינה (חנויות)</t>
        </is>
      </c>
      <c r="B742" t="inlineStr">
        <is>
          <t>פריסקיז טיסטי נתחי עוף וכבד ברוטב</t>
        </is>
      </c>
      <c r="C742" t="inlineStr">
        <is>
          <t>פריסקיז לח FRISKIES WET</t>
        </is>
      </c>
      <c r="D742" t="inlineStr">
        <is>
          <t>12591936</t>
        </is>
      </c>
      <c r="E742" t="inlineStr">
        <is>
          <t>רגיל</t>
        </is>
      </c>
      <c r="F742" t="inlineStr">
        <is>
          <t>רטוב</t>
        </is>
      </c>
      <c r="G742" t="inlineStr"/>
      <c r="H742" t="inlineStr"/>
      <c r="I742" t="inlineStr"/>
      <c r="J742" t="inlineStr">
        <is>
          <t>2026-06</t>
        </is>
      </c>
      <c r="K742" t="n">
        <v>4.64</v>
      </c>
      <c r="L742" t="n">
        <v>5.48</v>
      </c>
      <c r="M742">
        <f>הגדרות!B10</f>
        <v/>
      </c>
      <c r="N742">
        <f>K742*(1-M742/100)*1.18</f>
        <v/>
      </c>
      <c r="O742">
        <f>הגדרות!C10</f>
        <v/>
      </c>
      <c r="P742">
        <f>הגדרות!D10</f>
        <v/>
      </c>
      <c r="Q742">
        <f>N742*(1+O742/100)+P742</f>
        <v/>
      </c>
    </row>
    <row r="743">
      <c r="A743" t="inlineStr">
        <is>
          <t>פורינה (חנויות)</t>
        </is>
      </c>
      <c r="B743" t="inlineStr">
        <is>
          <t>פריסקיז טייסטי עוף וטונה ברוטב</t>
        </is>
      </c>
      <c r="C743" t="inlineStr">
        <is>
          <t>פריסקיז לח FRISKIES WET</t>
        </is>
      </c>
      <c r="D743" t="inlineStr">
        <is>
          <t>12591970</t>
        </is>
      </c>
      <c r="E743" t="inlineStr">
        <is>
          <t>רגיל</t>
        </is>
      </c>
      <c r="F743" t="inlineStr">
        <is>
          <t>רטוב</t>
        </is>
      </c>
      <c r="G743" t="inlineStr"/>
      <c r="H743" t="inlineStr"/>
      <c r="I743" t="inlineStr"/>
      <c r="J743" t="inlineStr">
        <is>
          <t>2026-06</t>
        </is>
      </c>
      <c r="K743" t="n">
        <v>4.64</v>
      </c>
      <c r="L743" t="n">
        <v>5.48</v>
      </c>
      <c r="M743">
        <f>הגדרות!B10</f>
        <v/>
      </c>
      <c r="N743">
        <f>K743*(1-M743/100)*1.18</f>
        <v/>
      </c>
      <c r="O743">
        <f>הגדרות!C10</f>
        <v/>
      </c>
      <c r="P743">
        <f>הגדרות!D10</f>
        <v/>
      </c>
      <c r="Q743">
        <f>N743*(1+O743/100)+P743</f>
        <v/>
      </c>
    </row>
    <row r="744">
      <c r="A744" t="inlineStr">
        <is>
          <t>פורינה (חנויות)</t>
        </is>
      </c>
      <c r="B744" t="inlineStr">
        <is>
          <t>פריסקיז טייסטי דג אוקינוס טונה ברוטב</t>
        </is>
      </c>
      <c r="C744" t="inlineStr">
        <is>
          <t>פריסקיז לח FRISKIES WET</t>
        </is>
      </c>
      <c r="D744" t="inlineStr">
        <is>
          <t>12591965</t>
        </is>
      </c>
      <c r="E744" t="inlineStr">
        <is>
          <t>רגיל</t>
        </is>
      </c>
      <c r="F744" t="inlineStr">
        <is>
          <t>רטוב</t>
        </is>
      </c>
      <c r="G744" t="inlineStr"/>
      <c r="H744" t="inlineStr"/>
      <c r="I744" t="inlineStr"/>
      <c r="J744" t="inlineStr">
        <is>
          <t>2026-06</t>
        </is>
      </c>
      <c r="K744" t="n">
        <v>4.64</v>
      </c>
      <c r="L744" t="n">
        <v>5.48</v>
      </c>
      <c r="M744">
        <f>הגדרות!B10</f>
        <v/>
      </c>
      <c r="N744">
        <f>K744*(1-M744/100)*1.18</f>
        <v/>
      </c>
      <c r="O744">
        <f>הגדרות!C10</f>
        <v/>
      </c>
      <c r="P744">
        <f>הגדרות!D10</f>
        <v/>
      </c>
      <c r="Q744">
        <f>N744*(1+O744/100)+P744</f>
        <v/>
      </c>
    </row>
    <row r="745">
      <c r="A745" t="inlineStr">
        <is>
          <t>פורינה (חנויות)</t>
        </is>
      </c>
      <c r="B745" t="inlineStr">
        <is>
          <t>פריסקיז פאוצ בקר ברוטב</t>
        </is>
      </c>
      <c r="C745" t="inlineStr">
        <is>
          <t>פריסקיז לח FRISKIES WET</t>
        </is>
      </c>
      <c r="D745" t="inlineStr">
        <is>
          <t>12554757</t>
        </is>
      </c>
      <c r="E745" t="inlineStr">
        <is>
          <t>רגיל</t>
        </is>
      </c>
      <c r="F745" t="inlineStr">
        <is>
          <t>רטוב</t>
        </is>
      </c>
      <c r="G745" t="inlineStr"/>
      <c r="H745" t="inlineStr"/>
      <c r="I745" t="inlineStr"/>
      <c r="J745" t="inlineStr">
        <is>
          <t>2026-06</t>
        </is>
      </c>
      <c r="K745" t="n">
        <v>3.11</v>
      </c>
      <c r="L745" t="n">
        <v>3.67</v>
      </c>
      <c r="M745">
        <f>הגדרות!B10</f>
        <v/>
      </c>
      <c r="N745">
        <f>K745*(1-M745/100)*1.18</f>
        <v/>
      </c>
      <c r="O745">
        <f>הגדרות!C10</f>
        <v/>
      </c>
      <c r="P745">
        <f>הגדרות!D10</f>
        <v/>
      </c>
      <c r="Q745">
        <f>N745*(1+O745/100)+P745</f>
        <v/>
      </c>
    </row>
    <row r="746">
      <c r="A746" t="inlineStr">
        <is>
          <t>פורינה (חנויות)</t>
        </is>
      </c>
      <c r="B746" t="inlineStr">
        <is>
          <t>פריסקיז פאוצ ברווז ברוטב</t>
        </is>
      </c>
      <c r="C746" t="inlineStr">
        <is>
          <t>פריסקיז לח FRISKIES WET</t>
        </is>
      </c>
      <c r="D746" t="inlineStr">
        <is>
          <t>12554758</t>
        </is>
      </c>
      <c r="E746" t="inlineStr">
        <is>
          <t>רגיל</t>
        </is>
      </c>
      <c r="F746" t="inlineStr">
        <is>
          <t>רטוב</t>
        </is>
      </c>
      <c r="G746" t="inlineStr"/>
      <c r="H746" t="inlineStr"/>
      <c r="I746" t="inlineStr"/>
      <c r="J746" t="inlineStr">
        <is>
          <t>2026-06</t>
        </is>
      </c>
      <c r="K746" t="n">
        <v>3.11</v>
      </c>
      <c r="L746" t="n">
        <v>3.67</v>
      </c>
      <c r="M746">
        <f>הגדרות!B10</f>
        <v/>
      </c>
      <c r="N746">
        <f>K746*(1-M746/100)*1.18</f>
        <v/>
      </c>
      <c r="O746">
        <f>הגדרות!C10</f>
        <v/>
      </c>
      <c r="P746">
        <f>הגדרות!D10</f>
        <v/>
      </c>
      <c r="Q746">
        <f>N746*(1+O746/100)+P746</f>
        <v/>
      </c>
    </row>
    <row r="747">
      <c r="A747" t="inlineStr">
        <is>
          <t>פורינה (חנויות)</t>
        </is>
      </c>
      <c r="B747" t="inlineStr">
        <is>
          <t>פריסקיז פאוצ הודו</t>
        </is>
      </c>
      <c r="C747" t="inlineStr">
        <is>
          <t>פריסקיז לח FRISKIES WET</t>
        </is>
      </c>
      <c r="D747" t="inlineStr">
        <is>
          <t>12554766</t>
        </is>
      </c>
      <c r="E747" t="inlineStr">
        <is>
          <t>רגיל</t>
        </is>
      </c>
      <c r="F747" t="inlineStr">
        <is>
          <t>יבש</t>
        </is>
      </c>
      <c r="G747" t="inlineStr"/>
      <c r="H747" t="inlineStr"/>
      <c r="I747" t="inlineStr"/>
      <c r="J747" t="inlineStr">
        <is>
          <t>2026-06</t>
        </is>
      </c>
      <c r="K747" t="n">
        <v>3.11</v>
      </c>
      <c r="L747" t="n">
        <v>3.67</v>
      </c>
      <c r="M747">
        <f>הגדרות!B10</f>
        <v/>
      </c>
      <c r="N747">
        <f>K747*(1-M747/100)*1.18</f>
        <v/>
      </c>
      <c r="O747">
        <f>הגדרות!C10</f>
        <v/>
      </c>
      <c r="P747">
        <f>הגדרות!D10</f>
        <v/>
      </c>
      <c r="Q747">
        <f>N747*(1+O747/100)+P747</f>
        <v/>
      </c>
    </row>
    <row r="748">
      <c r="A748" t="inlineStr">
        <is>
          <t>פורינה (חנויות)</t>
        </is>
      </c>
      <c r="B748" t="inlineStr">
        <is>
          <t>פריסקיז פאוצ סלמון</t>
        </is>
      </c>
      <c r="C748" t="inlineStr">
        <is>
          <t>פריסקיז לח FRISKIES WET</t>
        </is>
      </c>
      <c r="D748" t="inlineStr">
        <is>
          <t>12554756</t>
        </is>
      </c>
      <c r="E748" t="inlineStr">
        <is>
          <t>רגיל</t>
        </is>
      </c>
      <c r="F748" t="inlineStr">
        <is>
          <t>יבש</t>
        </is>
      </c>
      <c r="G748" t="inlineStr"/>
      <c r="H748" t="inlineStr"/>
      <c r="I748" t="inlineStr"/>
      <c r="J748" t="inlineStr">
        <is>
          <t>2026-06</t>
        </is>
      </c>
      <c r="K748" t="n">
        <v>3.11</v>
      </c>
      <c r="L748" t="n">
        <v>3.67</v>
      </c>
      <c r="M748">
        <f>הגדרות!B10</f>
        <v/>
      </c>
      <c r="N748">
        <f>K748*(1-M748/100)*1.18</f>
        <v/>
      </c>
      <c r="O748">
        <f>הגדרות!C10</f>
        <v/>
      </c>
      <c r="P748">
        <f>הגדרות!D10</f>
        <v/>
      </c>
      <c r="Q748">
        <f>N748*(1+O748/100)+P748</f>
        <v/>
      </c>
    </row>
    <row r="749">
      <c r="A749" t="inlineStr">
        <is>
          <t>פורינה (חנויות)</t>
        </is>
      </c>
      <c r="B749" t="inlineStr">
        <is>
          <t>פריסקיז פאוצ עוף ברוטב</t>
        </is>
      </c>
      <c r="C749" t="inlineStr">
        <is>
          <t>פריסקיז לח FRISKIES WET</t>
        </is>
      </c>
      <c r="D749" t="inlineStr">
        <is>
          <t>12554783</t>
        </is>
      </c>
      <c r="E749" t="inlineStr">
        <is>
          <t>רגיל</t>
        </is>
      </c>
      <c r="F749" t="inlineStr">
        <is>
          <t>רטוב</t>
        </is>
      </c>
      <c r="G749" t="inlineStr"/>
      <c r="H749" t="inlineStr"/>
      <c r="I749" t="inlineStr"/>
      <c r="J749" t="inlineStr">
        <is>
          <t>2026-06</t>
        </is>
      </c>
      <c r="K749" t="n">
        <v>3.11</v>
      </c>
      <c r="L749" t="n">
        <v>3.67</v>
      </c>
      <c r="M749">
        <f>הגדרות!B10</f>
        <v/>
      </c>
      <c r="N749">
        <f>K749*(1-M749/100)*1.18</f>
        <v/>
      </c>
      <c r="O749">
        <f>הגדרות!C10</f>
        <v/>
      </c>
      <c r="P749">
        <f>הגדרות!D10</f>
        <v/>
      </c>
      <c r="Q749">
        <f>N749*(1+O749/100)+P749</f>
        <v/>
      </c>
    </row>
    <row r="750">
      <c r="A750" t="inlineStr">
        <is>
          <t>פורינה (חנויות)</t>
        </is>
      </c>
      <c r="B750" t="inlineStr">
        <is>
          <t>פנסי פיסט פטה סלמון ושרימפס</t>
        </is>
      </c>
      <c r="C750" t="inlineStr">
        <is>
          <t>פנסי פיסט FANCY FEAST</t>
        </is>
      </c>
      <c r="D750" t="inlineStr">
        <is>
          <t>12445503</t>
        </is>
      </c>
      <c r="E750" t="inlineStr">
        <is>
          <t>רגיל</t>
        </is>
      </c>
      <c r="F750" t="inlineStr">
        <is>
          <t>יבש</t>
        </is>
      </c>
      <c r="G750" t="inlineStr"/>
      <c r="H750" t="inlineStr"/>
      <c r="I750" t="inlineStr"/>
      <c r="J750" t="inlineStr">
        <is>
          <t>2026-06</t>
        </is>
      </c>
      <c r="K750" t="n">
        <v>4.28</v>
      </c>
      <c r="L750" t="n">
        <v>5.05</v>
      </c>
      <c r="M750">
        <f>הגדרות!B10</f>
        <v/>
      </c>
      <c r="N750">
        <f>K750*(1-M750/100)*1.18</f>
        <v/>
      </c>
      <c r="O750">
        <f>הגדרות!C10</f>
        <v/>
      </c>
      <c r="P750">
        <f>הגדרות!D10</f>
        <v/>
      </c>
      <c r="Q750">
        <f>N750*(1+O750/100)+P750</f>
        <v/>
      </c>
    </row>
    <row r="751">
      <c r="A751" t="inlineStr">
        <is>
          <t>פורינה (חנויות)</t>
        </is>
      </c>
      <c r="B751" t="inlineStr">
        <is>
          <t>פנסי פיסט סלמון וסול ברוטב עשיר</t>
        </is>
      </c>
      <c r="C751" t="inlineStr">
        <is>
          <t>פנסי פיסט FANCY FEAST</t>
        </is>
      </c>
      <c r="D751" t="inlineStr">
        <is>
          <t>12513995</t>
        </is>
      </c>
      <c r="E751" t="inlineStr">
        <is>
          <t>רגיל</t>
        </is>
      </c>
      <c r="F751" t="inlineStr">
        <is>
          <t>רטוב</t>
        </is>
      </c>
      <c r="G751" t="inlineStr"/>
      <c r="H751" t="inlineStr"/>
      <c r="I751" t="inlineStr"/>
      <c r="J751" t="inlineStr">
        <is>
          <t>2026-06</t>
        </is>
      </c>
      <c r="K751" t="n">
        <v>4.28</v>
      </c>
      <c r="L751" t="n">
        <v>5.05</v>
      </c>
      <c r="M751">
        <f>הגדרות!B10</f>
        <v/>
      </c>
      <c r="N751">
        <f>K751*(1-M751/100)*1.18</f>
        <v/>
      </c>
      <c r="O751">
        <f>הגדרות!C10</f>
        <v/>
      </c>
      <c r="P751">
        <f>הגדרות!D10</f>
        <v/>
      </c>
      <c r="Q751">
        <f>N751*(1+O751/100)+P751</f>
        <v/>
      </c>
    </row>
    <row r="752">
      <c r="A752" t="inlineStr">
        <is>
          <t>פורינה (חנויות)</t>
        </is>
      </c>
      <c r="B752" t="inlineStr">
        <is>
          <t>פנסי פיסט לבבות עוף וכבד ברוטב עשיר</t>
        </is>
      </c>
      <c r="C752" t="inlineStr">
        <is>
          <t>פנסי פיסט FANCY FEAST</t>
        </is>
      </c>
      <c r="D752" t="inlineStr">
        <is>
          <t>12514005</t>
        </is>
      </c>
      <c r="E752" t="inlineStr">
        <is>
          <t>רגיל</t>
        </is>
      </c>
      <c r="F752" t="inlineStr">
        <is>
          <t>רטוב</t>
        </is>
      </c>
      <c r="G752" t="inlineStr"/>
      <c r="H752" t="inlineStr"/>
      <c r="I752" t="inlineStr"/>
      <c r="J752" t="inlineStr">
        <is>
          <t>2026-06</t>
        </is>
      </c>
      <c r="K752" t="n">
        <v>4.28</v>
      </c>
      <c r="L752" t="n">
        <v>5.05</v>
      </c>
      <c r="M752">
        <f>הגדרות!B10</f>
        <v/>
      </c>
      <c r="N752">
        <f>K752*(1-M752/100)*1.18</f>
        <v/>
      </c>
      <c r="O752">
        <f>הגדרות!C10</f>
        <v/>
      </c>
      <c r="P752">
        <f>הגדרות!D10</f>
        <v/>
      </c>
      <c r="Q752">
        <f>N752*(1+O752/100)+P752</f>
        <v/>
      </c>
    </row>
    <row r="753">
      <c r="A753" t="inlineStr">
        <is>
          <t>פורינה (חנויות)</t>
        </is>
      </c>
      <c r="B753" t="inlineStr">
        <is>
          <t>פנסי פיסט נתחי הודו חדש</t>
        </is>
      </c>
      <c r="C753" t="inlineStr">
        <is>
          <t>פנסי פיסט FANCY FEAST</t>
        </is>
      </c>
      <c r="D753" t="inlineStr">
        <is>
          <t>12519506</t>
        </is>
      </c>
      <c r="E753" t="inlineStr">
        <is>
          <t>רגיל</t>
        </is>
      </c>
      <c r="F753" t="inlineStr">
        <is>
          <t>יבש</t>
        </is>
      </c>
      <c r="G753" t="inlineStr"/>
      <c r="H753" t="inlineStr"/>
      <c r="I753" t="inlineStr"/>
      <c r="J753" t="inlineStr">
        <is>
          <t>2026-06</t>
        </is>
      </c>
      <c r="K753" t="n">
        <v>4.28</v>
      </c>
      <c r="L753" t="n">
        <v>5.05</v>
      </c>
      <c r="M753">
        <f>הגדרות!B10</f>
        <v/>
      </c>
      <c r="N753">
        <f>K753*(1-M753/100)*1.18</f>
        <v/>
      </c>
      <c r="O753">
        <f>הגדרות!C10</f>
        <v/>
      </c>
      <c r="P753">
        <f>הגדרות!D10</f>
        <v/>
      </c>
      <c r="Q753">
        <f>N753*(1+O753/100)+P753</f>
        <v/>
      </c>
    </row>
    <row r="754">
      <c r="A754" t="inlineStr">
        <is>
          <t>פורינה (חנויות)</t>
        </is>
      </c>
      <c r="B754" t="inlineStr">
        <is>
          <t>פנסי פיסט נתחי עוף</t>
        </is>
      </c>
      <c r="C754" t="inlineStr">
        <is>
          <t>פנסי פיסט FANCY FEAST</t>
        </is>
      </c>
      <c r="D754" t="inlineStr">
        <is>
          <t>12519505</t>
        </is>
      </c>
      <c r="E754" t="inlineStr">
        <is>
          <t>רגיל</t>
        </is>
      </c>
      <c r="F754" t="inlineStr">
        <is>
          <t>יבש</t>
        </is>
      </c>
      <c r="G754" t="inlineStr"/>
      <c r="H754" t="inlineStr"/>
      <c r="I754" t="inlineStr"/>
      <c r="J754" t="inlineStr">
        <is>
          <t>2026-06</t>
        </is>
      </c>
      <c r="K754" t="n">
        <v>4.28</v>
      </c>
      <c r="L754" t="n">
        <v>5.05</v>
      </c>
      <c r="M754">
        <f>הגדרות!B10</f>
        <v/>
      </c>
      <c r="N754">
        <f>K754*(1-M754/100)*1.18</f>
        <v/>
      </c>
      <c r="O754">
        <f>הגדרות!C10</f>
        <v/>
      </c>
      <c r="P754">
        <f>הגדרות!D10</f>
        <v/>
      </c>
      <c r="Q754">
        <f>N754*(1+O754/100)+P754</f>
        <v/>
      </c>
    </row>
    <row r="755">
      <c r="A755" t="inlineStr">
        <is>
          <t>פורינה (חנויות)</t>
        </is>
      </c>
      <c r="B755" t="inlineStr">
        <is>
          <t>פנסי פיסט עם דג ושרימפס</t>
        </is>
      </c>
      <c r="C755" t="inlineStr">
        <is>
          <t>פנסי פיסט FANCY FEAST</t>
        </is>
      </c>
      <c r="D755" t="inlineStr">
        <is>
          <t>12445496</t>
        </is>
      </c>
      <c r="E755" t="inlineStr">
        <is>
          <t>רגיל</t>
        </is>
      </c>
      <c r="F755" t="inlineStr">
        <is>
          <t>יבש</t>
        </is>
      </c>
      <c r="G755" t="inlineStr"/>
      <c r="H755" t="inlineStr"/>
      <c r="I755" t="inlineStr"/>
      <c r="J755" t="inlineStr">
        <is>
          <t>2026-06</t>
        </is>
      </c>
      <c r="K755" t="n">
        <v>4.28</v>
      </c>
      <c r="L755" t="n">
        <v>5.05</v>
      </c>
      <c r="M755">
        <f>הגדרות!B10</f>
        <v/>
      </c>
      <c r="N755">
        <f>K755*(1-M755/100)*1.18</f>
        <v/>
      </c>
      <c r="O755">
        <f>הגדרות!C10</f>
        <v/>
      </c>
      <c r="P755">
        <f>הגדרות!D10</f>
        <v/>
      </c>
      <c r="Q755">
        <f>N755*(1+O755/100)+P755</f>
        <v/>
      </c>
    </row>
    <row r="756">
      <c r="A756" t="inlineStr">
        <is>
          <t>פורינה (חנויות)</t>
        </is>
      </c>
      <c r="B756" t="inlineStr">
        <is>
          <t>פנסי פיסט כבד מעודן ועוף</t>
        </is>
      </c>
      <c r="C756" t="inlineStr">
        <is>
          <t>פנסי פיסט FANCY FEAST</t>
        </is>
      </c>
      <c r="D756" t="inlineStr">
        <is>
          <t>12445501</t>
        </is>
      </c>
      <c r="E756" t="inlineStr">
        <is>
          <t>רגיל</t>
        </is>
      </c>
      <c r="F756" t="inlineStr">
        <is>
          <t>יבש</t>
        </is>
      </c>
      <c r="G756" t="inlineStr"/>
      <c r="H756" t="inlineStr"/>
      <c r="I756" t="inlineStr"/>
      <c r="J756" t="inlineStr">
        <is>
          <t>2026-06</t>
        </is>
      </c>
      <c r="K756" t="n">
        <v>4.28</v>
      </c>
      <c r="L756" t="n">
        <v>5.05</v>
      </c>
      <c r="M756">
        <f>הגדרות!B10</f>
        <v/>
      </c>
      <c r="N756">
        <f>K756*(1-M756/100)*1.18</f>
        <v/>
      </c>
      <c r="O756">
        <f>הגדרות!C10</f>
        <v/>
      </c>
      <c r="P756">
        <f>הגדרות!D10</f>
        <v/>
      </c>
      <c r="Q756">
        <f>N756*(1+O756/100)+P756</f>
        <v/>
      </c>
    </row>
    <row r="757">
      <c r="A757" t="inlineStr">
        <is>
          <t>פורינה (חנויות)</t>
        </is>
      </c>
      <c r="B757" t="inlineStr">
        <is>
          <t>פנסי פיסט גריל קצוץ</t>
        </is>
      </c>
      <c r="C757" t="inlineStr">
        <is>
          <t>פנסי פיסט FANCY FEAST</t>
        </is>
      </c>
      <c r="D757" t="inlineStr">
        <is>
          <t>12445466</t>
        </is>
      </c>
      <c r="E757" t="inlineStr">
        <is>
          <t>רגיל</t>
        </is>
      </c>
      <c r="F757" t="inlineStr">
        <is>
          <t>יבש</t>
        </is>
      </c>
      <c r="G757" t="inlineStr"/>
      <c r="H757" t="inlineStr"/>
      <c r="I757" t="inlineStr"/>
      <c r="J757" t="inlineStr">
        <is>
          <t>2026-06</t>
        </is>
      </c>
      <c r="K757" t="n">
        <v>4.28</v>
      </c>
      <c r="L757" t="n">
        <v>5.05</v>
      </c>
      <c r="M757">
        <f>הגדרות!B10</f>
        <v/>
      </c>
      <c r="N757">
        <f>K757*(1-M757/100)*1.18</f>
        <v/>
      </c>
      <c r="O757">
        <f>הגדרות!C10</f>
        <v/>
      </c>
      <c r="P757">
        <f>הגדרות!D10</f>
        <v/>
      </c>
      <c r="Q757">
        <f>N757*(1+O757/100)+P757</f>
        <v/>
      </c>
    </row>
    <row r="758">
      <c r="A758" t="inlineStr">
        <is>
          <t>פורינה (חנויות)</t>
        </is>
      </c>
      <c r="B758" t="inlineStr">
        <is>
          <t>פנסי פיסט מוס סלומון</t>
        </is>
      </c>
      <c r="C758" t="inlineStr">
        <is>
          <t>פנסי פיסט FANCY FEAST</t>
        </is>
      </c>
      <c r="D758" t="inlineStr">
        <is>
          <t>12445502</t>
        </is>
      </c>
      <c r="E758" t="inlineStr">
        <is>
          <t>רגיל</t>
        </is>
      </c>
      <c r="F758" t="inlineStr">
        <is>
          <t>רטוב</t>
        </is>
      </c>
      <c r="G758" t="inlineStr"/>
      <c r="H758" t="inlineStr"/>
      <c r="I758" t="inlineStr"/>
      <c r="J758" t="inlineStr">
        <is>
          <t>2026-06</t>
        </is>
      </c>
      <c r="K758" t="n">
        <v>4.28</v>
      </c>
      <c r="L758" t="n">
        <v>5.05</v>
      </c>
      <c r="M758">
        <f>הגדרות!B10</f>
        <v/>
      </c>
      <c r="N758">
        <f>K758*(1-M758/100)*1.18</f>
        <v/>
      </c>
      <c r="O758">
        <f>הגדרות!C10</f>
        <v/>
      </c>
      <c r="P758">
        <f>הגדרות!D10</f>
        <v/>
      </c>
      <c r="Q758">
        <f>N758*(1+O758/100)+P758</f>
        <v/>
      </c>
    </row>
    <row r="759">
      <c r="A759" t="inlineStr">
        <is>
          <t>פורינה (חנויות)</t>
        </is>
      </c>
      <c r="B759" t="inlineStr">
        <is>
          <t>פנסי פיסט דגי אוקינוס וטונה</t>
        </is>
      </c>
      <c r="C759" t="inlineStr">
        <is>
          <t>פנסי פיסט FANCY FEAST</t>
        </is>
      </c>
      <c r="D759" t="inlineStr">
        <is>
          <t>12445487</t>
        </is>
      </c>
      <c r="E759" t="inlineStr">
        <is>
          <t>רגיל</t>
        </is>
      </c>
      <c r="F759" t="inlineStr">
        <is>
          <t>יבש</t>
        </is>
      </c>
      <c r="G759" t="inlineStr"/>
      <c r="H759" t="inlineStr"/>
      <c r="I759" t="inlineStr"/>
      <c r="J759" t="inlineStr">
        <is>
          <t>2026-06</t>
        </is>
      </c>
      <c r="K759" t="n">
        <v>4.28</v>
      </c>
      <c r="L759" t="n">
        <v>5.05</v>
      </c>
      <c r="M759">
        <f>הגדרות!B10</f>
        <v/>
      </c>
      <c r="N759">
        <f>K759*(1-M759/100)*1.18</f>
        <v/>
      </c>
      <c r="O759">
        <f>הגדרות!C10</f>
        <v/>
      </c>
      <c r="P759">
        <f>הגדרות!D10</f>
        <v/>
      </c>
      <c r="Q759">
        <f>N759*(1+O759/100)+P759</f>
        <v/>
      </c>
    </row>
    <row r="760">
      <c r="A760" t="inlineStr">
        <is>
          <t>פורינה (חנויות)</t>
        </is>
      </c>
      <c r="B760" t="inlineStr">
        <is>
          <t>פנסי פיסט פטה הודו ועוף</t>
        </is>
      </c>
      <c r="C760" t="inlineStr">
        <is>
          <t>פנסי פיסט FANCY FEAST</t>
        </is>
      </c>
      <c r="D760" t="inlineStr">
        <is>
          <t>12445493</t>
        </is>
      </c>
      <c r="E760" t="inlineStr">
        <is>
          <t>רגיל</t>
        </is>
      </c>
      <c r="F760" t="inlineStr">
        <is>
          <t>יבש</t>
        </is>
      </c>
      <c r="G760" t="inlineStr"/>
      <c r="H760" t="inlineStr"/>
      <c r="I760" t="inlineStr"/>
      <c r="J760" t="inlineStr">
        <is>
          <t>2026-06</t>
        </is>
      </c>
      <c r="K760" t="n">
        <v>4.28</v>
      </c>
      <c r="L760" t="n">
        <v>5.05</v>
      </c>
      <c r="M760">
        <f>הגדרות!B10</f>
        <v/>
      </c>
      <c r="N760">
        <f>K760*(1-M760/100)*1.18</f>
        <v/>
      </c>
      <c r="O760">
        <f>הגדרות!C10</f>
        <v/>
      </c>
      <c r="P760">
        <f>הגדרות!D10</f>
        <v/>
      </c>
      <c r="Q760">
        <f>N760*(1+O760/100)+P760</f>
        <v/>
      </c>
    </row>
    <row r="761">
      <c r="A761" t="inlineStr">
        <is>
          <t>פורינה (חנויות)</t>
        </is>
      </c>
      <c r="B761" t="inlineStr">
        <is>
          <t>פנסי פיסט גורמה עוף</t>
        </is>
      </c>
      <c r="C761" t="inlineStr">
        <is>
          <t>פנסי פיסט FANCY FEAST</t>
        </is>
      </c>
      <c r="D761" t="inlineStr">
        <is>
          <t>12445492</t>
        </is>
      </c>
      <c r="E761" t="inlineStr">
        <is>
          <t>רגיל</t>
        </is>
      </c>
      <c r="F761" t="inlineStr">
        <is>
          <t>יבש</t>
        </is>
      </c>
      <c r="G761" t="inlineStr">
        <is>
          <t>גורים</t>
        </is>
      </c>
      <c r="H761" t="inlineStr"/>
      <c r="I761" t="inlineStr"/>
      <c r="J761" t="inlineStr">
        <is>
          <t>2026-06</t>
        </is>
      </c>
      <c r="K761" t="n">
        <v>4.28</v>
      </c>
      <c r="L761" t="n">
        <v>5.05</v>
      </c>
      <c r="M761">
        <f>הגדרות!B10</f>
        <v/>
      </c>
      <c r="N761">
        <f>K761*(1-M761/100)*1.18</f>
        <v/>
      </c>
      <c r="O761">
        <f>הגדרות!C10</f>
        <v/>
      </c>
      <c r="P761">
        <f>הגדרות!D10</f>
        <v/>
      </c>
      <c r="Q761">
        <f>N761*(1+O761/100)+P761</f>
        <v/>
      </c>
    </row>
    <row r="762">
      <c r="A762" t="inlineStr">
        <is>
          <t>פורינה (חנויות)</t>
        </is>
      </c>
      <c r="B762" t="inlineStr">
        <is>
          <t>פנסי פיסט נתחי לבבות עוף וכבד</t>
        </is>
      </c>
      <c r="C762" t="inlineStr">
        <is>
          <t>פנסי פיסט FANCY FEAST</t>
        </is>
      </c>
      <c r="D762" t="inlineStr">
        <is>
          <t>12519503</t>
        </is>
      </c>
      <c r="E762" t="inlineStr">
        <is>
          <t>רגיל</t>
        </is>
      </c>
      <c r="F762" t="inlineStr">
        <is>
          <t>יבש</t>
        </is>
      </c>
      <c r="G762" t="inlineStr"/>
      <c r="H762" t="inlineStr"/>
      <c r="I762" t="inlineStr"/>
      <c r="J762" t="inlineStr">
        <is>
          <t>2026-06</t>
        </is>
      </c>
      <c r="K762" t="n">
        <v>4.28</v>
      </c>
      <c r="L762" t="n">
        <v>5.05</v>
      </c>
      <c r="M762">
        <f>הגדרות!B10</f>
        <v/>
      </c>
      <c r="N762">
        <f>K762*(1-M762/100)*1.18</f>
        <v/>
      </c>
      <c r="O762">
        <f>הגדרות!C10</f>
        <v/>
      </c>
      <c r="P762">
        <f>הגדרות!D10</f>
        <v/>
      </c>
      <c r="Q762">
        <f>N762*(1+O762/100)+P762</f>
        <v/>
      </c>
    </row>
    <row r="763">
      <c r="A763" t="inlineStr">
        <is>
          <t>פורינה (חנויות)</t>
        </is>
      </c>
      <c r="B763" t="inlineStr">
        <is>
          <t>פנסי פיסט עוף ברוטב עשיר</t>
        </is>
      </c>
      <c r="C763" t="inlineStr">
        <is>
          <t>פנסי פיסט FANCY FEAST</t>
        </is>
      </c>
      <c r="D763" t="inlineStr">
        <is>
          <t>12518243</t>
        </is>
      </c>
      <c r="E763" t="inlineStr">
        <is>
          <t>רגיל</t>
        </is>
      </c>
      <c r="F763" t="inlineStr">
        <is>
          <t>רטוב</t>
        </is>
      </c>
      <c r="G763" t="inlineStr"/>
      <c r="H763" t="inlineStr"/>
      <c r="I763" t="inlineStr"/>
      <c r="J763" t="inlineStr">
        <is>
          <t>2026-06</t>
        </is>
      </c>
      <c r="K763" t="n">
        <v>4.28</v>
      </c>
      <c r="L763" t="n">
        <v>5.05</v>
      </c>
      <c r="M763">
        <f>הגדרות!B10</f>
        <v/>
      </c>
      <c r="N763">
        <f>K763*(1-M763/100)*1.18</f>
        <v/>
      </c>
      <c r="O763">
        <f>הגדרות!C10</f>
        <v/>
      </c>
      <c r="P763">
        <f>הגדרות!D10</f>
        <v/>
      </c>
      <c r="Q763">
        <f>N763*(1+O763/100)+P763</f>
        <v/>
      </c>
    </row>
    <row r="764">
      <c r="A764" t="inlineStr">
        <is>
          <t>פורינה (חנויות)</t>
        </is>
      </c>
      <c r="B764" t="inlineStr">
        <is>
          <t>פנסי פיסט נתחי בשר ועוף</t>
        </is>
      </c>
      <c r="C764" t="inlineStr">
        <is>
          <t>פנסי פיסט FANCY FEAST</t>
        </is>
      </c>
      <c r="D764" t="inlineStr">
        <is>
          <t>12519513</t>
        </is>
      </c>
      <c r="E764" t="inlineStr">
        <is>
          <t>רגיל</t>
        </is>
      </c>
      <c r="F764" t="inlineStr">
        <is>
          <t>יבש</t>
        </is>
      </c>
      <c r="G764" t="inlineStr"/>
      <c r="H764" t="inlineStr"/>
      <c r="I764" t="inlineStr"/>
      <c r="J764" t="inlineStr">
        <is>
          <t>2026-06</t>
        </is>
      </c>
      <c r="K764" t="n">
        <v>4.28</v>
      </c>
      <c r="L764" t="n">
        <v>5.05</v>
      </c>
      <c r="M764">
        <f>הגדרות!B10</f>
        <v/>
      </c>
      <c r="N764">
        <f>K764*(1-M764/100)*1.18</f>
        <v/>
      </c>
      <c r="O764">
        <f>הגדרות!C10</f>
        <v/>
      </c>
      <c r="P764">
        <f>הגדרות!D10</f>
        <v/>
      </c>
      <c r="Q764">
        <f>N764*(1+O764/100)+P764</f>
        <v/>
      </c>
    </row>
    <row r="765">
      <c r="A765" t="inlineStr">
        <is>
          <t>פורינה (חנויות)</t>
        </is>
      </c>
      <c r="B765" t="inlineStr">
        <is>
          <t>פנסי פיסט גריל עוף ברוטב</t>
        </is>
      </c>
      <c r="C765" t="inlineStr">
        <is>
          <t>פנסי פיסט FANCY FEAST</t>
        </is>
      </c>
      <c r="D765" t="inlineStr">
        <is>
          <t>12496141</t>
        </is>
      </c>
      <c r="E765" t="inlineStr">
        <is>
          <t>רגיל</t>
        </is>
      </c>
      <c r="F765" t="inlineStr">
        <is>
          <t>רטוב</t>
        </is>
      </c>
      <c r="G765" t="inlineStr"/>
      <c r="H765" t="inlineStr"/>
      <c r="I765" t="inlineStr"/>
      <c r="J765" t="inlineStr">
        <is>
          <t>2026-06</t>
        </is>
      </c>
      <c r="K765" t="n">
        <v>4.28</v>
      </c>
      <c r="L765" t="n">
        <v>5.05</v>
      </c>
      <c r="M765">
        <f>הגדרות!B10</f>
        <v/>
      </c>
      <c r="N765">
        <f>K765*(1-M765/100)*1.18</f>
        <v/>
      </c>
      <c r="O765">
        <f>הגדרות!C10</f>
        <v/>
      </c>
      <c r="P765">
        <f>הגדרות!D10</f>
        <v/>
      </c>
      <c r="Q765">
        <f>N765*(1+O765/100)+P765</f>
        <v/>
      </c>
    </row>
    <row r="766">
      <c r="A766" t="inlineStr">
        <is>
          <t>פורינה (חנויות)</t>
        </is>
      </c>
      <c r="B766" t="inlineStr">
        <is>
          <t>פנסי פיסט גורמה פירות ים</t>
        </is>
      </c>
      <c r="C766" t="inlineStr">
        <is>
          <t>פנסי פיסט FANCY FEAST</t>
        </is>
      </c>
      <c r="D766" t="inlineStr">
        <is>
          <t>12445486</t>
        </is>
      </c>
      <c r="E766" t="inlineStr">
        <is>
          <t>רגיל</t>
        </is>
      </c>
      <c r="F766" t="inlineStr">
        <is>
          <t>יבש</t>
        </is>
      </c>
      <c r="G766" t="inlineStr">
        <is>
          <t>גורים</t>
        </is>
      </c>
      <c r="H766" t="inlineStr"/>
      <c r="I766" t="inlineStr"/>
      <c r="J766" t="inlineStr">
        <is>
          <t>2026-06</t>
        </is>
      </c>
      <c r="K766" t="n">
        <v>4.28</v>
      </c>
      <c r="L766" t="n">
        <v>5.05</v>
      </c>
      <c r="M766">
        <f>הגדרות!B10</f>
        <v/>
      </c>
      <c r="N766">
        <f>K766*(1-M766/100)*1.18</f>
        <v/>
      </c>
      <c r="O766">
        <f>הגדרות!C10</f>
        <v/>
      </c>
      <c r="P766">
        <f>הגדרות!D10</f>
        <v/>
      </c>
      <c r="Q766">
        <f>N766*(1+O766/100)+P766</f>
        <v/>
      </c>
    </row>
    <row r="767">
      <c r="A767" t="inlineStr">
        <is>
          <t>פורינה (חנויות)</t>
        </is>
      </c>
      <c r="B767" t="inlineStr">
        <is>
          <t>פנסי פיסט לח לחתול גריל סלמון</t>
        </is>
      </c>
      <c r="C767" t="inlineStr">
        <is>
          <t>פנסי פיסט FANCY FEAST</t>
        </is>
      </c>
      <c r="D767" t="inlineStr">
        <is>
          <t>12501080</t>
        </is>
      </c>
      <c r="E767" t="inlineStr">
        <is>
          <t>רגיל</t>
        </is>
      </c>
      <c r="F767" t="inlineStr">
        <is>
          <t>יבש</t>
        </is>
      </c>
      <c r="G767" t="inlineStr"/>
      <c r="H767" t="inlineStr">
        <is>
          <t>חתול</t>
        </is>
      </c>
      <c r="I767" t="inlineStr"/>
      <c r="J767" t="inlineStr">
        <is>
          <t>2026-06</t>
        </is>
      </c>
      <c r="K767" t="n">
        <v>4.28</v>
      </c>
      <c r="L767" t="n">
        <v>5.05</v>
      </c>
      <c r="M767">
        <f>הגדרות!B10</f>
        <v/>
      </c>
      <c r="N767">
        <f>K767*(1-M767/100)*1.18</f>
        <v/>
      </c>
      <c r="O767">
        <f>הגדרות!C10</f>
        <v/>
      </c>
      <c r="P767">
        <f>הגדרות!D10</f>
        <v/>
      </c>
      <c r="Q767">
        <f>N767*(1+O767/100)+P767</f>
        <v/>
      </c>
    </row>
    <row r="768">
      <c r="A768" t="inlineStr">
        <is>
          <t>פורינה (חנויות)</t>
        </is>
      </c>
      <c r="B768" t="inlineStr">
        <is>
          <t>פנסי פיסט פטה דג אוקינוס לגור חתלתולים</t>
        </is>
      </c>
      <c r="C768" t="inlineStr">
        <is>
          <t>פנסי פיסט FANCY FEAST</t>
        </is>
      </c>
      <c r="D768" t="inlineStr">
        <is>
          <t>12514440</t>
        </is>
      </c>
      <c r="E768" t="inlineStr">
        <is>
          <t>רגיל</t>
        </is>
      </c>
      <c r="F768" t="inlineStr">
        <is>
          <t>יבש</t>
        </is>
      </c>
      <c r="G768" t="inlineStr">
        <is>
          <t>גורים</t>
        </is>
      </c>
      <c r="H768" t="inlineStr"/>
      <c r="I768" t="inlineStr"/>
      <c r="J768" t="inlineStr">
        <is>
          <t>2026-06</t>
        </is>
      </c>
      <c r="K768" t="n">
        <v>4.28</v>
      </c>
      <c r="L768" t="n">
        <v>5.05</v>
      </c>
      <c r="M768">
        <f>הגדרות!B10</f>
        <v/>
      </c>
      <c r="N768">
        <f>K768*(1-M768/100)*1.18</f>
        <v/>
      </c>
      <c r="O768">
        <f>הגדרות!C10</f>
        <v/>
      </c>
      <c r="P768">
        <f>הגדרות!D10</f>
        <v/>
      </c>
      <c r="Q768">
        <f>N768*(1+O768/100)+P768</f>
        <v/>
      </c>
    </row>
    <row r="769">
      <c r="A769" t="inlineStr">
        <is>
          <t>פורינה (חנויות)</t>
        </is>
      </c>
      <c r="B769" t="inlineStr">
        <is>
          <t>פנסי פיסט לח לחתול גריל טונה</t>
        </is>
      </c>
      <c r="C769" t="inlineStr">
        <is>
          <t>פנסי פיסט FANCY FEAST</t>
        </is>
      </c>
      <c r="D769" t="inlineStr">
        <is>
          <t>12501076</t>
        </is>
      </c>
      <c r="E769" t="inlineStr">
        <is>
          <t>רגיל</t>
        </is>
      </c>
      <c r="F769" t="inlineStr">
        <is>
          <t>יבש</t>
        </is>
      </c>
      <c r="G769" t="inlineStr"/>
      <c r="H769" t="inlineStr">
        <is>
          <t>חתול</t>
        </is>
      </c>
      <c r="I769" t="inlineStr"/>
      <c r="J769" t="inlineStr">
        <is>
          <t>2026-06</t>
        </is>
      </c>
      <c r="K769" t="n">
        <v>4.28</v>
      </c>
      <c r="L769" t="n">
        <v>5.05</v>
      </c>
      <c r="M769">
        <f>הגדרות!B10</f>
        <v/>
      </c>
      <c r="N769">
        <f>K769*(1-M769/100)*1.18</f>
        <v/>
      </c>
      <c r="O769">
        <f>הגדרות!C10</f>
        <v/>
      </c>
      <c r="P769">
        <f>הגדרות!D10</f>
        <v/>
      </c>
      <c r="Q769">
        <f>N769*(1+O769/100)+P769</f>
        <v/>
      </c>
    </row>
    <row r="770">
      <c r="A770" t="inlineStr">
        <is>
          <t>פורינה (חנויות)</t>
        </is>
      </c>
      <c r="B770" t="inlineStr">
        <is>
          <t>פנסי פיסט מארז פטה 85*12 2 גרם</t>
        </is>
      </c>
      <c r="C770" t="inlineStr">
        <is>
          <t>פנסי פיסט FANCY FEAST</t>
        </is>
      </c>
      <c r="D770" t="inlineStr">
        <is>
          <t>12445260</t>
        </is>
      </c>
      <c r="E770" t="inlineStr">
        <is>
          <t>רגיל</t>
        </is>
      </c>
      <c r="F770" t="inlineStr">
        <is>
          <t>יבש</t>
        </is>
      </c>
      <c r="G770" t="inlineStr"/>
      <c r="H770" t="inlineStr"/>
      <c r="I770" t="inlineStr"/>
      <c r="J770" t="inlineStr">
        <is>
          <t>2026-06</t>
        </is>
      </c>
      <c r="K770" t="n">
        <v>46.22</v>
      </c>
      <c r="L770" t="n">
        <v>54.54</v>
      </c>
      <c r="M770">
        <f>הגדרות!B10</f>
        <v/>
      </c>
      <c r="N770">
        <f>K770*(1-M770/100)*1.18</f>
        <v/>
      </c>
      <c r="O770">
        <f>הגדרות!C10</f>
        <v/>
      </c>
      <c r="P770">
        <f>הגדרות!D10</f>
        <v/>
      </c>
      <c r="Q770">
        <f>N770*(1+O770/100)+P770</f>
        <v/>
      </c>
    </row>
    <row r="771">
      <c r="A771" t="inlineStr">
        <is>
          <t>פורינה (חנויות)</t>
        </is>
      </c>
      <c r="B771" t="inlineStr">
        <is>
          <t>פנסי פיסט הודו ברוטב עשיר</t>
        </is>
      </c>
      <c r="C771" t="inlineStr">
        <is>
          <t>פנסי פיסט FANCY FEAST</t>
        </is>
      </c>
      <c r="D771" t="inlineStr">
        <is>
          <t>12518242</t>
        </is>
      </c>
      <c r="E771" t="inlineStr">
        <is>
          <t>רגיל</t>
        </is>
      </c>
      <c r="F771" t="inlineStr">
        <is>
          <t>רטוב</t>
        </is>
      </c>
      <c r="G771" t="inlineStr"/>
      <c r="H771" t="inlineStr"/>
      <c r="I771" t="inlineStr"/>
      <c r="J771" t="inlineStr">
        <is>
          <t>2026-06</t>
        </is>
      </c>
      <c r="K771" t="n">
        <v>4.28</v>
      </c>
      <c r="L771" t="n">
        <v>5.05</v>
      </c>
      <c r="M771">
        <f>הגדרות!B10</f>
        <v/>
      </c>
      <c r="N771">
        <f>K771*(1-M771/100)*1.18</f>
        <v/>
      </c>
      <c r="O771">
        <f>הגדרות!C10</f>
        <v/>
      </c>
      <c r="P771">
        <f>הגדרות!D10</f>
        <v/>
      </c>
      <c r="Q771">
        <f>N771*(1+O771/100)+P771</f>
        <v/>
      </c>
    </row>
    <row r="772">
      <c r="A772" t="inlineStr">
        <is>
          <t>פורינה (חנויות)</t>
        </is>
      </c>
      <c r="B772" t="inlineStr">
        <is>
          <t>פנסי פיסט דג אוקיינוס וטונה ברוטב עשיר</t>
        </is>
      </c>
      <c r="C772" t="inlineStr">
        <is>
          <t>פנסי פיסט FANCY FEAST</t>
        </is>
      </c>
      <c r="D772" t="inlineStr">
        <is>
          <t>12513985</t>
        </is>
      </c>
      <c r="E772" t="inlineStr">
        <is>
          <t>רגיל</t>
        </is>
      </c>
      <c r="F772" t="inlineStr">
        <is>
          <t>רטוב</t>
        </is>
      </c>
      <c r="G772" t="inlineStr"/>
      <c r="H772" t="inlineStr"/>
      <c r="I772" t="inlineStr"/>
      <c r="J772" t="inlineStr">
        <is>
          <t>2026-06</t>
        </is>
      </c>
      <c r="K772" t="n">
        <v>4.28</v>
      </c>
      <c r="L772" t="n">
        <v>5.05</v>
      </c>
      <c r="M772">
        <f>הגדרות!B10</f>
        <v/>
      </c>
      <c r="N772">
        <f>K772*(1-M772/100)*1.18</f>
        <v/>
      </c>
      <c r="O772">
        <f>הגדרות!C10</f>
        <v/>
      </c>
      <c r="P772">
        <f>הגדרות!D10</f>
        <v/>
      </c>
      <c r="Q772">
        <f>N772*(1+O772/100)+P772</f>
        <v/>
      </c>
    </row>
    <row r="773">
      <c r="A773" t="inlineStr">
        <is>
          <t>פורינה (חנויות)</t>
        </is>
      </c>
      <c r="B773" t="inlineStr">
        <is>
          <t>גורמה גולד פטה טונה</t>
        </is>
      </c>
      <c r="C773" t="inlineStr">
        <is>
          <t>גורמה GOLD</t>
        </is>
      </c>
      <c r="D773" t="inlineStr">
        <is>
          <t>12592130</t>
        </is>
      </c>
      <c r="E773" t="inlineStr">
        <is>
          <t>רגיל</t>
        </is>
      </c>
      <c r="F773" t="inlineStr">
        <is>
          <t>יבש</t>
        </is>
      </c>
      <c r="G773" t="inlineStr">
        <is>
          <t>גורים</t>
        </is>
      </c>
      <c r="H773" t="inlineStr"/>
      <c r="I773" t="inlineStr"/>
      <c r="J773" t="inlineStr">
        <is>
          <t>2026-06</t>
        </is>
      </c>
      <c r="K773" t="n">
        <v>4.39</v>
      </c>
      <c r="L773" t="n">
        <v>5.18</v>
      </c>
      <c r="M773">
        <f>הגדרות!B10</f>
        <v/>
      </c>
      <c r="N773">
        <f>K773*(1-M773/100)*1.18</f>
        <v/>
      </c>
      <c r="O773">
        <f>הגדרות!C10</f>
        <v/>
      </c>
      <c r="P773">
        <f>הגדרות!D10</f>
        <v/>
      </c>
      <c r="Q773">
        <f>N773*(1+O773/100)+P773</f>
        <v/>
      </c>
    </row>
    <row r="774">
      <c r="A774" t="inlineStr">
        <is>
          <t>פורינה (חנויות)</t>
        </is>
      </c>
      <c r="B774" t="inlineStr">
        <is>
          <t>גורמה גולד פטה עוף</t>
        </is>
      </c>
      <c r="C774" t="inlineStr">
        <is>
          <t>גורמה GOLD</t>
        </is>
      </c>
      <c r="D774" t="inlineStr">
        <is>
          <t>12592099</t>
        </is>
      </c>
      <c r="E774" t="inlineStr">
        <is>
          <t>רגיל</t>
        </is>
      </c>
      <c r="F774" t="inlineStr">
        <is>
          <t>יבש</t>
        </is>
      </c>
      <c r="G774" t="inlineStr">
        <is>
          <t>גורים</t>
        </is>
      </c>
      <c r="H774" t="inlineStr"/>
      <c r="I774" t="inlineStr"/>
      <c r="J774" t="inlineStr">
        <is>
          <t>2026-06</t>
        </is>
      </c>
      <c r="K774" t="n">
        <v>4.39</v>
      </c>
      <c r="L774" t="n">
        <v>5.18</v>
      </c>
      <c r="M774">
        <f>הגדרות!B10</f>
        <v/>
      </c>
      <c r="N774">
        <f>K774*(1-M774/100)*1.18</f>
        <v/>
      </c>
      <c r="O774">
        <f>הגדרות!C10</f>
        <v/>
      </c>
      <c r="P774">
        <f>הגדרות!D10</f>
        <v/>
      </c>
      <c r="Q774">
        <f>N774*(1+O774/100)+P774</f>
        <v/>
      </c>
    </row>
    <row r="775">
      <c r="A775" t="inlineStr">
        <is>
          <t>פורינה (חנויות)</t>
        </is>
      </c>
      <c r="B775" t="inlineStr">
        <is>
          <t>גורמה גולד פטה הודו</t>
        </is>
      </c>
      <c r="C775" t="inlineStr">
        <is>
          <t>גורמה GOLD</t>
        </is>
      </c>
      <c r="D775" t="inlineStr">
        <is>
          <t>12592121</t>
        </is>
      </c>
      <c r="E775" t="inlineStr">
        <is>
          <t>רגיל</t>
        </is>
      </c>
      <c r="F775" t="inlineStr">
        <is>
          <t>יבש</t>
        </is>
      </c>
      <c r="G775" t="inlineStr">
        <is>
          <t>גורים</t>
        </is>
      </c>
      <c r="H775" t="inlineStr"/>
      <c r="I775" t="inlineStr"/>
      <c r="J775" t="inlineStr">
        <is>
          <t>2026-06</t>
        </is>
      </c>
      <c r="K775" t="n">
        <v>4.39</v>
      </c>
      <c r="L775" t="n">
        <v>5.18</v>
      </c>
      <c r="M775">
        <f>הגדרות!B10</f>
        <v/>
      </c>
      <c r="N775">
        <f>K775*(1-M775/100)*1.18</f>
        <v/>
      </c>
      <c r="O775">
        <f>הגדרות!C10</f>
        <v/>
      </c>
      <c r="P775">
        <f>הגדרות!D10</f>
        <v/>
      </c>
      <c r="Q775">
        <f>N775*(1+O775/100)+P775</f>
        <v/>
      </c>
    </row>
    <row r="776">
      <c r="A776" t="inlineStr">
        <is>
          <t>פורינה (חנויות)</t>
        </is>
      </c>
      <c r="B776" t="inlineStr">
        <is>
          <t>גורמה גולד פטה בקר</t>
        </is>
      </c>
      <c r="C776" t="inlineStr">
        <is>
          <t>גורמה GOLD</t>
        </is>
      </c>
      <c r="D776" t="inlineStr">
        <is>
          <t>12558272</t>
        </is>
      </c>
      <c r="E776" t="inlineStr">
        <is>
          <t>רגיל</t>
        </is>
      </c>
      <c r="F776" t="inlineStr">
        <is>
          <t>יבש</t>
        </is>
      </c>
      <c r="G776" t="inlineStr">
        <is>
          <t>גורים</t>
        </is>
      </c>
      <c r="H776" t="inlineStr"/>
      <c r="I776" t="inlineStr"/>
      <c r="J776" t="inlineStr">
        <is>
          <t>2026-06</t>
        </is>
      </c>
      <c r="K776" t="n">
        <v>4.39</v>
      </c>
      <c r="L776" t="n">
        <v>5.18</v>
      </c>
      <c r="M776">
        <f>הגדרות!B10</f>
        <v/>
      </c>
      <c r="N776">
        <f>K776*(1-M776/100)*1.18</f>
        <v/>
      </c>
      <c r="O776">
        <f>הגדרות!C10</f>
        <v/>
      </c>
      <c r="P776">
        <f>הגדרות!D10</f>
        <v/>
      </c>
      <c r="Q776">
        <f>N776*(1+O776/100)+P776</f>
        <v/>
      </c>
    </row>
    <row r="777">
      <c r="A777" t="inlineStr">
        <is>
          <t>פורינה (חנויות)</t>
        </is>
      </c>
      <c r="B777" t="inlineStr">
        <is>
          <t>גורמה גולד פטה כבד</t>
        </is>
      </c>
      <c r="C777" t="inlineStr">
        <is>
          <t>גורמה GOLD</t>
        </is>
      </c>
      <c r="D777" t="inlineStr">
        <is>
          <t>12558264</t>
        </is>
      </c>
      <c r="E777" t="inlineStr">
        <is>
          <t>רגיל</t>
        </is>
      </c>
      <c r="F777" t="inlineStr">
        <is>
          <t>יבש</t>
        </is>
      </c>
      <c r="G777" t="inlineStr">
        <is>
          <t>גורים</t>
        </is>
      </c>
      <c r="H777" t="inlineStr"/>
      <c r="I777" t="inlineStr"/>
      <c r="J777" t="inlineStr">
        <is>
          <t>2026-06</t>
        </is>
      </c>
      <c r="K777" t="n">
        <v>4.39</v>
      </c>
      <c r="L777" t="n">
        <v>5.18</v>
      </c>
      <c r="M777">
        <f>הגדרות!B10</f>
        <v/>
      </c>
      <c r="N777">
        <f>K777*(1-M777/100)*1.18</f>
        <v/>
      </c>
      <c r="O777">
        <f>הגדרות!C10</f>
        <v/>
      </c>
      <c r="P777">
        <f>הגדרות!D10</f>
        <v/>
      </c>
      <c r="Q777">
        <f>N777*(1+O777/100)+P777</f>
        <v/>
      </c>
    </row>
    <row r="778">
      <c r="A778" t="inlineStr">
        <is>
          <t>פורינה (חנויות)</t>
        </is>
      </c>
      <c r="B778" t="inlineStr">
        <is>
          <t>גורמה גולד נתחי עוף וכבד ברוטב</t>
        </is>
      </c>
      <c r="C778" t="inlineStr">
        <is>
          <t>גורמה GOLD</t>
        </is>
      </c>
      <c r="D778" t="inlineStr">
        <is>
          <t>12599003</t>
        </is>
      </c>
      <c r="E778" t="inlineStr">
        <is>
          <t>רגיל</t>
        </is>
      </c>
      <c r="F778" t="inlineStr">
        <is>
          <t>רטוב</t>
        </is>
      </c>
      <c r="G778" t="inlineStr">
        <is>
          <t>גורים</t>
        </is>
      </c>
      <c r="H778" t="inlineStr"/>
      <c r="I778" t="inlineStr"/>
      <c r="J778" t="inlineStr">
        <is>
          <t>2026-06</t>
        </is>
      </c>
      <c r="K778" t="n">
        <v>4.39</v>
      </c>
      <c r="L778" t="n">
        <v>5.18</v>
      </c>
      <c r="M778">
        <f>הגדרות!B10</f>
        <v/>
      </c>
      <c r="N778">
        <f>K778*(1-M778/100)*1.18</f>
        <v/>
      </c>
      <c r="O778">
        <f>הגדרות!C10</f>
        <v/>
      </c>
      <c r="P778">
        <f>הגדרות!D10</f>
        <v/>
      </c>
      <c r="Q778">
        <f>N778*(1+O778/100)+P778</f>
        <v/>
      </c>
    </row>
    <row r="779">
      <c r="A779" t="inlineStr">
        <is>
          <t>פורינה (חנויות)</t>
        </is>
      </c>
      <c r="B779" t="inlineStr">
        <is>
          <t>גורמה גולד נתחי סלמון ועוף ברוטב</t>
        </is>
      </c>
      <c r="C779" t="inlineStr">
        <is>
          <t>גורמה GOLD</t>
        </is>
      </c>
      <c r="D779" t="inlineStr">
        <is>
          <t>12592015</t>
        </is>
      </c>
      <c r="E779" t="inlineStr">
        <is>
          <t>רגיל</t>
        </is>
      </c>
      <c r="F779" t="inlineStr">
        <is>
          <t>רטוב</t>
        </is>
      </c>
      <c r="G779" t="inlineStr">
        <is>
          <t>גורים</t>
        </is>
      </c>
      <c r="H779" t="inlineStr"/>
      <c r="I779" t="inlineStr"/>
      <c r="J779" t="inlineStr">
        <is>
          <t>2026-06</t>
        </is>
      </c>
      <c r="K779" t="n">
        <v>4.39</v>
      </c>
      <c r="L779" t="n">
        <v>5.18</v>
      </c>
      <c r="M779">
        <f>הגדרות!B10</f>
        <v/>
      </c>
      <c r="N779">
        <f>K779*(1-M779/100)*1.18</f>
        <v/>
      </c>
      <c r="O779">
        <f>הגדרות!C10</f>
        <v/>
      </c>
      <c r="P779">
        <f>הגדרות!D10</f>
        <v/>
      </c>
      <c r="Q779">
        <f>N779*(1+O779/100)+P779</f>
        <v/>
      </c>
    </row>
    <row r="780">
      <c r="A780" t="inlineStr">
        <is>
          <t>פורינה (חנויות)</t>
        </is>
      </c>
      <c r="B780" t="inlineStr">
        <is>
          <t>גורמה גולד נתחי הודו וברווז ברוטב</t>
        </is>
      </c>
      <c r="C780" t="inlineStr">
        <is>
          <t>גורמה GOLD</t>
        </is>
      </c>
      <c r="D780" t="inlineStr">
        <is>
          <t>12592068</t>
        </is>
      </c>
      <c r="E780" t="inlineStr">
        <is>
          <t>רגיל</t>
        </is>
      </c>
      <c r="F780" t="inlineStr">
        <is>
          <t>רטוב</t>
        </is>
      </c>
      <c r="G780" t="inlineStr">
        <is>
          <t>גורים</t>
        </is>
      </c>
      <c r="H780" t="inlineStr"/>
      <c r="I780" t="inlineStr"/>
      <c r="J780" t="inlineStr">
        <is>
          <t>2026-06</t>
        </is>
      </c>
      <c r="K780" t="n">
        <v>4.39</v>
      </c>
      <c r="L780" t="n">
        <v>5.18</v>
      </c>
      <c r="M780">
        <f>הגדרות!B10</f>
        <v/>
      </c>
      <c r="N780">
        <f>K780*(1-M780/100)*1.18</f>
        <v/>
      </c>
      <c r="O780">
        <f>הגדרות!C10</f>
        <v/>
      </c>
      <c r="P780">
        <f>הגדרות!D10</f>
        <v/>
      </c>
      <c r="Q780">
        <f>N780*(1+O780/100)+P780</f>
        <v/>
      </c>
    </row>
    <row r="781">
      <c r="A781" t="inlineStr">
        <is>
          <t>פורינה (חנויות)</t>
        </is>
      </c>
      <c r="B781" t="inlineStr">
        <is>
          <t>גורמה גולד Savoury Cake עוף</t>
        </is>
      </c>
      <c r="C781" t="inlineStr">
        <is>
          <t>גורמה GOLD</t>
        </is>
      </c>
      <c r="D781" t="inlineStr">
        <is>
          <t>12598886</t>
        </is>
      </c>
      <c r="E781" t="inlineStr">
        <is>
          <t>רגיל</t>
        </is>
      </c>
      <c r="F781" t="inlineStr">
        <is>
          <t>יבש</t>
        </is>
      </c>
      <c r="G781" t="inlineStr">
        <is>
          <t>גורים</t>
        </is>
      </c>
      <c r="H781" t="inlineStr"/>
      <c r="I781" t="inlineStr"/>
      <c r="J781" t="inlineStr">
        <is>
          <t>2026-06</t>
        </is>
      </c>
      <c r="K781" t="n">
        <v>4.39</v>
      </c>
      <c r="L781" t="n">
        <v>5.18</v>
      </c>
      <c r="M781">
        <f>הגדרות!B10</f>
        <v/>
      </c>
      <c r="N781">
        <f>K781*(1-M781/100)*1.18</f>
        <v/>
      </c>
      <c r="O781">
        <f>הגדרות!C10</f>
        <v/>
      </c>
      <c r="P781">
        <f>הגדרות!D10</f>
        <v/>
      </c>
      <c r="Q781">
        <f>N781*(1+O781/100)+P781</f>
        <v/>
      </c>
    </row>
    <row r="782">
      <c r="A782" t="inlineStr">
        <is>
          <t>פורינה (חנויות)</t>
        </is>
      </c>
      <c r="B782" t="inlineStr">
        <is>
          <t>גורמה גולד מארז פטה 85*8( 6 גרם) כבד, הודו, בקר, דג ים</t>
        </is>
      </c>
      <c r="C782" t="inlineStr">
        <is>
          <t>גורמה GOLD</t>
        </is>
      </c>
      <c r="D782" t="inlineStr">
        <is>
          <t>12428366</t>
        </is>
      </c>
      <c r="E782" t="inlineStr">
        <is>
          <t>רגיל</t>
        </is>
      </c>
      <c r="F782" t="inlineStr">
        <is>
          <t>יבש</t>
        </is>
      </c>
      <c r="G782" t="inlineStr">
        <is>
          <t>גורים</t>
        </is>
      </c>
      <c r="H782" t="inlineStr"/>
      <c r="I782" t="inlineStr"/>
      <c r="J782" t="inlineStr">
        <is>
          <t>2026-06</t>
        </is>
      </c>
      <c r="K782" t="n">
        <v>31.61</v>
      </c>
      <c r="L782" t="n">
        <v>37.3</v>
      </c>
      <c r="M782">
        <f>הגדרות!B10</f>
        <v/>
      </c>
      <c r="N782">
        <f>K782*(1-M782/100)*1.18</f>
        <v/>
      </c>
      <c r="O782">
        <f>הגדרות!C10</f>
        <v/>
      </c>
      <c r="P782">
        <f>הגדרות!D10</f>
        <v/>
      </c>
      <c r="Q782">
        <f>N782*(1+O782/100)+P782</f>
        <v/>
      </c>
    </row>
    <row r="783">
      <c r="A783" t="inlineStr">
        <is>
          <t>פורינה (חנויות)</t>
        </is>
      </c>
      <c r="B783" t="inlineStr">
        <is>
          <t>גורמה גולד נתחי סלמון ברוטב</t>
        </is>
      </c>
      <c r="C783" t="inlineStr">
        <is>
          <t>גורמה GOLD</t>
        </is>
      </c>
      <c r="D783" t="inlineStr">
        <is>
          <t>12599005</t>
        </is>
      </c>
      <c r="E783" t="inlineStr">
        <is>
          <t>רגיל</t>
        </is>
      </c>
      <c r="F783" t="inlineStr">
        <is>
          <t>רטוב</t>
        </is>
      </c>
      <c r="G783" t="inlineStr">
        <is>
          <t>גורים</t>
        </is>
      </c>
      <c r="H783" t="inlineStr"/>
      <c r="I783" t="inlineStr"/>
      <c r="J783" t="inlineStr">
        <is>
          <t>2026-06</t>
        </is>
      </c>
      <c r="K783" t="n">
        <v>4.39</v>
      </c>
      <c r="L783" t="n">
        <v>5.18</v>
      </c>
      <c r="M783">
        <f>הגדרות!B10</f>
        <v/>
      </c>
      <c r="N783">
        <f>K783*(1-M783/100)*1.18</f>
        <v/>
      </c>
      <c r="O783">
        <f>הגדרות!C10</f>
        <v/>
      </c>
      <c r="P783">
        <f>הגדרות!D10</f>
        <v/>
      </c>
      <c r="Q783">
        <f>N783*(1+O783/100)+P783</f>
        <v/>
      </c>
    </row>
    <row r="784">
      <c r="A784" t="inlineStr">
        <is>
          <t>פורינה (חנויות)</t>
        </is>
      </c>
      <c r="B784" t="inlineStr">
        <is>
          <t>גורמה גולד פטה עגל לגור חתולים</t>
        </is>
      </c>
      <c r="C784" t="inlineStr">
        <is>
          <t>גורמה GOLD</t>
        </is>
      </c>
      <c r="D784" t="inlineStr">
        <is>
          <t>12598738</t>
        </is>
      </c>
      <c r="E784" t="inlineStr">
        <is>
          <t>רגיל</t>
        </is>
      </c>
      <c r="F784" t="inlineStr">
        <is>
          <t>יבש</t>
        </is>
      </c>
      <c r="G784" t="inlineStr">
        <is>
          <t>גורים</t>
        </is>
      </c>
      <c r="H784" t="inlineStr">
        <is>
          <t>חתול</t>
        </is>
      </c>
      <c r="I784" t="inlineStr"/>
      <c r="J784" t="inlineStr">
        <is>
          <t>2026-06</t>
        </is>
      </c>
      <c r="K784" t="n">
        <v>4.39</v>
      </c>
      <c r="L784" t="n">
        <v>5.18</v>
      </c>
      <c r="M784">
        <f>הגדרות!B10</f>
        <v/>
      </c>
      <c r="N784">
        <f>K784*(1-M784/100)*1.18</f>
        <v/>
      </c>
      <c r="O784">
        <f>הגדרות!C10</f>
        <v/>
      </c>
      <c r="P784">
        <f>הגדרות!D10</f>
        <v/>
      </c>
      <c r="Q784">
        <f>N784*(1+O784/100)+P784</f>
        <v/>
      </c>
    </row>
    <row r="785">
      <c r="A785" t="inlineStr">
        <is>
          <t>פורינה (חנויות)</t>
        </is>
      </c>
      <c r="B785" t="inlineStr">
        <is>
          <t>גורמה גולד פטה ארנב משובץ נתחים</t>
        </is>
      </c>
      <c r="C785" t="inlineStr">
        <is>
          <t>גורמה GOLD</t>
        </is>
      </c>
      <c r="D785" t="inlineStr">
        <is>
          <t>12592065</t>
        </is>
      </c>
      <c r="E785" t="inlineStr">
        <is>
          <t>רגיל</t>
        </is>
      </c>
      <c r="F785" t="inlineStr">
        <is>
          <t>יבש</t>
        </is>
      </c>
      <c r="G785" t="inlineStr">
        <is>
          <t>גורים</t>
        </is>
      </c>
      <c r="H785" t="inlineStr"/>
      <c r="I785" t="inlineStr"/>
      <c r="J785" t="inlineStr">
        <is>
          <t>2026-06</t>
        </is>
      </c>
      <c r="K785" t="n">
        <v>4.39</v>
      </c>
      <c r="L785" t="n">
        <v>5.18</v>
      </c>
      <c r="M785">
        <f>הגדרות!B10</f>
        <v/>
      </c>
      <c r="N785">
        <f>K785*(1-M785/100)*1.18</f>
        <v/>
      </c>
      <c r="O785">
        <f>הגדרות!C10</f>
        <v/>
      </c>
      <c r="P785">
        <f>הגדרות!D10</f>
        <v/>
      </c>
      <c r="Q785">
        <f>N785*(1+O785/100)+P785</f>
        <v/>
      </c>
    </row>
    <row r="786">
      <c r="A786" t="inlineStr">
        <is>
          <t>פורינה (חנויות)</t>
        </is>
      </c>
      <c r="B786" t="inlineStr">
        <is>
          <t>גורמה גולד מעדן פטה ארנב</t>
        </is>
      </c>
      <c r="C786" t="inlineStr">
        <is>
          <t>גורמה GOLD</t>
        </is>
      </c>
      <c r="D786" t="inlineStr">
        <is>
          <t>12592114</t>
        </is>
      </c>
      <c r="E786" t="inlineStr">
        <is>
          <t>רגיל</t>
        </is>
      </c>
      <c r="F786" t="inlineStr">
        <is>
          <t>יבש</t>
        </is>
      </c>
      <c r="G786" t="inlineStr">
        <is>
          <t>גורים</t>
        </is>
      </c>
      <c r="H786" t="inlineStr"/>
      <c r="I786" t="inlineStr"/>
      <c r="J786" t="inlineStr">
        <is>
          <t>2026-06</t>
        </is>
      </c>
      <c r="K786" t="n">
        <v>4.39</v>
      </c>
      <c r="L786" t="n">
        <v>5.18</v>
      </c>
      <c r="M786">
        <f>הגדרות!B10</f>
        <v/>
      </c>
      <c r="N786">
        <f>K786*(1-M786/100)*1.18</f>
        <v/>
      </c>
      <c r="O786">
        <f>הגדרות!C10</f>
        <v/>
      </c>
      <c r="P786">
        <f>הגדרות!D10</f>
        <v/>
      </c>
      <c r="Q786">
        <f>N786*(1+O786/100)+P786</f>
        <v/>
      </c>
    </row>
    <row r="787">
      <c r="A787" t="inlineStr">
        <is>
          <t>פורינה (חנויות)</t>
        </is>
      </c>
      <c r="B787" t="inlineStr">
        <is>
          <t>גורמה גולד פטה ברווז עם נתחי גזר ותרד</t>
        </is>
      </c>
      <c r="C787" t="inlineStr">
        <is>
          <t>גורמה GOLD</t>
        </is>
      </c>
      <c r="D787" t="inlineStr">
        <is>
          <t>12592088</t>
        </is>
      </c>
      <c r="E787" t="inlineStr">
        <is>
          <t>רגיל</t>
        </is>
      </c>
      <c r="F787" t="inlineStr">
        <is>
          <t>יבש</t>
        </is>
      </c>
      <c r="G787" t="inlineStr">
        <is>
          <t>גורים</t>
        </is>
      </c>
      <c r="H787" t="inlineStr"/>
      <c r="I787" t="inlineStr"/>
      <c r="J787" t="inlineStr">
        <is>
          <t>2026-06</t>
        </is>
      </c>
      <c r="K787" t="n">
        <v>4.39</v>
      </c>
      <c r="L787" t="n">
        <v>5.18</v>
      </c>
      <c r="M787">
        <f>הגדרות!B10</f>
        <v/>
      </c>
      <c r="N787">
        <f>K787*(1-M787/100)*1.18</f>
        <v/>
      </c>
      <c r="O787">
        <f>הגדרות!C10</f>
        <v/>
      </c>
      <c r="P787">
        <f>הגדרות!D10</f>
        <v/>
      </c>
      <c r="Q787">
        <f>N787*(1+O787/100)+P787</f>
        <v/>
      </c>
    </row>
    <row r="788">
      <c r="A788" t="inlineStr">
        <is>
          <t>פורינה (חנויות)</t>
        </is>
      </c>
      <c r="B788" t="inlineStr">
        <is>
          <t>גורמה גולד Savoury Cake טונה</t>
        </is>
      </c>
      <c r="C788" t="inlineStr">
        <is>
          <t>גורמה GOLD</t>
        </is>
      </c>
      <c r="D788" t="inlineStr">
        <is>
          <t>12598672</t>
        </is>
      </c>
      <c r="E788" t="inlineStr">
        <is>
          <t>רגיל</t>
        </is>
      </c>
      <c r="F788" t="inlineStr">
        <is>
          <t>יבש</t>
        </is>
      </c>
      <c r="G788" t="inlineStr">
        <is>
          <t>גורים</t>
        </is>
      </c>
      <c r="H788" t="inlineStr"/>
      <c r="I788" t="inlineStr"/>
      <c r="J788" t="inlineStr">
        <is>
          <t>2026-06</t>
        </is>
      </c>
      <c r="K788" t="n">
        <v>4.39</v>
      </c>
      <c r="L788" t="n">
        <v>5.18</v>
      </c>
      <c r="M788">
        <f>הגדרות!B10</f>
        <v/>
      </c>
      <c r="N788">
        <f>K788*(1-M788/100)*1.18</f>
        <v/>
      </c>
      <c r="O788">
        <f>הגדרות!C10</f>
        <v/>
      </c>
      <c r="P788">
        <f>הגדרות!D10</f>
        <v/>
      </c>
      <c r="Q788">
        <f>N788*(1+O788/100)+P788</f>
        <v/>
      </c>
    </row>
    <row r="789">
      <c r="A789" t="inlineStr">
        <is>
          <t>פורינה (חנויות)</t>
        </is>
      </c>
      <c r="B789" t="inlineStr">
        <is>
          <t>גורמה פרל פאוץ נתחי עגל וברווז</t>
        </is>
      </c>
      <c r="C789" t="inlineStr">
        <is>
          <t>גורמה פרל GOURMET Perle</t>
        </is>
      </c>
      <c r="D789" t="inlineStr">
        <is>
          <t>12619933</t>
        </is>
      </c>
      <c r="E789" t="inlineStr">
        <is>
          <t>רגיל</t>
        </is>
      </c>
      <c r="F789" t="inlineStr">
        <is>
          <t>רטוב</t>
        </is>
      </c>
      <c r="G789" t="inlineStr">
        <is>
          <t>גורים</t>
        </is>
      </c>
      <c r="H789" t="inlineStr"/>
      <c r="I789" t="inlineStr"/>
      <c r="J789" t="inlineStr">
        <is>
          <t>2026-06</t>
        </is>
      </c>
      <c r="K789" t="n">
        <v>4.1</v>
      </c>
      <c r="L789" t="n">
        <v>4.84</v>
      </c>
      <c r="M789">
        <f>הגדרות!B10</f>
        <v/>
      </c>
      <c r="N789">
        <f>K789*(1-M789/100)*1.18</f>
        <v/>
      </c>
      <c r="O789">
        <f>הגדרות!C10</f>
        <v/>
      </c>
      <c r="P789">
        <f>הגדרות!D10</f>
        <v/>
      </c>
      <c r="Q789">
        <f>N789*(1+O789/100)+P789</f>
        <v/>
      </c>
    </row>
    <row r="790">
      <c r="A790" t="inlineStr">
        <is>
          <t>פורינה (חנויות)</t>
        </is>
      </c>
      <c r="B790" t="inlineStr">
        <is>
          <t>גורמה פרל פאוץ נתחי דגי אוקיינוס וטונה</t>
        </is>
      </c>
      <c r="C790" t="inlineStr">
        <is>
          <t>גורמה פרל GOURMET Perle</t>
        </is>
      </c>
      <c r="D790" t="inlineStr">
        <is>
          <t>12619949</t>
        </is>
      </c>
      <c r="E790" t="inlineStr">
        <is>
          <t>רגיל</t>
        </is>
      </c>
      <c r="F790" t="inlineStr">
        <is>
          <t>רטוב</t>
        </is>
      </c>
      <c r="G790" t="inlineStr">
        <is>
          <t>גורים</t>
        </is>
      </c>
      <c r="H790" t="inlineStr"/>
      <c r="I790" t="inlineStr"/>
      <c r="J790" t="inlineStr">
        <is>
          <t>2026-06</t>
        </is>
      </c>
      <c r="K790" t="n">
        <v>4.1</v>
      </c>
      <c r="L790" t="n">
        <v>4.84</v>
      </c>
      <c r="M790">
        <f>הגדרות!B10</f>
        <v/>
      </c>
      <c r="N790">
        <f>K790*(1-M790/100)*1.18</f>
        <v/>
      </c>
      <c r="O790">
        <f>הגדרות!C10</f>
        <v/>
      </c>
      <c r="P790">
        <f>הגדרות!D10</f>
        <v/>
      </c>
      <c r="Q790">
        <f>N790*(1+O790/100)+P790</f>
        <v/>
      </c>
    </row>
    <row r="791">
      <c r="A791" t="inlineStr">
        <is>
          <t>פורינה (חנויות)</t>
        </is>
      </c>
      <c r="B791" t="inlineStr">
        <is>
          <t>גורמה פרל פאוץ נתחי סלמון ודג לבן</t>
        </is>
      </c>
      <c r="C791" t="inlineStr">
        <is>
          <t>גורמה פרל GOURMET Perle</t>
        </is>
      </c>
      <c r="D791" t="inlineStr">
        <is>
          <t>12619958</t>
        </is>
      </c>
      <c r="E791" t="inlineStr">
        <is>
          <t>רגיל</t>
        </is>
      </c>
      <c r="F791" t="inlineStr">
        <is>
          <t>רטוב</t>
        </is>
      </c>
      <c r="G791" t="inlineStr">
        <is>
          <t>גורים</t>
        </is>
      </c>
      <c r="H791" t="inlineStr"/>
      <c r="I791" t="inlineStr"/>
      <c r="J791" t="inlineStr">
        <is>
          <t>2026-06</t>
        </is>
      </c>
      <c r="K791" t="n">
        <v>4.1</v>
      </c>
      <c r="L791" t="n">
        <v>4.84</v>
      </c>
      <c r="M791">
        <f>הגדרות!B10</f>
        <v/>
      </c>
      <c r="N791">
        <f>K791*(1-M791/100)*1.18</f>
        <v/>
      </c>
      <c r="O791">
        <f>הגדרות!C10</f>
        <v/>
      </c>
      <c r="P791">
        <f>הגדרות!D10</f>
        <v/>
      </c>
      <c r="Q791">
        <f>N791*(1+O791/100)+P791</f>
        <v/>
      </c>
    </row>
    <row r="792">
      <c r="A792" t="inlineStr">
        <is>
          <t>פורינה (חנויות)</t>
        </is>
      </c>
      <c r="B792" t="inlineStr">
        <is>
          <t>גורמה פרל פאוץ נתחי עוף ובקר</t>
        </is>
      </c>
      <c r="C792" t="inlineStr">
        <is>
          <t>גורמה פרל GOURMET Perle</t>
        </is>
      </c>
      <c r="D792" t="inlineStr">
        <is>
          <t>12619957</t>
        </is>
      </c>
      <c r="E792" t="inlineStr">
        <is>
          <t>רגיל</t>
        </is>
      </c>
      <c r="F792" t="inlineStr">
        <is>
          <t>רטוב</t>
        </is>
      </c>
      <c r="G792" t="inlineStr">
        <is>
          <t>גורים</t>
        </is>
      </c>
      <c r="H792" t="inlineStr"/>
      <c r="I792" t="inlineStr"/>
      <c r="J792" t="inlineStr">
        <is>
          <t>2026-06</t>
        </is>
      </c>
      <c r="K792" t="n">
        <v>4.1</v>
      </c>
      <c r="L792" t="n">
        <v>4.84</v>
      </c>
      <c r="M792">
        <f>הגדרות!B10</f>
        <v/>
      </c>
      <c r="N792">
        <f>K792*(1-M792/100)*1.18</f>
        <v/>
      </c>
      <c r="O792">
        <f>הגדרות!C10</f>
        <v/>
      </c>
      <c r="P792">
        <f>הגדרות!D10</f>
        <v/>
      </c>
      <c r="Q792">
        <f>N792*(1+O792/100)+P792</f>
        <v/>
      </c>
    </row>
    <row r="793">
      <c r="A793" t="inlineStr">
        <is>
          <t>פורינה (חנויות)</t>
        </is>
      </c>
      <c r="B793" t="inlineStr">
        <is>
          <t>גורמה פרל פאוץ נתחי עוף ברוטב עשיר</t>
        </is>
      </c>
      <c r="C793" t="inlineStr">
        <is>
          <t>גורמה פרל GOURMET Perle</t>
        </is>
      </c>
      <c r="D793" t="inlineStr">
        <is>
          <t>12619963</t>
        </is>
      </c>
      <c r="E793" t="inlineStr">
        <is>
          <t>רגיל</t>
        </is>
      </c>
      <c r="F793" t="inlineStr">
        <is>
          <t>רטוב</t>
        </is>
      </c>
      <c r="G793" t="inlineStr">
        <is>
          <t>גורים</t>
        </is>
      </c>
      <c r="H793" t="inlineStr"/>
      <c r="I793" t="inlineStr"/>
      <c r="J793" t="inlineStr">
        <is>
          <t>2026-06</t>
        </is>
      </c>
      <c r="K793" t="n">
        <v>4.1</v>
      </c>
      <c r="L793" t="n">
        <v>4.84</v>
      </c>
      <c r="M793">
        <f>הגדרות!B10</f>
        <v/>
      </c>
      <c r="N793">
        <f>K793*(1-M793/100)*1.18</f>
        <v/>
      </c>
      <c r="O793">
        <f>הגדרות!C10</f>
        <v/>
      </c>
      <c r="P793">
        <f>הגדרות!D10</f>
        <v/>
      </c>
      <c r="Q793">
        <f>N793*(1+O793/100)+P793</f>
        <v/>
      </c>
    </row>
    <row r="794">
      <c r="A794" t="inlineStr">
        <is>
          <t>פורינה (חנויות)</t>
        </is>
      </c>
      <c r="B794" t="inlineStr">
        <is>
          <t>גורמה פרל פאוץ נתחי טונה ברוטב עשיר</t>
        </is>
      </c>
      <c r="C794" t="inlineStr">
        <is>
          <t>גורמה פרל GOURMET Perle</t>
        </is>
      </c>
      <c r="D794" t="inlineStr">
        <is>
          <t>12619964</t>
        </is>
      </c>
      <c r="E794" t="inlineStr">
        <is>
          <t>רגיל</t>
        </is>
      </c>
      <c r="F794" t="inlineStr">
        <is>
          <t>רטוב</t>
        </is>
      </c>
      <c r="G794" t="inlineStr">
        <is>
          <t>גורים</t>
        </is>
      </c>
      <c r="H794" t="inlineStr"/>
      <c r="I794" t="inlineStr"/>
      <c r="J794" t="inlineStr">
        <is>
          <t>2026-06</t>
        </is>
      </c>
      <c r="K794" t="n">
        <v>4.1</v>
      </c>
      <c r="L794" t="n">
        <v>4.84</v>
      </c>
      <c r="M794">
        <f>הגדרות!B10</f>
        <v/>
      </c>
      <c r="N794">
        <f>K794*(1-M794/100)*1.18</f>
        <v/>
      </c>
      <c r="O794">
        <f>הגדרות!C10</f>
        <v/>
      </c>
      <c r="P794">
        <f>הגדרות!D10</f>
        <v/>
      </c>
      <c r="Q794">
        <f>N794*(1+O794/100)+P794</f>
        <v/>
      </c>
    </row>
    <row r="795">
      <c r="A795" t="inlineStr">
        <is>
          <t>פורינה (חנויות)</t>
        </is>
      </c>
      <c r="B795" t="inlineStr">
        <is>
          <t>גורמה רווליישן פטה עוף 57X2 12 גרם</t>
        </is>
      </c>
      <c r="C795" t="inlineStr">
        <is>
          <t>גורמה פרל GOURMET Perle</t>
        </is>
      </c>
      <c r="D795" t="inlineStr">
        <is>
          <t>13882995</t>
        </is>
      </c>
      <c r="E795" t="inlineStr">
        <is>
          <t>רגיל</t>
        </is>
      </c>
      <c r="F795" t="inlineStr">
        <is>
          <t>יבש</t>
        </is>
      </c>
      <c r="G795" t="inlineStr">
        <is>
          <t>גורים</t>
        </is>
      </c>
      <c r="H795" t="inlineStr"/>
      <c r="I795" t="inlineStr"/>
      <c r="J795" t="inlineStr">
        <is>
          <t>2026-06</t>
        </is>
      </c>
      <c r="K795" t="n">
        <v>7.74</v>
      </c>
      <c r="L795" t="n">
        <v>9.130000000000001</v>
      </c>
      <c r="M795">
        <f>הגדרות!B10</f>
        <v/>
      </c>
      <c r="N795">
        <f>K795*(1-M795/100)*1.18</f>
        <v/>
      </c>
      <c r="O795">
        <f>הגדרות!C10</f>
        <v/>
      </c>
      <c r="P795">
        <f>הגדרות!D10</f>
        <v/>
      </c>
      <c r="Q795">
        <f>N795*(1+O795/100)+P795</f>
        <v/>
      </c>
    </row>
    <row r="796">
      <c r="A796" t="inlineStr">
        <is>
          <t>פורינה (חנויות)</t>
        </is>
      </c>
      <c r="B796" t="inlineStr">
        <is>
          <t>גורמה רווליישן פטה סלמון 57X2 12 גרם</t>
        </is>
      </c>
      <c r="C796" t="inlineStr">
        <is>
          <t>גורמה פרל GOURMET Perle</t>
        </is>
      </c>
      <c r="D796" t="inlineStr">
        <is>
          <t>13883071</t>
        </is>
      </c>
      <c r="E796" t="inlineStr">
        <is>
          <t>רגיל</t>
        </is>
      </c>
      <c r="F796" t="inlineStr">
        <is>
          <t>יבש</t>
        </is>
      </c>
      <c r="G796" t="inlineStr">
        <is>
          <t>גורים</t>
        </is>
      </c>
      <c r="H796" t="inlineStr"/>
      <c r="I796" t="inlineStr"/>
      <c r="J796" t="inlineStr">
        <is>
          <t>2026-06</t>
        </is>
      </c>
      <c r="K796" t="n">
        <v>7.74</v>
      </c>
      <c r="L796" t="n">
        <v>9.130000000000001</v>
      </c>
      <c r="M796">
        <f>הגדרות!B10</f>
        <v/>
      </c>
      <c r="N796">
        <f>K796*(1-M796/100)*1.18</f>
        <v/>
      </c>
      <c r="O796">
        <f>הגדרות!C10</f>
        <v/>
      </c>
      <c r="P796">
        <f>הגדרות!D10</f>
        <v/>
      </c>
      <c r="Q796">
        <f>N796*(1+O796/100)+P796</f>
        <v/>
      </c>
    </row>
    <row r="797">
      <c r="A797" t="inlineStr">
        <is>
          <t>פורינה (חנויות)</t>
        </is>
      </c>
      <c r="B797" t="inlineStr">
        <is>
          <t>פרו פלאן חתול DELICATE לקיבה רגישה</t>
        </is>
      </c>
      <c r="C797" t="inlineStr">
        <is>
          <t>פרו פלאן חתול יבש PRO PLAN DRY CAT</t>
        </is>
      </c>
      <c r="D797" t="inlineStr">
        <is>
          <t>13919411</t>
        </is>
      </c>
      <c r="E797" t="inlineStr">
        <is>
          <t>רגיל</t>
        </is>
      </c>
      <c r="F797" t="inlineStr">
        <is>
          <t>יבש</t>
        </is>
      </c>
      <c r="G797" t="inlineStr"/>
      <c r="H797" t="inlineStr">
        <is>
          <t>חתול</t>
        </is>
      </c>
      <c r="I797" t="inlineStr"/>
      <c r="J797" t="inlineStr">
        <is>
          <t>2026-06</t>
        </is>
      </c>
      <c r="K797" t="n">
        <v>104.78</v>
      </c>
      <c r="L797" t="n">
        <v>123.64</v>
      </c>
      <c r="M797">
        <f>הגדרות!B10</f>
        <v/>
      </c>
      <c r="N797">
        <f>K797*(1-M797/100)*1.18</f>
        <v/>
      </c>
      <c r="O797">
        <f>הגדרות!C10</f>
        <v/>
      </c>
      <c r="P797">
        <f>הגדרות!D10</f>
        <v/>
      </c>
      <c r="Q797">
        <f>N797*(1+O797/100)+P797</f>
        <v/>
      </c>
    </row>
    <row r="798">
      <c r="A798" t="inlineStr">
        <is>
          <t>פורינה (חנויות)</t>
        </is>
      </c>
      <c r="B798" t="inlineStr">
        <is>
          <t>פרו פלאן חתול STERILISED בוגר מסורס/מעוקר</t>
        </is>
      </c>
      <c r="C798" t="inlineStr">
        <is>
          <t>פרו פלאן חתול יבש PRO PLAN DRY CAT</t>
        </is>
      </c>
      <c r="D798" t="inlineStr">
        <is>
          <t>13919373</t>
        </is>
      </c>
      <c r="E798" t="inlineStr">
        <is>
          <t>רגיל</t>
        </is>
      </c>
      <c r="F798" t="inlineStr">
        <is>
          <t>יבש</t>
        </is>
      </c>
      <c r="G798" t="inlineStr">
        <is>
          <t>בוגר</t>
        </is>
      </c>
      <c r="H798" t="inlineStr">
        <is>
          <t>חתול</t>
        </is>
      </c>
      <c r="I798" t="inlineStr"/>
      <c r="J798" t="inlineStr">
        <is>
          <t>2026-06</t>
        </is>
      </c>
      <c r="K798" t="n">
        <v>111.73</v>
      </c>
      <c r="L798" t="n">
        <v>131.84</v>
      </c>
      <c r="M798">
        <f>הגדרות!B10</f>
        <v/>
      </c>
      <c r="N798">
        <f>K798*(1-M798/100)*1.18</f>
        <v/>
      </c>
      <c r="O798">
        <f>הגדרות!C10</f>
        <v/>
      </c>
      <c r="P798">
        <f>הגדרות!D10</f>
        <v/>
      </c>
      <c r="Q798">
        <f>N798*(1+O798/100)+P798</f>
        <v/>
      </c>
    </row>
    <row r="799">
      <c r="A799" t="inlineStr">
        <is>
          <t>פורינה (חנויות)</t>
        </is>
      </c>
      <c r="B799" t="inlineStr">
        <is>
          <t>פרו פלאן חתול LIGHT לשמירה על המשקל הודו</t>
        </is>
      </c>
      <c r="C799" t="inlineStr">
        <is>
          <t>פרו פלאן חתול יבש PRO PLAN DRY CAT</t>
        </is>
      </c>
      <c r="D799" t="inlineStr">
        <is>
          <t>12398594</t>
        </is>
      </c>
      <c r="E799" t="inlineStr">
        <is>
          <t>רגיל</t>
        </is>
      </c>
      <c r="F799" t="inlineStr">
        <is>
          <t>יבש</t>
        </is>
      </c>
      <c r="G799" t="inlineStr"/>
      <c r="H799" t="inlineStr">
        <is>
          <t>חתול</t>
        </is>
      </c>
      <c r="I799" t="inlineStr"/>
      <c r="J799" t="inlineStr">
        <is>
          <t>2026-06</t>
        </is>
      </c>
      <c r="K799" t="n">
        <v>104.78</v>
      </c>
      <c r="L799" t="n">
        <v>123.64</v>
      </c>
      <c r="M799">
        <f>הגדרות!B10</f>
        <v/>
      </c>
      <c r="N799">
        <f>K799*(1-M799/100)*1.18</f>
        <v/>
      </c>
      <c r="O799">
        <f>הגדרות!C10</f>
        <v/>
      </c>
      <c r="P799">
        <f>הגדרות!D10</f>
        <v/>
      </c>
      <c r="Q799">
        <f>N799*(1+O799/100)+P799</f>
        <v/>
      </c>
    </row>
    <row r="800">
      <c r="A800" t="inlineStr">
        <is>
          <t>פורינה (חנויות)</t>
        </is>
      </c>
      <c r="B800" t="inlineStr">
        <is>
          <t>פרו פלאן חתול LONGEVIS סטרילייזד סניור 7+</t>
        </is>
      </c>
      <c r="C800" t="inlineStr">
        <is>
          <t>פרו פלאן חתול יבש PRO PLAN DRY CAT</t>
        </is>
      </c>
      <c r="D800" t="inlineStr">
        <is>
          <t>12398585</t>
        </is>
      </c>
      <c r="E800" t="inlineStr">
        <is>
          <t>רגיל</t>
        </is>
      </c>
      <c r="F800" t="inlineStr">
        <is>
          <t>יבש</t>
        </is>
      </c>
      <c r="G800" t="inlineStr">
        <is>
          <t>מבוגר</t>
        </is>
      </c>
      <c r="H800" t="inlineStr">
        <is>
          <t>חתול</t>
        </is>
      </c>
      <c r="I800" t="inlineStr"/>
      <c r="J800" t="inlineStr">
        <is>
          <t>2026-06</t>
        </is>
      </c>
      <c r="K800" t="n">
        <v>111.73</v>
      </c>
      <c r="L800" t="n">
        <v>131.84</v>
      </c>
      <c r="M800">
        <f>הגדרות!B10</f>
        <v/>
      </c>
      <c r="N800">
        <f>K800*(1-M800/100)*1.18</f>
        <v/>
      </c>
      <c r="O800">
        <f>הגדרות!C10</f>
        <v/>
      </c>
      <c r="P800">
        <f>הגדרות!D10</f>
        <v/>
      </c>
      <c r="Q800">
        <f>N800*(1+O800/100)+P800</f>
        <v/>
      </c>
    </row>
    <row r="801">
      <c r="A801" t="inlineStr">
        <is>
          <t>פורינה (חנויות)</t>
        </is>
      </c>
      <c r="B801" t="inlineStr">
        <is>
          <t>פרו פלאן חתול KITTEN גור בטעם עוף</t>
        </is>
      </c>
      <c r="C801" t="inlineStr">
        <is>
          <t>פרו פלאן חתול יבש PRO PLAN DRY CAT</t>
        </is>
      </c>
      <c r="D801" t="inlineStr">
        <is>
          <t>12537232</t>
        </is>
      </c>
      <c r="E801" t="inlineStr">
        <is>
          <t>רגיל</t>
        </is>
      </c>
      <c r="F801" t="inlineStr">
        <is>
          <t>יבש</t>
        </is>
      </c>
      <c r="G801" t="inlineStr">
        <is>
          <t>גורים</t>
        </is>
      </c>
      <c r="H801" t="inlineStr">
        <is>
          <t>חתול</t>
        </is>
      </c>
      <c r="I801" t="inlineStr"/>
      <c r="J801" t="inlineStr">
        <is>
          <t>2026-06</t>
        </is>
      </c>
      <c r="K801" t="n">
        <v>104.78</v>
      </c>
      <c r="L801" t="n">
        <v>123.64</v>
      </c>
      <c r="M801">
        <f>הגדרות!B10</f>
        <v/>
      </c>
      <c r="N801">
        <f>K801*(1-M801/100)*1.18</f>
        <v/>
      </c>
      <c r="O801">
        <f>הגדרות!C10</f>
        <v/>
      </c>
      <c r="P801">
        <f>הגדרות!D10</f>
        <v/>
      </c>
      <c r="Q801">
        <f>N801*(1+O801/100)+P801</f>
        <v/>
      </c>
    </row>
    <row r="802">
      <c r="A802" t="inlineStr">
        <is>
          <t>פורינה (חנויות)</t>
        </is>
      </c>
      <c r="B802" t="inlineStr">
        <is>
          <t>פרו פלאן חתול VITAL FUNCTION בוגר סלמון ואורז</t>
        </is>
      </c>
      <c r="C802" t="inlineStr">
        <is>
          <t>פרו פלאן חתול יבש PRO PLAN DRY CAT</t>
        </is>
      </c>
      <c r="D802" t="inlineStr">
        <is>
          <t>12539027</t>
        </is>
      </c>
      <c r="E802" t="inlineStr">
        <is>
          <t>רגיל</t>
        </is>
      </c>
      <c r="F802" t="inlineStr">
        <is>
          <t>יבש</t>
        </is>
      </c>
      <c r="G802" t="inlineStr">
        <is>
          <t>בוגר</t>
        </is>
      </c>
      <c r="H802" t="inlineStr">
        <is>
          <t>חתול</t>
        </is>
      </c>
      <c r="I802" t="inlineStr"/>
      <c r="J802" t="inlineStr">
        <is>
          <t>2026-06</t>
        </is>
      </c>
      <c r="K802" t="n">
        <v>101.01</v>
      </c>
      <c r="L802" t="n">
        <v>119.19</v>
      </c>
      <c r="M802">
        <f>הגדרות!B10</f>
        <v/>
      </c>
      <c r="N802">
        <f>K802*(1-M802/100)*1.18</f>
        <v/>
      </c>
      <c r="O802">
        <f>הגדרות!C10</f>
        <v/>
      </c>
      <c r="P802">
        <f>הגדרות!D10</f>
        <v/>
      </c>
      <c r="Q802">
        <f>N802*(1+O802/100)+P802</f>
        <v/>
      </c>
    </row>
    <row r="803">
      <c r="A803" t="inlineStr">
        <is>
          <t>פורינה (חנויות)</t>
        </is>
      </c>
      <c r="B803" t="inlineStr">
        <is>
          <t>פרו פלאן חתול RENAL PLUS בוגר עוף ואורז</t>
        </is>
      </c>
      <c r="C803" t="inlineStr">
        <is>
          <t>פרו פלאן חתול יבש PRO PLAN DRY CAT</t>
        </is>
      </c>
      <c r="D803" t="inlineStr">
        <is>
          <t>12537710</t>
        </is>
      </c>
      <c r="E803" t="inlineStr">
        <is>
          <t>רגיל</t>
        </is>
      </c>
      <c r="F803" t="inlineStr">
        <is>
          <t>יבש</t>
        </is>
      </c>
      <c r="G803" t="inlineStr">
        <is>
          <t>בוגר</t>
        </is>
      </c>
      <c r="H803" t="inlineStr">
        <is>
          <t>חתול</t>
        </is>
      </c>
      <c r="I803" t="inlineStr"/>
      <c r="J803" t="inlineStr">
        <is>
          <t>2026-06</t>
        </is>
      </c>
      <c r="K803" t="n">
        <v>101.01</v>
      </c>
      <c r="L803" t="n">
        <v>119.19</v>
      </c>
      <c r="M803">
        <f>הגדרות!B10</f>
        <v/>
      </c>
      <c r="N803">
        <f>K803*(1-M803/100)*1.18</f>
        <v/>
      </c>
      <c r="O803">
        <f>הגדרות!C10</f>
        <v/>
      </c>
      <c r="P803">
        <f>הגדרות!D10</f>
        <v/>
      </c>
      <c r="Q803">
        <f>N803*(1+O803/100)+P803</f>
        <v/>
      </c>
    </row>
    <row r="804">
      <c r="A804" t="inlineStr">
        <is>
          <t>פורינה (חנויות)</t>
        </is>
      </c>
      <c r="B804" t="inlineStr">
        <is>
          <t>פרו פלאן חתול DERMA CARE כדורי שיער ועור רגיש סלמון</t>
        </is>
      </c>
      <c r="C804" t="inlineStr">
        <is>
          <t>פרו פלאן חתול יבש PRO PLAN DRY CAT</t>
        </is>
      </c>
      <c r="D804" t="inlineStr">
        <is>
          <t>12539029</t>
        </is>
      </c>
      <c r="E804" t="inlineStr">
        <is>
          <t>רגיל</t>
        </is>
      </c>
      <c r="F804" t="inlineStr">
        <is>
          <t>יבש</t>
        </is>
      </c>
      <c r="G804" t="inlineStr"/>
      <c r="H804" t="inlineStr">
        <is>
          <t>חתול</t>
        </is>
      </c>
      <c r="I804" t="inlineStr"/>
      <c r="J804" t="inlineStr">
        <is>
          <t>2026-06</t>
        </is>
      </c>
      <c r="K804" t="n">
        <v>104.78</v>
      </c>
      <c r="L804" t="n">
        <v>123.64</v>
      </c>
      <c r="M804">
        <f>הגדרות!B10</f>
        <v/>
      </c>
      <c r="N804">
        <f>K804*(1-M804/100)*1.18</f>
        <v/>
      </c>
      <c r="O804">
        <f>הגדרות!C10</f>
        <v/>
      </c>
      <c r="P804">
        <f>הגדרות!D10</f>
        <v/>
      </c>
      <c r="Q804">
        <f>N804*(1+O804/100)+P804</f>
        <v/>
      </c>
    </row>
    <row r="805">
      <c r="A805" t="inlineStr">
        <is>
          <t>פורינה (חנויות)</t>
        </is>
      </c>
      <c r="B805" t="inlineStr">
        <is>
          <t>פרו פלאן STERILISED SAVOURY DUO קוד ופורל</t>
        </is>
      </c>
      <c r="C805" t="inlineStr">
        <is>
          <t>פרו פלאן חתול יבש PRO PLAN DRY CAT</t>
        </is>
      </c>
      <c r="D805" t="inlineStr">
        <is>
          <t>12515371</t>
        </is>
      </c>
      <c r="E805" t="inlineStr">
        <is>
          <t>רגיל</t>
        </is>
      </c>
      <c r="F805" t="inlineStr">
        <is>
          <t>יבש</t>
        </is>
      </c>
      <c r="G805" t="inlineStr"/>
      <c r="H805" t="inlineStr">
        <is>
          <t>חתול</t>
        </is>
      </c>
      <c r="I805" t="inlineStr"/>
      <c r="J805" t="inlineStr">
        <is>
          <t>2026-06</t>
        </is>
      </c>
      <c r="K805" t="n">
        <v>111.73</v>
      </c>
      <c r="L805" t="n">
        <v>131.84</v>
      </c>
      <c r="M805">
        <f>הגדרות!B10</f>
        <v/>
      </c>
      <c r="N805">
        <f>K805*(1-M805/100)*1.18</f>
        <v/>
      </c>
      <c r="O805">
        <f>הגדרות!C10</f>
        <v/>
      </c>
      <c r="P805">
        <f>הגדרות!D10</f>
        <v/>
      </c>
      <c r="Q805">
        <f>N805*(1+O805/100)+P805</f>
        <v/>
      </c>
    </row>
    <row r="806">
      <c r="A806" t="inlineStr">
        <is>
          <t>פורינה (חנויות)</t>
        </is>
      </c>
      <c r="B806" t="inlineStr">
        <is>
          <t>פרו פלאן STERILISED SAVOURY DUO ברווז וכבד</t>
        </is>
      </c>
      <c r="C806" t="inlineStr">
        <is>
          <t>פרו פלאן חתול יבש PRO PLAN DRY CAT</t>
        </is>
      </c>
      <c r="D806" t="inlineStr">
        <is>
          <t>12515224</t>
        </is>
      </c>
      <c r="E806" t="inlineStr">
        <is>
          <t>רגיל</t>
        </is>
      </c>
      <c r="F806" t="inlineStr">
        <is>
          <t>יבש</t>
        </is>
      </c>
      <c r="G806" t="inlineStr"/>
      <c r="H806" t="inlineStr">
        <is>
          <t>חתול</t>
        </is>
      </c>
      <c r="I806" t="inlineStr"/>
      <c r="J806" t="inlineStr">
        <is>
          <t>2026-06</t>
        </is>
      </c>
      <c r="K806" t="n">
        <v>111.73</v>
      </c>
      <c r="L806" t="n">
        <v>131.84</v>
      </c>
      <c r="M806">
        <f>הגדרות!B10</f>
        <v/>
      </c>
      <c r="N806">
        <f>K806*(1-M806/100)*1.18</f>
        <v/>
      </c>
      <c r="O806">
        <f>הגדרות!C10</f>
        <v/>
      </c>
      <c r="P806">
        <f>הגדרות!D10</f>
        <v/>
      </c>
      <c r="Q806">
        <f>N806*(1+O806/100)+P806</f>
        <v/>
      </c>
    </row>
    <row r="807">
      <c r="A807" t="inlineStr">
        <is>
          <t>פורינה (חנויות)</t>
        </is>
      </c>
      <c r="B807" t="inlineStr">
        <is>
          <t>פרו פלאן חתול VITAL FUNCTION בוגר סלמון</t>
        </is>
      </c>
      <c r="C807" t="inlineStr">
        <is>
          <t>פרו פלאן חתול יבש PRO PLAN DRY CAT</t>
        </is>
      </c>
      <c r="D807" t="inlineStr">
        <is>
          <t>12539025</t>
        </is>
      </c>
      <c r="E807" t="inlineStr">
        <is>
          <t>רגיל</t>
        </is>
      </c>
      <c r="F807" t="inlineStr">
        <is>
          <t>יבש</t>
        </is>
      </c>
      <c r="G807" t="inlineStr">
        <is>
          <t>בוגר</t>
        </is>
      </c>
      <c r="H807" t="inlineStr">
        <is>
          <t>חתול</t>
        </is>
      </c>
      <c r="I807" t="inlineStr"/>
      <c r="J807" t="inlineStr">
        <is>
          <t>2026-06</t>
        </is>
      </c>
      <c r="K807" t="n">
        <v>308.69</v>
      </c>
      <c r="L807" t="n">
        <v>364.25</v>
      </c>
      <c r="M807">
        <f>הגדרות!B10</f>
        <v/>
      </c>
      <c r="N807">
        <f>K807*(1-M807/100)*1.18</f>
        <v/>
      </c>
      <c r="O807">
        <f>הגדרות!C10</f>
        <v/>
      </c>
      <c r="P807">
        <f>הגדרות!D10</f>
        <v/>
      </c>
      <c r="Q807">
        <f>N807*(1+O807/100)+P807</f>
        <v/>
      </c>
    </row>
    <row r="808">
      <c r="A808" t="inlineStr">
        <is>
          <t>פורינה (חנויות)</t>
        </is>
      </c>
      <c r="B808" t="inlineStr">
        <is>
          <t>פרו פלאן חתול RENAL PLUS בוגר עוף</t>
        </is>
      </c>
      <c r="C808" t="inlineStr">
        <is>
          <t>פרו פלאן חתול יבש PRO PLAN DRY CAT</t>
        </is>
      </c>
      <c r="D808" t="inlineStr">
        <is>
          <t>12537813</t>
        </is>
      </c>
      <c r="E808" t="inlineStr">
        <is>
          <t>רגיל</t>
        </is>
      </c>
      <c r="F808" t="inlineStr">
        <is>
          <t>יבש</t>
        </is>
      </c>
      <c r="G808" t="inlineStr">
        <is>
          <t>בוגר</t>
        </is>
      </c>
      <c r="H808" t="inlineStr">
        <is>
          <t>חתול</t>
        </is>
      </c>
      <c r="I808" t="inlineStr"/>
      <c r="J808" t="inlineStr">
        <is>
          <t>2026-06</t>
        </is>
      </c>
      <c r="K808" t="n">
        <v>308.69</v>
      </c>
      <c r="L808" t="n">
        <v>364.25</v>
      </c>
      <c r="M808">
        <f>הגדרות!B10</f>
        <v/>
      </c>
      <c r="N808">
        <f>K808*(1-M808/100)*1.18</f>
        <v/>
      </c>
      <c r="O808">
        <f>הגדרות!C10</f>
        <v/>
      </c>
      <c r="P808">
        <f>הגדרות!D10</f>
        <v/>
      </c>
      <c r="Q808">
        <f>N808*(1+O808/100)+P808</f>
        <v/>
      </c>
    </row>
    <row r="809">
      <c r="A809" t="inlineStr">
        <is>
          <t>פורינה (חנויות)</t>
        </is>
      </c>
      <c r="B809" t="inlineStr">
        <is>
          <t>פרו פלאן STERILISED חתול בוגר עוף</t>
        </is>
      </c>
      <c r="C809" t="inlineStr">
        <is>
          <t>פרו פלאן חתול יבש PRO PLAN DRY CAT</t>
        </is>
      </c>
      <c r="D809" t="inlineStr">
        <is>
          <t>12524907</t>
        </is>
      </c>
      <c r="E809" t="inlineStr">
        <is>
          <t>רגיל</t>
        </is>
      </c>
      <c r="F809" t="inlineStr">
        <is>
          <t>יבש</t>
        </is>
      </c>
      <c r="G809" t="inlineStr">
        <is>
          <t>בוגר</t>
        </is>
      </c>
      <c r="H809" t="inlineStr">
        <is>
          <t>חתול</t>
        </is>
      </c>
      <c r="I809" t="inlineStr"/>
      <c r="J809" t="inlineStr">
        <is>
          <t>2026-06</t>
        </is>
      </c>
      <c r="K809" t="n">
        <v>328.37</v>
      </c>
      <c r="L809" t="n">
        <v>387.48</v>
      </c>
      <c r="M809">
        <f>הגדרות!B10</f>
        <v/>
      </c>
      <c r="N809">
        <f>K809*(1-M809/100)*1.18</f>
        <v/>
      </c>
      <c r="O809">
        <f>הגדרות!C10</f>
        <v/>
      </c>
      <c r="P809">
        <f>הגדרות!D10</f>
        <v/>
      </c>
      <c r="Q809">
        <f>N809*(1+O809/100)+P809</f>
        <v/>
      </c>
    </row>
    <row r="810">
      <c r="A810" t="inlineStr">
        <is>
          <t>פורינה (חנויות)</t>
        </is>
      </c>
      <c r="B810" t="inlineStr">
        <is>
          <t>פרו פלאן חתול DELICATE הודו</t>
        </is>
      </c>
      <c r="C810" t="inlineStr">
        <is>
          <t>פרו פלאן חתול יבש PRO PLAN DRY CAT</t>
        </is>
      </c>
      <c r="D810" t="inlineStr">
        <is>
          <t>12524952</t>
        </is>
      </c>
      <c r="E810" t="inlineStr">
        <is>
          <t>רגיל</t>
        </is>
      </c>
      <c r="F810" t="inlineStr">
        <is>
          <t>יבש</t>
        </is>
      </c>
      <c r="G810" t="inlineStr"/>
      <c r="H810" t="inlineStr">
        <is>
          <t>חתול</t>
        </is>
      </c>
      <c r="I810" t="inlineStr"/>
      <c r="J810" t="inlineStr">
        <is>
          <t>2026-06</t>
        </is>
      </c>
      <c r="K810" t="n">
        <v>328.37</v>
      </c>
      <c r="L810" t="n">
        <v>387.48</v>
      </c>
      <c r="M810">
        <f>הגדרות!B10</f>
        <v/>
      </c>
      <c r="N810">
        <f>K810*(1-M810/100)*1.18</f>
        <v/>
      </c>
      <c r="O810">
        <f>הגדרות!C10</f>
        <v/>
      </c>
      <c r="P810">
        <f>הגדרות!D10</f>
        <v/>
      </c>
      <c r="Q810">
        <f>N810*(1+O810/100)+P810</f>
        <v/>
      </c>
    </row>
    <row r="811">
      <c r="A811" t="inlineStr">
        <is>
          <t>פורינה (חנויות)</t>
        </is>
      </c>
      <c r="B811" t="inlineStr">
        <is>
          <t>פרו פלאן חתול STERILISED סלמון</t>
        </is>
      </c>
      <c r="C811" t="inlineStr">
        <is>
          <t>פרו פלאן חתול יבש PRO PLAN DRY CAT</t>
        </is>
      </c>
      <c r="D811" t="inlineStr">
        <is>
          <t>12524330</t>
        </is>
      </c>
      <c r="E811" t="inlineStr">
        <is>
          <t>רגיל</t>
        </is>
      </c>
      <c r="F811" t="inlineStr">
        <is>
          <t>יבש</t>
        </is>
      </c>
      <c r="G811" t="inlineStr"/>
      <c r="H811" t="inlineStr">
        <is>
          <t>חתול</t>
        </is>
      </c>
      <c r="I811" t="inlineStr"/>
      <c r="J811" t="inlineStr">
        <is>
          <t>2026-06</t>
        </is>
      </c>
      <c r="K811" t="n">
        <v>332.72</v>
      </c>
      <c r="L811" t="n">
        <v>392.61</v>
      </c>
      <c r="M811">
        <f>הגדרות!B10</f>
        <v/>
      </c>
      <c r="N811">
        <f>K811*(1-M811/100)*1.18</f>
        <v/>
      </c>
      <c r="O811">
        <f>הגדרות!C10</f>
        <v/>
      </c>
      <c r="P811">
        <f>הגדרות!D10</f>
        <v/>
      </c>
      <c r="Q811">
        <f>N811*(1+O811/100)+P811</f>
        <v/>
      </c>
    </row>
    <row r="812">
      <c r="A812" t="inlineStr">
        <is>
          <t>פורינה (חנויות)</t>
        </is>
      </c>
      <c r="B812" t="inlineStr">
        <is>
          <t>פרו פלאן חתול KITTEN גור בטעם עוף</t>
        </is>
      </c>
      <c r="C812" t="inlineStr">
        <is>
          <t>פרו פלאן חתול יבש PRO PLAN DRY CAT</t>
        </is>
      </c>
      <c r="D812" t="inlineStr">
        <is>
          <t>12537225</t>
        </is>
      </c>
      <c r="E812" t="inlineStr">
        <is>
          <t>רגיל</t>
        </is>
      </c>
      <c r="F812" t="inlineStr">
        <is>
          <t>יבש</t>
        </is>
      </c>
      <c r="G812" t="inlineStr">
        <is>
          <t>גורים</t>
        </is>
      </c>
      <c r="H812" t="inlineStr">
        <is>
          <t>חתול</t>
        </is>
      </c>
      <c r="I812" t="inlineStr"/>
      <c r="J812" t="inlineStr">
        <is>
          <t>2026-06</t>
        </is>
      </c>
      <c r="K812" t="n">
        <v>349.26</v>
      </c>
      <c r="L812" t="n">
        <v>412.13</v>
      </c>
      <c r="M812">
        <f>הגדרות!B10</f>
        <v/>
      </c>
      <c r="N812">
        <f>K812*(1-M812/100)*1.18</f>
        <v/>
      </c>
      <c r="O812">
        <f>הגדרות!C10</f>
        <v/>
      </c>
      <c r="P812">
        <f>הגדרות!D10</f>
        <v/>
      </c>
      <c r="Q812">
        <f>N812*(1+O812/100)+P812</f>
        <v/>
      </c>
    </row>
    <row r="813">
      <c r="A813" t="inlineStr">
        <is>
          <t>פורינה (חנויות)</t>
        </is>
      </c>
      <c r="B813" t="inlineStr">
        <is>
          <t>פרו פלאן חתול DERMA CARE כדורי שיער ועור רגיש סלמון</t>
        </is>
      </c>
      <c r="C813" t="inlineStr">
        <is>
          <t>פרו פלאן חתול יבש PRO PLAN DRY CAT</t>
        </is>
      </c>
      <c r="D813" t="inlineStr">
        <is>
          <t>12538880</t>
        </is>
      </c>
      <c r="E813" t="inlineStr">
        <is>
          <t>רגיל</t>
        </is>
      </c>
      <c r="F813" t="inlineStr">
        <is>
          <t>יבש</t>
        </is>
      </c>
      <c r="G813" t="inlineStr"/>
      <c r="H813" t="inlineStr">
        <is>
          <t>חתול</t>
        </is>
      </c>
      <c r="I813" t="inlineStr"/>
      <c r="J813" t="inlineStr">
        <is>
          <t>2026-06</t>
        </is>
      </c>
      <c r="K813" t="n">
        <v>328.37</v>
      </c>
      <c r="L813" t="n">
        <v>387.48</v>
      </c>
      <c r="M813">
        <f>הגדרות!B10</f>
        <v/>
      </c>
      <c r="N813">
        <f>K813*(1-M813/100)*1.18</f>
        <v/>
      </c>
      <c r="O813">
        <f>הגדרות!C10</f>
        <v/>
      </c>
      <c r="P813">
        <f>הגדרות!D10</f>
        <v/>
      </c>
      <c r="Q813">
        <f>N813*(1+O813/100)+P813</f>
        <v/>
      </c>
    </row>
    <row r="814">
      <c r="A814" t="inlineStr">
        <is>
          <t>פורינה (חנויות)</t>
        </is>
      </c>
      <c r="B814" t="inlineStr">
        <is>
          <t>פרו פלאן חתול פאוצ' עוף STERILISED</t>
        </is>
      </c>
      <c r="C814" t="inlineStr">
        <is>
          <t>פרו פלאן חתול לח PRO PLAN WET CAT</t>
        </is>
      </c>
      <c r="D814" t="inlineStr">
        <is>
          <t>12484958</t>
        </is>
      </c>
      <c r="E814" t="inlineStr">
        <is>
          <t>רגיל</t>
        </is>
      </c>
      <c r="F814" t="inlineStr">
        <is>
          <t>יבש</t>
        </is>
      </c>
      <c r="G814" t="inlineStr"/>
      <c r="H814" t="inlineStr">
        <is>
          <t>חתול</t>
        </is>
      </c>
      <c r="I814" t="inlineStr"/>
      <c r="J814" t="inlineStr">
        <is>
          <t>2026-06</t>
        </is>
      </c>
      <c r="K814" t="n">
        <v>5.24</v>
      </c>
      <c r="L814" t="n">
        <v>6.18</v>
      </c>
      <c r="M814">
        <f>הגדרות!B10</f>
        <v/>
      </c>
      <c r="N814">
        <f>K814*(1-M814/100)*1.18</f>
        <v/>
      </c>
      <c r="O814">
        <f>הגדרות!C10</f>
        <v/>
      </c>
      <c r="P814">
        <f>הגדרות!D10</f>
        <v/>
      </c>
      <c r="Q814">
        <f>N814*(1+O814/100)+P814</f>
        <v/>
      </c>
    </row>
    <row r="815">
      <c r="A815" t="inlineStr">
        <is>
          <t>פורינה (חנויות)</t>
        </is>
      </c>
      <c r="B815" t="inlineStr">
        <is>
          <t>פרו פלאן חתול פאוצ' דגי אוקינוס DELICATE</t>
        </is>
      </c>
      <c r="C815" t="inlineStr">
        <is>
          <t>פרו פלאן חתול לח PRO PLAN WET CAT</t>
        </is>
      </c>
      <c r="D815" t="inlineStr">
        <is>
          <t>12484985</t>
        </is>
      </c>
      <c r="E815" t="inlineStr">
        <is>
          <t>רגיל</t>
        </is>
      </c>
      <c r="F815" t="inlineStr">
        <is>
          <t>יבש</t>
        </is>
      </c>
      <c r="G815" t="inlineStr"/>
      <c r="H815" t="inlineStr">
        <is>
          <t>חתול</t>
        </is>
      </c>
      <c r="I815" t="inlineStr"/>
      <c r="J815" t="inlineStr">
        <is>
          <t>2026-06</t>
        </is>
      </c>
      <c r="K815" t="n">
        <v>5.24</v>
      </c>
      <c r="L815" t="n">
        <v>6.18</v>
      </c>
      <c r="M815">
        <f>הגדרות!B10</f>
        <v/>
      </c>
      <c r="N815">
        <f>K815*(1-M815/100)*1.18</f>
        <v/>
      </c>
      <c r="O815">
        <f>הגדרות!C10</f>
        <v/>
      </c>
      <c r="P815">
        <f>הגדרות!D10</f>
        <v/>
      </c>
      <c r="Q815">
        <f>N815*(1+O815/100)+P815</f>
        <v/>
      </c>
    </row>
    <row r="816">
      <c r="A816" t="inlineStr">
        <is>
          <t>פורינה (חנויות)</t>
        </is>
      </c>
      <c r="B816" t="inlineStr">
        <is>
          <t>פרו פלאן חתול פאוצ' הודו DELICATE</t>
        </is>
      </c>
      <c r="C816" t="inlineStr">
        <is>
          <t>פרו פלאן חתול לח PRO PLAN WET CAT</t>
        </is>
      </c>
      <c r="D816" t="inlineStr">
        <is>
          <t>12514230</t>
        </is>
      </c>
      <c r="E816" t="inlineStr">
        <is>
          <t>רגיל</t>
        </is>
      </c>
      <c r="F816" t="inlineStr">
        <is>
          <t>יבש</t>
        </is>
      </c>
      <c r="G816" t="inlineStr"/>
      <c r="H816" t="inlineStr">
        <is>
          <t>חתול</t>
        </is>
      </c>
      <c r="I816" t="inlineStr"/>
      <c r="J816" t="inlineStr">
        <is>
          <t>2026-06</t>
        </is>
      </c>
      <c r="K816" t="n">
        <v>5.24</v>
      </c>
      <c r="L816" t="n">
        <v>6.18</v>
      </c>
      <c r="M816">
        <f>הגדרות!B10</f>
        <v/>
      </c>
      <c r="N816">
        <f>K816*(1-M816/100)*1.18</f>
        <v/>
      </c>
      <c r="O816">
        <f>הגדרות!C10</f>
        <v/>
      </c>
      <c r="P816">
        <f>הגדרות!D10</f>
        <v/>
      </c>
      <c r="Q816">
        <f>N816*(1+O816/100)+P816</f>
        <v/>
      </c>
    </row>
    <row r="817">
      <c r="A817" t="inlineStr">
        <is>
          <t>פורינה (חנויות)</t>
        </is>
      </c>
      <c r="B817" t="inlineStr">
        <is>
          <t>פרו פלאן חתול פאוצ' בקר STERILISED</t>
        </is>
      </c>
      <c r="C817" t="inlineStr">
        <is>
          <t>פרו פלאן חתול לח PRO PLAN WET CAT</t>
        </is>
      </c>
      <c r="D817" t="inlineStr">
        <is>
          <t>12551008</t>
        </is>
      </c>
      <c r="E817" t="inlineStr">
        <is>
          <t>רגיל</t>
        </is>
      </c>
      <c r="F817" t="inlineStr">
        <is>
          <t>יבש</t>
        </is>
      </c>
      <c r="G817" t="inlineStr"/>
      <c r="H817" t="inlineStr">
        <is>
          <t>חתול</t>
        </is>
      </c>
      <c r="I817" t="inlineStr"/>
      <c r="J817" t="inlineStr">
        <is>
          <t>2026-06</t>
        </is>
      </c>
      <c r="K817" t="n">
        <v>5.24</v>
      </c>
      <c r="L817" t="n">
        <v>6.18</v>
      </c>
      <c r="M817">
        <f>הגדרות!B10</f>
        <v/>
      </c>
      <c r="N817">
        <f>K817*(1-M817/100)*1.18</f>
        <v/>
      </c>
      <c r="O817">
        <f>הגדרות!C10</f>
        <v/>
      </c>
      <c r="P817">
        <f>הגדרות!D10</f>
        <v/>
      </c>
      <c r="Q817">
        <f>N817*(1+O817/100)+P817</f>
        <v/>
      </c>
    </row>
    <row r="818">
      <c r="A818" t="inlineStr">
        <is>
          <t>פורינה (חנויות)</t>
        </is>
      </c>
      <c r="B818" t="inlineStr">
        <is>
          <t>פרו פלאן חתול פאוצ' סלמון HOUSECAT</t>
        </is>
      </c>
      <c r="C818" t="inlineStr">
        <is>
          <t>פרו פלאן חתול לח PRO PLAN WET CAT</t>
        </is>
      </c>
      <c r="D818" t="inlineStr">
        <is>
          <t>12514485</t>
        </is>
      </c>
      <c r="E818" t="inlineStr">
        <is>
          <t>רגיל</t>
        </is>
      </c>
      <c r="F818" t="inlineStr">
        <is>
          <t>יבש</t>
        </is>
      </c>
      <c r="G818" t="inlineStr"/>
      <c r="H818" t="inlineStr">
        <is>
          <t>חתול</t>
        </is>
      </c>
      <c r="I818" t="inlineStr"/>
      <c r="J818" t="inlineStr">
        <is>
          <t>2026-06</t>
        </is>
      </c>
      <c r="K818" t="n">
        <v>5.24</v>
      </c>
      <c r="L818" t="n">
        <v>6.18</v>
      </c>
      <c r="M818">
        <f>הגדרות!B10</f>
        <v/>
      </c>
      <c r="N818">
        <f>K818*(1-M818/100)*1.18</f>
        <v/>
      </c>
      <c r="O818">
        <f>הגדרות!C10</f>
        <v/>
      </c>
      <c r="P818">
        <f>הגדרות!D10</f>
        <v/>
      </c>
      <c r="Q818">
        <f>N818*(1+O818/100)+P818</f>
        <v/>
      </c>
    </row>
    <row r="819">
      <c r="A819" t="inlineStr">
        <is>
          <t>פורינה (חנויות)</t>
        </is>
      </c>
      <c r="B819" t="inlineStr">
        <is>
          <t>פרו פלאן חתול פאוצ' הודו KITTEN</t>
        </is>
      </c>
      <c r="C819" t="inlineStr">
        <is>
          <t>פרו פלאן חתול לח PRO PLAN WET CAT</t>
        </is>
      </c>
      <c r="D819" t="inlineStr">
        <is>
          <t>12588342</t>
        </is>
      </c>
      <c r="E819" t="inlineStr">
        <is>
          <t>רגיל</t>
        </is>
      </c>
      <c r="F819" t="inlineStr">
        <is>
          <t>יבש</t>
        </is>
      </c>
      <c r="G819" t="inlineStr">
        <is>
          <t>גורים</t>
        </is>
      </c>
      <c r="H819" t="inlineStr">
        <is>
          <t>חתול</t>
        </is>
      </c>
      <c r="I819" t="inlineStr"/>
      <c r="J819" t="inlineStr">
        <is>
          <t>2026-06</t>
        </is>
      </c>
      <c r="K819" t="n">
        <v>5.24</v>
      </c>
      <c r="L819" t="n">
        <v>6.18</v>
      </c>
      <c r="M819">
        <f>הגדרות!B10</f>
        <v/>
      </c>
      <c r="N819">
        <f>K819*(1-M819/100)*1.18</f>
        <v/>
      </c>
      <c r="O819">
        <f>הגדרות!C10</f>
        <v/>
      </c>
      <c r="P819">
        <f>הגדרות!D10</f>
        <v/>
      </c>
      <c r="Q819">
        <f>N819*(1+O819/100)+P819</f>
        <v/>
      </c>
    </row>
    <row r="820">
      <c r="A820" t="inlineStr">
        <is>
          <t>פורינה (חנויות)</t>
        </is>
      </c>
      <c r="B820" t="inlineStr">
        <is>
          <t>פרו פלאן חתול STERILISED פחית סלמון וטונה</t>
        </is>
      </c>
      <c r="C820" t="inlineStr">
        <is>
          <t>פרו פלאן חתול לח PRO PLAN WET CAT</t>
        </is>
      </c>
      <c r="D820" t="inlineStr">
        <is>
          <t>12600685</t>
        </is>
      </c>
      <c r="E820" t="inlineStr">
        <is>
          <t>רגיל</t>
        </is>
      </c>
      <c r="F820" t="inlineStr">
        <is>
          <t>רטוב</t>
        </is>
      </c>
      <c r="G820" t="inlineStr"/>
      <c r="H820" t="inlineStr">
        <is>
          <t>חתול</t>
        </is>
      </c>
      <c r="I820" t="inlineStr"/>
      <c r="J820" t="inlineStr">
        <is>
          <t>2026-06</t>
        </is>
      </c>
      <c r="K820" t="n">
        <v>5.4</v>
      </c>
      <c r="L820" t="n">
        <v>6.37</v>
      </c>
      <c r="M820">
        <f>הגדרות!B10</f>
        <v/>
      </c>
      <c r="N820">
        <f>K820*(1-M820/100)*1.18</f>
        <v/>
      </c>
      <c r="O820">
        <f>הגדרות!C10</f>
        <v/>
      </c>
      <c r="P820">
        <f>הגדרות!D10</f>
        <v/>
      </c>
      <c r="Q820">
        <f>N820*(1+O820/100)+P820</f>
        <v/>
      </c>
    </row>
    <row r="821">
      <c r="A821" t="inlineStr">
        <is>
          <t>פורינה (חנויות)</t>
        </is>
      </c>
      <c r="B821" t="inlineStr">
        <is>
          <t>פרו פלאן חתול DELICATE פחית מוס הודו</t>
        </is>
      </c>
      <c r="C821" t="inlineStr">
        <is>
          <t>פרו פלאן חתול לח PRO PLAN WET CAT</t>
        </is>
      </c>
      <c r="D821" t="inlineStr">
        <is>
          <t>12514185</t>
        </is>
      </c>
      <c r="E821" t="inlineStr">
        <is>
          <t>רגיל</t>
        </is>
      </c>
      <c r="F821" t="inlineStr">
        <is>
          <t>רטוב</t>
        </is>
      </c>
      <c r="G821" t="inlineStr"/>
      <c r="H821" t="inlineStr">
        <is>
          <t>חתול</t>
        </is>
      </c>
      <c r="I821" t="inlineStr"/>
      <c r="J821" t="inlineStr">
        <is>
          <t>2026-06</t>
        </is>
      </c>
      <c r="K821" t="n">
        <v>5.4</v>
      </c>
      <c r="L821" t="n">
        <v>6.37</v>
      </c>
      <c r="M821">
        <f>הגדרות!B10</f>
        <v/>
      </c>
      <c r="N821">
        <f>K821*(1-M821/100)*1.18</f>
        <v/>
      </c>
      <c r="O821">
        <f>הגדרות!C10</f>
        <v/>
      </c>
      <c r="P821">
        <f>הגדרות!D10</f>
        <v/>
      </c>
      <c r="Q821">
        <f>N821*(1+O821/100)+P821</f>
        <v/>
      </c>
    </row>
    <row r="822">
      <c r="A822" t="inlineStr">
        <is>
          <t>פורינה (חנויות)</t>
        </is>
      </c>
      <c r="B822" t="inlineStr">
        <is>
          <t>פרו פלאן חתול JUNIOR פחית מוס עוף</t>
        </is>
      </c>
      <c r="C822" t="inlineStr">
        <is>
          <t>פרו פלאן חתול לח PRO PLAN WET CAT</t>
        </is>
      </c>
      <c r="D822" t="inlineStr">
        <is>
          <t>12514066</t>
        </is>
      </c>
      <c r="E822" t="inlineStr">
        <is>
          <t>רגיל</t>
        </is>
      </c>
      <c r="F822" t="inlineStr">
        <is>
          <t>רטוב</t>
        </is>
      </c>
      <c r="G822" t="inlineStr">
        <is>
          <t>גורים</t>
        </is>
      </c>
      <c r="H822" t="inlineStr">
        <is>
          <t>חתול</t>
        </is>
      </c>
      <c r="I822" t="inlineStr"/>
      <c r="J822" t="inlineStr">
        <is>
          <t>2026-06</t>
        </is>
      </c>
      <c r="K822" t="n">
        <v>5.4</v>
      </c>
      <c r="L822" t="n">
        <v>6.37</v>
      </c>
      <c r="M822">
        <f>הגדרות!B10</f>
        <v/>
      </c>
      <c r="N822">
        <f>K822*(1-M822/100)*1.18</f>
        <v/>
      </c>
      <c r="O822">
        <f>הגדרות!C10</f>
        <v/>
      </c>
      <c r="P822">
        <f>הגדרות!D10</f>
        <v/>
      </c>
      <c r="Q822">
        <f>N822*(1+O822/100)+P822</f>
        <v/>
      </c>
    </row>
    <row r="823">
      <c r="A823" t="inlineStr">
        <is>
          <t>פורינה (חנויות)</t>
        </is>
      </c>
      <c r="B823" t="inlineStr">
        <is>
          <t>פרו פלאן חתול ADULT פחית בוגר עוף</t>
        </is>
      </c>
      <c r="C823" t="inlineStr">
        <is>
          <t>פרו פלאן חתול לח PRO PLAN WET CAT</t>
        </is>
      </c>
      <c r="D823" t="inlineStr">
        <is>
          <t>12514076</t>
        </is>
      </c>
      <c r="E823" t="inlineStr">
        <is>
          <t>רגיל</t>
        </is>
      </c>
      <c r="F823" t="inlineStr">
        <is>
          <t>רטוב</t>
        </is>
      </c>
      <c r="G823" t="inlineStr">
        <is>
          <t>בוגר</t>
        </is>
      </c>
      <c r="H823" t="inlineStr">
        <is>
          <t>חתול</t>
        </is>
      </c>
      <c r="I823" t="inlineStr"/>
      <c r="J823" t="inlineStr">
        <is>
          <t>2026-06</t>
        </is>
      </c>
      <c r="K823" t="n">
        <v>5.4</v>
      </c>
      <c r="L823" t="n">
        <v>6.37</v>
      </c>
      <c r="M823">
        <f>הגדרות!B10</f>
        <v/>
      </c>
      <c r="N823">
        <f>K823*(1-M823/100)*1.18</f>
        <v/>
      </c>
      <c r="O823">
        <f>הגדרות!C10</f>
        <v/>
      </c>
      <c r="P823">
        <f>הגדרות!D10</f>
        <v/>
      </c>
      <c r="Q823">
        <f>N823*(1+O823/100)+P823</f>
        <v/>
      </c>
    </row>
    <row r="824">
      <c r="A824" t="inlineStr">
        <is>
          <t>פורינה (חנויות)</t>
        </is>
      </c>
      <c r="B824" t="inlineStr">
        <is>
          <t>פרו פלאן כלב בוגר LIGHT/STERILISED עוף</t>
        </is>
      </c>
      <c r="C824" t="inlineStr">
        <is>
          <t>פרו פלאן כלב יבש PRO PLAN DRY DOG</t>
        </is>
      </c>
      <c r="D824" t="inlineStr">
        <is>
          <t>12375525</t>
        </is>
      </c>
      <c r="E824" t="inlineStr">
        <is>
          <t>רגיל</t>
        </is>
      </c>
      <c r="F824" t="inlineStr">
        <is>
          <t>יבש</t>
        </is>
      </c>
      <c r="G824" t="inlineStr">
        <is>
          <t>בוגר</t>
        </is>
      </c>
      <c r="H824" t="inlineStr">
        <is>
          <t>כלב</t>
        </is>
      </c>
      <c r="I824" t="inlineStr"/>
      <c r="J824" t="inlineStr">
        <is>
          <t>2026-06</t>
        </is>
      </c>
      <c r="K824" t="n">
        <v>277.1</v>
      </c>
      <c r="L824" t="n">
        <v>326.98</v>
      </c>
      <c r="M824">
        <f>הגדרות!B10</f>
        <v/>
      </c>
      <c r="N824">
        <f>K824*(1-M824/100)*1.18</f>
        <v/>
      </c>
      <c r="O824">
        <f>הגדרות!C10</f>
        <v/>
      </c>
      <c r="P824">
        <f>הגדרות!D10</f>
        <v/>
      </c>
      <c r="Q824">
        <f>N824*(1+O824/100)+P824</f>
        <v/>
      </c>
    </row>
    <row r="825">
      <c r="A825" t="inlineStr">
        <is>
          <t>פורינה (חנויות)</t>
        </is>
      </c>
      <c r="B825" t="inlineStr">
        <is>
          <t>פרו פלאן כלב גור מדיום SENSITIVE SKIN סלמון</t>
        </is>
      </c>
      <c r="C825" t="inlineStr">
        <is>
          <t>פרו פלאן כלב יבש PRO PLAN DRY DOG</t>
        </is>
      </c>
      <c r="D825" t="inlineStr">
        <is>
          <t>12375809</t>
        </is>
      </c>
      <c r="E825" t="inlineStr">
        <is>
          <t>רגיל</t>
        </is>
      </c>
      <c r="F825" t="inlineStr">
        <is>
          <t>יבש</t>
        </is>
      </c>
      <c r="G825" t="inlineStr">
        <is>
          <t>גורים</t>
        </is>
      </c>
      <c r="H825" t="inlineStr">
        <is>
          <t>כלב</t>
        </is>
      </c>
      <c r="I825" t="inlineStr">
        <is>
          <t>מעל 7 ק"ג</t>
        </is>
      </c>
      <c r="J825" t="inlineStr">
        <is>
          <t>2026-06</t>
        </is>
      </c>
      <c r="K825" t="n">
        <v>298.52</v>
      </c>
      <c r="L825" t="n">
        <v>352.25</v>
      </c>
      <c r="M825">
        <f>הגדרות!B10</f>
        <v/>
      </c>
      <c r="N825">
        <f>K825*(1-M825/100)*1.18</f>
        <v/>
      </c>
      <c r="O825">
        <f>הגדרות!C10</f>
        <v/>
      </c>
      <c r="P825">
        <f>הגדרות!D10</f>
        <v/>
      </c>
      <c r="Q825">
        <f>N825*(1+O825/100)+P825</f>
        <v/>
      </c>
    </row>
    <row r="826">
      <c r="A826" t="inlineStr">
        <is>
          <t>פורינה (חנויות)</t>
        </is>
      </c>
      <c r="B826" t="inlineStr">
        <is>
          <t>פרו פלאן כלב גור מדיום SENSETIVE DIGESTION כבש</t>
        </is>
      </c>
      <c r="C826" t="inlineStr">
        <is>
          <t>פרו פלאן כלב יבש PRO PLAN DRY DOG</t>
        </is>
      </c>
      <c r="D826" t="inlineStr">
        <is>
          <t>12375896</t>
        </is>
      </c>
      <c r="E826" t="inlineStr">
        <is>
          <t>רגיל</t>
        </is>
      </c>
      <c r="F826" t="inlineStr">
        <is>
          <t>יבש</t>
        </is>
      </c>
      <c r="G826" t="inlineStr">
        <is>
          <t>גורים</t>
        </is>
      </c>
      <c r="H826" t="inlineStr">
        <is>
          <t>כלב</t>
        </is>
      </c>
      <c r="I826" t="inlineStr">
        <is>
          <t>מעל 7 ק"ג</t>
        </is>
      </c>
      <c r="J826" t="inlineStr">
        <is>
          <t>2026-06</t>
        </is>
      </c>
      <c r="K826" t="n">
        <v>298.52</v>
      </c>
      <c r="L826" t="n">
        <v>352.25</v>
      </c>
      <c r="M826">
        <f>הגדרות!B10</f>
        <v/>
      </c>
      <c r="N826">
        <f>K826*(1-M826/100)*1.18</f>
        <v/>
      </c>
      <c r="O826">
        <f>הגדרות!C10</f>
        <v/>
      </c>
      <c r="P826">
        <f>הגדרות!D10</f>
        <v/>
      </c>
      <c r="Q826">
        <f>N826*(1+O826/100)+P826</f>
        <v/>
      </c>
    </row>
    <row r="827">
      <c r="A827" t="inlineStr">
        <is>
          <t>פורינה (חנויות)</t>
        </is>
      </c>
      <c r="B827" t="inlineStr">
        <is>
          <t>פרו פלאן כלב גור מדיום HEALTHY START עוף</t>
        </is>
      </c>
      <c r="C827" t="inlineStr">
        <is>
          <t>פרו פלאן כלב יבש PRO PLAN DRY DOG</t>
        </is>
      </c>
      <c r="D827" t="inlineStr">
        <is>
          <t>12375807</t>
        </is>
      </c>
      <c r="E827" t="inlineStr">
        <is>
          <t>רגיל</t>
        </is>
      </c>
      <c r="F827" t="inlineStr">
        <is>
          <t>יבש</t>
        </is>
      </c>
      <c r="G827" t="inlineStr">
        <is>
          <t>גורים</t>
        </is>
      </c>
      <c r="H827" t="inlineStr">
        <is>
          <t>כלב</t>
        </is>
      </c>
      <c r="I827" t="inlineStr">
        <is>
          <t>מעל 7 ק"ג</t>
        </is>
      </c>
      <c r="J827" t="inlineStr">
        <is>
          <t>2026-06</t>
        </is>
      </c>
      <c r="K827" t="n">
        <v>234.27</v>
      </c>
      <c r="L827" t="n">
        <v>276.44</v>
      </c>
      <c r="M827">
        <f>הגדרות!B10</f>
        <v/>
      </c>
      <c r="N827">
        <f>K827*(1-M827/100)*1.18</f>
        <v/>
      </c>
      <c r="O827">
        <f>הגדרות!C10</f>
        <v/>
      </c>
      <c r="P827">
        <f>הגדרות!D10</f>
        <v/>
      </c>
      <c r="Q827">
        <f>N827*(1+O827/100)+P827</f>
        <v/>
      </c>
    </row>
    <row r="828">
      <c r="A828" t="inlineStr">
        <is>
          <t>פורינה (חנויות)</t>
        </is>
      </c>
      <c r="B828" t="inlineStr">
        <is>
          <t>פרו פלאן כלב גור גזע גדול HEALTHY START אתלטי עוף</t>
        </is>
      </c>
      <c r="C828" t="inlineStr">
        <is>
          <t>פרו פלאן כלב יבש PRO PLAN DRY DOG</t>
        </is>
      </c>
      <c r="D828" t="inlineStr">
        <is>
          <t>12375563</t>
        </is>
      </c>
      <c r="E828" t="inlineStr">
        <is>
          <t>רגיל</t>
        </is>
      </c>
      <c r="F828" t="inlineStr">
        <is>
          <t>יבש</t>
        </is>
      </c>
      <c r="G828" t="inlineStr">
        <is>
          <t>גורים</t>
        </is>
      </c>
      <c r="H828" t="inlineStr">
        <is>
          <t>כלב</t>
        </is>
      </c>
      <c r="I828" t="inlineStr">
        <is>
          <t>מעל 7 ק"ג</t>
        </is>
      </c>
      <c r="J828" t="inlineStr">
        <is>
          <t>2026-06</t>
        </is>
      </c>
      <c r="K828" t="n">
        <v>234.27</v>
      </c>
      <c r="L828" t="n">
        <v>276.44</v>
      </c>
      <c r="M828">
        <f>הגדרות!B10</f>
        <v/>
      </c>
      <c r="N828">
        <f>K828*(1-M828/100)*1.18</f>
        <v/>
      </c>
      <c r="O828">
        <f>הגדרות!C10</f>
        <v/>
      </c>
      <c r="P828">
        <f>הגדרות!D10</f>
        <v/>
      </c>
      <c r="Q828">
        <f>N828*(1+O828/100)+P828</f>
        <v/>
      </c>
    </row>
    <row r="829">
      <c r="A829" t="inlineStr">
        <is>
          <t>פורינה (חנויות)</t>
        </is>
      </c>
      <c r="B829" t="inlineStr">
        <is>
          <t>פרו פלאן כלב בוגר מדיום EVERYDAY NUTRITION עוף</t>
        </is>
      </c>
      <c r="C829" t="inlineStr">
        <is>
          <t>פרו פלאן כלב יבש PRO PLAN DRY DOG</t>
        </is>
      </c>
      <c r="D829" t="inlineStr">
        <is>
          <t>12375801</t>
        </is>
      </c>
      <c r="E829" t="inlineStr">
        <is>
          <t>רגיל</t>
        </is>
      </c>
      <c r="F829" t="inlineStr">
        <is>
          <t>יבש</t>
        </is>
      </c>
      <c r="G829" t="inlineStr">
        <is>
          <t>בוגר</t>
        </is>
      </c>
      <c r="H829" t="inlineStr">
        <is>
          <t>כלב</t>
        </is>
      </c>
      <c r="I829" t="inlineStr">
        <is>
          <t>מעל 7 ק"ג</t>
        </is>
      </c>
      <c r="J829" t="inlineStr">
        <is>
          <t>2026-06</t>
        </is>
      </c>
      <c r="K829" t="n">
        <v>234.27</v>
      </c>
      <c r="L829" t="n">
        <v>276.44</v>
      </c>
      <c r="M829">
        <f>הגדרות!B10</f>
        <v/>
      </c>
      <c r="N829">
        <f>K829*(1-M829/100)*1.18</f>
        <v/>
      </c>
      <c r="O829">
        <f>הגדרות!C10</f>
        <v/>
      </c>
      <c r="P829">
        <f>הגדרות!D10</f>
        <v/>
      </c>
      <c r="Q829">
        <f>N829*(1+O829/100)+P829</f>
        <v/>
      </c>
    </row>
    <row r="830">
      <c r="A830" t="inlineStr">
        <is>
          <t>פורינה (חנויות)</t>
        </is>
      </c>
      <c r="B830" t="inlineStr">
        <is>
          <t>פרו פלאן כלב בוגר מדיום SENSITIVE SKIN סנסטיב סלמון לעור רגיש</t>
        </is>
      </c>
      <c r="C830" t="inlineStr">
        <is>
          <t>פרו פלאן כלב יבש PRO PLAN DRY DOG</t>
        </is>
      </c>
      <c r="D830" t="inlineStr">
        <is>
          <t>12375802</t>
        </is>
      </c>
      <c r="E830" t="inlineStr">
        <is>
          <t>רגיל</t>
        </is>
      </c>
      <c r="F830" t="inlineStr">
        <is>
          <t>יבש</t>
        </is>
      </c>
      <c r="G830" t="inlineStr">
        <is>
          <t>בוגר</t>
        </is>
      </c>
      <c r="H830" t="inlineStr">
        <is>
          <t>כלב</t>
        </is>
      </c>
      <c r="I830" t="inlineStr">
        <is>
          <t>מעל 7 ק"ג</t>
        </is>
      </c>
      <c r="J830" t="inlineStr">
        <is>
          <t>2026-06</t>
        </is>
      </c>
      <c r="K830" t="n">
        <v>285.43</v>
      </c>
      <c r="L830" t="n">
        <v>336.81</v>
      </c>
      <c r="M830">
        <f>הגדרות!B10</f>
        <v/>
      </c>
      <c r="N830">
        <f>K830*(1-M830/100)*1.18</f>
        <v/>
      </c>
      <c r="O830">
        <f>הגדרות!C10</f>
        <v/>
      </c>
      <c r="P830">
        <f>הגדרות!D10</f>
        <v/>
      </c>
      <c r="Q830">
        <f>N830*(1+O830/100)+P830</f>
        <v/>
      </c>
    </row>
    <row r="831">
      <c r="A831" t="inlineStr">
        <is>
          <t>פורינה (חנויות)</t>
        </is>
      </c>
      <c r="B831" t="inlineStr">
        <is>
          <t>פרו פלאן כלב בוגר גזע קטן EVERYDAY NUTRITION עוף</t>
        </is>
      </c>
      <c r="C831" t="inlineStr">
        <is>
          <t>פרו פלאן כלב יבש PRO PLAN DRY DOG</t>
        </is>
      </c>
      <c r="D831" t="inlineStr">
        <is>
          <t>12278504</t>
        </is>
      </c>
      <c r="E831" t="inlineStr">
        <is>
          <t>רגיל</t>
        </is>
      </c>
      <c r="F831" t="inlineStr">
        <is>
          <t>יבש</t>
        </is>
      </c>
      <c r="G831" t="inlineStr">
        <is>
          <t>בוגר</t>
        </is>
      </c>
      <c r="H831" t="inlineStr">
        <is>
          <t>כלב</t>
        </is>
      </c>
      <c r="I831" t="inlineStr">
        <is>
          <t>עד 7 ק"ג</t>
        </is>
      </c>
      <c r="J831" t="inlineStr">
        <is>
          <t>2026-06</t>
        </is>
      </c>
      <c r="K831" t="n">
        <v>105.09</v>
      </c>
      <c r="L831" t="n">
        <v>124.01</v>
      </c>
      <c r="M831">
        <f>הגדרות!B10</f>
        <v/>
      </c>
      <c r="N831">
        <f>K831*(1-M831/100)*1.18</f>
        <v/>
      </c>
      <c r="O831">
        <f>הגדרות!C10</f>
        <v/>
      </c>
      <c r="P831">
        <f>הגדרות!D10</f>
        <v/>
      </c>
      <c r="Q831">
        <f>N831*(1+O831/100)+P831</f>
        <v/>
      </c>
    </row>
    <row r="832">
      <c r="A832" t="inlineStr">
        <is>
          <t>פורינה (חנויות)</t>
        </is>
      </c>
      <c r="B832" t="inlineStr">
        <is>
          <t>פרו פלאן כלב בוגר גזע קטן EVERYDAY NUTRITION עוף</t>
        </is>
      </c>
      <c r="C832" t="inlineStr">
        <is>
          <t>פרו פלאן כלב יבש PRO PLAN DRY DOG</t>
        </is>
      </c>
      <c r="D832" t="inlineStr">
        <is>
          <t>12376022</t>
        </is>
      </c>
      <c r="E832" t="inlineStr">
        <is>
          <t>רגיל</t>
        </is>
      </c>
      <c r="F832" t="inlineStr">
        <is>
          <t>יבש</t>
        </is>
      </c>
      <c r="G832" t="inlineStr">
        <is>
          <t>בוגר</t>
        </is>
      </c>
      <c r="H832" t="inlineStr">
        <is>
          <t>כלב</t>
        </is>
      </c>
      <c r="I832" t="inlineStr">
        <is>
          <t>עד 7 ק"ג</t>
        </is>
      </c>
      <c r="J832" t="inlineStr">
        <is>
          <t>2026-06</t>
        </is>
      </c>
      <c r="K832" t="n">
        <v>141.47</v>
      </c>
      <c r="L832" t="n">
        <v>166.93</v>
      </c>
      <c r="M832">
        <f>הגדרות!B10</f>
        <v/>
      </c>
      <c r="N832">
        <f>K832*(1-M832/100)*1.18</f>
        <v/>
      </c>
      <c r="O832">
        <f>הגדרות!C10</f>
        <v/>
      </c>
      <c r="P832">
        <f>הגדרות!D10</f>
        <v/>
      </c>
      <c r="Q832">
        <f>N832*(1+O832/100)+P832</f>
        <v/>
      </c>
    </row>
    <row r="833">
      <c r="A833" t="inlineStr">
        <is>
          <t>פורינה (חנויות)</t>
        </is>
      </c>
      <c r="B833" t="inlineStr">
        <is>
          <t>פרו פלאן כבש לכלב בוגר מגזע קטן</t>
        </is>
      </c>
      <c r="C833" t="inlineStr">
        <is>
          <t>פרו פלאן כלב יבש PRO PLAN DRY DOG</t>
        </is>
      </c>
      <c r="D833" t="inlineStr">
        <is>
          <t>12392234</t>
        </is>
      </c>
      <c r="E833" t="inlineStr">
        <is>
          <t>רגיל</t>
        </is>
      </c>
      <c r="F833" t="inlineStr">
        <is>
          <t>יבש</t>
        </is>
      </c>
      <c r="G833" t="inlineStr">
        <is>
          <t>בוגר</t>
        </is>
      </c>
      <c r="H833" t="inlineStr">
        <is>
          <t>כלב</t>
        </is>
      </c>
      <c r="I833" t="inlineStr">
        <is>
          <t>עד 7 ק"ג</t>
        </is>
      </c>
      <c r="J833" t="inlineStr">
        <is>
          <t>2026-06</t>
        </is>
      </c>
      <c r="K833" t="n">
        <v>172.59</v>
      </c>
      <c r="L833" t="n">
        <v>203.66</v>
      </c>
      <c r="M833">
        <f>הגדרות!B10</f>
        <v/>
      </c>
      <c r="N833">
        <f>K833*(1-M833/100)*1.18</f>
        <v/>
      </c>
      <c r="O833">
        <f>הגדרות!C10</f>
        <v/>
      </c>
      <c r="P833">
        <f>הגדרות!D10</f>
        <v/>
      </c>
      <c r="Q833">
        <f>N833*(1+O833/100)+P833</f>
        <v/>
      </c>
    </row>
    <row r="834">
      <c r="A834" t="inlineStr">
        <is>
          <t>פורינה (חנויות)</t>
        </is>
      </c>
      <c r="B834" t="inlineStr">
        <is>
          <t>פרו פלאן סלמון SENSITIVE לכלב בוגר מגזע קטן</t>
        </is>
      </c>
      <c r="C834" t="inlineStr">
        <is>
          <t>פרו פלאן כלב יבש PRO PLAN DRY DOG</t>
        </is>
      </c>
      <c r="D834" t="inlineStr">
        <is>
          <t>12392233</t>
        </is>
      </c>
      <c r="E834" t="inlineStr">
        <is>
          <t>רגיל</t>
        </is>
      </c>
      <c r="F834" t="inlineStr">
        <is>
          <t>יבש</t>
        </is>
      </c>
      <c r="G834" t="inlineStr">
        <is>
          <t>בוגר</t>
        </is>
      </c>
      <c r="H834" t="inlineStr">
        <is>
          <t>כלב</t>
        </is>
      </c>
      <c r="I834" t="inlineStr">
        <is>
          <t>עד 7 ק"ג</t>
        </is>
      </c>
      <c r="J834" t="inlineStr">
        <is>
          <t>2026-06</t>
        </is>
      </c>
      <c r="K834" t="n">
        <v>192.9</v>
      </c>
      <c r="L834" t="n">
        <v>227.62</v>
      </c>
      <c r="M834">
        <f>הגדרות!B10</f>
        <v/>
      </c>
      <c r="N834">
        <f>K834*(1-M834/100)*1.18</f>
        <v/>
      </c>
      <c r="O834">
        <f>הגדרות!C10</f>
        <v/>
      </c>
      <c r="P834">
        <f>הגדרות!D10</f>
        <v/>
      </c>
      <c r="Q834">
        <f>N834*(1+O834/100)+P834</f>
        <v/>
      </c>
    </row>
    <row r="835">
      <c r="A835" t="inlineStr">
        <is>
          <t>פורינה (חנויות)</t>
        </is>
      </c>
      <c r="B835" t="inlineStr">
        <is>
          <t>פרו פלאן כלב בוגר גזע קטן SENSITIVE SKIN סלמון</t>
        </is>
      </c>
      <c r="C835" t="inlineStr">
        <is>
          <t>פרו פלאן כלב יבש PRO PLAN DRY DOG</t>
        </is>
      </c>
      <c r="D835" t="inlineStr">
        <is>
          <t>12278506</t>
        </is>
      </c>
      <c r="E835" t="inlineStr">
        <is>
          <t>רגיל</t>
        </is>
      </c>
      <c r="F835" t="inlineStr">
        <is>
          <t>יבש</t>
        </is>
      </c>
      <c r="G835" t="inlineStr">
        <is>
          <t>בוגר</t>
        </is>
      </c>
      <c r="H835" t="inlineStr">
        <is>
          <t>כלב</t>
        </is>
      </c>
      <c r="I835" t="inlineStr">
        <is>
          <t>עד 7 ק"ג</t>
        </is>
      </c>
      <c r="J835" t="inlineStr">
        <is>
          <t>2026-06</t>
        </is>
      </c>
      <c r="K835" t="n">
        <v>109.17</v>
      </c>
      <c r="L835" t="n">
        <v>128.82</v>
      </c>
      <c r="M835">
        <f>הגדרות!B10</f>
        <v/>
      </c>
      <c r="N835">
        <f>K835*(1-M835/100)*1.18</f>
        <v/>
      </c>
      <c r="O835">
        <f>הגדרות!C10</f>
        <v/>
      </c>
      <c r="P835">
        <f>הגדרות!D10</f>
        <v/>
      </c>
      <c r="Q835">
        <f>N835*(1+O835/100)+P835</f>
        <v/>
      </c>
    </row>
    <row r="836">
      <c r="A836" t="inlineStr">
        <is>
          <t>פורינה (חנויות)</t>
        </is>
      </c>
      <c r="B836" t="inlineStr">
        <is>
          <t>פרו פלאן כלב בוגר גזע גדול EVERYDAY NUTRITION אתלטי עוף</t>
        </is>
      </c>
      <c r="C836" t="inlineStr">
        <is>
          <t>פרו פלאן כלב יבש PRO PLAN DRY DOG</t>
        </is>
      </c>
      <c r="D836" t="inlineStr">
        <is>
          <t>12375561</t>
        </is>
      </c>
      <c r="E836" t="inlineStr">
        <is>
          <t>רגיל</t>
        </is>
      </c>
      <c r="F836" t="inlineStr">
        <is>
          <t>יבש</t>
        </is>
      </c>
      <c r="G836" t="inlineStr">
        <is>
          <t>בוגר</t>
        </is>
      </c>
      <c r="H836" t="inlineStr">
        <is>
          <t>כלב</t>
        </is>
      </c>
      <c r="I836" t="inlineStr">
        <is>
          <t>מעל 7 ק"ג</t>
        </is>
      </c>
      <c r="J836" t="inlineStr">
        <is>
          <t>2026-06</t>
        </is>
      </c>
      <c r="K836" t="n">
        <v>258.06</v>
      </c>
      <c r="L836" t="n">
        <v>304.51</v>
      </c>
      <c r="M836">
        <f>הגדרות!B10</f>
        <v/>
      </c>
      <c r="N836">
        <f>K836*(1-M836/100)*1.18</f>
        <v/>
      </c>
      <c r="O836">
        <f>הגדרות!C10</f>
        <v/>
      </c>
      <c r="P836">
        <f>הגדרות!D10</f>
        <v/>
      </c>
      <c r="Q836">
        <f>N836*(1+O836/100)+P836</f>
        <v/>
      </c>
    </row>
    <row r="837">
      <c r="A837" t="inlineStr">
        <is>
          <t>פורינה (חנויות)</t>
        </is>
      </c>
      <c r="B837" t="inlineStr">
        <is>
          <t>פרו פלאן כלב בוגר PERFORMANCE עוף</t>
        </is>
      </c>
      <c r="C837" t="inlineStr">
        <is>
          <t>פרו פלאן כלב יבש PRO PLAN DRY DOG</t>
        </is>
      </c>
      <c r="D837" t="inlineStr">
        <is>
          <t>12375562</t>
        </is>
      </c>
      <c r="E837" t="inlineStr">
        <is>
          <t>רגיל</t>
        </is>
      </c>
      <c r="F837" t="inlineStr">
        <is>
          <t>יבש</t>
        </is>
      </c>
      <c r="G837" t="inlineStr">
        <is>
          <t>בוגר</t>
        </is>
      </c>
      <c r="H837" t="inlineStr">
        <is>
          <t>כלב</t>
        </is>
      </c>
      <c r="I837" t="inlineStr"/>
      <c r="J837" t="inlineStr">
        <is>
          <t>2026-06</t>
        </is>
      </c>
      <c r="K837" t="n">
        <v>259.26</v>
      </c>
      <c r="L837" t="n">
        <v>305.93</v>
      </c>
      <c r="M837">
        <f>הגדרות!B10</f>
        <v/>
      </c>
      <c r="N837">
        <f>K837*(1-M837/100)*1.18</f>
        <v/>
      </c>
      <c r="O837">
        <f>הגדרות!C10</f>
        <v/>
      </c>
      <c r="P837">
        <f>הגדרות!D10</f>
        <v/>
      </c>
      <c r="Q837">
        <f>N837*(1+O837/100)+P837</f>
        <v/>
      </c>
    </row>
    <row r="838">
      <c r="A838" t="inlineStr">
        <is>
          <t>פורינה (חנויות)</t>
        </is>
      </c>
      <c r="B838" t="inlineStr">
        <is>
          <t>פרו פלאן כלב גור גזע קטן HEALTHY START עוף</t>
        </is>
      </c>
      <c r="C838" t="inlineStr">
        <is>
          <t>פרו פלאן כלב יבש PRO PLAN DRY DOG</t>
        </is>
      </c>
      <c r="D838" t="inlineStr">
        <is>
          <t>12278502</t>
        </is>
      </c>
      <c r="E838" t="inlineStr">
        <is>
          <t>רגיל</t>
        </is>
      </c>
      <c r="F838" t="inlineStr">
        <is>
          <t>יבש</t>
        </is>
      </c>
      <c r="G838" t="inlineStr">
        <is>
          <t>גורים</t>
        </is>
      </c>
      <c r="H838" t="inlineStr">
        <is>
          <t>כלב</t>
        </is>
      </c>
      <c r="I838" t="inlineStr">
        <is>
          <t>עד 7 ק"ג</t>
        </is>
      </c>
      <c r="J838" t="inlineStr">
        <is>
          <t>2026-06</t>
        </is>
      </c>
      <c r="K838" t="n">
        <v>99.31</v>
      </c>
      <c r="L838" t="n">
        <v>117.19</v>
      </c>
      <c r="M838">
        <f>הגדרות!B10</f>
        <v/>
      </c>
      <c r="N838">
        <f>K838*(1-M838/100)*1.18</f>
        <v/>
      </c>
      <c r="O838">
        <f>הגדרות!C10</f>
        <v/>
      </c>
      <c r="P838">
        <f>הגדרות!D10</f>
        <v/>
      </c>
      <c r="Q838">
        <f>N838*(1+O838/100)+P838</f>
        <v/>
      </c>
    </row>
    <row r="839">
      <c r="A839" t="inlineStr">
        <is>
          <t>פורינה (חנויות)</t>
        </is>
      </c>
      <c r="B839" t="inlineStr">
        <is>
          <t>פרו פלאן כלב גור גזע קטן SENSITIVE סלמון</t>
        </is>
      </c>
      <c r="C839" t="inlineStr">
        <is>
          <t>פרו פלאן כלב יבש PRO PLAN DRY DOG</t>
        </is>
      </c>
      <c r="D839" t="inlineStr">
        <is>
          <t>12272619</t>
        </is>
      </c>
      <c r="E839" t="inlineStr">
        <is>
          <t>רגיל</t>
        </is>
      </c>
      <c r="F839" t="inlineStr">
        <is>
          <t>יבש</t>
        </is>
      </c>
      <c r="G839" t="inlineStr">
        <is>
          <t>גורים</t>
        </is>
      </c>
      <c r="H839" t="inlineStr">
        <is>
          <t>כלב</t>
        </is>
      </c>
      <c r="I839" t="inlineStr">
        <is>
          <t>עד 7 ק"ג</t>
        </is>
      </c>
      <c r="J839" t="inlineStr">
        <is>
          <t>2026-06</t>
        </is>
      </c>
      <c r="K839" t="n">
        <v>107.26</v>
      </c>
      <c r="L839" t="n">
        <v>126.57</v>
      </c>
      <c r="M839">
        <f>הגדרות!B10</f>
        <v/>
      </c>
      <c r="N839">
        <f>K839*(1-M839/100)*1.18</f>
        <v/>
      </c>
      <c r="O839">
        <f>הגדרות!C10</f>
        <v/>
      </c>
      <c r="P839">
        <f>הגדרות!D10</f>
        <v/>
      </c>
      <c r="Q839">
        <f>N839*(1+O839/100)+P839</f>
        <v/>
      </c>
    </row>
    <row r="840">
      <c r="A840" t="inlineStr">
        <is>
          <t>פורינה (חנויות)</t>
        </is>
      </c>
      <c r="B840" t="inlineStr">
        <is>
          <t>פרו פלאן כלב סניור AGE DEFENCE גזע קטן 9+ עוף</t>
        </is>
      </c>
      <c r="C840" t="inlineStr">
        <is>
          <t>פרו פלאן כלב יבש PRO PLAN DRY DOG</t>
        </is>
      </c>
      <c r="D840" t="inlineStr">
        <is>
          <t>12278997</t>
        </is>
      </c>
      <c r="E840" t="inlineStr">
        <is>
          <t>רגיל</t>
        </is>
      </c>
      <c r="F840" t="inlineStr">
        <is>
          <t>יבש</t>
        </is>
      </c>
      <c r="G840" t="inlineStr">
        <is>
          <t>מבוגר</t>
        </is>
      </c>
      <c r="H840" t="inlineStr">
        <is>
          <t>כלב</t>
        </is>
      </c>
      <c r="I840" t="inlineStr">
        <is>
          <t>עד 7 ק"ג</t>
        </is>
      </c>
      <c r="J840" t="inlineStr">
        <is>
          <t>2026-06</t>
        </is>
      </c>
      <c r="K840" t="n">
        <v>99.31</v>
      </c>
      <c r="L840" t="n">
        <v>117.19</v>
      </c>
      <c r="M840">
        <f>הגדרות!B10</f>
        <v/>
      </c>
      <c r="N840">
        <f>K840*(1-M840/100)*1.18</f>
        <v/>
      </c>
      <c r="O840">
        <f>הגדרות!C10</f>
        <v/>
      </c>
      <c r="P840">
        <f>הגדרות!D10</f>
        <v/>
      </c>
      <c r="Q840">
        <f>N840*(1+O840/100)+P840</f>
        <v/>
      </c>
    </row>
    <row r="841">
      <c r="A841" t="inlineStr">
        <is>
          <t>פורינה (חנויות)</t>
        </is>
      </c>
      <c r="B841" t="inlineStr">
        <is>
          <t>פרו פלאן כלב בוגר גזע גדול SENSETIVE DIGESTION אתלטי כבש לרגישות במערכת העיכול</t>
        </is>
      </c>
      <c r="C841" t="inlineStr">
        <is>
          <t>פרו פלאן כלב יבש PRO PLAN DRY DOG</t>
        </is>
      </c>
      <c r="D841" t="inlineStr">
        <is>
          <t>12366945</t>
        </is>
      </c>
      <c r="E841" t="inlineStr">
        <is>
          <t>רגיל</t>
        </is>
      </c>
      <c r="F841" t="inlineStr">
        <is>
          <t>יבש</t>
        </is>
      </c>
      <c r="G841" t="inlineStr">
        <is>
          <t>בוגר</t>
        </is>
      </c>
      <c r="H841" t="inlineStr">
        <is>
          <t>כלב</t>
        </is>
      </c>
      <c r="I841" t="inlineStr">
        <is>
          <t>מעל 7 ק"ג</t>
        </is>
      </c>
      <c r="J841" t="inlineStr">
        <is>
          <t>2026-06</t>
        </is>
      </c>
      <c r="K841" t="n">
        <v>285.43</v>
      </c>
      <c r="L841" t="n">
        <v>336.81</v>
      </c>
      <c r="M841">
        <f>הגדרות!B10</f>
        <v/>
      </c>
      <c r="N841">
        <f>K841*(1-M841/100)*1.18</f>
        <v/>
      </c>
      <c r="O841">
        <f>הגדרות!C10</f>
        <v/>
      </c>
      <c r="P841">
        <f>הגדרות!D10</f>
        <v/>
      </c>
      <c r="Q841">
        <f>N841*(1+O841/100)+P841</f>
        <v/>
      </c>
    </row>
    <row r="842">
      <c r="A842" t="inlineStr">
        <is>
          <t>פורינה (חנויות)</t>
        </is>
      </c>
      <c r="B842" t="inlineStr">
        <is>
          <t>פרו פלאן כלב סניור מדיום/לארג' AGE DEFENCE +7 עוף</t>
        </is>
      </c>
      <c r="C842" t="inlineStr">
        <is>
          <t>פרו פלאן כלב יבש PRO PLAN DRY DOG</t>
        </is>
      </c>
      <c r="D842" t="inlineStr">
        <is>
          <t>12392237</t>
        </is>
      </c>
      <c r="E842" t="inlineStr">
        <is>
          <t>רגיל</t>
        </is>
      </c>
      <c r="F842" t="inlineStr">
        <is>
          <t>יבש</t>
        </is>
      </c>
      <c r="G842" t="inlineStr">
        <is>
          <t>מבוגר</t>
        </is>
      </c>
      <c r="H842" t="inlineStr">
        <is>
          <t>כלב</t>
        </is>
      </c>
      <c r="I842" t="inlineStr">
        <is>
          <t>מעל 7 ק"ג</t>
        </is>
      </c>
      <c r="J842" t="inlineStr">
        <is>
          <t>2026-06</t>
        </is>
      </c>
      <c r="K842" t="n">
        <v>298.52</v>
      </c>
      <c r="L842" t="n">
        <v>352.25</v>
      </c>
      <c r="M842">
        <f>הגדרות!B10</f>
        <v/>
      </c>
      <c r="N842">
        <f>K842*(1-M842/100)*1.18</f>
        <v/>
      </c>
      <c r="O842">
        <f>הגדרות!C10</f>
        <v/>
      </c>
      <c r="P842">
        <f>הגדרות!D10</f>
        <v/>
      </c>
      <c r="Q842">
        <f>N842*(1+O842/100)+P842</f>
        <v/>
      </c>
    </row>
    <row r="843">
      <c r="A843" t="inlineStr">
        <is>
          <t>פורינה (חנויות)</t>
        </is>
      </c>
      <c r="B843" t="inlineStr">
        <is>
          <t>פרו פלאן כלב סניור מדיום SENSITIVE SKIN סנסטיב סלמון לעור רגיש</t>
        </is>
      </c>
      <c r="C843" t="inlineStr">
        <is>
          <t>פרו פלאן כלב יבש PRO PLAN DRY DOG</t>
        </is>
      </c>
      <c r="D843" t="inlineStr">
        <is>
          <t>12392238</t>
        </is>
      </c>
      <c r="E843" t="inlineStr">
        <is>
          <t>רגיל</t>
        </is>
      </c>
      <c r="F843" t="inlineStr">
        <is>
          <t>יבש</t>
        </is>
      </c>
      <c r="G843" t="inlineStr">
        <is>
          <t>מבוגר</t>
        </is>
      </c>
      <c r="H843" t="inlineStr">
        <is>
          <t>כלב</t>
        </is>
      </c>
      <c r="I843" t="inlineStr">
        <is>
          <t>מעל 7 ק"ג</t>
        </is>
      </c>
      <c r="J843" t="inlineStr">
        <is>
          <t>2026-06</t>
        </is>
      </c>
      <c r="K843" t="n">
        <v>311.37</v>
      </c>
      <c r="L843" t="n">
        <v>367.42</v>
      </c>
      <c r="M843">
        <f>הגדרות!B10</f>
        <v/>
      </c>
      <c r="N843">
        <f>K843*(1-M843/100)*1.18</f>
        <v/>
      </c>
      <c r="O843">
        <f>הגדרות!C10</f>
        <v/>
      </c>
      <c r="P843">
        <f>הגדרות!D10</f>
        <v/>
      </c>
      <c r="Q843">
        <f>N843*(1+O843/100)+P843</f>
        <v/>
      </c>
    </row>
    <row r="844">
      <c r="A844" t="inlineStr">
        <is>
          <t>פורינה (חנויות)</t>
        </is>
      </c>
      <c r="B844" t="inlineStr">
        <is>
          <t>פרו פלאן SENSITIVE DIGESTION לגזע קטן כבש 3*4 קג</t>
        </is>
      </c>
      <c r="C844" t="inlineStr">
        <is>
          <t>פרו פלאן כלב יבש PRO PLAN DRY DOG</t>
        </is>
      </c>
      <c r="D844" t="inlineStr">
        <is>
          <t>12377367</t>
        </is>
      </c>
      <c r="E844" t="inlineStr">
        <is>
          <t>רגיל</t>
        </is>
      </c>
      <c r="F844" t="inlineStr">
        <is>
          <t>יבש</t>
        </is>
      </c>
      <c r="G844" t="inlineStr"/>
      <c r="H844" t="inlineStr">
        <is>
          <t>כלב</t>
        </is>
      </c>
      <c r="I844" t="inlineStr">
        <is>
          <t>עד 7 ק"ג</t>
        </is>
      </c>
      <c r="J844" t="inlineStr">
        <is>
          <t>2026-06</t>
        </is>
      </c>
      <c r="K844" t="n">
        <v>109.17</v>
      </c>
      <c r="L844" t="n">
        <v>128.82</v>
      </c>
      <c r="M844">
        <f>הגדרות!B10</f>
        <v/>
      </c>
      <c r="N844">
        <f>K844*(1-M844/100)*1.18</f>
        <v/>
      </c>
      <c r="O844">
        <f>הגדרות!C10</f>
        <v/>
      </c>
      <c r="P844">
        <f>הגדרות!D10</f>
        <v/>
      </c>
      <c r="Q844">
        <f>N844*(1+O844/100)+P844</f>
        <v/>
      </c>
    </row>
    <row r="845">
      <c r="A845" t="inlineStr">
        <is>
          <t>פורינה (חנויות)</t>
        </is>
      </c>
      <c r="B845" t="inlineStr">
        <is>
          <t>פרו פלאן פאוצ' HYDRA CARE לחתול 75*10 גרם</t>
        </is>
      </c>
      <c r="C845" t="inlineStr">
        <is>
          <t>פרו פלאן "יעודי" חתול PPVD CAT</t>
        </is>
      </c>
      <c r="D845" t="inlineStr">
        <is>
          <t>12619091</t>
        </is>
      </c>
      <c r="E845" t="inlineStr">
        <is>
          <t>רגיל</t>
        </is>
      </c>
      <c r="F845" t="inlineStr">
        <is>
          <t>יבש</t>
        </is>
      </c>
      <c r="G845" t="inlineStr"/>
      <c r="H845" t="inlineStr">
        <is>
          <t>חתול</t>
        </is>
      </c>
      <c r="I845" t="inlineStr"/>
      <c r="J845" t="inlineStr">
        <is>
          <t>2026-06</t>
        </is>
      </c>
      <c r="K845" t="n">
        <v>5.92</v>
      </c>
      <c r="L845" t="n">
        <v>6.99</v>
      </c>
      <c r="M845">
        <f>הגדרות!B10</f>
        <v/>
      </c>
      <c r="N845">
        <f>K845*(1-M845/100)*1.18</f>
        <v/>
      </c>
      <c r="O845">
        <f>הגדרות!C10</f>
        <v/>
      </c>
      <c r="P845">
        <f>הגדרות!D10</f>
        <v/>
      </c>
      <c r="Q845">
        <f>N845*(1+O845/100)+P845</f>
        <v/>
      </c>
    </row>
    <row r="846">
      <c r="A846" t="inlineStr">
        <is>
          <t>פורינה (חנויות)</t>
        </is>
      </c>
      <c r="B846" t="inlineStr">
        <is>
          <t>פרו פלאן "מזון יעודי" לחתול DM - לסיוע בטיפול בסוכרת</t>
        </is>
      </c>
      <c r="C846" t="inlineStr">
        <is>
          <t>פרו פלאן "יעודי" חתול PPVD CAT</t>
        </is>
      </c>
      <c r="D846" t="inlineStr">
        <is>
          <t>12483229</t>
        </is>
      </c>
      <c r="E846" t="inlineStr">
        <is>
          <t>רגיל</t>
        </is>
      </c>
      <c r="F846" t="inlineStr">
        <is>
          <t>יבש</t>
        </is>
      </c>
      <c r="G846" t="inlineStr"/>
      <c r="H846" t="inlineStr">
        <is>
          <t>חתול</t>
        </is>
      </c>
      <c r="I846" t="inlineStr"/>
      <c r="J846" t="inlineStr">
        <is>
          <t>2026-06</t>
        </is>
      </c>
      <c r="K846" t="n">
        <v>76.06999999999999</v>
      </c>
      <c r="L846" t="n">
        <v>89.76000000000001</v>
      </c>
      <c r="M846">
        <f>הגדרות!B10</f>
        <v/>
      </c>
      <c r="N846">
        <f>K846*(1-M846/100)*1.18</f>
        <v/>
      </c>
      <c r="O846">
        <f>הגדרות!C10</f>
        <v/>
      </c>
      <c r="P846">
        <f>הגדרות!D10</f>
        <v/>
      </c>
      <c r="Q846">
        <f>N846*(1+O846/100)+P846</f>
        <v/>
      </c>
    </row>
    <row r="847">
      <c r="A847" t="inlineStr">
        <is>
          <t>פורינה (חנויות)</t>
        </is>
      </c>
      <c r="B847" t="inlineStr">
        <is>
          <t>פרו פלאן "מזון יעודי" לחתול DM - לסיוע בטיפול בסוכרת</t>
        </is>
      </c>
      <c r="C847" t="inlineStr">
        <is>
          <t>פרו פלאן "יעודי" חתול PPVD CAT</t>
        </is>
      </c>
      <c r="D847" t="inlineStr">
        <is>
          <t>12500438</t>
        </is>
      </c>
      <c r="E847" t="inlineStr">
        <is>
          <t>רגיל</t>
        </is>
      </c>
      <c r="F847" t="inlineStr">
        <is>
          <t>יבש</t>
        </is>
      </c>
      <c r="G847" t="inlineStr"/>
      <c r="H847" t="inlineStr">
        <is>
          <t>חתול</t>
        </is>
      </c>
      <c r="I847" t="inlineStr"/>
      <c r="J847" t="inlineStr">
        <is>
          <t>2026-06</t>
        </is>
      </c>
      <c r="K847" t="n">
        <v>241.53</v>
      </c>
      <c r="L847" t="n">
        <v>285.01</v>
      </c>
      <c r="M847">
        <f>הגדרות!B10</f>
        <v/>
      </c>
      <c r="N847">
        <f>K847*(1-M847/100)*1.18</f>
        <v/>
      </c>
      <c r="O847">
        <f>הגדרות!C10</f>
        <v/>
      </c>
      <c r="P847">
        <f>הגדרות!D10</f>
        <v/>
      </c>
      <c r="Q847">
        <f>N847*(1+O847/100)+P847</f>
        <v/>
      </c>
    </row>
    <row r="848">
      <c r="A848" t="inlineStr">
        <is>
          <t>פורינה (חנויות)</t>
        </is>
      </c>
      <c r="B848" t="inlineStr">
        <is>
          <t>פרו פלאן "מזון יעודי" לחתול NF לטיפול במחלות כליה</t>
        </is>
      </c>
      <c r="C848" t="inlineStr">
        <is>
          <t>פרו פלאן "יעודי" חתול PPVD CAT</t>
        </is>
      </c>
      <c r="D848" t="inlineStr">
        <is>
          <t>12499695</t>
        </is>
      </c>
      <c r="E848" t="inlineStr">
        <is>
          <t>רגיל</t>
        </is>
      </c>
      <c r="F848" t="inlineStr">
        <is>
          <t>יבש</t>
        </is>
      </c>
      <c r="G848" t="inlineStr"/>
      <c r="H848" t="inlineStr">
        <is>
          <t>חתול</t>
        </is>
      </c>
      <c r="I848" t="inlineStr"/>
      <c r="J848" t="inlineStr">
        <is>
          <t>2026-06</t>
        </is>
      </c>
      <c r="K848" t="n">
        <v>89.95</v>
      </c>
      <c r="L848" t="n">
        <v>106.14</v>
      </c>
      <c r="M848">
        <f>הגדרות!B10</f>
        <v/>
      </c>
      <c r="N848">
        <f>K848*(1-M848/100)*1.18</f>
        <v/>
      </c>
      <c r="O848">
        <f>הגדרות!C10</f>
        <v/>
      </c>
      <c r="P848">
        <f>הגדרות!D10</f>
        <v/>
      </c>
      <c r="Q848">
        <f>N848*(1+O848/100)+P848</f>
        <v/>
      </c>
    </row>
    <row r="849">
      <c r="A849" t="inlineStr">
        <is>
          <t>פורינה (חנויות)</t>
        </is>
      </c>
      <c r="B849" t="inlineStr">
        <is>
          <t>פרו פלאן "מזון יעודי" לחתול NF - לטיפול במחלות כליה</t>
        </is>
      </c>
      <c r="C849" t="inlineStr">
        <is>
          <t>פרו פלאן "יעודי" חתול PPVD CAT</t>
        </is>
      </c>
      <c r="D849" t="inlineStr">
        <is>
          <t>12499857</t>
        </is>
      </c>
      <c r="E849" t="inlineStr">
        <is>
          <t>רגיל</t>
        </is>
      </c>
      <c r="F849" t="inlineStr">
        <is>
          <t>יבש</t>
        </is>
      </c>
      <c r="G849" t="inlineStr"/>
      <c r="H849" t="inlineStr">
        <is>
          <t>חתול</t>
        </is>
      </c>
      <c r="I849" t="inlineStr"/>
      <c r="J849" t="inlineStr">
        <is>
          <t>2026-06</t>
        </is>
      </c>
      <c r="K849" t="n">
        <v>187.43</v>
      </c>
      <c r="L849" t="n">
        <v>221.17</v>
      </c>
      <c r="M849">
        <f>הגדרות!B10</f>
        <v/>
      </c>
      <c r="N849">
        <f>K849*(1-M849/100)*1.18</f>
        <v/>
      </c>
      <c r="O849">
        <f>הגדרות!C10</f>
        <v/>
      </c>
      <c r="P849">
        <f>הגדרות!D10</f>
        <v/>
      </c>
      <c r="Q849">
        <f>N849*(1+O849/100)+P849</f>
        <v/>
      </c>
    </row>
    <row r="850">
      <c r="A850" t="inlineStr">
        <is>
          <t>פורינה (חנויות)</t>
        </is>
      </c>
      <c r="B850" t="inlineStr">
        <is>
          <t>פרו פלאן "מזון יעודי" לחתול HA לסיוע במניעת אלרגיה למזון</t>
        </is>
      </c>
      <c r="C850" t="inlineStr">
        <is>
          <t>פרו פלאן "יעודי" חתול PPVD CAT</t>
        </is>
      </c>
      <c r="D850" t="inlineStr">
        <is>
          <t>12485187</t>
        </is>
      </c>
      <c r="E850" t="inlineStr">
        <is>
          <t>רגיל</t>
        </is>
      </c>
      <c r="F850" t="inlineStr">
        <is>
          <t>יבש</t>
        </is>
      </c>
      <c r="G850" t="inlineStr"/>
      <c r="H850" t="inlineStr">
        <is>
          <t>חתול</t>
        </is>
      </c>
      <c r="I850" t="inlineStr"/>
      <c r="J850" t="inlineStr">
        <is>
          <t>2026-06</t>
        </is>
      </c>
      <c r="K850" t="n">
        <v>104.48</v>
      </c>
      <c r="L850" t="n">
        <v>123.29</v>
      </c>
      <c r="M850">
        <f>הגדרות!B10</f>
        <v/>
      </c>
      <c r="N850">
        <f>K850*(1-M850/100)*1.18</f>
        <v/>
      </c>
      <c r="O850">
        <f>הגדרות!C10</f>
        <v/>
      </c>
      <c r="P850">
        <f>הגדרות!D10</f>
        <v/>
      </c>
      <c r="Q850">
        <f>N850*(1+O850/100)+P850</f>
        <v/>
      </c>
    </row>
    <row r="851">
      <c r="A851" t="inlineStr">
        <is>
          <t>פורינה (חנויות)</t>
        </is>
      </c>
      <c r="B851" t="inlineStr">
        <is>
          <t>פרו פלאן "מזון יעודי" לחתול HA לסיוע במניעת אלרגיה למזון</t>
        </is>
      </c>
      <c r="C851" t="inlineStr">
        <is>
          <t>פרו פלאן "יעודי" חתול PPVD CAT</t>
        </is>
      </c>
      <c r="D851" t="inlineStr">
        <is>
          <t>12619882</t>
        </is>
      </c>
      <c r="E851" t="inlineStr">
        <is>
          <t>רגיל</t>
        </is>
      </c>
      <c r="F851" t="inlineStr">
        <is>
          <t>יבש</t>
        </is>
      </c>
      <c r="G851" t="inlineStr"/>
      <c r="H851" t="inlineStr">
        <is>
          <t>חתול</t>
        </is>
      </c>
      <c r="I851" t="inlineStr"/>
      <c r="J851" t="inlineStr">
        <is>
          <t>2026-06</t>
        </is>
      </c>
      <c r="K851" t="n">
        <v>247.74</v>
      </c>
      <c r="L851" t="n">
        <v>292.33</v>
      </c>
      <c r="M851">
        <f>הגדרות!B10</f>
        <v/>
      </c>
      <c r="N851">
        <f>K851*(1-M851/100)*1.18</f>
        <v/>
      </c>
      <c r="O851">
        <f>הגדרות!C10</f>
        <v/>
      </c>
      <c r="P851">
        <f>הגדרות!D10</f>
        <v/>
      </c>
      <c r="Q851">
        <f>N851*(1+O851/100)+P851</f>
        <v/>
      </c>
    </row>
    <row r="852">
      <c r="A852" t="inlineStr">
        <is>
          <t>פורינה (חנויות)</t>
        </is>
      </c>
      <c r="B852" t="inlineStr">
        <is>
          <t>פרו פלאן "מזון יעודי" לחתול דגי ים UR למניעת היווצרות קריסטלים בדרכי השתן</t>
        </is>
      </c>
      <c r="C852" t="inlineStr">
        <is>
          <t>פרו פלאן "יעודי" חתול PPVD CAT</t>
        </is>
      </c>
      <c r="D852" t="inlineStr">
        <is>
          <t>12483400</t>
        </is>
      </c>
      <c r="E852" t="inlineStr">
        <is>
          <t>רגיל</t>
        </is>
      </c>
      <c r="F852" t="inlineStr">
        <is>
          <t>יבש</t>
        </is>
      </c>
      <c r="G852" t="inlineStr"/>
      <c r="H852" t="inlineStr">
        <is>
          <t>חתול</t>
        </is>
      </c>
      <c r="I852" t="inlineStr"/>
      <c r="J852" t="inlineStr">
        <is>
          <t>2026-06</t>
        </is>
      </c>
      <c r="K852" t="n">
        <v>79.08</v>
      </c>
      <c r="L852" t="n">
        <v>93.31</v>
      </c>
      <c r="M852">
        <f>הגדרות!B10</f>
        <v/>
      </c>
      <c r="N852">
        <f>K852*(1-M852/100)*1.18</f>
        <v/>
      </c>
      <c r="O852">
        <f>הגדרות!C10</f>
        <v/>
      </c>
      <c r="P852">
        <f>הגדרות!D10</f>
        <v/>
      </c>
      <c r="Q852">
        <f>N852*(1+O852/100)+P852</f>
        <v/>
      </c>
    </row>
    <row r="853">
      <c r="A853" t="inlineStr">
        <is>
          <t>פורינה (חנויות)</t>
        </is>
      </c>
      <c r="B853" t="inlineStr">
        <is>
          <t>פרו פלאן "מזון יעודי" לחתול דגי ים UR - למניעת היווצרות קריסטלים בדרכי השתן</t>
        </is>
      </c>
      <c r="C853" t="inlineStr">
        <is>
          <t>פרו פלאן "יעודי" חתול PPVD CAT</t>
        </is>
      </c>
      <c r="D853" t="inlineStr">
        <is>
          <t>12484139</t>
        </is>
      </c>
      <c r="E853" t="inlineStr">
        <is>
          <t>רגיל</t>
        </is>
      </c>
      <c r="F853" t="inlineStr">
        <is>
          <t>יבש</t>
        </is>
      </c>
      <c r="G853" t="inlineStr"/>
      <c r="H853" t="inlineStr">
        <is>
          <t>חתול</t>
        </is>
      </c>
      <c r="I853" t="inlineStr"/>
      <c r="J853" t="inlineStr">
        <is>
          <t>2026-06</t>
        </is>
      </c>
      <c r="K853" t="n">
        <v>187.43</v>
      </c>
      <c r="L853" t="n">
        <v>221.17</v>
      </c>
      <c r="M853">
        <f>הגדרות!B10</f>
        <v/>
      </c>
      <c r="N853">
        <f>K853*(1-M853/100)*1.18</f>
        <v/>
      </c>
      <c r="O853">
        <f>הגדרות!C10</f>
        <v/>
      </c>
      <c r="P853">
        <f>הגדרות!D10</f>
        <v/>
      </c>
      <c r="Q853">
        <f>N853*(1+O853/100)+P853</f>
        <v/>
      </c>
    </row>
    <row r="854">
      <c r="A854" t="inlineStr">
        <is>
          <t>פורינה (חנויות)</t>
        </is>
      </c>
      <c r="B854" t="inlineStr">
        <is>
          <t>פרו פלאן "מזון יעודי" לחתול OM - לירידה ושמירה על משקל תקין</t>
        </is>
      </c>
      <c r="C854" t="inlineStr">
        <is>
          <t>פרו פלאן "יעודי" חתול PPVD CAT</t>
        </is>
      </c>
      <c r="D854" t="inlineStr">
        <is>
          <t>12484875</t>
        </is>
      </c>
      <c r="E854" t="inlineStr">
        <is>
          <t>רגיל</t>
        </is>
      </c>
      <c r="F854" t="inlineStr">
        <is>
          <t>יבש</t>
        </is>
      </c>
      <c r="G854" t="inlineStr"/>
      <c r="H854" t="inlineStr">
        <is>
          <t>חתול</t>
        </is>
      </c>
      <c r="I854" t="inlineStr"/>
      <c r="J854" t="inlineStr">
        <is>
          <t>2026-06</t>
        </is>
      </c>
      <c r="K854" t="n">
        <v>198.45</v>
      </c>
      <c r="L854" t="n">
        <v>234.17</v>
      </c>
      <c r="M854">
        <f>הגדרות!B10</f>
        <v/>
      </c>
      <c r="N854">
        <f>K854*(1-M854/100)*1.18</f>
        <v/>
      </c>
      <c r="O854">
        <f>הגדרות!C10</f>
        <v/>
      </c>
      <c r="P854">
        <f>הגדרות!D10</f>
        <v/>
      </c>
      <c r="Q854">
        <f>N854*(1+O854/100)+P854</f>
        <v/>
      </c>
    </row>
    <row r="855">
      <c r="A855" t="inlineStr">
        <is>
          <t>פורינה (חנויות)</t>
        </is>
      </c>
      <c r="B855" t="inlineStr">
        <is>
          <t>פרו פלאן "מזון יעודי" לחתול EN - לתמיכה במערכת העיכול</t>
        </is>
      </c>
      <c r="C855" t="inlineStr">
        <is>
          <t>פרו פלאן "יעודי" חתול PPVD CAT</t>
        </is>
      </c>
      <c r="D855" t="inlineStr">
        <is>
          <t>12483237</t>
        </is>
      </c>
      <c r="E855" t="inlineStr">
        <is>
          <t>רגיל</t>
        </is>
      </c>
      <c r="F855" t="inlineStr">
        <is>
          <t>יבש</t>
        </is>
      </c>
      <c r="G855" t="inlineStr"/>
      <c r="H855" t="inlineStr">
        <is>
          <t>חתול</t>
        </is>
      </c>
      <c r="I855" t="inlineStr"/>
      <c r="J855" t="inlineStr">
        <is>
          <t>2026-06</t>
        </is>
      </c>
      <c r="K855" t="n">
        <v>76.06999999999999</v>
      </c>
      <c r="L855" t="n">
        <v>89.76000000000001</v>
      </c>
      <c r="M855">
        <f>הגדרות!B10</f>
        <v/>
      </c>
      <c r="N855">
        <f>K855*(1-M855/100)*1.18</f>
        <v/>
      </c>
      <c r="O855">
        <f>הגדרות!C10</f>
        <v/>
      </c>
      <c r="P855">
        <f>הגדרות!D10</f>
        <v/>
      </c>
      <c r="Q855">
        <f>N855*(1+O855/100)+P855</f>
        <v/>
      </c>
    </row>
    <row r="856">
      <c r="A856" t="inlineStr">
        <is>
          <t>פורינה (חנויות)</t>
        </is>
      </c>
      <c r="B856" t="inlineStr">
        <is>
          <t>פרו פלאן "מזון יעודי" לחתול EN - לתמיכה במערכת העיכול</t>
        </is>
      </c>
      <c r="C856" t="inlineStr">
        <is>
          <t>פרו פלאן "יעודי" חתול PPVD CAT</t>
        </is>
      </c>
      <c r="D856" t="inlineStr">
        <is>
          <t>12620304</t>
        </is>
      </c>
      <c r="E856" t="inlineStr">
        <is>
          <t>רגיל</t>
        </is>
      </c>
      <c r="F856" t="inlineStr">
        <is>
          <t>יבש</t>
        </is>
      </c>
      <c r="G856" t="inlineStr"/>
      <c r="H856" t="inlineStr">
        <is>
          <t>חתול</t>
        </is>
      </c>
      <c r="I856" t="inlineStr"/>
      <c r="J856" t="inlineStr">
        <is>
          <t>2026-06</t>
        </is>
      </c>
      <c r="K856" t="n">
        <v>253.56</v>
      </c>
      <c r="L856" t="n">
        <v>299.2</v>
      </c>
      <c r="M856">
        <f>הגדרות!B10</f>
        <v/>
      </c>
      <c r="N856">
        <f>K856*(1-M856/100)*1.18</f>
        <v/>
      </c>
      <c r="O856">
        <f>הגדרות!C10</f>
        <v/>
      </c>
      <c r="P856">
        <f>הגדרות!D10</f>
        <v/>
      </c>
      <c r="Q856">
        <f>N856*(1+O856/100)+P856</f>
        <v/>
      </c>
    </row>
    <row r="857">
      <c r="A857" t="inlineStr">
        <is>
          <t>פורינה (חנויות)</t>
        </is>
      </c>
      <c r="B857" t="inlineStr">
        <is>
          <t>פרו פלאן "מזון יעודי" לכלב UR - למניעת היווצרות קריסטלים בדרכי השתן</t>
        </is>
      </c>
      <c r="C857" t="inlineStr">
        <is>
          <t>פרו פלאן "יעודי" כלב PPVD DOG</t>
        </is>
      </c>
      <c r="D857" t="inlineStr">
        <is>
          <t>12500925</t>
        </is>
      </c>
      <c r="E857" t="inlineStr">
        <is>
          <t>רגיל</t>
        </is>
      </c>
      <c r="F857" t="inlineStr">
        <is>
          <t>יבש</t>
        </is>
      </c>
      <c r="G857" t="inlineStr"/>
      <c r="H857" t="inlineStr">
        <is>
          <t>כלב</t>
        </is>
      </c>
      <c r="I857" t="inlineStr"/>
      <c r="J857" t="inlineStr">
        <is>
          <t>2026-06</t>
        </is>
      </c>
      <c r="K857" t="n">
        <v>407.12</v>
      </c>
      <c r="L857" t="n">
        <v>480.4</v>
      </c>
      <c r="M857">
        <f>הגדרות!B10</f>
        <v/>
      </c>
      <c r="N857">
        <f>K857*(1-M857/100)*1.18</f>
        <v/>
      </c>
      <c r="O857">
        <f>הגדרות!C10</f>
        <v/>
      </c>
      <c r="P857">
        <f>הגדרות!D10</f>
        <v/>
      </c>
      <c r="Q857">
        <f>N857*(1+O857/100)+P857</f>
        <v/>
      </c>
    </row>
    <row r="858">
      <c r="A858" t="inlineStr">
        <is>
          <t>פורינה (חנויות)</t>
        </is>
      </c>
      <c r="B858" t="inlineStr">
        <is>
          <t>פרו פלאן "מזון יעודי" לכלב JM - לתמיכה בדלקות פרקים</t>
        </is>
      </c>
      <c r="C858" t="inlineStr">
        <is>
          <t>פרו פלאן "יעודי" כלב PPVD DOG</t>
        </is>
      </c>
      <c r="D858" t="inlineStr">
        <is>
          <t>12620192</t>
        </is>
      </c>
      <c r="E858" t="inlineStr">
        <is>
          <t>רגיל</t>
        </is>
      </c>
      <c r="F858" t="inlineStr">
        <is>
          <t>יבש</t>
        </is>
      </c>
      <c r="G858" t="inlineStr"/>
      <c r="H858" t="inlineStr">
        <is>
          <t>כלב</t>
        </is>
      </c>
      <c r="I858" t="inlineStr"/>
      <c r="J858" t="inlineStr">
        <is>
          <t>2026-06</t>
        </is>
      </c>
      <c r="K858" t="n">
        <v>383.67</v>
      </c>
      <c r="L858" t="n">
        <v>452.73</v>
      </c>
      <c r="M858">
        <f>הגדרות!B10</f>
        <v/>
      </c>
      <c r="N858">
        <f>K858*(1-M858/100)*1.18</f>
        <v/>
      </c>
      <c r="O858">
        <f>הגדרות!C10</f>
        <v/>
      </c>
      <c r="P858">
        <f>הגדרות!D10</f>
        <v/>
      </c>
      <c r="Q858">
        <f>N858*(1+O858/100)+P858</f>
        <v/>
      </c>
    </row>
    <row r="859">
      <c r="A859" t="inlineStr">
        <is>
          <t>פורינה (חנויות)</t>
        </is>
      </c>
      <c r="B859" t="inlineStr">
        <is>
          <t>פרו פלאן "מזון יעודי" לכלב NC - לסיוע בהתקפי אפילפסיה ותמיכה במערכת העצבים</t>
        </is>
      </c>
      <c r="C859" t="inlineStr">
        <is>
          <t>פרו פלאן "יעודי" כלב PPVD DOG</t>
        </is>
      </c>
      <c r="D859" t="inlineStr">
        <is>
          <t>12484885</t>
        </is>
      </c>
      <c r="E859" t="inlineStr">
        <is>
          <t>רגיל</t>
        </is>
      </c>
      <c r="F859" t="inlineStr">
        <is>
          <t>יבש</t>
        </is>
      </c>
      <c r="G859" t="inlineStr"/>
      <c r="H859" t="inlineStr">
        <is>
          <t>כלב</t>
        </is>
      </c>
      <c r="I859" t="inlineStr"/>
      <c r="J859" t="inlineStr">
        <is>
          <t>2026-06</t>
        </is>
      </c>
      <c r="K859" t="n">
        <v>407.12</v>
      </c>
      <c r="L859" t="n">
        <v>480.4</v>
      </c>
      <c r="M859">
        <f>הגדרות!B10</f>
        <v/>
      </c>
      <c r="N859">
        <f>K859*(1-M859/100)*1.18</f>
        <v/>
      </c>
      <c r="O859">
        <f>הגדרות!C10</f>
        <v/>
      </c>
      <c r="P859">
        <f>הגדרות!D10</f>
        <v/>
      </c>
      <c r="Q859">
        <f>N859*(1+O859/100)+P859</f>
        <v/>
      </c>
    </row>
    <row r="860">
      <c r="A860" t="inlineStr">
        <is>
          <t>פורינה (חנויות)</t>
        </is>
      </c>
      <c r="B860" t="inlineStr">
        <is>
          <t>פרו פלאן "מזון יעודי" לכלב OM - לירידה ושמירה על משקל תקין</t>
        </is>
      </c>
      <c r="C860" t="inlineStr">
        <is>
          <t>פרו פלאן "יעודי" כלב PPVD DOG</t>
        </is>
      </c>
      <c r="D860" t="inlineStr">
        <is>
          <t>12483425</t>
        </is>
      </c>
      <c r="E860" t="inlineStr">
        <is>
          <t>רגיל</t>
        </is>
      </c>
      <c r="F860" t="inlineStr">
        <is>
          <t>יבש</t>
        </is>
      </c>
      <c r="G860" t="inlineStr"/>
      <c r="H860" t="inlineStr">
        <is>
          <t>כלב</t>
        </is>
      </c>
      <c r="I860" t="inlineStr"/>
      <c r="J860" t="inlineStr">
        <is>
          <t>2026-06</t>
        </is>
      </c>
      <c r="K860" t="n">
        <v>130.91</v>
      </c>
      <c r="L860" t="n">
        <v>154.47</v>
      </c>
      <c r="M860">
        <f>הגדרות!B10</f>
        <v/>
      </c>
      <c r="N860">
        <f>K860*(1-M860/100)*1.18</f>
        <v/>
      </c>
      <c r="O860">
        <f>הגדרות!C10</f>
        <v/>
      </c>
      <c r="P860">
        <f>הגדרות!D10</f>
        <v/>
      </c>
      <c r="Q860">
        <f>N860*(1+O860/100)+P860</f>
        <v/>
      </c>
    </row>
    <row r="861">
      <c r="A861" t="inlineStr">
        <is>
          <t>פורינה (חנויות)</t>
        </is>
      </c>
      <c r="B861" t="inlineStr">
        <is>
          <t>פרו פלאן "מזון יעודי" לכלב OM - לירידה ושמירה על משקל תקין</t>
        </is>
      </c>
      <c r="C861" t="inlineStr">
        <is>
          <t>פרו פלאן "יעודי" כלב PPVD DOG</t>
        </is>
      </c>
      <c r="D861" t="inlineStr">
        <is>
          <t>12484887</t>
        </is>
      </c>
      <c r="E861" t="inlineStr">
        <is>
          <t>רגיל</t>
        </is>
      </c>
      <c r="F861" t="inlineStr">
        <is>
          <t>יבש</t>
        </is>
      </c>
      <c r="G861" t="inlineStr"/>
      <c r="H861" t="inlineStr">
        <is>
          <t>כלב</t>
        </is>
      </c>
      <c r="I861" t="inlineStr"/>
      <c r="J861" t="inlineStr">
        <is>
          <t>2026-06</t>
        </is>
      </c>
      <c r="K861" t="n">
        <v>361.62</v>
      </c>
      <c r="L861" t="n">
        <v>426.71</v>
      </c>
      <c r="M861">
        <f>הגדרות!B10</f>
        <v/>
      </c>
      <c r="N861">
        <f>K861*(1-M861/100)*1.18</f>
        <v/>
      </c>
      <c r="O861">
        <f>הגדרות!C10</f>
        <v/>
      </c>
      <c r="P861">
        <f>הגדרות!D10</f>
        <v/>
      </c>
      <c r="Q861">
        <f>N861*(1+O861/100)+P861</f>
        <v/>
      </c>
    </row>
    <row r="862">
      <c r="A862" t="inlineStr">
        <is>
          <t>פורינה (חנויות)</t>
        </is>
      </c>
      <c r="B862" t="inlineStr">
        <is>
          <t>פרו פלאן "מזון יעודי" לכלב HA - לסיוע במניעת אלרגיה למזון</t>
        </is>
      </c>
      <c r="C862" t="inlineStr">
        <is>
          <t>פרו פלאן "יעודי" כלב PPVD DOG</t>
        </is>
      </c>
      <c r="D862" t="inlineStr">
        <is>
          <t>12484160</t>
        </is>
      </c>
      <c r="E862" t="inlineStr">
        <is>
          <t>רגיל</t>
        </is>
      </c>
      <c r="F862" t="inlineStr">
        <is>
          <t>יבש</t>
        </is>
      </c>
      <c r="G862" t="inlineStr"/>
      <c r="H862" t="inlineStr">
        <is>
          <t>כלב</t>
        </is>
      </c>
      <c r="I862" t="inlineStr"/>
      <c r="J862" t="inlineStr">
        <is>
          <t>2026-06</t>
        </is>
      </c>
      <c r="K862" t="n">
        <v>79.23</v>
      </c>
      <c r="L862" t="n">
        <v>93.48999999999999</v>
      </c>
      <c r="M862">
        <f>הגדרות!B10</f>
        <v/>
      </c>
      <c r="N862">
        <f>K862*(1-M862/100)*1.18</f>
        <v/>
      </c>
      <c r="O862">
        <f>הגדרות!C10</f>
        <v/>
      </c>
      <c r="P862">
        <f>הגדרות!D10</f>
        <v/>
      </c>
      <c r="Q862">
        <f>N862*(1+O862/100)+P862</f>
        <v/>
      </c>
    </row>
    <row r="863">
      <c r="A863" t="inlineStr">
        <is>
          <t>פורינה (חנויות)</t>
        </is>
      </c>
      <c r="B863" t="inlineStr">
        <is>
          <t>פרו פלאן "מזון יעודי" לכלב HA - לסיוע במניעת אלרגיה למזון</t>
        </is>
      </c>
      <c r="C863" t="inlineStr">
        <is>
          <t>פרו פלאן "יעודי" כלב PPVD DOG</t>
        </is>
      </c>
      <c r="D863" t="inlineStr">
        <is>
          <t>12483245</t>
        </is>
      </c>
      <c r="E863" t="inlineStr">
        <is>
          <t>רגיל</t>
        </is>
      </c>
      <c r="F863" t="inlineStr">
        <is>
          <t>יבש</t>
        </is>
      </c>
      <c r="G863" t="inlineStr"/>
      <c r="H863" t="inlineStr">
        <is>
          <t>כלב</t>
        </is>
      </c>
      <c r="I863" t="inlineStr"/>
      <c r="J863" t="inlineStr">
        <is>
          <t>2026-06</t>
        </is>
      </c>
      <c r="K863" t="n">
        <v>152.25</v>
      </c>
      <c r="L863" t="n">
        <v>179.66</v>
      </c>
      <c r="M863">
        <f>הגדרות!B10</f>
        <v/>
      </c>
      <c r="N863">
        <f>K863*(1-M863/100)*1.18</f>
        <v/>
      </c>
      <c r="O863">
        <f>הגדרות!C10</f>
        <v/>
      </c>
      <c r="P863">
        <f>הגדרות!D10</f>
        <v/>
      </c>
      <c r="Q863">
        <f>N863*(1+O863/100)+P863</f>
        <v/>
      </c>
    </row>
    <row r="864">
      <c r="A864" t="inlineStr">
        <is>
          <t>פורינה (חנויות)</t>
        </is>
      </c>
      <c r="B864" t="inlineStr">
        <is>
          <t>פרו פלאן "מזון יעודי" לכלב HA - לסיוע במניעת אלרגיה למזון</t>
        </is>
      </c>
      <c r="C864" t="inlineStr">
        <is>
          <t>פרו פלאן "יעודי" כלב PPVD DOG</t>
        </is>
      </c>
      <c r="D864" t="inlineStr">
        <is>
          <t>12484156</t>
        </is>
      </c>
      <c r="E864" t="inlineStr">
        <is>
          <t>רגיל</t>
        </is>
      </c>
      <c r="F864" t="inlineStr">
        <is>
          <t>יבש</t>
        </is>
      </c>
      <c r="G864" t="inlineStr"/>
      <c r="H864" t="inlineStr">
        <is>
          <t>כלב</t>
        </is>
      </c>
      <c r="I864" t="inlineStr"/>
      <c r="J864" t="inlineStr">
        <is>
          <t>2026-06</t>
        </is>
      </c>
      <c r="K864" t="n">
        <v>448.28</v>
      </c>
      <c r="L864" t="n">
        <v>528.97</v>
      </c>
      <c r="M864">
        <f>הגדרות!B10</f>
        <v/>
      </c>
      <c r="N864">
        <f>K864*(1-M864/100)*1.18</f>
        <v/>
      </c>
      <c r="O864">
        <f>הגדרות!C10</f>
        <v/>
      </c>
      <c r="P864">
        <f>הגדרות!D10</f>
        <v/>
      </c>
      <c r="Q864">
        <f>N864*(1+O864/100)+P864</f>
        <v/>
      </c>
    </row>
    <row r="865">
      <c r="A865" t="inlineStr">
        <is>
          <t>פורינה (חנויות)</t>
        </is>
      </c>
      <c r="B865" t="inlineStr">
        <is>
          <t>פרו פלאן "מזון יעודי" לכלב EN - לתמיכה במערכת העיכול</t>
        </is>
      </c>
      <c r="C865" t="inlineStr">
        <is>
          <t>פרו פלאן "יעודי" כלב PPVD DOG</t>
        </is>
      </c>
      <c r="D865" t="inlineStr">
        <is>
          <t>12483402</t>
        </is>
      </c>
      <c r="E865" t="inlineStr">
        <is>
          <t>רגיל</t>
        </is>
      </c>
      <c r="F865" t="inlineStr">
        <is>
          <t>יבש</t>
        </is>
      </c>
      <c r="G865" t="inlineStr"/>
      <c r="H865" t="inlineStr">
        <is>
          <t>כלב</t>
        </is>
      </c>
      <c r="I865" t="inlineStr"/>
      <c r="J865" t="inlineStr">
        <is>
          <t>2026-06</t>
        </is>
      </c>
      <c r="K865" t="n">
        <v>81.89</v>
      </c>
      <c r="L865" t="n">
        <v>96.63</v>
      </c>
      <c r="M865">
        <f>הגדרות!B10</f>
        <v/>
      </c>
      <c r="N865">
        <f>K865*(1-M865/100)*1.18</f>
        <v/>
      </c>
      <c r="O865">
        <f>הגדרות!C10</f>
        <v/>
      </c>
      <c r="P865">
        <f>הגדרות!D10</f>
        <v/>
      </c>
      <c r="Q865">
        <f>N865*(1+O865/100)+P865</f>
        <v/>
      </c>
    </row>
    <row r="866">
      <c r="A866" t="inlineStr">
        <is>
          <t>פורינה (חנויות)</t>
        </is>
      </c>
      <c r="B866" t="inlineStr">
        <is>
          <t>פרו פלאן "מזון יעודי" לכלב EN - לתמיכה במערכת העיכול</t>
        </is>
      </c>
      <c r="C866" t="inlineStr">
        <is>
          <t>פרו פלאן "יעודי" כלב PPVD DOG</t>
        </is>
      </c>
      <c r="D866" t="inlineStr">
        <is>
          <t>12484151</t>
        </is>
      </c>
      <c r="E866" t="inlineStr">
        <is>
          <t>רגיל</t>
        </is>
      </c>
      <c r="F866" t="inlineStr">
        <is>
          <t>יבש</t>
        </is>
      </c>
      <c r="G866" t="inlineStr"/>
      <c r="H866" t="inlineStr">
        <is>
          <t>כלב</t>
        </is>
      </c>
      <c r="I866" t="inlineStr"/>
      <c r="J866" t="inlineStr">
        <is>
          <t>2026-06</t>
        </is>
      </c>
      <c r="K866" t="n">
        <v>183.86</v>
      </c>
      <c r="L866" t="n">
        <v>216.95</v>
      </c>
      <c r="M866">
        <f>הגדרות!B10</f>
        <v/>
      </c>
      <c r="N866">
        <f>K866*(1-M866/100)*1.18</f>
        <v/>
      </c>
      <c r="O866">
        <f>הגדרות!C10</f>
        <v/>
      </c>
      <c r="P866">
        <f>הגדרות!D10</f>
        <v/>
      </c>
      <c r="Q866">
        <f>N866*(1+O866/100)+P866</f>
        <v/>
      </c>
    </row>
    <row r="867">
      <c r="A867" t="inlineStr">
        <is>
          <t>פורינה (חנויות)</t>
        </is>
      </c>
      <c r="B867" t="inlineStr">
        <is>
          <t>פרו פלאן "מזון יעודי" לכלב EN - לתמיכה במערכת העיכול</t>
        </is>
      </c>
      <c r="C867" t="inlineStr">
        <is>
          <t>פרו פלאן "יעודי" כלב PPVD DOG</t>
        </is>
      </c>
      <c r="D867" t="inlineStr">
        <is>
          <t>12484218</t>
        </is>
      </c>
      <c r="E867" t="inlineStr">
        <is>
          <t>רגיל</t>
        </is>
      </c>
      <c r="F867" t="inlineStr">
        <is>
          <t>יבש</t>
        </is>
      </c>
      <c r="G867" t="inlineStr"/>
      <c r="H867" t="inlineStr">
        <is>
          <t>כלב</t>
        </is>
      </c>
      <c r="I867" t="inlineStr"/>
      <c r="J867" t="inlineStr">
        <is>
          <t>2026-06</t>
        </is>
      </c>
      <c r="K867" t="n">
        <v>383.67</v>
      </c>
      <c r="L867" t="n">
        <v>452.73</v>
      </c>
      <c r="M867">
        <f>הגדרות!B10</f>
        <v/>
      </c>
      <c r="N867">
        <f>K867*(1-M867/100)*1.18</f>
        <v/>
      </c>
      <c r="O867">
        <f>הגדרות!C10</f>
        <v/>
      </c>
      <c r="P867">
        <f>הגדרות!D10</f>
        <v/>
      </c>
      <c r="Q867">
        <f>N867*(1+O867/100)+P867</f>
        <v/>
      </c>
    </row>
    <row r="868">
      <c r="A868" t="inlineStr">
        <is>
          <t>פורינה (חנויות)</t>
        </is>
      </c>
      <c r="B868" t="inlineStr">
        <is>
          <t>פרו פלאן "מזון יעודי" לכלב DRM - לטיפול ברגישות / אלרגיה עורית</t>
        </is>
      </c>
      <c r="C868" t="inlineStr">
        <is>
          <t>פרו פלאן "יעודי" כלב PPVD DOG</t>
        </is>
      </c>
      <c r="D868" t="inlineStr">
        <is>
          <t>12483405</t>
        </is>
      </c>
      <c r="E868" t="inlineStr">
        <is>
          <t>רגיל</t>
        </is>
      </c>
      <c r="F868" t="inlineStr">
        <is>
          <t>יבש</t>
        </is>
      </c>
      <c r="G868" t="inlineStr"/>
      <c r="H868" t="inlineStr">
        <is>
          <t>כלב</t>
        </is>
      </c>
      <c r="I868" t="inlineStr"/>
      <c r="J868" t="inlineStr">
        <is>
          <t>2026-06</t>
        </is>
      </c>
      <c r="K868" t="n">
        <v>115.1</v>
      </c>
      <c r="L868" t="n">
        <v>135.82</v>
      </c>
      <c r="M868">
        <f>הגדרות!B10</f>
        <v/>
      </c>
      <c r="N868">
        <f>K868*(1-M868/100)*1.18</f>
        <v/>
      </c>
      <c r="O868">
        <f>הגדרות!C10</f>
        <v/>
      </c>
      <c r="P868">
        <f>הגדרות!D10</f>
        <v/>
      </c>
      <c r="Q868">
        <f>N868*(1+O868/100)+P868</f>
        <v/>
      </c>
    </row>
    <row r="869">
      <c r="A869" t="inlineStr">
        <is>
          <t>פורינה (חנויות)</t>
        </is>
      </c>
      <c r="B869" t="inlineStr">
        <is>
          <t>פרו פלאן "מזון יעודי" לכלב DRM - לטיפול ברגישות / אלרגיה עורית</t>
        </is>
      </c>
      <c r="C869" t="inlineStr">
        <is>
          <t>פרו פלאן "יעודי" כלב PPVD DOG</t>
        </is>
      </c>
      <c r="D869" t="inlineStr">
        <is>
          <t>12483541</t>
        </is>
      </c>
      <c r="E869" t="inlineStr">
        <is>
          <t>רגיל</t>
        </is>
      </c>
      <c r="F869" t="inlineStr">
        <is>
          <t>יבש</t>
        </is>
      </c>
      <c r="G869" t="inlineStr"/>
      <c r="H869" t="inlineStr">
        <is>
          <t>כלב</t>
        </is>
      </c>
      <c r="I869" t="inlineStr"/>
      <c r="J869" t="inlineStr">
        <is>
          <t>2026-06</t>
        </is>
      </c>
      <c r="K869" t="n">
        <v>383.67</v>
      </c>
      <c r="L869" t="n">
        <v>452.73</v>
      </c>
      <c r="M869">
        <f>הגדרות!B10</f>
        <v/>
      </c>
      <c r="N869">
        <f>K869*(1-M869/100)*1.18</f>
        <v/>
      </c>
      <c r="O869">
        <f>הגדרות!C10</f>
        <v/>
      </c>
      <c r="P869">
        <f>הגדרות!D10</f>
        <v/>
      </c>
      <c r="Q869">
        <f>N869*(1+O869/100)+P869</f>
        <v/>
      </c>
    </row>
    <row r="870">
      <c r="A870" t="inlineStr">
        <is>
          <t>פורינה (חנויות)</t>
        </is>
      </c>
      <c r="B870" t="inlineStr">
        <is>
          <t>פרו פלאן "מזון יעודי" לכלב NF - לטיפול במחלות כליה</t>
        </is>
      </c>
      <c r="C870" t="inlineStr">
        <is>
          <t>פרו פלאן "יעודי" כלב PPVD DOG</t>
        </is>
      </c>
      <c r="D870" t="inlineStr">
        <is>
          <t>12484894</t>
        </is>
      </c>
      <c r="E870" t="inlineStr">
        <is>
          <t>רגיל</t>
        </is>
      </c>
      <c r="F870" t="inlineStr">
        <is>
          <t>יבש</t>
        </is>
      </c>
      <c r="G870" t="inlineStr"/>
      <c r="H870" t="inlineStr">
        <is>
          <t>כלב</t>
        </is>
      </c>
      <c r="I870" t="inlineStr"/>
      <c r="J870" t="inlineStr">
        <is>
          <t>2026-06</t>
        </is>
      </c>
      <c r="K870" t="n">
        <v>365.4</v>
      </c>
      <c r="L870" t="n">
        <v>431.17</v>
      </c>
      <c r="M870">
        <f>הגדרות!B10</f>
        <v/>
      </c>
      <c r="N870">
        <f>K870*(1-M870/100)*1.18</f>
        <v/>
      </c>
      <c r="O870">
        <f>הגדרות!C10</f>
        <v/>
      </c>
      <c r="P870">
        <f>הגדרות!D10</f>
        <v/>
      </c>
      <c r="Q870">
        <f>N870*(1+O870/100)+P870</f>
        <v/>
      </c>
    </row>
    <row r="871">
      <c r="A871" t="inlineStr">
        <is>
          <t>פורינה (חנויות)</t>
        </is>
      </c>
      <c r="B871" t="inlineStr">
        <is>
          <t>פרו פלאן "מזון יעודי" לכלב NF - לטיפול במחלות כליה</t>
        </is>
      </c>
      <c r="C871" t="inlineStr">
        <is>
          <t>פרו פלאן "יעודי" כלב PPVD DOG</t>
        </is>
      </c>
      <c r="D871" t="inlineStr">
        <is>
          <t>12483420</t>
        </is>
      </c>
      <c r="E871" t="inlineStr">
        <is>
          <t>רגיל</t>
        </is>
      </c>
      <c r="F871" t="inlineStr">
        <is>
          <t>יבש</t>
        </is>
      </c>
      <c r="G871" t="inlineStr"/>
      <c r="H871" t="inlineStr">
        <is>
          <t>כלב</t>
        </is>
      </c>
      <c r="I871" t="inlineStr"/>
      <c r="J871" t="inlineStr">
        <is>
          <t>2026-06</t>
        </is>
      </c>
      <c r="K871" t="n">
        <v>118.89</v>
      </c>
      <c r="L871" t="n">
        <v>140.29</v>
      </c>
      <c r="M871">
        <f>הגדרות!B10</f>
        <v/>
      </c>
      <c r="N871">
        <f>K871*(1-M871/100)*1.18</f>
        <v/>
      </c>
      <c r="O871">
        <f>הגדרות!C10</f>
        <v/>
      </c>
      <c r="P871">
        <f>הגדרות!D10</f>
        <v/>
      </c>
      <c r="Q871">
        <f>N871*(1+O871/100)+P871</f>
        <v/>
      </c>
    </row>
    <row r="872">
      <c r="A872" t="inlineStr">
        <is>
          <t>פורינה (חנויות)</t>
        </is>
      </c>
      <c r="B872" t="inlineStr">
        <is>
          <t>פרו פלאן "מזון יעודי" לחתול ולכלב CN - לסיוע בהתאוששת לאחר ניתוח ומחלות</t>
        </is>
      </c>
      <c r="C872" t="inlineStr">
        <is>
          <t>פרו פלאן "יעודי" חתול לח PPVD WET CAT</t>
        </is>
      </c>
      <c r="D872" t="inlineStr">
        <is>
          <t>12603084</t>
        </is>
      </c>
      <c r="E872" t="inlineStr">
        <is>
          <t>רגיל</t>
        </is>
      </c>
      <c r="F872" t="inlineStr">
        <is>
          <t>יבש</t>
        </is>
      </c>
      <c r="G872" t="inlineStr"/>
      <c r="H872" t="inlineStr">
        <is>
          <t>חתול</t>
        </is>
      </c>
      <c r="I872" t="inlineStr"/>
      <c r="J872" t="inlineStr">
        <is>
          <t>2026-06</t>
        </is>
      </c>
      <c r="K872" t="n">
        <v>9.130000000000001</v>
      </c>
      <c r="L872" t="n">
        <v>10.77</v>
      </c>
      <c r="M872">
        <f>הגדרות!B10</f>
        <v/>
      </c>
      <c r="N872">
        <f>K872*(1-M872/100)*1.18</f>
        <v/>
      </c>
      <c r="O872">
        <f>הגדרות!C10</f>
        <v/>
      </c>
      <c r="P872">
        <f>הגדרות!D10</f>
        <v/>
      </c>
      <c r="Q872">
        <f>N872*(1+O872/100)+P872</f>
        <v/>
      </c>
    </row>
    <row r="873">
      <c r="A873" t="inlineStr">
        <is>
          <t>פורינה (חנויות)</t>
        </is>
      </c>
      <c r="B873" t="inlineStr">
        <is>
          <t>פרו פלאן "מזון יעודי" לחתול UR - למניעת היווצרות קריסטלים בדרכי השתן</t>
        </is>
      </c>
      <c r="C873" t="inlineStr">
        <is>
          <t>פרו פלאן "יעודי" חתול לח PPVD WET CAT</t>
        </is>
      </c>
      <c r="D873" t="inlineStr">
        <is>
          <t>13672647</t>
        </is>
      </c>
      <c r="E873" t="inlineStr">
        <is>
          <t>רגיל</t>
        </is>
      </c>
      <c r="F873" t="inlineStr">
        <is>
          <t>יבש</t>
        </is>
      </c>
      <c r="G873" t="inlineStr"/>
      <c r="H873" t="inlineStr">
        <is>
          <t>חתול</t>
        </is>
      </c>
      <c r="I873" t="inlineStr"/>
      <c r="J873" t="inlineStr">
        <is>
          <t>2026-06</t>
        </is>
      </c>
      <c r="K873" t="n">
        <v>8.039999999999999</v>
      </c>
      <c r="L873" t="n">
        <v>9.49</v>
      </c>
      <c r="M873">
        <f>הגדרות!B10</f>
        <v/>
      </c>
      <c r="N873">
        <f>K873*(1-M873/100)*1.18</f>
        <v/>
      </c>
      <c r="O873">
        <f>הגדרות!C10</f>
        <v/>
      </c>
      <c r="P873">
        <f>הגדרות!D10</f>
        <v/>
      </c>
      <c r="Q873">
        <f>N873*(1+O873/100)+P873</f>
        <v/>
      </c>
    </row>
    <row r="874">
      <c r="A874" t="inlineStr">
        <is>
          <t>פורינה (חנויות)</t>
        </is>
      </c>
      <c r="B874" t="inlineStr">
        <is>
          <t>פרו פלאן "מזון יעודי" לחתול UR - למניעת היווצרות קריסטלים בדרכי השתן</t>
        </is>
      </c>
      <c r="C874" t="inlineStr">
        <is>
          <t>פרו פלאן "יעודי" חתול לח PPVD WET CAT</t>
        </is>
      </c>
      <c r="D874" t="inlineStr">
        <is>
          <t>12603144</t>
        </is>
      </c>
      <c r="E874" t="inlineStr">
        <is>
          <t>רגיל</t>
        </is>
      </c>
      <c r="F874" t="inlineStr">
        <is>
          <t>יבש</t>
        </is>
      </c>
      <c r="G874" t="inlineStr"/>
      <c r="H874" t="inlineStr">
        <is>
          <t>חתול</t>
        </is>
      </c>
      <c r="I874" t="inlineStr"/>
      <c r="J874" t="inlineStr">
        <is>
          <t>2026-06</t>
        </is>
      </c>
      <c r="K874" t="n">
        <v>9.130000000000001</v>
      </c>
      <c r="L874" t="n">
        <v>10.77</v>
      </c>
      <c r="M874">
        <f>הגדרות!B10</f>
        <v/>
      </c>
      <c r="N874">
        <f>K874*(1-M874/100)*1.18</f>
        <v/>
      </c>
      <c r="O874">
        <f>הגדרות!C10</f>
        <v/>
      </c>
      <c r="P874">
        <f>הגדרות!D10</f>
        <v/>
      </c>
      <c r="Q874">
        <f>N874*(1+O874/100)+P874</f>
        <v/>
      </c>
    </row>
    <row r="875">
      <c r="A875" t="inlineStr">
        <is>
          <t>פורינה (חנויות)</t>
        </is>
      </c>
      <c r="B875" t="inlineStr">
        <is>
          <t>פרו פלאן "מזון יעודי" לחתול NF - לטיפול במחלות כליה</t>
        </is>
      </c>
      <c r="C875" t="inlineStr">
        <is>
          <t>פרו פלאן "יעודי" חתול לח PPVD WET CAT</t>
        </is>
      </c>
      <c r="D875" t="inlineStr">
        <is>
          <t>13670077</t>
        </is>
      </c>
      <c r="E875" t="inlineStr">
        <is>
          <t>רגיל</t>
        </is>
      </c>
      <c r="F875" t="inlineStr">
        <is>
          <t>יבש</t>
        </is>
      </c>
      <c r="G875" t="inlineStr"/>
      <c r="H875" t="inlineStr">
        <is>
          <t>חתול</t>
        </is>
      </c>
      <c r="I875" t="inlineStr"/>
      <c r="J875" t="inlineStr">
        <is>
          <t>2026-06</t>
        </is>
      </c>
      <c r="K875" t="n">
        <v>8.039999999999999</v>
      </c>
      <c r="L875" t="n">
        <v>9.49</v>
      </c>
      <c r="M875">
        <f>הגדרות!B10</f>
        <v/>
      </c>
      <c r="N875">
        <f>K875*(1-M875/100)*1.18</f>
        <v/>
      </c>
      <c r="O875">
        <f>הגדרות!C10</f>
        <v/>
      </c>
      <c r="P875">
        <f>הגדרות!D10</f>
        <v/>
      </c>
      <c r="Q875">
        <f>N875*(1+O875/100)+P875</f>
        <v/>
      </c>
    </row>
    <row r="876">
      <c r="A876" t="inlineStr">
        <is>
          <t>פורינה (חנויות)</t>
        </is>
      </c>
      <c r="B876" t="inlineStr">
        <is>
          <t>פרו פלאן "מזון יעודי" לחתול NF - לטיפול במחלות כליה</t>
        </is>
      </c>
      <c r="C876" t="inlineStr">
        <is>
          <t>פרו פלאן "יעודי" חתול לח PPVD WET CAT</t>
        </is>
      </c>
      <c r="D876" t="inlineStr">
        <is>
          <t>12603137</t>
        </is>
      </c>
      <c r="E876" t="inlineStr">
        <is>
          <t>רגיל</t>
        </is>
      </c>
      <c r="F876" t="inlineStr">
        <is>
          <t>יבש</t>
        </is>
      </c>
      <c r="G876" t="inlineStr"/>
      <c r="H876" t="inlineStr">
        <is>
          <t>חתול</t>
        </is>
      </c>
      <c r="I876" t="inlineStr"/>
      <c r="J876" t="inlineStr">
        <is>
          <t>2026-06</t>
        </is>
      </c>
      <c r="K876" t="n">
        <v>9.130000000000001</v>
      </c>
      <c r="L876" t="n">
        <v>10.77</v>
      </c>
      <c r="M876">
        <f>הגדרות!B10</f>
        <v/>
      </c>
      <c r="N876">
        <f>K876*(1-M876/100)*1.18</f>
        <v/>
      </c>
      <c r="O876">
        <f>הגדרות!C10</f>
        <v/>
      </c>
      <c r="P876">
        <f>הגדרות!D10</f>
        <v/>
      </c>
      <c r="Q876">
        <f>N876*(1+O876/100)+P876</f>
        <v/>
      </c>
    </row>
    <row r="877">
      <c r="A877" t="inlineStr">
        <is>
          <t>פורינה (חנויות)</t>
        </is>
      </c>
      <c r="B877" t="inlineStr">
        <is>
          <t>פרו פלאן "מזון יעודי" לחתול EN - לתמיכה במערכת העיכול</t>
        </is>
      </c>
      <c r="C877" t="inlineStr">
        <is>
          <t>פרו פלאן "יעודי" חתול לח PPVD WET CAT</t>
        </is>
      </c>
      <c r="D877" t="inlineStr">
        <is>
          <t>13669496</t>
        </is>
      </c>
      <c r="E877" t="inlineStr">
        <is>
          <t>רגיל</t>
        </is>
      </c>
      <c r="F877" t="inlineStr">
        <is>
          <t>יבש</t>
        </is>
      </c>
      <c r="G877" t="inlineStr"/>
      <c r="H877" t="inlineStr">
        <is>
          <t>חתול</t>
        </is>
      </c>
      <c r="I877" t="inlineStr"/>
      <c r="J877" t="inlineStr">
        <is>
          <t>2026-06</t>
        </is>
      </c>
      <c r="K877" t="n">
        <v>8.039999999999999</v>
      </c>
      <c r="L877" t="n">
        <v>9.49</v>
      </c>
      <c r="M877">
        <f>הגדרות!B10</f>
        <v/>
      </c>
      <c r="N877">
        <f>K877*(1-M877/100)*1.18</f>
        <v/>
      </c>
      <c r="O877">
        <f>הגדרות!C10</f>
        <v/>
      </c>
      <c r="P877">
        <f>הגדרות!D10</f>
        <v/>
      </c>
      <c r="Q877">
        <f>N877*(1+O877/100)+P877</f>
        <v/>
      </c>
    </row>
    <row r="878">
      <c r="A878" t="inlineStr">
        <is>
          <t>פורינה (חנויות)</t>
        </is>
      </c>
      <c r="B878" t="inlineStr">
        <is>
          <t>פרו פלאן "מזון יעודי" לחתול EN - לתמיכה במערכת העיכול</t>
        </is>
      </c>
      <c r="C878" t="inlineStr">
        <is>
          <t>פרו פלאן "יעודי" חתול לח PPVD WET CAT</t>
        </is>
      </c>
      <c r="D878" t="inlineStr">
        <is>
          <t>12621842</t>
        </is>
      </c>
      <c r="E878" t="inlineStr">
        <is>
          <t>רגיל</t>
        </is>
      </c>
      <c r="F878" t="inlineStr">
        <is>
          <t>יבש</t>
        </is>
      </c>
      <c r="G878" t="inlineStr"/>
      <c r="H878" t="inlineStr">
        <is>
          <t>חתול</t>
        </is>
      </c>
      <c r="I878" t="inlineStr"/>
      <c r="J878" t="inlineStr">
        <is>
          <t>2026-06</t>
        </is>
      </c>
      <c r="K878" t="n">
        <v>10.92</v>
      </c>
      <c r="L878" t="n">
        <v>12.89</v>
      </c>
      <c r="M878">
        <f>הגדרות!B10</f>
        <v/>
      </c>
      <c r="N878">
        <f>K878*(1-M878/100)*1.18</f>
        <v/>
      </c>
      <c r="O878">
        <f>הגדרות!C10</f>
        <v/>
      </c>
      <c r="P878">
        <f>הגדרות!D10</f>
        <v/>
      </c>
      <c r="Q878">
        <f>N878*(1+O878/100)+P878</f>
        <v/>
      </c>
    </row>
    <row r="879">
      <c r="A879" t="inlineStr">
        <is>
          <t>פורינה (חנויות)</t>
        </is>
      </c>
      <c r="B879" t="inlineStr">
        <is>
          <t>פרו פלאן "מזון יעודי" לכלב EN - לתמיכה במערכת העיכול</t>
        </is>
      </c>
      <c r="C879" t="inlineStr">
        <is>
          <t>פרו פלאן "יעודי" כלב לח PPVD WET</t>
        </is>
      </c>
      <c r="D879" t="inlineStr">
        <is>
          <t>12617132</t>
        </is>
      </c>
      <c r="E879" t="inlineStr">
        <is>
          <t>רגיל</t>
        </is>
      </c>
      <c r="F879" t="inlineStr">
        <is>
          <t>יבש</t>
        </is>
      </c>
      <c r="G879" t="inlineStr"/>
      <c r="H879" t="inlineStr">
        <is>
          <t>כלב</t>
        </is>
      </c>
      <c r="I879" t="inlineStr"/>
      <c r="J879" t="inlineStr">
        <is>
          <t>2026-06</t>
        </is>
      </c>
      <c r="K879" t="n">
        <v>17.69</v>
      </c>
      <c r="L879" t="n">
        <v>20.87</v>
      </c>
      <c r="M879">
        <f>הגדרות!B10</f>
        <v/>
      </c>
      <c r="N879">
        <f>K879*(1-M879/100)*1.18</f>
        <v/>
      </c>
      <c r="O879">
        <f>הגדרות!C10</f>
        <v/>
      </c>
      <c r="P879">
        <f>הגדרות!D10</f>
        <v/>
      </c>
      <c r="Q879">
        <f>N879*(1+O879/100)+P879</f>
        <v/>
      </c>
    </row>
    <row r="880">
      <c r="A880" t="inlineStr">
        <is>
          <t>פורינה (חנויות)</t>
        </is>
      </c>
      <c r="B880" t="inlineStr">
        <is>
          <t>פרו פלאן "מזון יעודי" לכלב NF - לטיפול במחלות כליה</t>
        </is>
      </c>
      <c r="C880" t="inlineStr">
        <is>
          <t>פרו פלאן "יעודי" כלב לח PPVD WET</t>
        </is>
      </c>
      <c r="D880" t="inlineStr">
        <is>
          <t>12570828</t>
        </is>
      </c>
      <c r="E880" t="inlineStr">
        <is>
          <t>רגיל</t>
        </is>
      </c>
      <c r="F880" t="inlineStr">
        <is>
          <t>יבש</t>
        </is>
      </c>
      <c r="G880" t="inlineStr"/>
      <c r="H880" t="inlineStr">
        <is>
          <t>כלב</t>
        </is>
      </c>
      <c r="I880" t="inlineStr"/>
      <c r="J880" t="inlineStr">
        <is>
          <t>2026-06</t>
        </is>
      </c>
      <c r="K880" t="n">
        <v>17.69</v>
      </c>
      <c r="L880" t="n">
        <v>20.87</v>
      </c>
      <c r="M880">
        <f>הגדרות!B10</f>
        <v/>
      </c>
      <c r="N880">
        <f>K880*(1-M880/100)*1.18</f>
        <v/>
      </c>
      <c r="O880">
        <f>הגדרות!C10</f>
        <v/>
      </c>
      <c r="P880">
        <f>הגדרות!D10</f>
        <v/>
      </c>
      <c r="Q880">
        <f>N880*(1+O880/100)+P880</f>
        <v/>
      </c>
    </row>
    <row r="881">
      <c r="A881" t="inlineStr">
        <is>
          <t>פורינה (חנויות)</t>
        </is>
      </c>
      <c r="B881" t="inlineStr">
        <is>
          <t>פרו פלאן "מזון יעודי" לכלב HA - לסיוע במניעת אלרגיה למזון</t>
        </is>
      </c>
      <c r="C881" t="inlineStr">
        <is>
          <t>פרו פלאן "יעודי" כלב לח PPVD WET</t>
        </is>
      </c>
      <c r="D881" t="inlineStr">
        <is>
          <t>12603193</t>
        </is>
      </c>
      <c r="E881" t="inlineStr">
        <is>
          <t>רגיל</t>
        </is>
      </c>
      <c r="F881" t="inlineStr">
        <is>
          <t>יבש</t>
        </is>
      </c>
      <c r="G881" t="inlineStr"/>
      <c r="H881" t="inlineStr">
        <is>
          <t>כלב</t>
        </is>
      </c>
      <c r="I881" t="inlineStr"/>
      <c r="J881" t="inlineStr">
        <is>
          <t>2026-06</t>
        </is>
      </c>
      <c r="K881" t="n">
        <v>18.57</v>
      </c>
      <c r="L881" t="n">
        <v>21.91</v>
      </c>
      <c r="M881">
        <f>הגדרות!B10</f>
        <v/>
      </c>
      <c r="N881">
        <f>K881*(1-M881/100)*1.18</f>
        <v/>
      </c>
      <c r="O881">
        <f>הגדרות!C10</f>
        <v/>
      </c>
      <c r="P881">
        <f>הגדרות!D10</f>
        <v/>
      </c>
      <c r="Q881">
        <f>N881*(1+O881/100)+P881</f>
        <v/>
      </c>
    </row>
    <row r="882">
      <c r="A882" t="inlineStr">
        <is>
          <t>פורינה (חנויות)</t>
        </is>
      </c>
      <c r="B882" t="inlineStr">
        <is>
          <t>פריסקיז אקטיב לכלב בקר וירקות</t>
        </is>
      </c>
      <c r="C882" t="inlineStr">
        <is>
          <t>פריסקיז כלב יבש FRISKIES DOG DRY</t>
        </is>
      </c>
      <c r="D882" t="inlineStr">
        <is>
          <t>12661402</t>
        </is>
      </c>
      <c r="E882" t="inlineStr">
        <is>
          <t>רגיל</t>
        </is>
      </c>
      <c r="F882" t="inlineStr">
        <is>
          <t>יבש</t>
        </is>
      </c>
      <c r="G882" t="inlineStr"/>
      <c r="H882" t="inlineStr">
        <is>
          <t>כלב</t>
        </is>
      </c>
      <c r="I882" t="inlineStr"/>
      <c r="J882" t="inlineStr">
        <is>
          <t>2026-06</t>
        </is>
      </c>
      <c r="K882" t="n">
        <v>33.58</v>
      </c>
      <c r="L882" t="n">
        <v>39.62</v>
      </c>
      <c r="M882">
        <f>הגדרות!B10</f>
        <v/>
      </c>
      <c r="N882">
        <f>K882*(1-M882/100)*1.18</f>
        <v/>
      </c>
      <c r="O882">
        <f>הגדרות!C10</f>
        <v/>
      </c>
      <c r="P882">
        <f>הגדרות!D10</f>
        <v/>
      </c>
      <c r="Q882">
        <f>N882*(1+O882/100)+P882</f>
        <v/>
      </c>
    </row>
    <row r="883">
      <c r="A883" t="inlineStr">
        <is>
          <t>פורינה (חנויות)</t>
        </is>
      </c>
      <c r="B883" t="inlineStr">
        <is>
          <t>פריסקיז באלאנס לכלב עוף, בקר וירקות</t>
        </is>
      </c>
      <c r="C883" t="inlineStr">
        <is>
          <t>פריסקיז כלב יבש FRISKIES DOG DRY</t>
        </is>
      </c>
      <c r="D883" t="inlineStr">
        <is>
          <t>12661500</t>
        </is>
      </c>
      <c r="E883" t="inlineStr">
        <is>
          <t>רגיל</t>
        </is>
      </c>
      <c r="F883" t="inlineStr">
        <is>
          <t>יבש</t>
        </is>
      </c>
      <c r="G883" t="inlineStr"/>
      <c r="H883" t="inlineStr">
        <is>
          <t>כלב</t>
        </is>
      </c>
      <c r="I883" t="inlineStr"/>
      <c r="J883" t="inlineStr">
        <is>
          <t>2026-06</t>
        </is>
      </c>
      <c r="K883" t="n">
        <v>33.58</v>
      </c>
      <c r="L883" t="n">
        <v>39.62</v>
      </c>
      <c r="M883">
        <f>הגדרות!B10</f>
        <v/>
      </c>
      <c r="N883">
        <f>K883*(1-M883/100)*1.18</f>
        <v/>
      </c>
      <c r="O883">
        <f>הגדרות!C10</f>
        <v/>
      </c>
      <c r="P883">
        <f>הגדרות!D10</f>
        <v/>
      </c>
      <c r="Q883">
        <f>N883*(1+O883/100)+P883</f>
        <v/>
      </c>
    </row>
    <row r="884">
      <c r="A884" t="inlineStr">
        <is>
          <t>פורינה (חנויות)</t>
        </is>
      </c>
      <c r="B884" t="inlineStr">
        <is>
          <t>פריסקיז אקטיב לכלב בקר וירקות</t>
        </is>
      </c>
      <c r="C884" t="inlineStr">
        <is>
          <t>פריסקיז כלב יבש FRISKIES DOG DRY</t>
        </is>
      </c>
      <c r="D884" t="inlineStr">
        <is>
          <t>12607791</t>
        </is>
      </c>
      <c r="E884" t="inlineStr">
        <is>
          <t>רגיל</t>
        </is>
      </c>
      <c r="F884" t="inlineStr">
        <is>
          <t>יבש</t>
        </is>
      </c>
      <c r="G884" t="inlineStr"/>
      <c r="H884" t="inlineStr">
        <is>
          <t>כלב</t>
        </is>
      </c>
      <c r="I884" t="inlineStr"/>
      <c r="J884" t="inlineStr">
        <is>
          <t>2026-06</t>
        </is>
      </c>
      <c r="K884" t="n">
        <v>119.85</v>
      </c>
      <c r="L884" t="n">
        <v>141.42</v>
      </c>
      <c r="M884">
        <f>הגדרות!B10</f>
        <v/>
      </c>
      <c r="N884">
        <f>K884*(1-M884/100)*1.18</f>
        <v/>
      </c>
      <c r="O884">
        <f>הגדרות!C10</f>
        <v/>
      </c>
      <c r="P884">
        <f>הגדרות!D10</f>
        <v/>
      </c>
      <c r="Q884">
        <f>N884*(1+O884/100)+P884</f>
        <v/>
      </c>
    </row>
    <row r="885">
      <c r="A885" t="inlineStr">
        <is>
          <t>פורינה (חנויות)</t>
        </is>
      </c>
      <c r="B885" t="inlineStr">
        <is>
          <t>פריסקיז באלאנס לכלב עוף, בקר וירקות</t>
        </is>
      </c>
      <c r="C885" t="inlineStr">
        <is>
          <t>פריסקיז כלב יבש FRISKIES DOG DRY</t>
        </is>
      </c>
      <c r="D885" t="inlineStr">
        <is>
          <t>12607790</t>
        </is>
      </c>
      <c r="E885" t="inlineStr">
        <is>
          <t>רגיל</t>
        </is>
      </c>
      <c r="F885" t="inlineStr">
        <is>
          <t>יבש</t>
        </is>
      </c>
      <c r="G885" t="inlineStr"/>
      <c r="H885" t="inlineStr">
        <is>
          <t>כלב</t>
        </is>
      </c>
      <c r="I885" t="inlineStr"/>
      <c r="J885" t="inlineStr">
        <is>
          <t>2026-06</t>
        </is>
      </c>
      <c r="K885" t="n">
        <v>119.85</v>
      </c>
      <c r="L885" t="n">
        <v>141.42</v>
      </c>
      <c r="M885">
        <f>הגדרות!B10</f>
        <v/>
      </c>
      <c r="N885">
        <f>K885*(1-M885/100)*1.18</f>
        <v/>
      </c>
      <c r="O885">
        <f>הגדרות!C10</f>
        <v/>
      </c>
      <c r="P885">
        <f>הגדרות!D10</f>
        <v/>
      </c>
      <c r="Q885">
        <f>N885*(1+O885/100)+P885</f>
        <v/>
      </c>
    </row>
    <row r="886">
      <c r="A886" t="inlineStr">
        <is>
          <t>Monge Vet Solution</t>
        </is>
      </c>
      <c r="B886" t="inlineStr">
        <is>
          <t>מונג וט אובסיטי כלב 12 ק"ג</t>
        </is>
      </c>
      <c r="D886" t="inlineStr">
        <is>
          <t>29000141</t>
        </is>
      </c>
      <c r="E886" t="inlineStr">
        <is>
          <t>וטרינרי / רפואי</t>
        </is>
      </c>
      <c r="F886" t="inlineStr">
        <is>
          <t>יבש</t>
        </is>
      </c>
      <c r="G886" t="inlineStr"/>
      <c r="H886" t="inlineStr">
        <is>
          <t>כלב</t>
        </is>
      </c>
      <c r="I886" t="inlineStr"/>
      <c r="J886" t="inlineStr">
        <is>
          <t>2026-07</t>
        </is>
      </c>
      <c r="K886" t="n">
        <v>409</v>
      </c>
      <c r="L886" t="n">
        <v>482.62</v>
      </c>
      <c r="M886">
        <f>הגדרות!B11</f>
        <v/>
      </c>
      <c r="N886">
        <f>K886*(1-M886/100)*1.18</f>
        <v/>
      </c>
      <c r="O886">
        <f>הגדרות!C11</f>
        <v/>
      </c>
      <c r="P886">
        <f>הגדרות!D11</f>
        <v/>
      </c>
      <c r="Q886">
        <f>N886*(1+O886/100)+P886</f>
        <v/>
      </c>
    </row>
    <row r="887">
      <c r="A887" t="inlineStr">
        <is>
          <t>Monge Vet Solution</t>
        </is>
      </c>
      <c r="B887" t="inlineStr">
        <is>
          <t>מונג וט אובסיטי כלב 2 ק"ג</t>
        </is>
      </c>
      <c r="D887" t="inlineStr">
        <is>
          <t>29000186</t>
        </is>
      </c>
      <c r="E887" t="inlineStr">
        <is>
          <t>וטרינרי / רפואי</t>
        </is>
      </c>
      <c r="F887" t="inlineStr">
        <is>
          <t>יבש</t>
        </is>
      </c>
      <c r="G887" t="inlineStr"/>
      <c r="H887" t="inlineStr">
        <is>
          <t>כלב</t>
        </is>
      </c>
      <c r="I887" t="inlineStr"/>
      <c r="J887" t="inlineStr">
        <is>
          <t>2026-07</t>
        </is>
      </c>
      <c r="K887" t="n">
        <v>116</v>
      </c>
      <c r="L887" t="n">
        <v>136.88</v>
      </c>
      <c r="M887">
        <f>הגדרות!B11</f>
        <v/>
      </c>
      <c r="N887">
        <f>K887*(1-M887/100)*1.18</f>
        <v/>
      </c>
      <c r="O887">
        <f>הגדרות!C11</f>
        <v/>
      </c>
      <c r="P887">
        <f>הגדרות!D11</f>
        <v/>
      </c>
      <c r="Q887">
        <f>N887*(1+O887/100)+P887</f>
        <v/>
      </c>
    </row>
    <row r="888">
      <c r="A888" t="inlineStr">
        <is>
          <t>Monge Vet Solution</t>
        </is>
      </c>
      <c r="B888" t="inlineStr">
        <is>
          <t>מונג וט אינטסטינל כלב 12 ק"ג</t>
        </is>
      </c>
      <c r="D888" t="inlineStr">
        <is>
          <t>29000139</t>
        </is>
      </c>
      <c r="E888" t="inlineStr">
        <is>
          <t>וטרינרי / רפואי</t>
        </is>
      </c>
      <c r="F888" t="inlineStr">
        <is>
          <t>יבש</t>
        </is>
      </c>
      <c r="G888" t="inlineStr"/>
      <c r="H888" t="inlineStr">
        <is>
          <t>כלב</t>
        </is>
      </c>
      <c r="I888" t="inlineStr"/>
      <c r="J888" t="inlineStr">
        <is>
          <t>2026-07</t>
        </is>
      </c>
      <c r="K888" t="n">
        <v>409</v>
      </c>
      <c r="L888" t="n">
        <v>482.62</v>
      </c>
      <c r="M888">
        <f>הגדרות!B11</f>
        <v/>
      </c>
      <c r="N888">
        <f>K888*(1-M888/100)*1.18</f>
        <v/>
      </c>
      <c r="O888">
        <f>הגדרות!C11</f>
        <v/>
      </c>
      <c r="P888">
        <f>הגדרות!D11</f>
        <v/>
      </c>
      <c r="Q888">
        <f>N888*(1+O888/100)+P888</f>
        <v/>
      </c>
    </row>
    <row r="889">
      <c r="A889" t="inlineStr">
        <is>
          <t>Monge Vet Solution</t>
        </is>
      </c>
      <c r="B889" t="inlineStr">
        <is>
          <t>מונג וט אינטסטינל כלב 2 ק"ג</t>
        </is>
      </c>
      <c r="D889" t="inlineStr">
        <is>
          <t>29000192</t>
        </is>
      </c>
      <c r="E889" t="inlineStr">
        <is>
          <t>וטרינרי / רפואי</t>
        </is>
      </c>
      <c r="F889" t="inlineStr">
        <is>
          <t>יבש</t>
        </is>
      </c>
      <c r="G889" t="inlineStr"/>
      <c r="H889" t="inlineStr">
        <is>
          <t>כלב</t>
        </is>
      </c>
      <c r="I889" t="inlineStr"/>
      <c r="J889" t="inlineStr">
        <is>
          <t>2026-07</t>
        </is>
      </c>
      <c r="K889" t="n">
        <v>116</v>
      </c>
      <c r="L889" t="n">
        <v>136.88</v>
      </c>
      <c r="M889">
        <f>הגדרות!B11</f>
        <v/>
      </c>
      <c r="N889">
        <f>K889*(1-M889/100)*1.18</f>
        <v/>
      </c>
      <c r="O889">
        <f>הגדרות!C11</f>
        <v/>
      </c>
      <c r="P889">
        <f>הגדרות!D11</f>
        <v/>
      </c>
      <c r="Q889">
        <f>N889*(1+O889/100)+P889</f>
        <v/>
      </c>
    </row>
    <row r="890">
      <c r="A890" t="inlineStr">
        <is>
          <t>Monge Vet Solution</t>
        </is>
      </c>
      <c r="B890" t="inlineStr">
        <is>
          <t>מונג וט אינטסטינל פפי כלב 1.5 ק"ג</t>
        </is>
      </c>
      <c r="D890" t="inlineStr">
        <is>
          <t>29000311</t>
        </is>
      </c>
      <c r="E890" t="inlineStr">
        <is>
          <t>וטרינרי / רפואי</t>
        </is>
      </c>
      <c r="F890" t="inlineStr">
        <is>
          <t>יבש</t>
        </is>
      </c>
      <c r="G890" t="inlineStr"/>
      <c r="H890" t="inlineStr">
        <is>
          <t>כלב</t>
        </is>
      </c>
      <c r="I890" t="inlineStr"/>
      <c r="J890" t="inlineStr">
        <is>
          <t>2026-07</t>
        </is>
      </c>
      <c r="K890" t="n">
        <v>103</v>
      </c>
      <c r="L890" t="n">
        <v>121.54</v>
      </c>
      <c r="M890">
        <f>הגדרות!B11</f>
        <v/>
      </c>
      <c r="N890">
        <f>K890*(1-M890/100)*1.18</f>
        <v/>
      </c>
      <c r="O890">
        <f>הגדרות!C11</f>
        <v/>
      </c>
      <c r="P890">
        <f>הגדרות!D11</f>
        <v/>
      </c>
      <c r="Q890">
        <f>N890*(1+O890/100)+P890</f>
        <v/>
      </c>
    </row>
    <row r="891">
      <c r="A891" t="inlineStr">
        <is>
          <t>Monge Vet Solution</t>
        </is>
      </c>
      <c r="B891" t="inlineStr">
        <is>
          <t>מונג וט אינטסטינל פפי כלב 5 ק"ג</t>
        </is>
      </c>
      <c r="D891" t="inlineStr">
        <is>
          <t>29000190</t>
        </is>
      </c>
      <c r="E891" t="inlineStr">
        <is>
          <t>וטרינרי / רפואי</t>
        </is>
      </c>
      <c r="F891" t="inlineStr">
        <is>
          <t>יבש</t>
        </is>
      </c>
      <c r="G891" t="inlineStr"/>
      <c r="H891" t="inlineStr">
        <is>
          <t>כלב</t>
        </is>
      </c>
      <c r="I891" t="inlineStr"/>
      <c r="J891" t="inlineStr">
        <is>
          <t>2026-07</t>
        </is>
      </c>
      <c r="K891" t="n">
        <v>210</v>
      </c>
      <c r="L891" t="n">
        <v>247.8</v>
      </c>
      <c r="M891">
        <f>הגדרות!B11</f>
        <v/>
      </c>
      <c r="N891">
        <f>K891*(1-M891/100)*1.18</f>
        <v/>
      </c>
      <c r="O891">
        <f>הגדרות!C11</f>
        <v/>
      </c>
      <c r="P891">
        <f>הגדרות!D11</f>
        <v/>
      </c>
      <c r="Q891">
        <f>N891*(1+O891/100)+P891</f>
        <v/>
      </c>
    </row>
    <row r="892">
      <c r="A892" t="inlineStr">
        <is>
          <t>Monge Vet Solution</t>
        </is>
      </c>
      <c r="B892" t="inlineStr">
        <is>
          <t>מונג וט דיאבטיק חתול 1.5 ק"ג</t>
        </is>
      </c>
      <c r="D892" t="inlineStr">
        <is>
          <t>29000188</t>
        </is>
      </c>
      <c r="E892" t="inlineStr">
        <is>
          <t>וטרינרי / רפואי</t>
        </is>
      </c>
      <c r="F892" t="inlineStr">
        <is>
          <t>יבש</t>
        </is>
      </c>
      <c r="G892" t="inlineStr"/>
      <c r="H892" t="inlineStr">
        <is>
          <t>חתול</t>
        </is>
      </c>
      <c r="I892" t="inlineStr"/>
      <c r="J892" t="inlineStr">
        <is>
          <t>2026-07</t>
        </is>
      </c>
      <c r="K892" t="n">
        <v>101</v>
      </c>
      <c r="L892" t="n">
        <v>119.18</v>
      </c>
      <c r="M892">
        <f>הגדרות!B11</f>
        <v/>
      </c>
      <c r="N892">
        <f>K892*(1-M892/100)*1.18</f>
        <v/>
      </c>
      <c r="O892">
        <f>הגדרות!C11</f>
        <v/>
      </c>
      <c r="P892">
        <f>הגדרות!D11</f>
        <v/>
      </c>
      <c r="Q892">
        <f>N892*(1+O892/100)+P892</f>
        <v/>
      </c>
    </row>
    <row r="893">
      <c r="A893" t="inlineStr">
        <is>
          <t>Monge Vet Solution</t>
        </is>
      </c>
      <c r="B893" t="inlineStr">
        <is>
          <t>מונג וט דיאבטיק כלב 12 ק"ג</t>
        </is>
      </c>
      <c r="D893" t="inlineStr">
        <is>
          <t>29000155</t>
        </is>
      </c>
      <c r="E893" t="inlineStr">
        <is>
          <t>וטרינרי / רפואי</t>
        </is>
      </c>
      <c r="F893" t="inlineStr">
        <is>
          <t>יבש</t>
        </is>
      </c>
      <c r="G893" t="inlineStr"/>
      <c r="H893" t="inlineStr">
        <is>
          <t>כלב</t>
        </is>
      </c>
      <c r="I893" t="inlineStr"/>
      <c r="J893" t="inlineStr">
        <is>
          <t>2026-07</t>
        </is>
      </c>
      <c r="K893" t="n">
        <v>448</v>
      </c>
      <c r="L893" t="n">
        <v>528.64</v>
      </c>
      <c r="M893">
        <f>הגדרות!B11</f>
        <v/>
      </c>
      <c r="N893">
        <f>K893*(1-M893/100)*1.18</f>
        <v/>
      </c>
      <c r="O893">
        <f>הגדרות!C11</f>
        <v/>
      </c>
      <c r="P893">
        <f>הגדרות!D11</f>
        <v/>
      </c>
      <c r="Q893">
        <f>N893*(1+O893/100)+P893</f>
        <v/>
      </c>
    </row>
    <row r="894">
      <c r="A894" t="inlineStr">
        <is>
          <t>Monge Vet Solution</t>
        </is>
      </c>
      <c r="B894" t="inlineStr">
        <is>
          <t>מונג וט דיאבטיק כלב 2 ק"ג</t>
        </is>
      </c>
      <c r="D894" t="inlineStr">
        <is>
          <t>29000187</t>
        </is>
      </c>
      <c r="E894" t="inlineStr">
        <is>
          <t>וטרינרי / רפואי</t>
        </is>
      </c>
      <c r="F894" t="inlineStr">
        <is>
          <t>יבש</t>
        </is>
      </c>
      <c r="G894" t="inlineStr"/>
      <c r="H894" t="inlineStr">
        <is>
          <t>כלב</t>
        </is>
      </c>
      <c r="I894" t="inlineStr"/>
      <c r="J894" t="inlineStr">
        <is>
          <t>2026-07</t>
        </is>
      </c>
      <c r="K894" t="n">
        <v>116</v>
      </c>
      <c r="L894" t="n">
        <v>136.88</v>
      </c>
      <c r="M894">
        <f>הגדרות!B11</f>
        <v/>
      </c>
      <c r="N894">
        <f>K894*(1-M894/100)*1.18</f>
        <v/>
      </c>
      <c r="O894">
        <f>הגדרות!C11</f>
        <v/>
      </c>
      <c r="P894">
        <f>הגדרות!D11</f>
        <v/>
      </c>
      <c r="Q894">
        <f>N894*(1+O894/100)+P894</f>
        <v/>
      </c>
    </row>
    <row r="895">
      <c r="A895" t="inlineStr">
        <is>
          <t>Monge Vet Solution</t>
        </is>
      </c>
      <c r="B895" t="inlineStr">
        <is>
          <t>מונג וט דרמטוזיס כלב 12 ק"ג</t>
        </is>
      </c>
      <c r="D895" t="inlineStr">
        <is>
          <t>29000138</t>
        </is>
      </c>
      <c r="E895" t="inlineStr">
        <is>
          <t>וטרינרי / רפואי</t>
        </is>
      </c>
      <c r="F895" t="inlineStr">
        <is>
          <t>יבש</t>
        </is>
      </c>
      <c r="G895" t="inlineStr"/>
      <c r="H895" t="inlineStr">
        <is>
          <t>כלב</t>
        </is>
      </c>
      <c r="I895" t="inlineStr"/>
      <c r="J895" t="inlineStr">
        <is>
          <t>2026-07</t>
        </is>
      </c>
      <c r="K895" t="n">
        <v>406</v>
      </c>
      <c r="L895" t="n">
        <v>479.08</v>
      </c>
      <c r="M895">
        <f>הגדרות!B11</f>
        <v/>
      </c>
      <c r="N895">
        <f>K895*(1-M895/100)*1.18</f>
        <v/>
      </c>
      <c r="O895">
        <f>הגדרות!C11</f>
        <v/>
      </c>
      <c r="P895">
        <f>הגדרות!D11</f>
        <v/>
      </c>
      <c r="Q895">
        <f>N895*(1+O895/100)+P895</f>
        <v/>
      </c>
    </row>
    <row r="896">
      <c r="A896" t="inlineStr">
        <is>
          <t>Monge Vet Solution</t>
        </is>
      </c>
      <c r="B896" t="inlineStr">
        <is>
          <t>מונג וט דרמטוזיס כלב 2 ק"ג</t>
        </is>
      </c>
      <c r="D896" t="inlineStr">
        <is>
          <t>29000191</t>
        </is>
      </c>
      <c r="E896" t="inlineStr">
        <is>
          <t>וטרינרי / רפואי</t>
        </is>
      </c>
      <c r="F896" t="inlineStr">
        <is>
          <t>יבש</t>
        </is>
      </c>
      <c r="G896" t="inlineStr"/>
      <c r="H896" t="inlineStr">
        <is>
          <t>כלב</t>
        </is>
      </c>
      <c r="I896" t="inlineStr"/>
      <c r="J896" t="inlineStr">
        <is>
          <t>2026-07</t>
        </is>
      </c>
      <c r="K896" t="n">
        <v>116</v>
      </c>
      <c r="L896" t="n">
        <v>136.88</v>
      </c>
      <c r="M896">
        <f>הגדרות!B11</f>
        <v/>
      </c>
      <c r="N896">
        <f>K896*(1-M896/100)*1.18</f>
        <v/>
      </c>
      <c r="O896">
        <f>הגדרות!C11</f>
        <v/>
      </c>
      <c r="P896">
        <f>הגדרות!D11</f>
        <v/>
      </c>
      <c r="Q896">
        <f>N896*(1+O896/100)+P896</f>
        <v/>
      </c>
    </row>
    <row r="897">
      <c r="A897" t="inlineStr">
        <is>
          <t>Monge Vet Solution</t>
        </is>
      </c>
      <c r="B897" t="inlineStr">
        <is>
          <t>מונג וט הפטיק חתול 1.5 ק"ג</t>
        </is>
      </c>
      <c r="D897" t="inlineStr">
        <is>
          <t>29000217</t>
        </is>
      </c>
      <c r="E897" t="inlineStr">
        <is>
          <t>וטרינרי / רפואי</t>
        </is>
      </c>
      <c r="F897" t="inlineStr">
        <is>
          <t>יבש</t>
        </is>
      </c>
      <c r="G897" t="inlineStr"/>
      <c r="H897" t="inlineStr">
        <is>
          <t>חתול</t>
        </is>
      </c>
      <c r="I897" t="inlineStr"/>
      <c r="J897" t="inlineStr">
        <is>
          <t>2026-07</t>
        </is>
      </c>
      <c r="K897" t="n">
        <v>101</v>
      </c>
      <c r="L897" t="n">
        <v>119.18</v>
      </c>
      <c r="M897">
        <f>הגדרות!B11</f>
        <v/>
      </c>
      <c r="N897">
        <f>K897*(1-M897/100)*1.18</f>
        <v/>
      </c>
      <c r="O897">
        <f>הגדרות!C11</f>
        <v/>
      </c>
      <c r="P897">
        <f>הגדרות!D11</f>
        <v/>
      </c>
      <c r="Q897">
        <f>N897*(1+O897/100)+P897</f>
        <v/>
      </c>
    </row>
    <row r="898">
      <c r="A898" t="inlineStr">
        <is>
          <t>Monge Vet Solution</t>
        </is>
      </c>
      <c r="B898" t="inlineStr">
        <is>
          <t>מונג וט הפטיק כלב 12 ק"ג</t>
        </is>
      </c>
      <c r="D898" t="inlineStr">
        <is>
          <t>29000154</t>
        </is>
      </c>
      <c r="E898" t="inlineStr">
        <is>
          <t>וטרינרי / רפואי</t>
        </is>
      </c>
      <c r="F898" t="inlineStr">
        <is>
          <t>יבש</t>
        </is>
      </c>
      <c r="G898" t="inlineStr"/>
      <c r="H898" t="inlineStr">
        <is>
          <t>כלב</t>
        </is>
      </c>
      <c r="I898" t="inlineStr"/>
      <c r="J898" t="inlineStr">
        <is>
          <t>2026-07</t>
        </is>
      </c>
      <c r="K898" t="n">
        <v>448</v>
      </c>
      <c r="L898" t="n">
        <v>528.64</v>
      </c>
      <c r="M898">
        <f>הגדרות!B11</f>
        <v/>
      </c>
      <c r="N898">
        <f>K898*(1-M898/100)*1.18</f>
        <v/>
      </c>
      <c r="O898">
        <f>הגדרות!C11</f>
        <v/>
      </c>
      <c r="P898">
        <f>הגדרות!D11</f>
        <v/>
      </c>
      <c r="Q898">
        <f>N898*(1+O898/100)+P898</f>
        <v/>
      </c>
    </row>
    <row r="899">
      <c r="A899" t="inlineStr">
        <is>
          <t>Monge Vet Solution</t>
        </is>
      </c>
      <c r="B899" t="inlineStr">
        <is>
          <t>מונג וט הפטיק כלב 2 ק"ג</t>
        </is>
      </c>
      <c r="D899" t="inlineStr">
        <is>
          <t>29000184</t>
        </is>
      </c>
      <c r="E899" t="inlineStr">
        <is>
          <t>וטרינרי / רפואי</t>
        </is>
      </c>
      <c r="F899" t="inlineStr">
        <is>
          <t>יבש</t>
        </is>
      </c>
      <c r="G899" t="inlineStr"/>
      <c r="H899" t="inlineStr">
        <is>
          <t>כלב</t>
        </is>
      </c>
      <c r="I899" t="inlineStr"/>
      <c r="J899" t="inlineStr">
        <is>
          <t>2026-07</t>
        </is>
      </c>
      <c r="K899" t="n">
        <v>116</v>
      </c>
      <c r="L899" t="n">
        <v>136.88</v>
      </c>
      <c r="M899">
        <f>הגדרות!B11</f>
        <v/>
      </c>
      <c r="N899">
        <f>K899*(1-M899/100)*1.18</f>
        <v/>
      </c>
      <c r="O899">
        <f>הגדרות!C11</f>
        <v/>
      </c>
      <c r="P899">
        <f>הגדרות!D11</f>
        <v/>
      </c>
      <c r="Q899">
        <f>N899*(1+O899/100)+P899</f>
        <v/>
      </c>
    </row>
    <row r="900">
      <c r="A900" t="inlineStr">
        <is>
          <t>Monge Vet Solution</t>
        </is>
      </c>
      <c r="B900" t="inlineStr">
        <is>
          <t>מונג וט חתול אובסיטי 1.5 ק"ג</t>
        </is>
      </c>
      <c r="D900" t="inlineStr">
        <is>
          <t>29000137</t>
        </is>
      </c>
      <c r="E900" t="inlineStr">
        <is>
          <t>וטרינרי / רפואי</t>
        </is>
      </c>
      <c r="F900" t="inlineStr">
        <is>
          <t>יבש</t>
        </is>
      </c>
      <c r="G900" t="inlineStr"/>
      <c r="H900" t="inlineStr">
        <is>
          <t>חתול</t>
        </is>
      </c>
      <c r="I900" t="inlineStr"/>
      <c r="J900" t="inlineStr">
        <is>
          <t>2026-07</t>
        </is>
      </c>
      <c r="K900" t="n">
        <v>97</v>
      </c>
      <c r="L900" t="n">
        <v>114.46</v>
      </c>
      <c r="M900">
        <f>הגדרות!B11</f>
        <v/>
      </c>
      <c r="N900">
        <f>K900*(1-M900/100)*1.18</f>
        <v/>
      </c>
      <c r="O900">
        <f>הגדרות!C11</f>
        <v/>
      </c>
      <c r="P900">
        <f>הגדרות!D11</f>
        <v/>
      </c>
      <c r="Q900">
        <f>N900*(1+O900/100)+P900</f>
        <v/>
      </c>
    </row>
    <row r="901">
      <c r="A901" t="inlineStr">
        <is>
          <t>Monge Vet Solution</t>
        </is>
      </c>
      <c r="B901" t="inlineStr">
        <is>
          <t>מונג וט חתול אינטסטינל 1.5 ק"ג</t>
        </is>
      </c>
      <c r="D901" t="inlineStr">
        <is>
          <t>29000133</t>
        </is>
      </c>
      <c r="E901" t="inlineStr">
        <is>
          <t>וטרינרי / רפואי</t>
        </is>
      </c>
      <c r="F901" t="inlineStr">
        <is>
          <t>יבש</t>
        </is>
      </c>
      <c r="G901" t="inlineStr"/>
      <c r="H901" t="inlineStr">
        <is>
          <t>חתול</t>
        </is>
      </c>
      <c r="I901" t="inlineStr"/>
      <c r="J901" t="inlineStr">
        <is>
          <t>2026-07</t>
        </is>
      </c>
      <c r="K901" t="n">
        <v>97</v>
      </c>
      <c r="L901" t="n">
        <v>114.46</v>
      </c>
      <c r="M901">
        <f>הגדרות!B11</f>
        <v/>
      </c>
      <c r="N901">
        <f>K901*(1-M901/100)*1.18</f>
        <v/>
      </c>
      <c r="O901">
        <f>הגדרות!C11</f>
        <v/>
      </c>
      <c r="P901">
        <f>הגדרות!D11</f>
        <v/>
      </c>
      <c r="Q901">
        <f>N901*(1+O901/100)+P901</f>
        <v/>
      </c>
    </row>
    <row r="902">
      <c r="A902" t="inlineStr">
        <is>
          <t>Monge Vet Solution</t>
        </is>
      </c>
      <c r="B902" t="inlineStr">
        <is>
          <t>מונג וט חתול דרמטוזיס 1.5 ק"ג</t>
        </is>
      </c>
      <c r="D902" t="inlineStr">
        <is>
          <t>29000132</t>
        </is>
      </c>
      <c r="E902" t="inlineStr">
        <is>
          <t>וטרינרי / רפואי</t>
        </is>
      </c>
      <c r="F902" t="inlineStr">
        <is>
          <t>יבש</t>
        </is>
      </c>
      <c r="G902" t="inlineStr"/>
      <c r="H902" t="inlineStr">
        <is>
          <t>חתול</t>
        </is>
      </c>
      <c r="I902" t="inlineStr"/>
      <c r="J902" t="inlineStr">
        <is>
          <t>2026-07</t>
        </is>
      </c>
      <c r="K902" t="n">
        <v>97</v>
      </c>
      <c r="L902" t="n">
        <v>114.46</v>
      </c>
      <c r="M902">
        <f>הגדרות!B11</f>
        <v/>
      </c>
      <c r="N902">
        <f>K902*(1-M902/100)*1.18</f>
        <v/>
      </c>
      <c r="O902">
        <f>הגדרות!C11</f>
        <v/>
      </c>
      <c r="P902">
        <f>הגדרות!D11</f>
        <v/>
      </c>
      <c r="Q902">
        <f>N902*(1+O902/100)+P902</f>
        <v/>
      </c>
    </row>
    <row r="903">
      <c r="A903" t="inlineStr">
        <is>
          <t>Monge Vet Solution</t>
        </is>
      </c>
      <c r="B903" t="inlineStr">
        <is>
          <t>מונג וט חתול יורינרי אוקסלייט 1.5 ק"ג</t>
        </is>
      </c>
      <c r="D903" t="inlineStr">
        <is>
          <t>29000135</t>
        </is>
      </c>
      <c r="E903" t="inlineStr">
        <is>
          <t>וטרינרי / רפואי</t>
        </is>
      </c>
      <c r="F903" t="inlineStr">
        <is>
          <t>יבש</t>
        </is>
      </c>
      <c r="G903" t="inlineStr"/>
      <c r="H903" t="inlineStr">
        <is>
          <t>חתול</t>
        </is>
      </c>
      <c r="I903" t="inlineStr"/>
      <c r="J903" t="inlineStr">
        <is>
          <t>2026-07</t>
        </is>
      </c>
      <c r="K903" t="n">
        <v>97</v>
      </c>
      <c r="L903" t="n">
        <v>114.46</v>
      </c>
      <c r="M903">
        <f>הגדרות!B11</f>
        <v/>
      </c>
      <c r="N903">
        <f>K903*(1-M903/100)*1.18</f>
        <v/>
      </c>
      <c r="O903">
        <f>הגדרות!C11</f>
        <v/>
      </c>
      <c r="P903">
        <f>הגדרות!D11</f>
        <v/>
      </c>
      <c r="Q903">
        <f>N903*(1+O903/100)+P903</f>
        <v/>
      </c>
    </row>
    <row r="904">
      <c r="A904" t="inlineStr">
        <is>
          <t>Monge Vet Solution</t>
        </is>
      </c>
      <c r="B904" t="inlineStr">
        <is>
          <t>מונג וט חתול יורינרי סטרווויט 1.5 ק"ג</t>
        </is>
      </c>
      <c r="D904" t="inlineStr">
        <is>
          <t>29000134</t>
        </is>
      </c>
      <c r="E904" t="inlineStr">
        <is>
          <t>וטרינרי / רפואי</t>
        </is>
      </c>
      <c r="F904" t="inlineStr">
        <is>
          <t>יבש</t>
        </is>
      </c>
      <c r="G904" t="inlineStr"/>
      <c r="H904" t="inlineStr">
        <is>
          <t>חתול</t>
        </is>
      </c>
      <c r="I904" t="inlineStr"/>
      <c r="J904" t="inlineStr">
        <is>
          <t>2026-07</t>
        </is>
      </c>
      <c r="K904" t="n">
        <v>97</v>
      </c>
      <c r="L904" t="n">
        <v>114.46</v>
      </c>
      <c r="M904">
        <f>הגדרות!B11</f>
        <v/>
      </c>
      <c r="N904">
        <f>K904*(1-M904/100)*1.18</f>
        <v/>
      </c>
      <c r="O904">
        <f>הגדרות!C11</f>
        <v/>
      </c>
      <c r="P904">
        <f>הגדרות!D11</f>
        <v/>
      </c>
      <c r="Q904">
        <f>N904*(1+O904/100)+P904</f>
        <v/>
      </c>
    </row>
    <row r="905">
      <c r="A905" t="inlineStr">
        <is>
          <t>Monge Vet Solution</t>
        </is>
      </c>
      <c r="B905" t="inlineStr">
        <is>
          <t>מונג וט חתול רנל 1.5 ק"ג</t>
        </is>
      </c>
      <c r="D905" t="inlineStr">
        <is>
          <t>29000136</t>
        </is>
      </c>
      <c r="E905" t="inlineStr">
        <is>
          <t>וטרינרי / רפואי</t>
        </is>
      </c>
      <c r="F905" t="inlineStr">
        <is>
          <t>יבש</t>
        </is>
      </c>
      <c r="G905" t="inlineStr"/>
      <c r="H905" t="inlineStr">
        <is>
          <t>חתול</t>
        </is>
      </c>
      <c r="I905" t="inlineStr"/>
      <c r="J905" t="inlineStr">
        <is>
          <t>2026-07</t>
        </is>
      </c>
      <c r="K905" t="n">
        <v>97</v>
      </c>
      <c r="L905" t="n">
        <v>114.46</v>
      </c>
      <c r="M905">
        <f>הגדרות!B11</f>
        <v/>
      </c>
      <c r="N905">
        <f>K905*(1-M905/100)*1.18</f>
        <v/>
      </c>
      <c r="O905">
        <f>הגדרות!C11</f>
        <v/>
      </c>
      <c r="P905">
        <f>הגדרות!D11</f>
        <v/>
      </c>
      <c r="Q905">
        <f>N905*(1+O905/100)+P905</f>
        <v/>
      </c>
    </row>
    <row r="906">
      <c r="A906" t="inlineStr">
        <is>
          <t>Monge Vet Solution</t>
        </is>
      </c>
      <c r="B906" t="inlineStr">
        <is>
          <t>מונג וט מוביליטי כלב 12 ק"ג</t>
        </is>
      </c>
      <c r="D906" t="inlineStr">
        <is>
          <t>29000239</t>
        </is>
      </c>
      <c r="E906" t="inlineStr">
        <is>
          <t>וטרינרי / רפואי</t>
        </is>
      </c>
      <c r="F906" t="inlineStr">
        <is>
          <t>יבש</t>
        </is>
      </c>
      <c r="G906" t="inlineStr"/>
      <c r="H906" t="inlineStr">
        <is>
          <t>כלב</t>
        </is>
      </c>
      <c r="I906" t="inlineStr"/>
      <c r="J906" t="inlineStr">
        <is>
          <t>2026-07</t>
        </is>
      </c>
      <c r="K906" t="n">
        <v>448</v>
      </c>
      <c r="L906" t="n">
        <v>528.64</v>
      </c>
      <c r="M906">
        <f>הגדרות!B11</f>
        <v/>
      </c>
      <c r="N906">
        <f>K906*(1-M906/100)*1.18</f>
        <v/>
      </c>
      <c r="O906">
        <f>הגדרות!C11</f>
        <v/>
      </c>
      <c r="P906">
        <f>הגדרות!D11</f>
        <v/>
      </c>
      <c r="Q906">
        <f>N906*(1+O906/100)+P906</f>
        <v/>
      </c>
    </row>
    <row r="907">
      <c r="A907" t="inlineStr">
        <is>
          <t>Monge Vet Solution</t>
        </is>
      </c>
      <c r="B907" t="inlineStr">
        <is>
          <t>מונג וט קרדיאק כלב 12 ק"ג</t>
        </is>
      </c>
      <c r="D907" t="inlineStr">
        <is>
          <t>29000238</t>
        </is>
      </c>
      <c r="E907" t="inlineStr">
        <is>
          <t>וטרינרי / רפואי</t>
        </is>
      </c>
      <c r="F907" t="inlineStr">
        <is>
          <t>יבש</t>
        </is>
      </c>
      <c r="G907" t="inlineStr"/>
      <c r="H907" t="inlineStr">
        <is>
          <t>כלב</t>
        </is>
      </c>
      <c r="I907" t="inlineStr"/>
      <c r="J907" t="inlineStr">
        <is>
          <t>2026-07</t>
        </is>
      </c>
      <c r="K907" t="n">
        <v>448</v>
      </c>
      <c r="L907" t="n">
        <v>528.64</v>
      </c>
      <c r="M907">
        <f>הגדרות!B11</f>
        <v/>
      </c>
      <c r="N907">
        <f>K907*(1-M907/100)*1.18</f>
        <v/>
      </c>
      <c r="O907">
        <f>הגדרות!C11</f>
        <v/>
      </c>
      <c r="P907">
        <f>הגדרות!D11</f>
        <v/>
      </c>
      <c r="Q907">
        <f>N907*(1+O907/100)+P907</f>
        <v/>
      </c>
    </row>
    <row r="908">
      <c r="A908" t="inlineStr">
        <is>
          <t>Monge Vet Solution</t>
        </is>
      </c>
      <c r="B908" t="inlineStr">
        <is>
          <t>מונג וט קרדיאק כלב 2 ק"ג</t>
        </is>
      </c>
      <c r="D908" t="inlineStr">
        <is>
          <t>29000185</t>
        </is>
      </c>
      <c r="E908" t="inlineStr">
        <is>
          <t>וטרינרי / רפואי</t>
        </is>
      </c>
      <c r="F908" t="inlineStr">
        <is>
          <t>יבש</t>
        </is>
      </c>
      <c r="G908" t="inlineStr"/>
      <c r="H908" t="inlineStr">
        <is>
          <t>כלב</t>
        </is>
      </c>
      <c r="I908" t="inlineStr"/>
      <c r="J908" t="inlineStr">
        <is>
          <t>2026-07</t>
        </is>
      </c>
      <c r="K908" t="n">
        <v>116</v>
      </c>
      <c r="L908" t="n">
        <v>136.88</v>
      </c>
      <c r="M908">
        <f>הגדרות!B11</f>
        <v/>
      </c>
      <c r="N908">
        <f>K908*(1-M908/100)*1.18</f>
        <v/>
      </c>
      <c r="O908">
        <f>הגדרות!C11</f>
        <v/>
      </c>
      <c r="P908">
        <f>הגדרות!D11</f>
        <v/>
      </c>
      <c r="Q908">
        <f>N908*(1+O908/100)+P908</f>
        <v/>
      </c>
    </row>
    <row r="909">
      <c r="A909" t="inlineStr">
        <is>
          <t>Monge Vet Solution</t>
        </is>
      </c>
      <c r="B909" t="inlineStr">
        <is>
          <t>מונג וט רנל כלב 12 ק"ג</t>
        </is>
      </c>
      <c r="D909" t="inlineStr">
        <is>
          <t>29000140</t>
        </is>
      </c>
      <c r="E909" t="inlineStr">
        <is>
          <t>וטרינרי / רפואי</t>
        </is>
      </c>
      <c r="F909" t="inlineStr">
        <is>
          <t>יבש</t>
        </is>
      </c>
      <c r="G909" t="inlineStr"/>
      <c r="H909" t="inlineStr">
        <is>
          <t>כלב</t>
        </is>
      </c>
      <c r="I909" t="inlineStr"/>
      <c r="J909" t="inlineStr">
        <is>
          <t>2026-07</t>
        </is>
      </c>
      <c r="K909" t="n">
        <v>431</v>
      </c>
      <c r="L909" t="n">
        <v>508.58</v>
      </c>
      <c r="M909">
        <f>הגדרות!B11</f>
        <v/>
      </c>
      <c r="N909">
        <f>K909*(1-M909/100)*1.18</f>
        <v/>
      </c>
      <c r="O909">
        <f>הגדרות!C11</f>
        <v/>
      </c>
      <c r="P909">
        <f>הגדרות!D11</f>
        <v/>
      </c>
      <c r="Q909">
        <f>N909*(1+O909/100)+P909</f>
        <v/>
      </c>
    </row>
    <row r="910">
      <c r="A910" t="inlineStr">
        <is>
          <t>Monge Vet Solution</t>
        </is>
      </c>
      <c r="B910" t="inlineStr">
        <is>
          <t>מונג וט רנל כלב 2 ק"ג</t>
        </is>
      </c>
      <c r="D910" t="inlineStr">
        <is>
          <t>29000183</t>
        </is>
      </c>
      <c r="E910" t="inlineStr">
        <is>
          <t>וטרינרי / רפואי</t>
        </is>
      </c>
      <c r="F910" t="inlineStr">
        <is>
          <t>יבש</t>
        </is>
      </c>
      <c r="G910" t="inlineStr"/>
      <c r="H910" t="inlineStr">
        <is>
          <t>כלב</t>
        </is>
      </c>
      <c r="I910" t="inlineStr"/>
      <c r="J910" t="inlineStr">
        <is>
          <t>2026-07</t>
        </is>
      </c>
      <c r="K910" t="n">
        <v>116</v>
      </c>
      <c r="L910" t="n">
        <v>136.88</v>
      </c>
      <c r="M910">
        <f>הגדרות!B11</f>
        <v/>
      </c>
      <c r="N910">
        <f>K910*(1-M910/100)*1.18</f>
        <v/>
      </c>
      <c r="O910">
        <f>הגדרות!C11</f>
        <v/>
      </c>
      <c r="P910">
        <f>הגדרות!D11</f>
        <v/>
      </c>
      <c r="Q910">
        <f>N910*(1+O910/100)+P910</f>
        <v/>
      </c>
    </row>
    <row r="911">
      <c r="A911" t="inlineStr">
        <is>
          <t>Monge Vet Solution</t>
        </is>
      </c>
      <c r="B911" t="inlineStr">
        <is>
          <t>*מונג וט כלב יורנרי סטרוויט 2 ק"ג * חדש</t>
        </is>
      </c>
      <c r="D911" t="inlineStr">
        <is>
          <t>29000359</t>
        </is>
      </c>
      <c r="E911" t="inlineStr">
        <is>
          <t>וטרינרי / רפואי</t>
        </is>
      </c>
      <c r="F911" t="inlineStr">
        <is>
          <t>יבש</t>
        </is>
      </c>
      <c r="G911" t="inlineStr"/>
      <c r="H911" t="inlineStr">
        <is>
          <t>כלב</t>
        </is>
      </c>
      <c r="I911" t="inlineStr"/>
      <c r="J911" t="inlineStr">
        <is>
          <t>2026-07</t>
        </is>
      </c>
      <c r="K911" t="n">
        <v>116</v>
      </c>
      <c r="L911" t="n">
        <v>136.88</v>
      </c>
      <c r="M911">
        <f>הגדרות!B11</f>
        <v/>
      </c>
      <c r="N911">
        <f>K911*(1-M911/100)*1.18</f>
        <v/>
      </c>
      <c r="O911">
        <f>הגדרות!C11</f>
        <v/>
      </c>
      <c r="P911">
        <f>הגדרות!D11</f>
        <v/>
      </c>
      <c r="Q911">
        <f>N911*(1+O911/100)+P911</f>
        <v/>
      </c>
    </row>
    <row r="912">
      <c r="A912" t="inlineStr">
        <is>
          <t>Monge Vet Solution</t>
        </is>
      </c>
      <c r="B912" t="inlineStr">
        <is>
          <t>*מונג וט כלב יורנרי סטרוויט 12 ק"ג * חדש</t>
        </is>
      </c>
      <c r="D912" t="inlineStr">
        <is>
          <t>29000360</t>
        </is>
      </c>
      <c r="E912" t="inlineStr">
        <is>
          <t>וטרינרי / רפואי</t>
        </is>
      </c>
      <c r="F912" t="inlineStr">
        <is>
          <t>יבש</t>
        </is>
      </c>
      <c r="G912" t="inlineStr"/>
      <c r="H912" t="inlineStr">
        <is>
          <t>כלב</t>
        </is>
      </c>
      <c r="I912" t="inlineStr"/>
      <c r="J912" t="inlineStr">
        <is>
          <t>2026-07</t>
        </is>
      </c>
      <c r="K912" t="n">
        <v>469</v>
      </c>
      <c r="L912" t="n">
        <v>553.42</v>
      </c>
      <c r="M912">
        <f>הגדרות!B11</f>
        <v/>
      </c>
      <c r="N912">
        <f>K912*(1-M912/100)*1.18</f>
        <v/>
      </c>
      <c r="O912">
        <f>הגדרות!C11</f>
        <v/>
      </c>
      <c r="P912">
        <f>הגדרות!D11</f>
        <v/>
      </c>
      <c r="Q912">
        <f>N912*(1+O912/100)+P912</f>
        <v/>
      </c>
    </row>
    <row r="913">
      <c r="A913" t="inlineStr">
        <is>
          <t>Monge Vet Solution</t>
        </is>
      </c>
      <c r="B913" t="inlineStr">
        <is>
          <t>מונג וט דרמטוזיס רטוב 150 ג' כלב</t>
        </is>
      </c>
      <c r="D913" t="inlineStr">
        <is>
          <t>15170002</t>
        </is>
      </c>
      <c r="E913" t="inlineStr">
        <is>
          <t>וטרינרי / רפואי</t>
        </is>
      </c>
      <c r="F913" t="inlineStr">
        <is>
          <t>רטוב</t>
        </is>
      </c>
      <c r="G913" t="inlineStr"/>
      <c r="H913" t="inlineStr">
        <is>
          <t>כלב</t>
        </is>
      </c>
      <c r="I913" t="inlineStr"/>
      <c r="J913" t="inlineStr">
        <is>
          <t>2026-07</t>
        </is>
      </c>
      <c r="K913" t="n">
        <v>6.7</v>
      </c>
      <c r="L913" t="n">
        <v>7.91</v>
      </c>
      <c r="M913">
        <f>הגדרות!B11</f>
        <v/>
      </c>
      <c r="N913">
        <f>K913*(1-M913/100)*1.18</f>
        <v/>
      </c>
      <c r="O913">
        <f>הגדרות!C11</f>
        <v/>
      </c>
      <c r="P913">
        <f>הגדרות!D11</f>
        <v/>
      </c>
      <c r="Q913">
        <f>N913*(1+O913/100)+P913</f>
        <v/>
      </c>
    </row>
    <row r="914">
      <c r="A914" t="inlineStr">
        <is>
          <t>Monge Vet Solution</t>
        </is>
      </c>
      <c r="B914" t="inlineStr">
        <is>
          <t>מונג וט גסטרואינטסטינל רטוב 150 ג' כלב</t>
        </is>
      </c>
      <c r="D914" t="inlineStr">
        <is>
          <t>15170003</t>
        </is>
      </c>
      <c r="E914" t="inlineStr">
        <is>
          <t>וטרינרי / רפואי</t>
        </is>
      </c>
      <c r="F914" t="inlineStr">
        <is>
          <t>רטוב</t>
        </is>
      </c>
      <c r="G914" t="inlineStr"/>
      <c r="H914" t="inlineStr">
        <is>
          <t>כלב</t>
        </is>
      </c>
      <c r="I914" t="inlineStr"/>
      <c r="J914" t="inlineStr">
        <is>
          <t>2026-07</t>
        </is>
      </c>
      <c r="K914" t="n">
        <v>6.7</v>
      </c>
      <c r="L914" t="n">
        <v>7.91</v>
      </c>
      <c r="M914">
        <f>הגדרות!B11</f>
        <v/>
      </c>
      <c r="N914">
        <f>K914*(1-M914/100)*1.18</f>
        <v/>
      </c>
      <c r="O914">
        <f>הגדרות!C11</f>
        <v/>
      </c>
      <c r="P914">
        <f>הגדרות!D11</f>
        <v/>
      </c>
      <c r="Q914">
        <f>N914*(1+O914/100)+P914</f>
        <v/>
      </c>
    </row>
    <row r="915">
      <c r="A915" t="inlineStr">
        <is>
          <t>Monge Vet Solution</t>
        </is>
      </c>
      <c r="B915" t="inlineStr">
        <is>
          <t>מונג וט רנל ואוקסלייט רטוב 150 ג' כלב</t>
        </is>
      </c>
      <c r="D915" t="inlineStr">
        <is>
          <t>15170004</t>
        </is>
      </c>
      <c r="E915" t="inlineStr">
        <is>
          <t>וטרינרי / רפואי</t>
        </is>
      </c>
      <c r="F915" t="inlineStr">
        <is>
          <t>רטוב</t>
        </is>
      </c>
      <c r="G915" t="inlineStr"/>
      <c r="H915" t="inlineStr">
        <is>
          <t>כלב</t>
        </is>
      </c>
      <c r="I915" t="inlineStr"/>
      <c r="J915" t="inlineStr">
        <is>
          <t>2026-07</t>
        </is>
      </c>
      <c r="K915" t="n">
        <v>6.7</v>
      </c>
      <c r="L915" t="n">
        <v>7.91</v>
      </c>
      <c r="M915">
        <f>הגדרות!B11</f>
        <v/>
      </c>
      <c r="N915">
        <f>K915*(1-M915/100)*1.18</f>
        <v/>
      </c>
      <c r="O915">
        <f>הגדרות!C11</f>
        <v/>
      </c>
      <c r="P915">
        <f>הגדרות!D11</f>
        <v/>
      </c>
      <c r="Q915">
        <f>N915*(1+O915/100)+P915</f>
        <v/>
      </c>
    </row>
    <row r="916">
      <c r="A916" t="inlineStr">
        <is>
          <t>Monge Vet Solution</t>
        </is>
      </c>
      <c r="B916" t="inlineStr">
        <is>
          <t>מונג וט ריקברי רטוב 150 ג' כלב</t>
        </is>
      </c>
      <c r="D916" t="inlineStr">
        <is>
          <t>15170005</t>
        </is>
      </c>
      <c r="E916" t="inlineStr">
        <is>
          <t>וטרינרי / רפואי</t>
        </is>
      </c>
      <c r="F916" t="inlineStr">
        <is>
          <t>רטוב</t>
        </is>
      </c>
      <c r="G916" t="inlineStr"/>
      <c r="H916" t="inlineStr">
        <is>
          <t>כלב</t>
        </is>
      </c>
      <c r="I916" t="inlineStr"/>
      <c r="J916" t="inlineStr">
        <is>
          <t>2026-07</t>
        </is>
      </c>
      <c r="K916" t="n">
        <v>7.9</v>
      </c>
      <c r="L916" t="n">
        <v>9.32</v>
      </c>
      <c r="M916">
        <f>הגדרות!B11</f>
        <v/>
      </c>
      <c r="N916">
        <f>K916*(1-M916/100)*1.18</f>
        <v/>
      </c>
      <c r="O916">
        <f>הגדרות!C11</f>
        <v/>
      </c>
      <c r="P916">
        <f>הגדרות!D11</f>
        <v/>
      </c>
      <c r="Q916">
        <f>N916*(1+O916/100)+P916</f>
        <v/>
      </c>
    </row>
    <row r="917">
      <c r="A917" t="inlineStr">
        <is>
          <t>Monge Vet Solution</t>
        </is>
      </c>
      <c r="B917" t="inlineStr">
        <is>
          <t>מונג וט דרמטוזיס רטוב 100 ג' חתול</t>
        </is>
      </c>
      <c r="D917" t="inlineStr">
        <is>
          <t>15170006</t>
        </is>
      </c>
      <c r="E917" t="inlineStr">
        <is>
          <t>וטרינרי / רפואי</t>
        </is>
      </c>
      <c r="F917" t="inlineStr">
        <is>
          <t>רטוב</t>
        </is>
      </c>
      <c r="G917" t="inlineStr"/>
      <c r="H917" t="inlineStr">
        <is>
          <t>חתול</t>
        </is>
      </c>
      <c r="I917" t="inlineStr"/>
      <c r="J917" t="inlineStr">
        <is>
          <t>2026-07</t>
        </is>
      </c>
      <c r="K917" t="n">
        <v>5.4</v>
      </c>
      <c r="L917" t="n">
        <v>6.37</v>
      </c>
      <c r="M917">
        <f>הגדרות!B11</f>
        <v/>
      </c>
      <c r="N917">
        <f>K917*(1-M917/100)*1.18</f>
        <v/>
      </c>
      <c r="O917">
        <f>הגדרות!C11</f>
        <v/>
      </c>
      <c r="P917">
        <f>הגדרות!D11</f>
        <v/>
      </c>
      <c r="Q917">
        <f>N917*(1+O917/100)+P917</f>
        <v/>
      </c>
    </row>
    <row r="918">
      <c r="A918" t="inlineStr">
        <is>
          <t>Monge Vet Solution</t>
        </is>
      </c>
      <c r="B918" t="inlineStr">
        <is>
          <t>מונג וט גסטרואינטסטינל רטוב 100 ג' חתול</t>
        </is>
      </c>
      <c r="D918" t="inlineStr">
        <is>
          <t>15170007</t>
        </is>
      </c>
      <c r="E918" t="inlineStr">
        <is>
          <t>וטרינרי / רפואי</t>
        </is>
      </c>
      <c r="F918" t="inlineStr">
        <is>
          <t>רטוב</t>
        </is>
      </c>
      <c r="G918" t="inlineStr"/>
      <c r="H918" t="inlineStr">
        <is>
          <t>חתול</t>
        </is>
      </c>
      <c r="I918" t="inlineStr"/>
      <c r="J918" t="inlineStr">
        <is>
          <t>2026-07</t>
        </is>
      </c>
      <c r="K918" t="n">
        <v>5.4</v>
      </c>
      <c r="L918" t="n">
        <v>6.37</v>
      </c>
      <c r="M918">
        <f>הגדרות!B11</f>
        <v/>
      </c>
      <c r="N918">
        <f>K918*(1-M918/100)*1.18</f>
        <v/>
      </c>
      <c r="O918">
        <f>הגדרות!C11</f>
        <v/>
      </c>
      <c r="P918">
        <f>הגדרות!D11</f>
        <v/>
      </c>
      <c r="Q918">
        <f>N918*(1+O918/100)+P918</f>
        <v/>
      </c>
    </row>
    <row r="919">
      <c r="A919" t="inlineStr">
        <is>
          <t>Monge Vet Solution</t>
        </is>
      </c>
      <c r="B919" t="inlineStr">
        <is>
          <t>מונג וט יורינרי סטרוויט רטוב 100 ג' חתול</t>
        </is>
      </c>
      <c r="D919" t="inlineStr">
        <is>
          <t>15170008</t>
        </is>
      </c>
      <c r="E919" t="inlineStr">
        <is>
          <t>וטרינרי / רפואי</t>
        </is>
      </c>
      <c r="F919" t="inlineStr">
        <is>
          <t>רטוב</t>
        </is>
      </c>
      <c r="G919" t="inlineStr"/>
      <c r="H919" t="inlineStr">
        <is>
          <t>חתול</t>
        </is>
      </c>
      <c r="I919" t="inlineStr"/>
      <c r="J919" t="inlineStr">
        <is>
          <t>2026-07</t>
        </is>
      </c>
      <c r="K919" t="n">
        <v>5.4</v>
      </c>
      <c r="L919" t="n">
        <v>6.37</v>
      </c>
      <c r="M919">
        <f>הגדרות!B11</f>
        <v/>
      </c>
      <c r="N919">
        <f>K919*(1-M919/100)*1.18</f>
        <v/>
      </c>
      <c r="O919">
        <f>הגדרות!C11</f>
        <v/>
      </c>
      <c r="P919">
        <f>הגדרות!D11</f>
        <v/>
      </c>
      <c r="Q919">
        <f>N919*(1+O919/100)+P919</f>
        <v/>
      </c>
    </row>
    <row r="920">
      <c r="A920" t="inlineStr">
        <is>
          <t>Monge Vet Solution</t>
        </is>
      </c>
      <c r="B920" t="inlineStr">
        <is>
          <t>מונג וט רנל ואוקסלייט רטוב 100 ג' חתול</t>
        </is>
      </c>
      <c r="D920" t="inlineStr">
        <is>
          <t>15170009</t>
        </is>
      </c>
      <c r="E920" t="inlineStr">
        <is>
          <t>וטרינרי / רפואי</t>
        </is>
      </c>
      <c r="F920" t="inlineStr">
        <is>
          <t>רטוב</t>
        </is>
      </c>
      <c r="G920" t="inlineStr"/>
      <c r="H920" t="inlineStr">
        <is>
          <t>חתול</t>
        </is>
      </c>
      <c r="I920" t="inlineStr"/>
      <c r="J920" t="inlineStr">
        <is>
          <t>2026-07</t>
        </is>
      </c>
      <c r="K920" t="n">
        <v>5.4</v>
      </c>
      <c r="L920" t="n">
        <v>6.37</v>
      </c>
      <c r="M920">
        <f>הגדרות!B11</f>
        <v/>
      </c>
      <c r="N920">
        <f>K920*(1-M920/100)*1.18</f>
        <v/>
      </c>
      <c r="O920">
        <f>הגדרות!C11</f>
        <v/>
      </c>
      <c r="P920">
        <f>הגדרות!D11</f>
        <v/>
      </c>
      <c r="Q920">
        <f>N920*(1+O920/100)+P920</f>
        <v/>
      </c>
    </row>
    <row r="921">
      <c r="A921" t="inlineStr">
        <is>
          <t>Monge Vet Solution</t>
        </is>
      </c>
      <c r="B921" t="inlineStr">
        <is>
          <t>מונג וט ריקברי רטוב 100 ג' חתול</t>
        </is>
      </c>
      <c r="D921" t="inlineStr">
        <is>
          <t>15170010</t>
        </is>
      </c>
      <c r="E921" t="inlineStr">
        <is>
          <t>וטרינרי / רפואי</t>
        </is>
      </c>
      <c r="F921" t="inlineStr">
        <is>
          <t>רטוב</t>
        </is>
      </c>
      <c r="G921" t="inlineStr"/>
      <c r="H921" t="inlineStr">
        <is>
          <t>חתול</t>
        </is>
      </c>
      <c r="I921" t="inlineStr"/>
      <c r="J921" t="inlineStr">
        <is>
          <t>2026-07</t>
        </is>
      </c>
      <c r="K921" t="n">
        <v>5.9</v>
      </c>
      <c r="L921" t="n">
        <v>6.96</v>
      </c>
      <c r="M921">
        <f>הגדרות!B11</f>
        <v/>
      </c>
      <c r="N921">
        <f>K921*(1-M921/100)*1.18</f>
        <v/>
      </c>
      <c r="O921">
        <f>הגדרות!C11</f>
        <v/>
      </c>
      <c r="P921">
        <f>הגדרות!D11</f>
        <v/>
      </c>
      <c r="Q921">
        <f>N921*(1+O921/100)+P921</f>
        <v/>
      </c>
    </row>
    <row r="922">
      <c r="A922" t="inlineStr">
        <is>
          <t>Monge Vet Solution</t>
        </is>
      </c>
      <c r="B922" t="inlineStr">
        <is>
          <t>מונג וט גסטרואינטסטינל פחית 400 ג' (12 במגש)</t>
        </is>
      </c>
      <c r="D922" t="inlineStr">
        <is>
          <t>15170050</t>
        </is>
      </c>
      <c r="E922" t="inlineStr">
        <is>
          <t>וטרינרי / רפואי</t>
        </is>
      </c>
      <c r="F922" t="inlineStr">
        <is>
          <t>רטוב</t>
        </is>
      </c>
      <c r="G922" t="inlineStr"/>
      <c r="H922" t="inlineStr"/>
      <c r="I922" t="inlineStr"/>
      <c r="J922" t="inlineStr">
        <is>
          <t>2026-07</t>
        </is>
      </c>
      <c r="K922" t="n">
        <v>12</v>
      </c>
      <c r="L922" t="n">
        <v>14.16</v>
      </c>
      <c r="M922">
        <f>הגדרות!B11</f>
        <v/>
      </c>
      <c r="N922">
        <f>K922*(1-M922/100)*1.18</f>
        <v/>
      </c>
      <c r="O922">
        <f>הגדרות!C11</f>
        <v/>
      </c>
      <c r="P922">
        <f>הגדרות!D11</f>
        <v/>
      </c>
      <c r="Q922">
        <f>N922*(1+O922/100)+P922</f>
        <v/>
      </c>
    </row>
    <row r="923">
      <c r="A923" t="inlineStr">
        <is>
          <t>Monge Vet Solution</t>
        </is>
      </c>
      <c r="B923" t="inlineStr">
        <is>
          <t>מונג וט היפו מונו ברווז פחית 400 ג' (12 במגש)</t>
        </is>
      </c>
      <c r="D923" t="inlineStr">
        <is>
          <t>15170052</t>
        </is>
      </c>
      <c r="E923" t="inlineStr">
        <is>
          <t>וטרינרי / רפואי</t>
        </is>
      </c>
      <c r="F923" t="inlineStr">
        <is>
          <t>רטוב</t>
        </is>
      </c>
      <c r="G923" t="inlineStr"/>
      <c r="H923" t="inlineStr"/>
      <c r="I923" t="inlineStr"/>
      <c r="J923" t="inlineStr">
        <is>
          <t>2026-07</t>
        </is>
      </c>
      <c r="K923" t="n">
        <v>12</v>
      </c>
      <c r="L923" t="n">
        <v>14.16</v>
      </c>
      <c r="M923">
        <f>הגדרות!B11</f>
        <v/>
      </c>
      <c r="N923">
        <f>K923*(1-M923/100)*1.18</f>
        <v/>
      </c>
      <c r="O923">
        <f>הגדרות!C11</f>
        <v/>
      </c>
      <c r="P923">
        <f>הגדרות!D11</f>
        <v/>
      </c>
      <c r="Q923">
        <f>N923*(1+O923/100)+P923</f>
        <v/>
      </c>
    </row>
    <row r="924">
      <c r="A924" t="inlineStr">
        <is>
          <t>Monge Vet Solution</t>
        </is>
      </c>
      <c r="B924" t="inlineStr">
        <is>
          <t>מונג וט היפו מונו חזיר פחית 400 ג' (12 במגש)</t>
        </is>
      </c>
      <c r="D924" t="inlineStr">
        <is>
          <t>15170053</t>
        </is>
      </c>
      <c r="E924" t="inlineStr">
        <is>
          <t>וטרינרי / רפואי</t>
        </is>
      </c>
      <c r="F924" t="inlineStr">
        <is>
          <t>רטוב</t>
        </is>
      </c>
      <c r="G924" t="inlineStr"/>
      <c r="H924" t="inlineStr"/>
      <c r="I924" t="inlineStr"/>
      <c r="J924" t="inlineStr">
        <is>
          <t>2026-07</t>
        </is>
      </c>
      <c r="K924" t="n">
        <v>12</v>
      </c>
      <c r="L924" t="n">
        <v>14.16</v>
      </c>
      <c r="M924">
        <f>הגדרות!B11</f>
        <v/>
      </c>
      <c r="N924">
        <f>K924*(1-M924/100)*1.18</f>
        <v/>
      </c>
      <c r="O924">
        <f>הגדרות!C11</f>
        <v/>
      </c>
      <c r="P924">
        <f>הגדרות!D11</f>
        <v/>
      </c>
      <c r="Q924">
        <f>N924*(1+O924/100)+P924</f>
        <v/>
      </c>
    </row>
    <row r="925">
      <c r="A925" t="inlineStr">
        <is>
          <t>Monge Vet Solution</t>
        </is>
      </c>
      <c r="B925" t="inlineStr">
        <is>
          <t>מונג וט היפו מונו טונה פחית 400 ג' (12 במגש)</t>
        </is>
      </c>
      <c r="D925" t="inlineStr">
        <is>
          <t>15170051</t>
        </is>
      </c>
      <c r="E925" t="inlineStr">
        <is>
          <t>וטרינרי / רפואי</t>
        </is>
      </c>
      <c r="F925" t="inlineStr">
        <is>
          <t>רטוב</t>
        </is>
      </c>
      <c r="G925" t="inlineStr"/>
      <c r="H925" t="inlineStr"/>
      <c r="I925" t="inlineStr"/>
      <c r="J925" t="inlineStr">
        <is>
          <t>2026-07</t>
        </is>
      </c>
      <c r="K925" t="n">
        <v>12</v>
      </c>
      <c r="L925" t="n">
        <v>14.16</v>
      </c>
      <c r="M925">
        <f>הגדרות!B11</f>
        <v/>
      </c>
      <c r="N925">
        <f>K925*(1-M925/100)*1.18</f>
        <v/>
      </c>
      <c r="O925">
        <f>הגדרות!C11</f>
        <v/>
      </c>
      <c r="P925">
        <f>הגדרות!D11</f>
        <v/>
      </c>
      <c r="Q925">
        <f>N925*(1+O925/100)+P925</f>
        <v/>
      </c>
    </row>
    <row r="926">
      <c r="A926" t="inlineStr">
        <is>
          <t>Monge Vet Solution</t>
        </is>
      </c>
      <c r="B926" t="inlineStr">
        <is>
          <t>מונג וט היפו מונו כבש פחית 400 ג' (12 במגש)</t>
        </is>
      </c>
      <c r="D926" t="inlineStr">
        <is>
          <t>15170049</t>
        </is>
      </c>
      <c r="E926" t="inlineStr">
        <is>
          <t>וטרינרי / רפואי</t>
        </is>
      </c>
      <c r="F926" t="inlineStr">
        <is>
          <t>רטוב</t>
        </is>
      </c>
      <c r="G926" t="inlineStr"/>
      <c r="H926" t="inlineStr"/>
      <c r="I926" t="inlineStr"/>
      <c r="J926" t="inlineStr">
        <is>
          <t>2026-07</t>
        </is>
      </c>
      <c r="K926" t="n">
        <v>12</v>
      </c>
      <c r="L926" t="n">
        <v>14.16</v>
      </c>
      <c r="M926">
        <f>הגדרות!B11</f>
        <v/>
      </c>
      <c r="N926">
        <f>K926*(1-M926/100)*1.18</f>
        <v/>
      </c>
      <c r="O926">
        <f>הגדרות!C11</f>
        <v/>
      </c>
      <c r="P926">
        <f>הגדרות!D11</f>
        <v/>
      </c>
      <c r="Q926">
        <f>N926*(1+O926/100)+P926</f>
        <v/>
      </c>
    </row>
    <row r="927">
      <c r="A927" t="inlineStr">
        <is>
          <t>Monge</t>
        </is>
      </c>
      <c r="B927" t="inlineStr">
        <is>
          <t>מונג אדולט אקטיב עוף 12 ק"ג</t>
        </is>
      </c>
      <c r="D927" t="inlineStr">
        <is>
          <t>29000237</t>
        </is>
      </c>
      <c r="E927" t="inlineStr">
        <is>
          <t>רגיל</t>
        </is>
      </c>
      <c r="F927" t="inlineStr">
        <is>
          <t>יבש</t>
        </is>
      </c>
      <c r="G927" t="inlineStr">
        <is>
          <t>בוגר</t>
        </is>
      </c>
      <c r="H927" t="inlineStr"/>
      <c r="I927" t="inlineStr"/>
      <c r="J927" t="inlineStr">
        <is>
          <t>2026-07</t>
        </is>
      </c>
      <c r="K927" t="n">
        <v>318</v>
      </c>
      <c r="L927" t="n">
        <v>375.24</v>
      </c>
      <c r="M927">
        <f>הגדרות!B12</f>
        <v/>
      </c>
      <c r="N927">
        <f>K927*(1-M927/100)*1.18</f>
        <v/>
      </c>
      <c r="O927">
        <f>הגדרות!C12</f>
        <v/>
      </c>
      <c r="P927">
        <f>הגדרות!D12</f>
        <v/>
      </c>
      <c r="Q927">
        <f>N927*(1+O927/100)+P927</f>
        <v/>
      </c>
    </row>
    <row r="928">
      <c r="A928" t="inlineStr">
        <is>
          <t>Monge</t>
        </is>
      </c>
      <c r="B928" t="inlineStr">
        <is>
          <t>מונג אדולט ארנב אורז ותפוא 12 ק"ג</t>
        </is>
      </c>
      <c r="D928" t="inlineStr">
        <is>
          <t>29000125</t>
        </is>
      </c>
      <c r="E928" t="inlineStr">
        <is>
          <t>רגיל</t>
        </is>
      </c>
      <c r="F928" t="inlineStr">
        <is>
          <t>יבש</t>
        </is>
      </c>
      <c r="G928" t="inlineStr">
        <is>
          <t>בוגר</t>
        </is>
      </c>
      <c r="H928" t="inlineStr"/>
      <c r="I928" t="inlineStr"/>
      <c r="J928" t="inlineStr">
        <is>
          <t>2026-07</t>
        </is>
      </c>
      <c r="K928" t="n">
        <v>318</v>
      </c>
      <c r="L928" t="n">
        <v>375.24</v>
      </c>
      <c r="M928">
        <f>הגדרות!B12</f>
        <v/>
      </c>
      <c r="N928">
        <f>K928*(1-M928/100)*1.18</f>
        <v/>
      </c>
      <c r="O928">
        <f>הגדרות!C12</f>
        <v/>
      </c>
      <c r="P928">
        <f>הגדרות!D12</f>
        <v/>
      </c>
      <c r="Q928">
        <f>N928*(1+O928/100)+P928</f>
        <v/>
      </c>
    </row>
    <row r="929">
      <c r="A929" t="inlineStr">
        <is>
          <t>Monge</t>
        </is>
      </c>
      <c r="B929" t="inlineStr">
        <is>
          <t>מונג אדולט ארנב אורז ותפוא 2.5 ק"ג</t>
        </is>
      </c>
      <c r="D929" t="inlineStr">
        <is>
          <t>29000208</t>
        </is>
      </c>
      <c r="E929" t="inlineStr">
        <is>
          <t>רגיל</t>
        </is>
      </c>
      <c r="F929" t="inlineStr">
        <is>
          <t>יבש</t>
        </is>
      </c>
      <c r="G929" t="inlineStr">
        <is>
          <t>בוגר</t>
        </is>
      </c>
      <c r="H929" t="inlineStr"/>
      <c r="I929" t="inlineStr"/>
      <c r="J929" t="inlineStr">
        <is>
          <t>2026-07</t>
        </is>
      </c>
      <c r="K929" t="n">
        <v>90</v>
      </c>
      <c r="L929" t="n">
        <v>106.2</v>
      </c>
      <c r="M929">
        <f>הגדרות!B12</f>
        <v/>
      </c>
      <c r="N929">
        <f>K929*(1-M929/100)*1.18</f>
        <v/>
      </c>
      <c r="O929">
        <f>הגדרות!C12</f>
        <v/>
      </c>
      <c r="P929">
        <f>הגדרות!D12</f>
        <v/>
      </c>
      <c r="Q929">
        <f>N929*(1+O929/100)+P929</f>
        <v/>
      </c>
    </row>
    <row r="930">
      <c r="A930" t="inlineStr">
        <is>
          <t>Monge</t>
        </is>
      </c>
      <c r="B930" t="inlineStr">
        <is>
          <t>מונג אדולט בקר ואורז 12 ק"ג</t>
        </is>
      </c>
      <c r="D930" t="inlineStr">
        <is>
          <t>29000303</t>
        </is>
      </c>
      <c r="E930" t="inlineStr">
        <is>
          <t>רגיל</t>
        </is>
      </c>
      <c r="F930" t="inlineStr">
        <is>
          <t>יבש</t>
        </is>
      </c>
      <c r="G930" t="inlineStr">
        <is>
          <t>בוגר</t>
        </is>
      </c>
      <c r="H930" t="inlineStr"/>
      <c r="I930" t="inlineStr"/>
      <c r="J930" t="inlineStr">
        <is>
          <t>2026-07</t>
        </is>
      </c>
      <c r="K930" t="n">
        <v>318</v>
      </c>
      <c r="L930" t="n">
        <v>375.24</v>
      </c>
      <c r="M930">
        <f>הגדרות!B12</f>
        <v/>
      </c>
      <c r="N930">
        <f>K930*(1-M930/100)*1.18</f>
        <v/>
      </c>
      <c r="O930">
        <f>הגדרות!C12</f>
        <v/>
      </c>
      <c r="P930">
        <f>הגדרות!D12</f>
        <v/>
      </c>
      <c r="Q930">
        <f>N930*(1+O930/100)+P930</f>
        <v/>
      </c>
    </row>
    <row r="931">
      <c r="A931" t="inlineStr">
        <is>
          <t>Monge</t>
        </is>
      </c>
      <c r="B931" t="inlineStr">
        <is>
          <t>מונג אדולט בקר ואורז 2.5 ק"ג</t>
        </is>
      </c>
      <c r="D931" t="inlineStr">
        <is>
          <t>29000304</t>
        </is>
      </c>
      <c r="E931" t="inlineStr">
        <is>
          <t>רגיל</t>
        </is>
      </c>
      <c r="F931" t="inlineStr">
        <is>
          <t>יבש</t>
        </is>
      </c>
      <c r="G931" t="inlineStr">
        <is>
          <t>בוגר</t>
        </is>
      </c>
      <c r="H931" t="inlineStr"/>
      <c r="I931" t="inlineStr"/>
      <c r="J931" t="inlineStr">
        <is>
          <t>2026-07</t>
        </is>
      </c>
      <c r="K931" t="n">
        <v>90</v>
      </c>
      <c r="L931" t="n">
        <v>106.2</v>
      </c>
      <c r="M931">
        <f>הגדרות!B12</f>
        <v/>
      </c>
      <c r="N931">
        <f>K931*(1-M931/100)*1.18</f>
        <v/>
      </c>
      <c r="O931">
        <f>הגדרות!C12</f>
        <v/>
      </c>
      <c r="P931">
        <f>הגדרות!D12</f>
        <v/>
      </c>
      <c r="Q931">
        <f>N931*(1+O931/100)+P931</f>
        <v/>
      </c>
    </row>
    <row r="932">
      <c r="A932" t="inlineStr">
        <is>
          <t>Monge</t>
        </is>
      </c>
      <c r="B932" t="inlineStr">
        <is>
          <t>מונג אדולט ברווז אורז ותפוא 12 ק"ג</t>
        </is>
      </c>
      <c r="D932" t="inlineStr">
        <is>
          <t>29000124</t>
        </is>
      </c>
      <c r="E932" t="inlineStr">
        <is>
          <t>רגיל</t>
        </is>
      </c>
      <c r="F932" t="inlineStr">
        <is>
          <t>יבש</t>
        </is>
      </c>
      <c r="G932" t="inlineStr">
        <is>
          <t>בוגר</t>
        </is>
      </c>
      <c r="H932" t="inlineStr"/>
      <c r="I932" t="inlineStr"/>
      <c r="J932" t="inlineStr">
        <is>
          <t>2026-07</t>
        </is>
      </c>
      <c r="K932" t="n">
        <v>318</v>
      </c>
      <c r="L932" t="n">
        <v>375.24</v>
      </c>
      <c r="M932">
        <f>הגדרות!B12</f>
        <v/>
      </c>
      <c r="N932">
        <f>K932*(1-M932/100)*1.18</f>
        <v/>
      </c>
      <c r="O932">
        <f>הגדרות!C12</f>
        <v/>
      </c>
      <c r="P932">
        <f>הגדרות!D12</f>
        <v/>
      </c>
      <c r="Q932">
        <f>N932*(1+O932/100)+P932</f>
        <v/>
      </c>
    </row>
    <row r="933">
      <c r="A933" t="inlineStr">
        <is>
          <t>Monge</t>
        </is>
      </c>
      <c r="B933" t="inlineStr">
        <is>
          <t>מונג אדולט ברווז אורז ותפוא 2.5 ק"ג</t>
        </is>
      </c>
      <c r="D933" t="inlineStr">
        <is>
          <t>29000207</t>
        </is>
      </c>
      <c r="E933" t="inlineStr">
        <is>
          <t>רגיל</t>
        </is>
      </c>
      <c r="F933" t="inlineStr">
        <is>
          <t>יבש</t>
        </is>
      </c>
      <c r="G933" t="inlineStr">
        <is>
          <t>בוגר</t>
        </is>
      </c>
      <c r="H933" t="inlineStr"/>
      <c r="I933" t="inlineStr"/>
      <c r="J933" t="inlineStr">
        <is>
          <t>2026-07</t>
        </is>
      </c>
      <c r="K933" t="n">
        <v>90</v>
      </c>
      <c r="L933" t="n">
        <v>106.2</v>
      </c>
      <c r="M933">
        <f>הגדרות!B12</f>
        <v/>
      </c>
      <c r="N933">
        <f>K933*(1-M933/100)*1.18</f>
        <v/>
      </c>
      <c r="O933">
        <f>הגדרות!C12</f>
        <v/>
      </c>
      <c r="P933">
        <f>הגדרות!D12</f>
        <v/>
      </c>
      <c r="Q933">
        <f>N933*(1+O933/100)+P933</f>
        <v/>
      </c>
    </row>
    <row r="934">
      <c r="A934" t="inlineStr">
        <is>
          <t>Monge</t>
        </is>
      </c>
      <c r="B934" t="inlineStr">
        <is>
          <t>מונג אדולט חזיר אורז ותפוא 12 ק"ג</t>
        </is>
      </c>
      <c r="D934" t="inlineStr">
        <is>
          <t>29000222</t>
        </is>
      </c>
      <c r="E934" t="inlineStr">
        <is>
          <t>רגיל</t>
        </is>
      </c>
      <c r="F934" t="inlineStr">
        <is>
          <t>יבש</t>
        </is>
      </c>
      <c r="G934" t="inlineStr">
        <is>
          <t>בוגר</t>
        </is>
      </c>
      <c r="H934" t="inlineStr"/>
      <c r="I934" t="inlineStr"/>
      <c r="J934" t="inlineStr">
        <is>
          <t>2026-07</t>
        </is>
      </c>
      <c r="K934" t="n">
        <v>318</v>
      </c>
      <c r="L934" t="n">
        <v>375.24</v>
      </c>
      <c r="M934">
        <f>הגדרות!B12</f>
        <v/>
      </c>
      <c r="N934">
        <f>K934*(1-M934/100)*1.18</f>
        <v/>
      </c>
      <c r="O934">
        <f>הגדרות!C12</f>
        <v/>
      </c>
      <c r="P934">
        <f>הגדרות!D12</f>
        <v/>
      </c>
      <c r="Q934">
        <f>N934*(1+O934/100)+P934</f>
        <v/>
      </c>
    </row>
    <row r="935">
      <c r="A935" t="inlineStr">
        <is>
          <t>Monge</t>
        </is>
      </c>
      <c r="B935" t="inlineStr">
        <is>
          <t>מונג אדולט חזיר אורז ותפוא 2.5 ק"ג</t>
        </is>
      </c>
      <c r="D935" t="inlineStr">
        <is>
          <t>29000218</t>
        </is>
      </c>
      <c r="E935" t="inlineStr">
        <is>
          <t>רגיל</t>
        </is>
      </c>
      <c r="F935" t="inlineStr">
        <is>
          <t>יבש</t>
        </is>
      </c>
      <c r="G935" t="inlineStr">
        <is>
          <t>בוגר</t>
        </is>
      </c>
      <c r="H935" t="inlineStr"/>
      <c r="I935" t="inlineStr"/>
      <c r="J935" t="inlineStr">
        <is>
          <t>2026-07</t>
        </is>
      </c>
      <c r="K935" t="n">
        <v>90</v>
      </c>
      <c r="L935" t="n">
        <v>106.2</v>
      </c>
      <c r="M935">
        <f>הגדרות!B12</f>
        <v/>
      </c>
      <c r="N935">
        <f>K935*(1-M935/100)*1.18</f>
        <v/>
      </c>
      <c r="O935">
        <f>הגדרות!C12</f>
        <v/>
      </c>
      <c r="P935">
        <f>הגדרות!D12</f>
        <v/>
      </c>
      <c r="Q935">
        <f>N935*(1+O935/100)+P935</f>
        <v/>
      </c>
    </row>
    <row r="936">
      <c r="A936" t="inlineStr">
        <is>
          <t>Monge</t>
        </is>
      </c>
      <c r="B936" t="inlineStr">
        <is>
          <t>מונג אדולט כבש אורז ותפוא 12 ק"ג</t>
        </is>
      </c>
      <c r="D936" t="inlineStr">
        <is>
          <t>29000163</t>
        </is>
      </c>
      <c r="E936" t="inlineStr">
        <is>
          <t>רגיל</t>
        </is>
      </c>
      <c r="F936" t="inlineStr">
        <is>
          <t>יבש</t>
        </is>
      </c>
      <c r="G936" t="inlineStr">
        <is>
          <t>בוגר</t>
        </is>
      </c>
      <c r="H936" t="inlineStr"/>
      <c r="I936" t="inlineStr"/>
      <c r="J936" t="inlineStr">
        <is>
          <t>2026-07</t>
        </is>
      </c>
      <c r="K936" t="n">
        <v>318</v>
      </c>
      <c r="L936" t="n">
        <v>375.24</v>
      </c>
      <c r="M936">
        <f>הגדרות!B12</f>
        <v/>
      </c>
      <c r="N936">
        <f>K936*(1-M936/100)*1.18</f>
        <v/>
      </c>
      <c r="O936">
        <f>הגדרות!C12</f>
        <v/>
      </c>
      <c r="P936">
        <f>הגדרות!D12</f>
        <v/>
      </c>
      <c r="Q936">
        <f>N936*(1+O936/100)+P936</f>
        <v/>
      </c>
    </row>
    <row r="937">
      <c r="A937" t="inlineStr">
        <is>
          <t>Monge</t>
        </is>
      </c>
      <c r="B937" t="inlineStr">
        <is>
          <t>מונג אדולט כבש אורז ותפוא 2.5 ק"ג</t>
        </is>
      </c>
      <c r="D937" t="inlineStr">
        <is>
          <t>29000211</t>
        </is>
      </c>
      <c r="E937" t="inlineStr">
        <is>
          <t>רגיל</t>
        </is>
      </c>
      <c r="F937" t="inlineStr">
        <is>
          <t>יבש</t>
        </is>
      </c>
      <c r="G937" t="inlineStr">
        <is>
          <t>בוגר</t>
        </is>
      </c>
      <c r="H937" t="inlineStr"/>
      <c r="I937" t="inlineStr"/>
      <c r="J937" t="inlineStr">
        <is>
          <t>2026-07</t>
        </is>
      </c>
      <c r="K937" t="n">
        <v>90</v>
      </c>
      <c r="L937" t="n">
        <v>106.2</v>
      </c>
      <c r="M937">
        <f>הגדרות!B12</f>
        <v/>
      </c>
      <c r="N937">
        <f>K937*(1-M937/100)*1.18</f>
        <v/>
      </c>
      <c r="O937">
        <f>הגדרות!C12</f>
        <v/>
      </c>
      <c r="P937">
        <f>הגדרות!D12</f>
        <v/>
      </c>
      <c r="Q937">
        <f>N937*(1+O937/100)+P937</f>
        <v/>
      </c>
    </row>
    <row r="938">
      <c r="A938" t="inlineStr">
        <is>
          <t>Monge</t>
        </is>
      </c>
      <c r="B938" t="inlineStr">
        <is>
          <t>מונג אדולט סלמון ואורז 12 ק"ג</t>
        </is>
      </c>
      <c r="D938" t="inlineStr">
        <is>
          <t>29000162</t>
        </is>
      </c>
      <c r="E938" t="inlineStr">
        <is>
          <t>רגיל</t>
        </is>
      </c>
      <c r="F938" t="inlineStr">
        <is>
          <t>יבש</t>
        </is>
      </c>
      <c r="G938" t="inlineStr">
        <is>
          <t>בוגר</t>
        </is>
      </c>
      <c r="H938" t="inlineStr"/>
      <c r="I938" t="inlineStr"/>
      <c r="J938" t="inlineStr">
        <is>
          <t>2026-07</t>
        </is>
      </c>
      <c r="K938" t="n">
        <v>318</v>
      </c>
      <c r="L938" t="n">
        <v>375.24</v>
      </c>
      <c r="M938">
        <f>הגדרות!B12</f>
        <v/>
      </c>
      <c r="N938">
        <f>K938*(1-M938/100)*1.18</f>
        <v/>
      </c>
      <c r="O938">
        <f>הגדרות!C12</f>
        <v/>
      </c>
      <c r="P938">
        <f>הגדרות!D12</f>
        <v/>
      </c>
      <c r="Q938">
        <f>N938*(1+O938/100)+P938</f>
        <v/>
      </c>
    </row>
    <row r="939">
      <c r="A939" t="inlineStr">
        <is>
          <t>Monge</t>
        </is>
      </c>
      <c r="B939" t="inlineStr">
        <is>
          <t>מונג אדולט סלמון ואורז 2.5 ק"ג</t>
        </is>
      </c>
      <c r="D939" t="inlineStr">
        <is>
          <t>29000210</t>
        </is>
      </c>
      <c r="E939" t="inlineStr">
        <is>
          <t>רגיל</t>
        </is>
      </c>
      <c r="F939" t="inlineStr">
        <is>
          <t>יבש</t>
        </is>
      </c>
      <c r="G939" t="inlineStr">
        <is>
          <t>בוגר</t>
        </is>
      </c>
      <c r="H939" t="inlineStr"/>
      <c r="I939" t="inlineStr"/>
      <c r="J939" t="inlineStr">
        <is>
          <t>2026-07</t>
        </is>
      </c>
      <c r="K939" t="n">
        <v>90</v>
      </c>
      <c r="L939" t="n">
        <v>106.2</v>
      </c>
      <c r="M939">
        <f>הגדרות!B12</f>
        <v/>
      </c>
      <c r="N939">
        <f>K939*(1-M939/100)*1.18</f>
        <v/>
      </c>
      <c r="O939">
        <f>הגדרות!C12</f>
        <v/>
      </c>
      <c r="P939">
        <f>הגדרות!D12</f>
        <v/>
      </c>
      <c r="Q939">
        <f>N939*(1+O939/100)+P939</f>
        <v/>
      </c>
    </row>
    <row r="940">
      <c r="A940" t="inlineStr">
        <is>
          <t>Monge</t>
        </is>
      </c>
      <c r="B940" t="inlineStr">
        <is>
          <t>מונג אדולט סלמון ואורז לייט 12 ק"ג</t>
        </is>
      </c>
      <c r="D940" t="inlineStr">
        <is>
          <t>29000145</t>
        </is>
      </c>
      <c r="E940" t="inlineStr">
        <is>
          <t>רגיל</t>
        </is>
      </c>
      <c r="F940" t="inlineStr">
        <is>
          <t>יבש</t>
        </is>
      </c>
      <c r="G940" t="inlineStr">
        <is>
          <t>בוגר</t>
        </is>
      </c>
      <c r="H940" t="inlineStr"/>
      <c r="I940" t="inlineStr"/>
      <c r="J940" t="inlineStr">
        <is>
          <t>2026-07</t>
        </is>
      </c>
      <c r="K940" t="n">
        <v>318</v>
      </c>
      <c r="L940" t="n">
        <v>375.24</v>
      </c>
      <c r="M940">
        <f>הגדרות!B12</f>
        <v/>
      </c>
      <c r="N940">
        <f>K940*(1-M940/100)*1.18</f>
        <v/>
      </c>
      <c r="O940">
        <f>הגדרות!C12</f>
        <v/>
      </c>
      <c r="P940">
        <f>הגדרות!D12</f>
        <v/>
      </c>
      <c r="Q940">
        <f>N940*(1+O940/100)+P940</f>
        <v/>
      </c>
    </row>
    <row r="941">
      <c r="A941" t="inlineStr">
        <is>
          <t>Monge</t>
        </is>
      </c>
      <c r="B941" t="inlineStr">
        <is>
          <t>מונג אדולט סלמון ואורז לייט 2.5 ק"ג</t>
        </is>
      </c>
      <c r="D941" t="inlineStr">
        <is>
          <t>29000223</t>
        </is>
      </c>
      <c r="E941" t="inlineStr">
        <is>
          <t>רגיל</t>
        </is>
      </c>
      <c r="F941" t="inlineStr">
        <is>
          <t>יבש</t>
        </is>
      </c>
      <c r="G941" t="inlineStr">
        <is>
          <t>בוגר</t>
        </is>
      </c>
      <c r="H941" t="inlineStr"/>
      <c r="I941" t="inlineStr"/>
      <c r="J941" t="inlineStr">
        <is>
          <t>2026-07</t>
        </is>
      </c>
      <c r="K941" t="n">
        <v>90</v>
      </c>
      <c r="L941" t="n">
        <v>106.2</v>
      </c>
      <c r="M941">
        <f>הגדרות!B12</f>
        <v/>
      </c>
      <c r="N941">
        <f>K941*(1-M941/100)*1.18</f>
        <v/>
      </c>
      <c r="O941">
        <f>הגדרות!C12</f>
        <v/>
      </c>
      <c r="P941">
        <f>הגדרות!D12</f>
        <v/>
      </c>
      <c r="Q941">
        <f>N941*(1+O941/100)+P941</f>
        <v/>
      </c>
    </row>
    <row r="942">
      <c r="A942" t="inlineStr">
        <is>
          <t>Monge</t>
        </is>
      </c>
      <c r="B942" t="inlineStr">
        <is>
          <t>מונג אדולט סלמון וטונה היפו 12 ק"ג</t>
        </is>
      </c>
      <c r="D942" t="inlineStr">
        <is>
          <t>29000126</t>
        </is>
      </c>
      <c r="E942" t="inlineStr">
        <is>
          <t>רגיל</t>
        </is>
      </c>
      <c r="F942" t="inlineStr">
        <is>
          <t>יבש</t>
        </is>
      </c>
      <c r="G942" t="inlineStr">
        <is>
          <t>בוגר</t>
        </is>
      </c>
      <c r="H942" t="inlineStr"/>
      <c r="I942" t="inlineStr"/>
      <c r="J942" t="inlineStr">
        <is>
          <t>2026-07</t>
        </is>
      </c>
      <c r="K942" t="n">
        <v>318</v>
      </c>
      <c r="L942" t="n">
        <v>375.24</v>
      </c>
      <c r="M942">
        <f>הגדרות!B12</f>
        <v/>
      </c>
      <c r="N942">
        <f>K942*(1-M942/100)*1.18</f>
        <v/>
      </c>
      <c r="O942">
        <f>הגדרות!C12</f>
        <v/>
      </c>
      <c r="P942">
        <f>הגדרות!D12</f>
        <v/>
      </c>
      <c r="Q942">
        <f>N942*(1+O942/100)+P942</f>
        <v/>
      </c>
    </row>
    <row r="943">
      <c r="A943" t="inlineStr">
        <is>
          <t>Monge</t>
        </is>
      </c>
      <c r="B943" t="inlineStr">
        <is>
          <t>מונג אדולט סלמון וטונה היפו 2.5 ק"ג</t>
        </is>
      </c>
      <c r="D943" t="inlineStr">
        <is>
          <t>29000172</t>
        </is>
      </c>
      <c r="E943" t="inlineStr">
        <is>
          <t>רגיל</t>
        </is>
      </c>
      <c r="F943" t="inlineStr">
        <is>
          <t>יבש</t>
        </is>
      </c>
      <c r="G943" t="inlineStr">
        <is>
          <t>בוגר</t>
        </is>
      </c>
      <c r="H943" t="inlineStr"/>
      <c r="I943" t="inlineStr"/>
      <c r="J943" t="inlineStr">
        <is>
          <t>2026-07</t>
        </is>
      </c>
      <c r="K943" t="n">
        <v>90</v>
      </c>
      <c r="L943" t="n">
        <v>106.2</v>
      </c>
      <c r="M943">
        <f>הגדרות!B12</f>
        <v/>
      </c>
      <c r="N943">
        <f>K943*(1-M943/100)*1.18</f>
        <v/>
      </c>
      <c r="O943">
        <f>הגדרות!C12</f>
        <v/>
      </c>
      <c r="P943">
        <f>הגדרות!D12</f>
        <v/>
      </c>
      <c r="Q943">
        <f>N943*(1+O943/100)+P943</f>
        <v/>
      </c>
    </row>
    <row r="944">
      <c r="A944" t="inlineStr">
        <is>
          <t>Monge</t>
        </is>
      </c>
      <c r="B944" t="inlineStr">
        <is>
          <t>מונג אדולט עוף אורז ותפוא 12 ק"ג</t>
        </is>
      </c>
      <c r="D944" t="inlineStr">
        <is>
          <t>29000300</t>
        </is>
      </c>
      <c r="E944" t="inlineStr">
        <is>
          <t>רגיל</t>
        </is>
      </c>
      <c r="F944" t="inlineStr">
        <is>
          <t>יבש</t>
        </is>
      </c>
      <c r="G944" t="inlineStr">
        <is>
          <t>בוגר</t>
        </is>
      </c>
      <c r="H944" t="inlineStr"/>
      <c r="I944" t="inlineStr"/>
      <c r="J944" t="inlineStr">
        <is>
          <t>2026-07</t>
        </is>
      </c>
      <c r="K944" t="n">
        <v>318</v>
      </c>
      <c r="L944" t="n">
        <v>375.24</v>
      </c>
      <c r="M944">
        <f>הגדרות!B12</f>
        <v/>
      </c>
      <c r="N944">
        <f>K944*(1-M944/100)*1.18</f>
        <v/>
      </c>
      <c r="O944">
        <f>הגדרות!C12</f>
        <v/>
      </c>
      <c r="P944">
        <f>הגדרות!D12</f>
        <v/>
      </c>
      <c r="Q944">
        <f>N944*(1+O944/100)+P944</f>
        <v/>
      </c>
    </row>
    <row r="945">
      <c r="A945" t="inlineStr">
        <is>
          <t>Monge</t>
        </is>
      </c>
      <c r="B945" t="inlineStr">
        <is>
          <t>מונג אדולט עוף אורז ותפוא 2.5 ק"ג</t>
        </is>
      </c>
      <c r="D945" t="inlineStr">
        <is>
          <t>29000299</t>
        </is>
      </c>
      <c r="E945" t="inlineStr">
        <is>
          <t>רגיל</t>
        </is>
      </c>
      <c r="F945" t="inlineStr">
        <is>
          <t>יבש</t>
        </is>
      </c>
      <c r="G945" t="inlineStr">
        <is>
          <t>בוגר</t>
        </is>
      </c>
      <c r="H945" t="inlineStr"/>
      <c r="I945" t="inlineStr"/>
      <c r="J945" t="inlineStr">
        <is>
          <t>2026-07</t>
        </is>
      </c>
      <c r="K945" t="n">
        <v>90</v>
      </c>
      <c r="L945" t="n">
        <v>106.2</v>
      </c>
      <c r="M945">
        <f>הגדרות!B12</f>
        <v/>
      </c>
      <c r="N945">
        <f>K945*(1-M945/100)*1.18</f>
        <v/>
      </c>
      <c r="O945">
        <f>הגדרות!C12</f>
        <v/>
      </c>
      <c r="P945">
        <f>הגדרות!D12</f>
        <v/>
      </c>
      <c r="Q945">
        <f>N945*(1+O945/100)+P945</f>
        <v/>
      </c>
    </row>
    <row r="946">
      <c r="A946" t="inlineStr">
        <is>
          <t>Monge</t>
        </is>
      </c>
      <c r="B946" t="inlineStr">
        <is>
          <t>מונג אדולט פורל אורז ותפוא 12 ק"ג</t>
        </is>
      </c>
      <c r="D946" t="inlineStr">
        <is>
          <t>29000295</t>
        </is>
      </c>
      <c r="E946" t="inlineStr">
        <is>
          <t>רגיל</t>
        </is>
      </c>
      <c r="F946" t="inlineStr">
        <is>
          <t>יבש</t>
        </is>
      </c>
      <c r="G946" t="inlineStr">
        <is>
          <t>בוגר</t>
        </is>
      </c>
      <c r="H946" t="inlineStr"/>
      <c r="I946" t="inlineStr"/>
      <c r="J946" t="inlineStr">
        <is>
          <t>2026-07</t>
        </is>
      </c>
      <c r="K946" t="n">
        <v>318</v>
      </c>
      <c r="L946" t="n">
        <v>375.24</v>
      </c>
      <c r="M946">
        <f>הגדרות!B12</f>
        <v/>
      </c>
      <c r="N946">
        <f>K946*(1-M946/100)*1.18</f>
        <v/>
      </c>
      <c r="O946">
        <f>הגדרות!C12</f>
        <v/>
      </c>
      <c r="P946">
        <f>הגדרות!D12</f>
        <v/>
      </c>
      <c r="Q946">
        <f>N946*(1+O946/100)+P946</f>
        <v/>
      </c>
    </row>
    <row r="947">
      <c r="A947" t="inlineStr">
        <is>
          <t>Monge</t>
        </is>
      </c>
      <c r="B947" t="inlineStr">
        <is>
          <t>מונג אדולט פורל אורז ותפוא 2.5 ק"ג</t>
        </is>
      </c>
      <c r="D947" t="inlineStr">
        <is>
          <t>29000296</t>
        </is>
      </c>
      <c r="E947" t="inlineStr">
        <is>
          <t>רגיל</t>
        </is>
      </c>
      <c r="F947" t="inlineStr">
        <is>
          <t>יבש</t>
        </is>
      </c>
      <c r="G947" t="inlineStr">
        <is>
          <t>בוגר</t>
        </is>
      </c>
      <c r="H947" t="inlineStr"/>
      <c r="I947" t="inlineStr"/>
      <c r="J947" t="inlineStr">
        <is>
          <t>2026-07</t>
        </is>
      </c>
      <c r="K947" t="n">
        <v>90</v>
      </c>
      <c r="L947" t="n">
        <v>106.2</v>
      </c>
      <c r="M947">
        <f>הגדרות!B12</f>
        <v/>
      </c>
      <c r="N947">
        <f>K947*(1-M947/100)*1.18</f>
        <v/>
      </c>
      <c r="O947">
        <f>הגדרות!C12</f>
        <v/>
      </c>
      <c r="P947">
        <f>הגדרות!D12</f>
        <v/>
      </c>
      <c r="Q947">
        <f>N947*(1+O947/100)+P947</f>
        <v/>
      </c>
    </row>
    <row r="948">
      <c r="A948" t="inlineStr">
        <is>
          <t>Monge</t>
        </is>
      </c>
      <c r="B948" t="inlineStr">
        <is>
          <t>מונג אקס סמול אדולט 3 ק"ג</t>
        </is>
      </c>
      <c r="D948" t="inlineStr">
        <is>
          <t>29000107</t>
        </is>
      </c>
      <c r="E948" t="inlineStr">
        <is>
          <t>רגיל</t>
        </is>
      </c>
      <c r="F948" t="inlineStr">
        <is>
          <t>יבש</t>
        </is>
      </c>
      <c r="G948" t="inlineStr">
        <is>
          <t>בוגר</t>
        </is>
      </c>
      <c r="H948" t="inlineStr"/>
      <c r="I948" t="inlineStr">
        <is>
          <t>עד 7 ק"ג</t>
        </is>
      </c>
      <c r="J948" t="inlineStr">
        <is>
          <t>2026-07</t>
        </is>
      </c>
      <c r="K948" t="n">
        <v>100</v>
      </c>
      <c r="L948" t="n">
        <v>118</v>
      </c>
      <c r="M948">
        <f>הגדרות!B12</f>
        <v/>
      </c>
      <c r="N948">
        <f>K948*(1-M948/100)*1.18</f>
        <v/>
      </c>
      <c r="O948">
        <f>הגדרות!C12</f>
        <v/>
      </c>
      <c r="P948">
        <f>הגדרות!D12</f>
        <v/>
      </c>
      <c r="Q948">
        <f>N948*(1+O948/100)+P948</f>
        <v/>
      </c>
    </row>
    <row r="949">
      <c r="A949" t="inlineStr">
        <is>
          <t>Monge</t>
        </is>
      </c>
      <c r="B949" t="inlineStr">
        <is>
          <t>מונג אקס סמול אדולט כבש אורז ותפוא 2.5 ק"ג</t>
        </is>
      </c>
      <c r="D949" t="inlineStr">
        <is>
          <t>29000109</t>
        </is>
      </c>
      <c r="E949" t="inlineStr">
        <is>
          <t>רגיל</t>
        </is>
      </c>
      <c r="F949" t="inlineStr">
        <is>
          <t>יבש</t>
        </is>
      </c>
      <c r="G949" t="inlineStr">
        <is>
          <t>בוגר</t>
        </is>
      </c>
      <c r="H949" t="inlineStr"/>
      <c r="I949" t="inlineStr">
        <is>
          <t>עד 7 ק"ג</t>
        </is>
      </c>
      <c r="J949" t="inlineStr">
        <is>
          <t>2026-07</t>
        </is>
      </c>
      <c r="K949" t="n">
        <v>89</v>
      </c>
      <c r="L949" t="n">
        <v>105.02</v>
      </c>
      <c r="M949">
        <f>הגדרות!B12</f>
        <v/>
      </c>
      <c r="N949">
        <f>K949*(1-M949/100)*1.18</f>
        <v/>
      </c>
      <c r="O949">
        <f>הגדרות!C12</f>
        <v/>
      </c>
      <c r="P949">
        <f>הגדרות!D12</f>
        <v/>
      </c>
      <c r="Q949">
        <f>N949*(1+O949/100)+P949</f>
        <v/>
      </c>
    </row>
    <row r="950">
      <c r="A950" t="inlineStr">
        <is>
          <t>Monge</t>
        </is>
      </c>
      <c r="B950" t="inlineStr">
        <is>
          <t>מונג אקס סמול אדולט סלמון ואורז 2.5 ק"ג</t>
        </is>
      </c>
      <c r="D950" t="inlineStr">
        <is>
          <t>29000108</t>
        </is>
      </c>
      <c r="E950" t="inlineStr">
        <is>
          <t>רגיל</t>
        </is>
      </c>
      <c r="F950" t="inlineStr">
        <is>
          <t>יבש</t>
        </is>
      </c>
      <c r="G950" t="inlineStr">
        <is>
          <t>בוגר</t>
        </is>
      </c>
      <c r="H950" t="inlineStr"/>
      <c r="I950" t="inlineStr">
        <is>
          <t>עד 7 ק"ג</t>
        </is>
      </c>
      <c r="J950" t="inlineStr">
        <is>
          <t>2026-07</t>
        </is>
      </c>
      <c r="K950" t="n">
        <v>89</v>
      </c>
      <c r="L950" t="n">
        <v>105.02</v>
      </c>
      <c r="M950">
        <f>הגדרות!B12</f>
        <v/>
      </c>
      <c r="N950">
        <f>K950*(1-M950/100)*1.18</f>
        <v/>
      </c>
      <c r="O950">
        <f>הגדרות!C12</f>
        <v/>
      </c>
      <c r="P950">
        <f>הגדרות!D12</f>
        <v/>
      </c>
      <c r="Q950">
        <f>N950*(1+O950/100)+P950</f>
        <v/>
      </c>
    </row>
    <row r="951">
      <c r="A951" t="inlineStr">
        <is>
          <t>Monge</t>
        </is>
      </c>
      <c r="B951" t="inlineStr">
        <is>
          <t>מונג חתול אדולט ארנב 1.5 ק"ג</t>
        </is>
      </c>
      <c r="D951" t="inlineStr">
        <is>
          <t>29000244</t>
        </is>
      </c>
      <c r="E951" t="inlineStr">
        <is>
          <t>רגיל</t>
        </is>
      </c>
      <c r="F951" t="inlineStr">
        <is>
          <t>יבש</t>
        </is>
      </c>
      <c r="G951" t="inlineStr">
        <is>
          <t>בוגר</t>
        </is>
      </c>
      <c r="H951" t="inlineStr">
        <is>
          <t>חתול</t>
        </is>
      </c>
      <c r="I951" t="inlineStr"/>
      <c r="J951" t="inlineStr">
        <is>
          <t>2026-07</t>
        </is>
      </c>
      <c r="K951" t="n">
        <v>77</v>
      </c>
      <c r="L951" t="n">
        <v>90.86</v>
      </c>
      <c r="M951">
        <f>הגדרות!B12</f>
        <v/>
      </c>
      <c r="N951">
        <f>K951*(1-M951/100)*1.18</f>
        <v/>
      </c>
      <c r="O951">
        <f>הגדרות!C12</f>
        <v/>
      </c>
      <c r="P951">
        <f>הגדרות!D12</f>
        <v/>
      </c>
      <c r="Q951">
        <f>N951*(1+O951/100)+P951</f>
        <v/>
      </c>
    </row>
    <row r="952">
      <c r="A952" t="inlineStr">
        <is>
          <t>Monge</t>
        </is>
      </c>
      <c r="B952" t="inlineStr">
        <is>
          <t>מונג חתול אדולט עוף 1.5 ק"ג</t>
        </is>
      </c>
      <c r="D952" t="inlineStr">
        <is>
          <t>29000165</t>
        </is>
      </c>
      <c r="E952" t="inlineStr">
        <is>
          <t>רגיל</t>
        </is>
      </c>
      <c r="F952" t="inlineStr">
        <is>
          <t>יבש</t>
        </is>
      </c>
      <c r="G952" t="inlineStr">
        <is>
          <t>בוגר</t>
        </is>
      </c>
      <c r="H952" t="inlineStr">
        <is>
          <t>חתול</t>
        </is>
      </c>
      <c r="I952" t="inlineStr"/>
      <c r="J952" t="inlineStr">
        <is>
          <t>2026-07</t>
        </is>
      </c>
      <c r="K952" t="n">
        <v>77</v>
      </c>
      <c r="L952" t="n">
        <v>90.86</v>
      </c>
      <c r="M952">
        <f>הגדרות!B12</f>
        <v/>
      </c>
      <c r="N952">
        <f>K952*(1-M952/100)*1.18</f>
        <v/>
      </c>
      <c r="O952">
        <f>הגדרות!C12</f>
        <v/>
      </c>
      <c r="P952">
        <f>הגדרות!D12</f>
        <v/>
      </c>
      <c r="Q952">
        <f>N952*(1+O952/100)+P952</f>
        <v/>
      </c>
    </row>
    <row r="953">
      <c r="A953" t="inlineStr">
        <is>
          <t>Monge</t>
        </is>
      </c>
      <c r="B953" t="inlineStr">
        <is>
          <t>מונג חתול אדולט עוף 10 ק"ג</t>
        </is>
      </c>
      <c r="D953" t="inlineStr">
        <is>
          <t>29000231</t>
        </is>
      </c>
      <c r="E953" t="inlineStr">
        <is>
          <t>רגיל</t>
        </is>
      </c>
      <c r="F953" t="inlineStr">
        <is>
          <t>יבש</t>
        </is>
      </c>
      <c r="G953" t="inlineStr">
        <is>
          <t>בוגר</t>
        </is>
      </c>
      <c r="H953" t="inlineStr">
        <is>
          <t>חתול</t>
        </is>
      </c>
      <c r="I953" t="inlineStr"/>
      <c r="J953" t="inlineStr">
        <is>
          <t>2026-07</t>
        </is>
      </c>
      <c r="K953" t="n">
        <v>295</v>
      </c>
      <c r="L953" t="n">
        <v>348.1</v>
      </c>
      <c r="M953">
        <f>הגדרות!B12</f>
        <v/>
      </c>
      <c r="N953">
        <f>K953*(1-M953/100)*1.18</f>
        <v/>
      </c>
      <c r="O953">
        <f>הגדרות!C12</f>
        <v/>
      </c>
      <c r="P953">
        <f>הגדרות!D12</f>
        <v/>
      </c>
      <c r="Q953">
        <f>N953*(1+O953/100)+P953</f>
        <v/>
      </c>
    </row>
    <row r="954">
      <c r="A954" t="inlineStr">
        <is>
          <t>Monge</t>
        </is>
      </c>
      <c r="B954" t="inlineStr">
        <is>
          <t>מונג חתול אינדור עוף 1.5 ק"ג</t>
        </is>
      </c>
      <c r="D954" t="inlineStr">
        <is>
          <t>29000166</t>
        </is>
      </c>
      <c r="E954" t="inlineStr">
        <is>
          <t>רגיל</t>
        </is>
      </c>
      <c r="F954" t="inlineStr">
        <is>
          <t>יבש</t>
        </is>
      </c>
      <c r="G954" t="inlineStr"/>
      <c r="H954" t="inlineStr">
        <is>
          <t>חתול</t>
        </is>
      </c>
      <c r="I954" t="inlineStr"/>
      <c r="J954" t="inlineStr">
        <is>
          <t>2026-07</t>
        </is>
      </c>
      <c r="K954" t="n">
        <v>77</v>
      </c>
      <c r="L954" t="n">
        <v>90.86</v>
      </c>
      <c r="M954">
        <f>הגדרות!B12</f>
        <v/>
      </c>
      <c r="N954">
        <f>K954*(1-M954/100)*1.18</f>
        <v/>
      </c>
      <c r="O954">
        <f>הגדרות!C12</f>
        <v/>
      </c>
      <c r="P954">
        <f>הגדרות!D12</f>
        <v/>
      </c>
      <c r="Q954">
        <f>N954*(1+O954/100)+P954</f>
        <v/>
      </c>
    </row>
    <row r="955">
      <c r="A955" t="inlineStr">
        <is>
          <t>Monge</t>
        </is>
      </c>
      <c r="B955" t="inlineStr">
        <is>
          <t>מונג חתול אינדור עוף 10 ק"ג</t>
        </is>
      </c>
      <c r="D955" t="inlineStr">
        <is>
          <t>29000232</t>
        </is>
      </c>
      <c r="E955" t="inlineStr">
        <is>
          <t>רגיל</t>
        </is>
      </c>
      <c r="F955" t="inlineStr">
        <is>
          <t>יבש</t>
        </is>
      </c>
      <c r="G955" t="inlineStr"/>
      <c r="H955" t="inlineStr">
        <is>
          <t>חתול</t>
        </is>
      </c>
      <c r="I955" t="inlineStr"/>
      <c r="J955" t="inlineStr">
        <is>
          <t>2026-07</t>
        </is>
      </c>
      <c r="K955" t="n">
        <v>295</v>
      </c>
      <c r="L955" t="n">
        <v>348.1</v>
      </c>
      <c r="M955">
        <f>הגדרות!B12</f>
        <v/>
      </c>
      <c r="N955">
        <f>K955*(1-M955/100)*1.18</f>
        <v/>
      </c>
      <c r="O955">
        <f>הגדרות!C12</f>
        <v/>
      </c>
      <c r="P955">
        <f>הגדרות!D12</f>
        <v/>
      </c>
      <c r="Q955">
        <f>N955*(1+O955/100)+P955</f>
        <v/>
      </c>
    </row>
    <row r="956">
      <c r="A956" t="inlineStr">
        <is>
          <t>Monge</t>
        </is>
      </c>
      <c r="B956" t="inlineStr">
        <is>
          <t>מונג חתול היירבול עוף 1.5 ק"ג</t>
        </is>
      </c>
      <c r="D956" t="inlineStr">
        <is>
          <t>29000131</t>
        </is>
      </c>
      <c r="E956" t="inlineStr">
        <is>
          <t>רגיל</t>
        </is>
      </c>
      <c r="F956" t="inlineStr">
        <is>
          <t>יבש</t>
        </is>
      </c>
      <c r="G956" t="inlineStr"/>
      <c r="H956" t="inlineStr">
        <is>
          <t>חתול</t>
        </is>
      </c>
      <c r="I956" t="inlineStr"/>
      <c r="J956" t="inlineStr">
        <is>
          <t>2026-07</t>
        </is>
      </c>
      <c r="K956" t="n">
        <v>77</v>
      </c>
      <c r="L956" t="n">
        <v>90.86</v>
      </c>
      <c r="M956">
        <f>הגדרות!B12</f>
        <v/>
      </c>
      <c r="N956">
        <f>K956*(1-M956/100)*1.18</f>
        <v/>
      </c>
      <c r="O956">
        <f>הגדרות!C12</f>
        <v/>
      </c>
      <c r="P956">
        <f>הגדרות!D12</f>
        <v/>
      </c>
      <c r="Q956">
        <f>N956*(1+O956/100)+P956</f>
        <v/>
      </c>
    </row>
    <row r="957">
      <c r="A957" t="inlineStr">
        <is>
          <t>Monge</t>
        </is>
      </c>
      <c r="B957" t="inlineStr">
        <is>
          <t>מונג חתול היירבול עוף 10 ק"ג</t>
        </is>
      </c>
      <c r="D957" t="inlineStr">
        <is>
          <t>29000230</t>
        </is>
      </c>
      <c r="E957" t="inlineStr">
        <is>
          <t>רגיל</t>
        </is>
      </c>
      <c r="F957" t="inlineStr">
        <is>
          <t>יבש</t>
        </is>
      </c>
      <c r="G957" t="inlineStr"/>
      <c r="H957" t="inlineStr">
        <is>
          <t>חתול</t>
        </is>
      </c>
      <c r="I957" t="inlineStr"/>
      <c r="J957" t="inlineStr">
        <is>
          <t>2026-07</t>
        </is>
      </c>
      <c r="K957" t="n">
        <v>295</v>
      </c>
      <c r="L957" t="n">
        <v>348.1</v>
      </c>
      <c r="M957">
        <f>הגדרות!B12</f>
        <v/>
      </c>
      <c r="N957">
        <f>K957*(1-M957/100)*1.18</f>
        <v/>
      </c>
      <c r="O957">
        <f>הגדרות!C12</f>
        <v/>
      </c>
      <c r="P957">
        <f>הגדרות!D12</f>
        <v/>
      </c>
      <c r="Q957">
        <f>N957*(1+O957/100)+P957</f>
        <v/>
      </c>
    </row>
    <row r="958">
      <c r="A958" t="inlineStr">
        <is>
          <t>Monge</t>
        </is>
      </c>
      <c r="B958" t="inlineStr">
        <is>
          <t>מונג חתול יורינרי 1.5 ק"ג</t>
        </is>
      </c>
      <c r="D958" t="inlineStr">
        <is>
          <t>29000164</t>
        </is>
      </c>
      <c r="E958" t="inlineStr">
        <is>
          <t>רגיל</t>
        </is>
      </c>
      <c r="F958" t="inlineStr">
        <is>
          <t>יבש</t>
        </is>
      </c>
      <c r="G958" t="inlineStr"/>
      <c r="H958" t="inlineStr">
        <is>
          <t>חתול</t>
        </is>
      </c>
      <c r="I958" t="inlineStr"/>
      <c r="J958" t="inlineStr">
        <is>
          <t>2026-07</t>
        </is>
      </c>
      <c r="K958" t="n">
        <v>77</v>
      </c>
      <c r="L958" t="n">
        <v>90.86</v>
      </c>
      <c r="M958">
        <f>הגדרות!B12</f>
        <v/>
      </c>
      <c r="N958">
        <f>K958*(1-M958/100)*1.18</f>
        <v/>
      </c>
      <c r="O958">
        <f>הגדרות!C12</f>
        <v/>
      </c>
      <c r="P958">
        <f>הגדרות!D12</f>
        <v/>
      </c>
      <c r="Q958">
        <f>N958*(1+O958/100)+P958</f>
        <v/>
      </c>
    </row>
    <row r="959">
      <c r="A959" t="inlineStr">
        <is>
          <t>Monge</t>
        </is>
      </c>
      <c r="B959" t="inlineStr">
        <is>
          <t>מונג חתול יורינרי 10 ק"ג</t>
        </is>
      </c>
      <c r="D959" t="inlineStr">
        <is>
          <t>29000175</t>
        </is>
      </c>
      <c r="E959" t="inlineStr">
        <is>
          <t>רגיל</t>
        </is>
      </c>
      <c r="F959" t="inlineStr">
        <is>
          <t>יבש</t>
        </is>
      </c>
      <c r="G959" t="inlineStr"/>
      <c r="H959" t="inlineStr">
        <is>
          <t>חתול</t>
        </is>
      </c>
      <c r="I959" t="inlineStr"/>
      <c r="J959" t="inlineStr">
        <is>
          <t>2026-07</t>
        </is>
      </c>
      <c r="K959" t="n">
        <v>337</v>
      </c>
      <c r="L959" t="n">
        <v>397.66</v>
      </c>
      <c r="M959">
        <f>הגדרות!B12</f>
        <v/>
      </c>
      <c r="N959">
        <f>K959*(1-M959/100)*1.18</f>
        <v/>
      </c>
      <c r="O959">
        <f>הגדרות!C12</f>
        <v/>
      </c>
      <c r="P959">
        <f>הגדרות!D12</f>
        <v/>
      </c>
      <c r="Q959">
        <f>N959*(1+O959/100)+P959</f>
        <v/>
      </c>
    </row>
    <row r="960">
      <c r="A960" t="inlineStr">
        <is>
          <t>Monge</t>
        </is>
      </c>
      <c r="B960" t="inlineStr">
        <is>
          <t>מונג חתול לייט הודו 1.5 ק"ג</t>
        </is>
      </c>
      <c r="D960" t="inlineStr">
        <is>
          <t>29000301</t>
        </is>
      </c>
      <c r="E960" t="inlineStr">
        <is>
          <t>רגיל</t>
        </is>
      </c>
      <c r="F960" t="inlineStr">
        <is>
          <t>יבש</t>
        </is>
      </c>
      <c r="G960" t="inlineStr"/>
      <c r="H960" t="inlineStr">
        <is>
          <t>חתול</t>
        </is>
      </c>
      <c r="I960" t="inlineStr"/>
      <c r="J960" t="inlineStr">
        <is>
          <t>2026-07</t>
        </is>
      </c>
      <c r="K960" t="n">
        <v>77</v>
      </c>
      <c r="L960" t="n">
        <v>90.86</v>
      </c>
      <c r="M960">
        <f>הגדרות!B12</f>
        <v/>
      </c>
      <c r="N960">
        <f>K960*(1-M960/100)*1.18</f>
        <v/>
      </c>
      <c r="O960">
        <f>הגדרות!C12</f>
        <v/>
      </c>
      <c r="P960">
        <f>הגדרות!D12</f>
        <v/>
      </c>
      <c r="Q960">
        <f>N960*(1+O960/100)+P960</f>
        <v/>
      </c>
    </row>
    <row r="961">
      <c r="A961" t="inlineStr">
        <is>
          <t>Monge</t>
        </is>
      </c>
      <c r="B961" t="inlineStr">
        <is>
          <t>מונג חתול מונו אדולט סטרילייז בקר 1.5 ק"ג</t>
        </is>
      </c>
      <c r="D961" t="inlineStr">
        <is>
          <t>29000297</t>
        </is>
      </c>
      <c r="E961" t="inlineStr">
        <is>
          <t>רגיל</t>
        </is>
      </c>
      <c r="F961" t="inlineStr">
        <is>
          <t>יבש</t>
        </is>
      </c>
      <c r="G961" t="inlineStr">
        <is>
          <t>בוגר</t>
        </is>
      </c>
      <c r="H961" t="inlineStr">
        <is>
          <t>חתול</t>
        </is>
      </c>
      <c r="I961" t="inlineStr"/>
      <c r="J961" t="inlineStr">
        <is>
          <t>2026-07</t>
        </is>
      </c>
      <c r="K961" t="n">
        <v>77</v>
      </c>
      <c r="L961" t="n">
        <v>90.86</v>
      </c>
      <c r="M961">
        <f>הגדרות!B12</f>
        <v/>
      </c>
      <c r="N961">
        <f>K961*(1-M961/100)*1.18</f>
        <v/>
      </c>
      <c r="O961">
        <f>הגדרות!C12</f>
        <v/>
      </c>
      <c r="P961">
        <f>הגדרות!D12</f>
        <v/>
      </c>
      <c r="Q961">
        <f>N961*(1+O961/100)+P961</f>
        <v/>
      </c>
    </row>
    <row r="962">
      <c r="A962" t="inlineStr">
        <is>
          <t>Monge</t>
        </is>
      </c>
      <c r="B962" t="inlineStr">
        <is>
          <t>מונג חתול מונו אדולט סטרילייז ברווז 1.5 ק"ג</t>
        </is>
      </c>
      <c r="D962" t="inlineStr">
        <is>
          <t>29000240</t>
        </is>
      </c>
      <c r="E962" t="inlineStr">
        <is>
          <t>רגיל</t>
        </is>
      </c>
      <c r="F962" t="inlineStr">
        <is>
          <t>יבש</t>
        </is>
      </c>
      <c r="G962" t="inlineStr">
        <is>
          <t>בוגר</t>
        </is>
      </c>
      <c r="H962" t="inlineStr">
        <is>
          <t>חתול</t>
        </is>
      </c>
      <c r="I962" t="inlineStr"/>
      <c r="J962" t="inlineStr">
        <is>
          <t>2026-07</t>
        </is>
      </c>
      <c r="K962" t="n">
        <v>77</v>
      </c>
      <c r="L962" t="n">
        <v>90.86</v>
      </c>
      <c r="M962">
        <f>הגדרות!B12</f>
        <v/>
      </c>
      <c r="N962">
        <f>K962*(1-M962/100)*1.18</f>
        <v/>
      </c>
      <c r="O962">
        <f>הגדרות!C12</f>
        <v/>
      </c>
      <c r="P962">
        <f>הגדרות!D12</f>
        <v/>
      </c>
      <c r="Q962">
        <f>N962*(1+O962/100)+P962</f>
        <v/>
      </c>
    </row>
    <row r="963">
      <c r="A963" t="inlineStr">
        <is>
          <t>Monge</t>
        </is>
      </c>
      <c r="B963" t="inlineStr">
        <is>
          <t>מונג חתול סטרילייז ברווז 10 ק"ג</t>
        </is>
      </c>
      <c r="D963" t="inlineStr">
        <is>
          <t>29000365</t>
        </is>
      </c>
      <c r="E963" t="inlineStr">
        <is>
          <t>רגיל</t>
        </is>
      </c>
      <c r="F963" t="inlineStr">
        <is>
          <t>יבש</t>
        </is>
      </c>
      <c r="G963" t="inlineStr"/>
      <c r="H963" t="inlineStr">
        <is>
          <t>חתול</t>
        </is>
      </c>
      <c r="I963" t="inlineStr"/>
      <c r="J963" t="inlineStr">
        <is>
          <t>2026-07</t>
        </is>
      </c>
      <c r="K963" t="n">
        <v>333</v>
      </c>
      <c r="L963" t="n">
        <v>392.94</v>
      </c>
      <c r="M963">
        <f>הגדרות!B12</f>
        <v/>
      </c>
      <c r="N963">
        <f>K963*(1-M963/100)*1.18</f>
        <v/>
      </c>
      <c r="O963">
        <f>הגדרות!C12</f>
        <v/>
      </c>
      <c r="P963">
        <f>הגדרות!D12</f>
        <v/>
      </c>
      <c r="Q963">
        <f>N963*(1+O963/100)+P963</f>
        <v/>
      </c>
    </row>
    <row r="964">
      <c r="A964" t="inlineStr">
        <is>
          <t>Monge</t>
        </is>
      </c>
      <c r="B964" t="inlineStr">
        <is>
          <t>מונג חתול מונו אדולט סטרילייז דג בקלה 1.5 ק"ג</t>
        </is>
      </c>
      <c r="D964" t="inlineStr">
        <is>
          <t>29000298</t>
        </is>
      </c>
      <c r="E964" t="inlineStr">
        <is>
          <t>רגיל</t>
        </is>
      </c>
      <c r="F964" t="inlineStr">
        <is>
          <t>יבש</t>
        </is>
      </c>
      <c r="G964" t="inlineStr">
        <is>
          <t>בוגר</t>
        </is>
      </c>
      <c r="H964" t="inlineStr">
        <is>
          <t>חתול</t>
        </is>
      </c>
      <c r="I964" t="inlineStr"/>
      <c r="J964" t="inlineStr">
        <is>
          <t>2026-07</t>
        </is>
      </c>
      <c r="K964" t="n">
        <v>77</v>
      </c>
      <c r="L964" t="n">
        <v>90.86</v>
      </c>
      <c r="M964">
        <f>הגדרות!B12</f>
        <v/>
      </c>
      <c r="N964">
        <f>K964*(1-M964/100)*1.18</f>
        <v/>
      </c>
      <c r="O964">
        <f>הגדרות!C12</f>
        <v/>
      </c>
      <c r="P964">
        <f>הגדרות!D12</f>
        <v/>
      </c>
      <c r="Q964">
        <f>N964*(1+O964/100)+P964</f>
        <v/>
      </c>
    </row>
    <row r="965">
      <c r="A965" t="inlineStr">
        <is>
          <t>Monge</t>
        </is>
      </c>
      <c r="B965" t="inlineStr">
        <is>
          <t>מונג חתול מונו אדולט סלמון 1.5 ק"ג</t>
        </is>
      </c>
      <c r="D965" t="inlineStr">
        <is>
          <t>29000243</t>
        </is>
      </c>
      <c r="E965" t="inlineStr">
        <is>
          <t>רגיל</t>
        </is>
      </c>
      <c r="F965" t="inlineStr">
        <is>
          <t>יבש</t>
        </is>
      </c>
      <c r="G965" t="inlineStr">
        <is>
          <t>בוגר</t>
        </is>
      </c>
      <c r="H965" t="inlineStr">
        <is>
          <t>חתול</t>
        </is>
      </c>
      <c r="I965" t="inlineStr"/>
      <c r="J965" t="inlineStr">
        <is>
          <t>2026-07</t>
        </is>
      </c>
      <c r="K965" t="n">
        <v>77</v>
      </c>
      <c r="L965" t="n">
        <v>90.86</v>
      </c>
      <c r="M965">
        <f>הגדרות!B12</f>
        <v/>
      </c>
      <c r="N965">
        <f>K965*(1-M965/100)*1.18</f>
        <v/>
      </c>
      <c r="O965">
        <f>הגדרות!C12</f>
        <v/>
      </c>
      <c r="P965">
        <f>הגדרות!D12</f>
        <v/>
      </c>
      <c r="Q965">
        <f>N965*(1+O965/100)+P965</f>
        <v/>
      </c>
    </row>
    <row r="966">
      <c r="A966" t="inlineStr">
        <is>
          <t>Monge</t>
        </is>
      </c>
      <c r="B966" t="inlineStr">
        <is>
          <t>מונג חתול מונו סטרילייז פורל 1.5 ק"ג</t>
        </is>
      </c>
      <c r="D966" t="inlineStr">
        <is>
          <t>29000241</t>
        </is>
      </c>
      <c r="E966" t="inlineStr">
        <is>
          <t>רגיל</t>
        </is>
      </c>
      <c r="F966" t="inlineStr">
        <is>
          <t>יבש</t>
        </is>
      </c>
      <c r="G966" t="inlineStr"/>
      <c r="H966" t="inlineStr">
        <is>
          <t>חתול</t>
        </is>
      </c>
      <c r="I966" t="inlineStr"/>
      <c r="J966" t="inlineStr">
        <is>
          <t>2026-07</t>
        </is>
      </c>
      <c r="K966" t="n">
        <v>77</v>
      </c>
      <c r="L966" t="n">
        <v>90.86</v>
      </c>
      <c r="M966">
        <f>הגדרות!B12</f>
        <v/>
      </c>
      <c r="N966">
        <f>K966*(1-M966/100)*1.18</f>
        <v/>
      </c>
      <c r="O966">
        <f>הגדרות!C12</f>
        <v/>
      </c>
      <c r="P966">
        <f>הגדרות!D12</f>
        <v/>
      </c>
      <c r="Q966">
        <f>N966*(1+O966/100)+P966</f>
        <v/>
      </c>
    </row>
    <row r="967">
      <c r="A967" t="inlineStr">
        <is>
          <t>Monge</t>
        </is>
      </c>
      <c r="B967" t="inlineStr">
        <is>
          <t>מונג חתול מונו קיטן פורל 1.5 ק"ג</t>
        </is>
      </c>
      <c r="D967" t="inlineStr">
        <is>
          <t>29000242</t>
        </is>
      </c>
      <c r="E967" t="inlineStr">
        <is>
          <t>רגיל</t>
        </is>
      </c>
      <c r="F967" t="inlineStr">
        <is>
          <t>יבש</t>
        </is>
      </c>
      <c r="G967" t="inlineStr">
        <is>
          <t>גורים</t>
        </is>
      </c>
      <c r="H967" t="inlineStr">
        <is>
          <t>חתול</t>
        </is>
      </c>
      <c r="I967" t="inlineStr"/>
      <c r="J967" t="inlineStr">
        <is>
          <t>2026-07</t>
        </is>
      </c>
      <c r="K967" t="n">
        <v>77</v>
      </c>
      <c r="L967" t="n">
        <v>90.86</v>
      </c>
      <c r="M967">
        <f>הגדרות!B12</f>
        <v/>
      </c>
      <c r="N967">
        <f>K967*(1-M967/100)*1.18</f>
        <v/>
      </c>
      <c r="O967">
        <f>הגדרות!C12</f>
        <v/>
      </c>
      <c r="P967">
        <f>הגדרות!D12</f>
        <v/>
      </c>
      <c r="Q967">
        <f>N967*(1+O967/100)+P967</f>
        <v/>
      </c>
    </row>
    <row r="968">
      <c r="A968" t="inlineStr">
        <is>
          <t>Monge</t>
        </is>
      </c>
      <c r="B968" t="inlineStr">
        <is>
          <t>מונג חתול סטרילייז 1.5 ק"ג</t>
        </is>
      </c>
      <c r="D968" t="inlineStr">
        <is>
          <t>29000129</t>
        </is>
      </c>
      <c r="E968" t="inlineStr">
        <is>
          <t>רגיל</t>
        </is>
      </c>
      <c r="F968" t="inlineStr">
        <is>
          <t>יבש</t>
        </is>
      </c>
      <c r="G968" t="inlineStr"/>
      <c r="H968" t="inlineStr">
        <is>
          <t>חתול</t>
        </is>
      </c>
      <c r="I968" t="inlineStr"/>
      <c r="J968" t="inlineStr">
        <is>
          <t>2026-07</t>
        </is>
      </c>
      <c r="K968" t="n">
        <v>77</v>
      </c>
      <c r="L968" t="n">
        <v>90.86</v>
      </c>
      <c r="M968">
        <f>הגדרות!B12</f>
        <v/>
      </c>
      <c r="N968">
        <f>K968*(1-M968/100)*1.18</f>
        <v/>
      </c>
      <c r="O968">
        <f>הגדרות!C12</f>
        <v/>
      </c>
      <c r="P968">
        <f>הגדרות!D12</f>
        <v/>
      </c>
      <c r="Q968">
        <f>N968*(1+O968/100)+P968</f>
        <v/>
      </c>
    </row>
    <row r="969">
      <c r="A969" t="inlineStr">
        <is>
          <t>Monge</t>
        </is>
      </c>
      <c r="B969" t="inlineStr">
        <is>
          <t>מונג חתול סטרילייז 10 ק"ג</t>
        </is>
      </c>
      <c r="D969" t="inlineStr">
        <is>
          <t>29000156</t>
        </is>
      </c>
      <c r="E969" t="inlineStr">
        <is>
          <t>רגיל</t>
        </is>
      </c>
      <c r="F969" t="inlineStr">
        <is>
          <t>יבש</t>
        </is>
      </c>
      <c r="G969" t="inlineStr"/>
      <c r="H969" t="inlineStr">
        <is>
          <t>חתול</t>
        </is>
      </c>
      <c r="I969" t="inlineStr"/>
      <c r="J969" t="inlineStr">
        <is>
          <t>2026-07</t>
        </is>
      </c>
      <c r="K969" t="n">
        <v>285</v>
      </c>
      <c r="L969" t="n">
        <v>336.3</v>
      </c>
      <c r="M969">
        <f>הגדרות!B12</f>
        <v/>
      </c>
      <c r="N969">
        <f>K969*(1-M969/100)*1.18</f>
        <v/>
      </c>
      <c r="O969">
        <f>הגדרות!C12</f>
        <v/>
      </c>
      <c r="P969">
        <f>הגדרות!D12</f>
        <v/>
      </c>
      <c r="Q969">
        <f>N969*(1+O969/100)+P969</f>
        <v/>
      </c>
    </row>
    <row r="970">
      <c r="A970" t="inlineStr">
        <is>
          <t>Monge</t>
        </is>
      </c>
      <c r="B970" t="inlineStr">
        <is>
          <t>מונג חתול סניור 1.5 ק"ג</t>
        </is>
      </c>
      <c r="D970" t="inlineStr">
        <is>
          <t>29000294</t>
        </is>
      </c>
      <c r="E970" t="inlineStr">
        <is>
          <t>רגיל</t>
        </is>
      </c>
      <c r="F970" t="inlineStr">
        <is>
          <t>יבש</t>
        </is>
      </c>
      <c r="G970" t="inlineStr">
        <is>
          <t>מבוגר</t>
        </is>
      </c>
      <c r="H970" t="inlineStr">
        <is>
          <t>חתול</t>
        </is>
      </c>
      <c r="I970" t="inlineStr"/>
      <c r="J970" t="inlineStr">
        <is>
          <t>2026-07</t>
        </is>
      </c>
      <c r="K970" t="n">
        <v>77</v>
      </c>
      <c r="L970" t="n">
        <v>90.86</v>
      </c>
      <c r="M970">
        <f>הגדרות!B12</f>
        <v/>
      </c>
      <c r="N970">
        <f>K970*(1-M970/100)*1.18</f>
        <v/>
      </c>
      <c r="O970">
        <f>הגדרות!C12</f>
        <v/>
      </c>
      <c r="P970">
        <f>הגדרות!D12</f>
        <v/>
      </c>
      <c r="Q970">
        <f>N970*(1+O970/100)+P970</f>
        <v/>
      </c>
    </row>
    <row r="971">
      <c r="A971" t="inlineStr">
        <is>
          <t>Monge</t>
        </is>
      </c>
      <c r="B971" t="inlineStr">
        <is>
          <t>מונג חתול סנסטיב עוף 10 ק"ג</t>
        </is>
      </c>
      <c r="D971" t="inlineStr">
        <is>
          <t>29000233</t>
        </is>
      </c>
      <c r="E971" t="inlineStr">
        <is>
          <t>רגיל</t>
        </is>
      </c>
      <c r="F971" t="inlineStr">
        <is>
          <t>יבש</t>
        </is>
      </c>
      <c r="G971" t="inlineStr"/>
      <c r="H971" t="inlineStr">
        <is>
          <t>חתול</t>
        </is>
      </c>
      <c r="I971" t="inlineStr"/>
      <c r="J971" t="inlineStr">
        <is>
          <t>2026-07</t>
        </is>
      </c>
      <c r="K971" t="n">
        <v>302</v>
      </c>
      <c r="L971" t="n">
        <v>356.36</v>
      </c>
      <c r="M971">
        <f>הגדרות!B12</f>
        <v/>
      </c>
      <c r="N971">
        <f>K971*(1-M971/100)*1.18</f>
        <v/>
      </c>
      <c r="O971">
        <f>הגדרות!C12</f>
        <v/>
      </c>
      <c r="P971">
        <f>הגדרות!D12</f>
        <v/>
      </c>
      <c r="Q971">
        <f>N971*(1+O971/100)+P971</f>
        <v/>
      </c>
    </row>
    <row r="972">
      <c r="A972" t="inlineStr">
        <is>
          <t>Monge</t>
        </is>
      </c>
      <c r="B972" t="inlineStr">
        <is>
          <t>מונג חתול קיטן בקר 1.5 ק"ג</t>
        </is>
      </c>
      <c r="D972" t="inlineStr">
        <is>
          <t>29000314</t>
        </is>
      </c>
      <c r="E972" t="inlineStr">
        <is>
          <t>רגיל</t>
        </is>
      </c>
      <c r="F972" t="inlineStr">
        <is>
          <t>יבש</t>
        </is>
      </c>
      <c r="G972" t="inlineStr">
        <is>
          <t>גורים</t>
        </is>
      </c>
      <c r="H972" t="inlineStr">
        <is>
          <t>חתול</t>
        </is>
      </c>
      <c r="I972" t="inlineStr"/>
      <c r="J972" t="inlineStr">
        <is>
          <t>2026-07</t>
        </is>
      </c>
      <c r="K972" t="n">
        <v>77</v>
      </c>
      <c r="L972" t="n">
        <v>90.86</v>
      </c>
      <c r="M972">
        <f>הגדרות!B12</f>
        <v/>
      </c>
      <c r="N972">
        <f>K972*(1-M972/100)*1.18</f>
        <v/>
      </c>
      <c r="O972">
        <f>הגדרות!C12</f>
        <v/>
      </c>
      <c r="P972">
        <f>הגדרות!D12</f>
        <v/>
      </c>
      <c r="Q972">
        <f>N972*(1+O972/100)+P972</f>
        <v/>
      </c>
    </row>
    <row r="973">
      <c r="A973" t="inlineStr">
        <is>
          <t>Monge</t>
        </is>
      </c>
      <c r="B973" t="inlineStr">
        <is>
          <t>מונג חתול קיטן ברווז 1.5 ק"ג</t>
        </is>
      </c>
      <c r="D973" t="inlineStr">
        <is>
          <t>29000315</t>
        </is>
      </c>
      <c r="E973" t="inlineStr">
        <is>
          <t>רגיל</t>
        </is>
      </c>
      <c r="F973" t="inlineStr">
        <is>
          <t>יבש</t>
        </is>
      </c>
      <c r="G973" t="inlineStr">
        <is>
          <t>גורים</t>
        </is>
      </c>
      <c r="H973" t="inlineStr">
        <is>
          <t>חתול</t>
        </is>
      </c>
      <c r="I973" t="inlineStr"/>
      <c r="J973" t="inlineStr">
        <is>
          <t>2026-07</t>
        </is>
      </c>
      <c r="K973" t="n">
        <v>77</v>
      </c>
      <c r="L973" t="n">
        <v>90.86</v>
      </c>
      <c r="M973">
        <f>הגדרות!B12</f>
        <v/>
      </c>
      <c r="N973">
        <f>K973*(1-M973/100)*1.18</f>
        <v/>
      </c>
      <c r="O973">
        <f>הגדרות!C12</f>
        <v/>
      </c>
      <c r="P973">
        <f>הגדרות!D12</f>
        <v/>
      </c>
      <c r="Q973">
        <f>N973*(1+O973/100)+P973</f>
        <v/>
      </c>
    </row>
    <row r="974">
      <c r="A974" t="inlineStr">
        <is>
          <t>Monge</t>
        </is>
      </c>
      <c r="B974" t="inlineStr">
        <is>
          <t>מונג חתול קיטן עוף 1.5 ק"ג</t>
        </is>
      </c>
      <c r="D974" t="inlineStr">
        <is>
          <t>29000130</t>
        </is>
      </c>
      <c r="E974" t="inlineStr">
        <is>
          <t>רגיל</t>
        </is>
      </c>
      <c r="F974" t="inlineStr">
        <is>
          <t>יבש</t>
        </is>
      </c>
      <c r="G974" t="inlineStr">
        <is>
          <t>גורים</t>
        </is>
      </c>
      <c r="H974" t="inlineStr">
        <is>
          <t>חתול</t>
        </is>
      </c>
      <c r="I974" t="inlineStr"/>
      <c r="J974" t="inlineStr">
        <is>
          <t>2026-07</t>
        </is>
      </c>
      <c r="K974" t="n">
        <v>77</v>
      </c>
      <c r="L974" t="n">
        <v>90.86</v>
      </c>
      <c r="M974">
        <f>הגדרות!B12</f>
        <v/>
      </c>
      <c r="N974">
        <f>K974*(1-M974/100)*1.18</f>
        <v/>
      </c>
      <c r="O974">
        <f>הגדרות!C12</f>
        <v/>
      </c>
      <c r="P974">
        <f>הגדרות!D12</f>
        <v/>
      </c>
      <c r="Q974">
        <f>N974*(1+O974/100)+P974</f>
        <v/>
      </c>
    </row>
    <row r="975">
      <c r="A975" t="inlineStr">
        <is>
          <t>Monge</t>
        </is>
      </c>
      <c r="B975" t="inlineStr">
        <is>
          <t>מונג חתול קיטן עוף 10 ק"ג</t>
        </is>
      </c>
      <c r="D975" t="inlineStr">
        <is>
          <t>29000157</t>
        </is>
      </c>
      <c r="E975" t="inlineStr">
        <is>
          <t>רגיל</t>
        </is>
      </c>
      <c r="F975" t="inlineStr">
        <is>
          <t>יבש</t>
        </is>
      </c>
      <c r="G975" t="inlineStr">
        <is>
          <t>גורים</t>
        </is>
      </c>
      <c r="H975" t="inlineStr">
        <is>
          <t>חתול</t>
        </is>
      </c>
      <c r="I975" t="inlineStr"/>
      <c r="J975" t="inlineStr">
        <is>
          <t>2026-07</t>
        </is>
      </c>
      <c r="K975" t="n">
        <v>285</v>
      </c>
      <c r="L975" t="n">
        <v>336.3</v>
      </c>
      <c r="M975">
        <f>הגדרות!B12</f>
        <v/>
      </c>
      <c r="N975">
        <f>K975*(1-M975/100)*1.18</f>
        <v/>
      </c>
      <c r="O975">
        <f>הגדרות!C12</f>
        <v/>
      </c>
      <c r="P975">
        <f>הגדרות!D12</f>
        <v/>
      </c>
      <c r="Q975">
        <f>N975*(1+O975/100)+P975</f>
        <v/>
      </c>
    </row>
    <row r="976">
      <c r="A976" t="inlineStr">
        <is>
          <t>Monge</t>
        </is>
      </c>
      <c r="B976" t="inlineStr">
        <is>
          <t>מונג מדיום אדולט 12 ק"ג כלב</t>
        </is>
      </c>
      <c r="D976" t="inlineStr">
        <is>
          <t>29000117</t>
        </is>
      </c>
      <c r="E976" t="inlineStr">
        <is>
          <t>רגיל</t>
        </is>
      </c>
      <c r="F976" t="inlineStr">
        <is>
          <t>יבש</t>
        </is>
      </c>
      <c r="G976" t="inlineStr">
        <is>
          <t>בוגר</t>
        </is>
      </c>
      <c r="H976" t="inlineStr">
        <is>
          <t>כלב</t>
        </is>
      </c>
      <c r="I976" t="inlineStr">
        <is>
          <t>מעל 7 ק"ג</t>
        </is>
      </c>
      <c r="J976" t="inlineStr">
        <is>
          <t>2026-07</t>
        </is>
      </c>
      <c r="K976" t="n">
        <v>270</v>
      </c>
      <c r="L976" t="n">
        <v>318.6</v>
      </c>
      <c r="M976">
        <f>הגדרות!B12</f>
        <v/>
      </c>
      <c r="N976">
        <f>K976*(1-M976/100)*1.18</f>
        <v/>
      </c>
      <c r="O976">
        <f>הגדרות!C12</f>
        <v/>
      </c>
      <c r="P976">
        <f>הגדרות!D12</f>
        <v/>
      </c>
      <c r="Q976">
        <f>N976*(1+O976/100)+P976</f>
        <v/>
      </c>
    </row>
    <row r="977">
      <c r="A977" t="inlineStr">
        <is>
          <t>Monge</t>
        </is>
      </c>
      <c r="B977" t="inlineStr">
        <is>
          <t>מונג מדיום אדולט 3 ק"ג</t>
        </is>
      </c>
      <c r="D977" t="inlineStr">
        <is>
          <t>29000283</t>
        </is>
      </c>
      <c r="E977" t="inlineStr">
        <is>
          <t>רגיל</t>
        </is>
      </c>
      <c r="F977" t="inlineStr">
        <is>
          <t>יבש</t>
        </is>
      </c>
      <c r="G977" t="inlineStr">
        <is>
          <t>בוגר</t>
        </is>
      </c>
      <c r="H977" t="inlineStr"/>
      <c r="I977" t="inlineStr">
        <is>
          <t>מעל 7 ק"ג</t>
        </is>
      </c>
      <c r="J977" t="inlineStr">
        <is>
          <t>2026-07</t>
        </is>
      </c>
      <c r="K977" t="n">
        <v>106</v>
      </c>
      <c r="L977" t="n">
        <v>125.08</v>
      </c>
      <c r="M977">
        <f>הגדרות!B12</f>
        <v/>
      </c>
      <c r="N977">
        <f>K977*(1-M977/100)*1.18</f>
        <v/>
      </c>
      <c r="O977">
        <f>הגדרות!C12</f>
        <v/>
      </c>
      <c r="P977">
        <f>הגדרות!D12</f>
        <v/>
      </c>
      <c r="Q977">
        <f>N977*(1+O977/100)+P977</f>
        <v/>
      </c>
    </row>
    <row r="978">
      <c r="A978" t="inlineStr">
        <is>
          <t>Monge</t>
        </is>
      </c>
      <c r="B978" t="inlineStr">
        <is>
          <t>מונג מדיום סטרטר 1.5 ק"ג</t>
        </is>
      </c>
      <c r="D978" t="inlineStr">
        <is>
          <t>29000281</t>
        </is>
      </c>
      <c r="E978" t="inlineStr">
        <is>
          <t>רגיל</t>
        </is>
      </c>
      <c r="F978" t="inlineStr">
        <is>
          <t>יבש</t>
        </is>
      </c>
      <c r="G978" t="inlineStr">
        <is>
          <t>גורים</t>
        </is>
      </c>
      <c r="H978" t="inlineStr"/>
      <c r="I978" t="inlineStr">
        <is>
          <t>מעל 7 ק"ג</t>
        </is>
      </c>
      <c r="J978" t="inlineStr">
        <is>
          <t>2026-07</t>
        </is>
      </c>
      <c r="K978" t="n">
        <v>57</v>
      </c>
      <c r="L978" t="n">
        <v>67.26000000000001</v>
      </c>
      <c r="M978">
        <f>הגדרות!B12</f>
        <v/>
      </c>
      <c r="N978">
        <f>K978*(1-M978/100)*1.18</f>
        <v/>
      </c>
      <c r="O978">
        <f>הגדרות!C12</f>
        <v/>
      </c>
      <c r="P978">
        <f>הגדרות!D12</f>
        <v/>
      </c>
      <c r="Q978">
        <f>N978*(1+O978/100)+P978</f>
        <v/>
      </c>
    </row>
    <row r="979">
      <c r="A979" t="inlineStr">
        <is>
          <t>Monge</t>
        </is>
      </c>
      <c r="B979" t="inlineStr">
        <is>
          <t>מונג מדיום סניור 12 ק"ג כלב</t>
        </is>
      </c>
      <c r="D979" t="inlineStr">
        <is>
          <t>29000115</t>
        </is>
      </c>
      <c r="E979" t="inlineStr">
        <is>
          <t>רגיל</t>
        </is>
      </c>
      <c r="F979" t="inlineStr">
        <is>
          <t>יבש</t>
        </is>
      </c>
      <c r="G979" t="inlineStr">
        <is>
          <t>מבוגר</t>
        </is>
      </c>
      <c r="H979" t="inlineStr">
        <is>
          <t>כלב</t>
        </is>
      </c>
      <c r="I979" t="inlineStr">
        <is>
          <t>מעל 7 ק"ג</t>
        </is>
      </c>
      <c r="J979" t="inlineStr">
        <is>
          <t>2026-07</t>
        </is>
      </c>
      <c r="K979" t="n">
        <v>284</v>
      </c>
      <c r="L979" t="n">
        <v>335.12</v>
      </c>
      <c r="M979">
        <f>הגדרות!B12</f>
        <v/>
      </c>
      <c r="N979">
        <f>K979*(1-M979/100)*1.18</f>
        <v/>
      </c>
      <c r="O979">
        <f>הגדרות!C12</f>
        <v/>
      </c>
      <c r="P979">
        <f>הגדרות!D12</f>
        <v/>
      </c>
      <c r="Q979">
        <f>N979*(1+O979/100)+P979</f>
        <v/>
      </c>
    </row>
    <row r="980">
      <c r="A980" t="inlineStr">
        <is>
          <t>Monge</t>
        </is>
      </c>
      <c r="B980" t="inlineStr">
        <is>
          <t>מונג מדיום סניור 3 ק"ג</t>
        </is>
      </c>
      <c r="D980" t="inlineStr">
        <is>
          <t>29000282</t>
        </is>
      </c>
      <c r="E980" t="inlineStr">
        <is>
          <t>רגיל</t>
        </is>
      </c>
      <c r="F980" t="inlineStr">
        <is>
          <t>יבש</t>
        </is>
      </c>
      <c r="G980" t="inlineStr">
        <is>
          <t>מבוגר</t>
        </is>
      </c>
      <c r="H980" t="inlineStr"/>
      <c r="I980" t="inlineStr">
        <is>
          <t>מעל 7 ק"ג</t>
        </is>
      </c>
      <c r="J980" t="inlineStr">
        <is>
          <t>2026-07</t>
        </is>
      </c>
      <c r="K980" t="n">
        <v>112</v>
      </c>
      <c r="L980" t="n">
        <v>132.16</v>
      </c>
      <c r="M980">
        <f>הגדרות!B12</f>
        <v/>
      </c>
      <c r="N980">
        <f>K980*(1-M980/100)*1.18</f>
        <v/>
      </c>
      <c r="O980">
        <f>הגדרות!C12</f>
        <v/>
      </c>
      <c r="P980">
        <f>הגדרות!D12</f>
        <v/>
      </c>
      <c r="Q980">
        <f>N980*(1+O980/100)+P980</f>
        <v/>
      </c>
    </row>
    <row r="981">
      <c r="A981" t="inlineStr">
        <is>
          <t>Monge</t>
        </is>
      </c>
      <c r="B981" t="inlineStr">
        <is>
          <t>מונג מדיום פפי 12 ק"ג כלב</t>
        </is>
      </c>
      <c r="D981" t="inlineStr">
        <is>
          <t>29000116</t>
        </is>
      </c>
      <c r="E981" t="inlineStr">
        <is>
          <t>רגיל</t>
        </is>
      </c>
      <c r="F981" t="inlineStr">
        <is>
          <t>יבש</t>
        </is>
      </c>
      <c r="G981" t="inlineStr"/>
      <c r="H981" t="inlineStr">
        <is>
          <t>כלב</t>
        </is>
      </c>
      <c r="I981" t="inlineStr">
        <is>
          <t>מעל 7 ק"ג</t>
        </is>
      </c>
      <c r="J981" t="inlineStr">
        <is>
          <t>2026-07</t>
        </is>
      </c>
      <c r="K981" t="n">
        <v>284</v>
      </c>
      <c r="L981" t="n">
        <v>335.12</v>
      </c>
      <c r="M981">
        <f>הגדרות!B12</f>
        <v/>
      </c>
      <c r="N981">
        <f>K981*(1-M981/100)*1.18</f>
        <v/>
      </c>
      <c r="O981">
        <f>הגדרות!C12</f>
        <v/>
      </c>
      <c r="P981">
        <f>הגדרות!D12</f>
        <v/>
      </c>
      <c r="Q981">
        <f>N981*(1+O981/100)+P981</f>
        <v/>
      </c>
    </row>
    <row r="982">
      <c r="A982" t="inlineStr">
        <is>
          <t>Monge</t>
        </is>
      </c>
      <c r="B982" t="inlineStr">
        <is>
          <t>מונג מדיום פפי 3 ק"ג כלב</t>
        </is>
      </c>
      <c r="D982" t="inlineStr">
        <is>
          <t>29000120</t>
        </is>
      </c>
      <c r="E982" t="inlineStr">
        <is>
          <t>רגיל</t>
        </is>
      </c>
      <c r="F982" t="inlineStr">
        <is>
          <t>יבש</t>
        </is>
      </c>
      <c r="G982" t="inlineStr"/>
      <c r="H982" t="inlineStr">
        <is>
          <t>כלב</t>
        </is>
      </c>
      <c r="I982" t="inlineStr">
        <is>
          <t>מעל 7 ק"ג</t>
        </is>
      </c>
      <c r="J982" t="inlineStr">
        <is>
          <t>2026-07</t>
        </is>
      </c>
      <c r="K982" t="n">
        <v>112</v>
      </c>
      <c r="L982" t="n">
        <v>132.16</v>
      </c>
      <c r="M982">
        <f>הגדרות!B12</f>
        <v/>
      </c>
      <c r="N982">
        <f>K982*(1-M982/100)*1.18</f>
        <v/>
      </c>
      <c r="O982">
        <f>הגדרות!C12</f>
        <v/>
      </c>
      <c r="P982">
        <f>הגדרות!D12</f>
        <v/>
      </c>
      <c r="Q982">
        <f>N982*(1+O982/100)+P982</f>
        <v/>
      </c>
    </row>
    <row r="983">
      <c r="A983" t="inlineStr">
        <is>
          <t>Monge</t>
        </is>
      </c>
      <c r="B983" t="inlineStr">
        <is>
          <t>מונג מיני אדולט 3 ק"ג</t>
        </is>
      </c>
      <c r="D983" t="inlineStr">
        <is>
          <t>29000209</t>
        </is>
      </c>
      <c r="E983" t="inlineStr">
        <is>
          <t>רגיל</t>
        </is>
      </c>
      <c r="F983" t="inlineStr">
        <is>
          <t>יבש</t>
        </is>
      </c>
      <c r="G983" t="inlineStr">
        <is>
          <t>בוגר</t>
        </is>
      </c>
      <c r="H983" t="inlineStr"/>
      <c r="I983" t="inlineStr">
        <is>
          <t>עד 7 ק"ג</t>
        </is>
      </c>
      <c r="J983" t="inlineStr">
        <is>
          <t>2026-07</t>
        </is>
      </c>
      <c r="K983" t="n">
        <v>99</v>
      </c>
      <c r="L983" t="n">
        <v>116.82</v>
      </c>
      <c r="M983">
        <f>הגדרות!B12</f>
        <v/>
      </c>
      <c r="N983">
        <f>K983*(1-M983/100)*1.18</f>
        <v/>
      </c>
      <c r="O983">
        <f>הגדרות!C12</f>
        <v/>
      </c>
      <c r="P983">
        <f>הגדרות!D12</f>
        <v/>
      </c>
      <c r="Q983">
        <f>N983*(1+O983/100)+P983</f>
        <v/>
      </c>
    </row>
    <row r="984">
      <c r="A984" t="inlineStr">
        <is>
          <t>Monge</t>
        </is>
      </c>
      <c r="B984" t="inlineStr">
        <is>
          <t>מונג מיני אדולט כבש אורז ותפוא 2.5 ק"ג כלב</t>
        </is>
      </c>
      <c r="D984" t="inlineStr">
        <is>
          <t>29000111</t>
        </is>
      </c>
      <c r="E984" t="inlineStr">
        <is>
          <t>רגיל</t>
        </is>
      </c>
      <c r="F984" t="inlineStr">
        <is>
          <t>יבש</t>
        </is>
      </c>
      <c r="G984" t="inlineStr">
        <is>
          <t>בוגר</t>
        </is>
      </c>
      <c r="H984" t="inlineStr">
        <is>
          <t>כלב</t>
        </is>
      </c>
      <c r="I984" t="inlineStr">
        <is>
          <t>עד 7 ק"ג</t>
        </is>
      </c>
      <c r="J984" t="inlineStr">
        <is>
          <t>2026-07</t>
        </is>
      </c>
      <c r="K984" t="n">
        <v>100</v>
      </c>
      <c r="L984" t="n">
        <v>118</v>
      </c>
      <c r="M984">
        <f>הגדרות!B12</f>
        <v/>
      </c>
      <c r="N984">
        <f>K984*(1-M984/100)*1.18</f>
        <v/>
      </c>
      <c r="O984">
        <f>הגדרות!C12</f>
        <v/>
      </c>
      <c r="P984">
        <f>הגדרות!D12</f>
        <v/>
      </c>
      <c r="Q984">
        <f>N984*(1+O984/100)+P984</f>
        <v/>
      </c>
    </row>
    <row r="985">
      <c r="A985" t="inlineStr">
        <is>
          <t>Monge</t>
        </is>
      </c>
      <c r="B985" t="inlineStr">
        <is>
          <t>מונג מיני אדולט כבש אורז ותפוא 7.5 ק"ג כלב</t>
        </is>
      </c>
      <c r="D985" t="inlineStr">
        <is>
          <t>29000112</t>
        </is>
      </c>
      <c r="E985" t="inlineStr">
        <is>
          <t>רגיל</t>
        </is>
      </c>
      <c r="F985" t="inlineStr">
        <is>
          <t>יבש</t>
        </is>
      </c>
      <c r="G985" t="inlineStr">
        <is>
          <t>בוגר</t>
        </is>
      </c>
      <c r="H985" t="inlineStr">
        <is>
          <t>כלב</t>
        </is>
      </c>
      <c r="I985" t="inlineStr">
        <is>
          <t>עד 7 ק"ג</t>
        </is>
      </c>
      <c r="J985" t="inlineStr">
        <is>
          <t>2026-07</t>
        </is>
      </c>
      <c r="K985" t="n">
        <v>223</v>
      </c>
      <c r="L985" t="n">
        <v>263.14</v>
      </c>
      <c r="M985">
        <f>הגדרות!B12</f>
        <v/>
      </c>
      <c r="N985">
        <f>K985*(1-M985/100)*1.18</f>
        <v/>
      </c>
      <c r="O985">
        <f>הגדרות!C12</f>
        <v/>
      </c>
      <c r="P985">
        <f>הגדרות!D12</f>
        <v/>
      </c>
      <c r="Q985">
        <f>N985*(1+O985/100)+P985</f>
        <v/>
      </c>
    </row>
    <row r="986">
      <c r="A986" t="inlineStr">
        <is>
          <t>Monge</t>
        </is>
      </c>
      <c r="B986" t="inlineStr">
        <is>
          <t>מונג מיני אדולט סלמון ואורז 2.5 ק"ג</t>
        </is>
      </c>
      <c r="D986" t="inlineStr">
        <is>
          <t>29000226</t>
        </is>
      </c>
      <c r="E986" t="inlineStr">
        <is>
          <t>רגיל</t>
        </is>
      </c>
      <c r="F986" t="inlineStr">
        <is>
          <t>יבש</t>
        </is>
      </c>
      <c r="G986" t="inlineStr">
        <is>
          <t>בוגר</t>
        </is>
      </c>
      <c r="H986" t="inlineStr"/>
      <c r="I986" t="inlineStr">
        <is>
          <t>עד 7 ק"ג</t>
        </is>
      </c>
      <c r="J986" t="inlineStr">
        <is>
          <t>2026-07</t>
        </is>
      </c>
      <c r="K986" t="n">
        <v>100</v>
      </c>
      <c r="L986" t="n">
        <v>118</v>
      </c>
      <c r="M986">
        <f>הגדרות!B12</f>
        <v/>
      </c>
      <c r="N986">
        <f>K986*(1-M986/100)*1.18</f>
        <v/>
      </c>
      <c r="O986">
        <f>הגדרות!C12</f>
        <v/>
      </c>
      <c r="P986">
        <f>הגדרות!D12</f>
        <v/>
      </c>
      <c r="Q986">
        <f>N986*(1+O986/100)+P986</f>
        <v/>
      </c>
    </row>
    <row r="987">
      <c r="A987" t="inlineStr">
        <is>
          <t>Monge</t>
        </is>
      </c>
      <c r="B987" t="inlineStr">
        <is>
          <t>מונג מיני אדולט סלמון ואורז 7.5 ק"ג כלב</t>
        </is>
      </c>
      <c r="D987" t="inlineStr">
        <is>
          <t>29000113</t>
        </is>
      </c>
      <c r="E987" t="inlineStr">
        <is>
          <t>רגיל</t>
        </is>
      </c>
      <c r="F987" t="inlineStr">
        <is>
          <t>יבש</t>
        </is>
      </c>
      <c r="G987" t="inlineStr">
        <is>
          <t>בוגר</t>
        </is>
      </c>
      <c r="H987" t="inlineStr">
        <is>
          <t>כלב</t>
        </is>
      </c>
      <c r="I987" t="inlineStr">
        <is>
          <t>עד 7 ק"ג</t>
        </is>
      </c>
      <c r="J987" t="inlineStr">
        <is>
          <t>2026-07</t>
        </is>
      </c>
      <c r="K987" t="n">
        <v>223</v>
      </c>
      <c r="L987" t="n">
        <v>263.14</v>
      </c>
      <c r="M987">
        <f>הגדרות!B12</f>
        <v/>
      </c>
      <c r="N987">
        <f>K987*(1-M987/100)*1.18</f>
        <v/>
      </c>
      <c r="O987">
        <f>הגדרות!C12</f>
        <v/>
      </c>
      <c r="P987">
        <f>הגדרות!D12</f>
        <v/>
      </c>
      <c r="Q987">
        <f>N987*(1+O987/100)+P987</f>
        <v/>
      </c>
    </row>
    <row r="988">
      <c r="A988" t="inlineStr">
        <is>
          <t>Monge</t>
        </is>
      </c>
      <c r="B988" t="inlineStr">
        <is>
          <t>מונג מיני אדולט עוף 7.5 ק"ג כלב</t>
        </is>
      </c>
      <c r="D988" t="inlineStr">
        <is>
          <t>29000119</t>
        </is>
      </c>
      <c r="E988" t="inlineStr">
        <is>
          <t>רגיל</t>
        </is>
      </c>
      <c r="F988" t="inlineStr">
        <is>
          <t>יבש</t>
        </is>
      </c>
      <c r="G988" t="inlineStr">
        <is>
          <t>בוגר</t>
        </is>
      </c>
      <c r="H988" t="inlineStr">
        <is>
          <t>כלב</t>
        </is>
      </c>
      <c r="I988" t="inlineStr">
        <is>
          <t>עד 7 ק"ג</t>
        </is>
      </c>
      <c r="J988" t="inlineStr">
        <is>
          <t>2026-07</t>
        </is>
      </c>
      <c r="K988" t="n">
        <v>189</v>
      </c>
      <c r="L988" t="n">
        <v>223.02</v>
      </c>
      <c r="M988">
        <f>הגדרות!B12</f>
        <v/>
      </c>
      <c r="N988">
        <f>K988*(1-M988/100)*1.18</f>
        <v/>
      </c>
      <c r="O988">
        <f>הגדרות!C12</f>
        <v/>
      </c>
      <c r="P988">
        <f>הגדרות!D12</f>
        <v/>
      </c>
      <c r="Q988">
        <f>N988*(1+O988/100)+P988</f>
        <v/>
      </c>
    </row>
    <row r="989">
      <c r="A989" t="inlineStr">
        <is>
          <t>Monge</t>
        </is>
      </c>
      <c r="B989" t="inlineStr">
        <is>
          <t>מונג מיני סטרטר 1.5 ק"ג</t>
        </is>
      </c>
      <c r="D989" t="inlineStr">
        <is>
          <t>29000221</t>
        </is>
      </c>
      <c r="E989" t="inlineStr">
        <is>
          <t>רגיל</t>
        </is>
      </c>
      <c r="F989" t="inlineStr">
        <is>
          <t>יבש</t>
        </is>
      </c>
      <c r="G989" t="inlineStr">
        <is>
          <t>גורים</t>
        </is>
      </c>
      <c r="H989" t="inlineStr"/>
      <c r="I989" t="inlineStr">
        <is>
          <t>עד 7 ק"ג</t>
        </is>
      </c>
      <c r="J989" t="inlineStr">
        <is>
          <t>2026-07</t>
        </is>
      </c>
      <c r="K989" t="n">
        <v>63</v>
      </c>
      <c r="L989" t="n">
        <v>74.34</v>
      </c>
      <c r="M989">
        <f>הגדרות!B12</f>
        <v/>
      </c>
      <c r="N989">
        <f>K989*(1-M989/100)*1.18</f>
        <v/>
      </c>
      <c r="O989">
        <f>הגדרות!C12</f>
        <v/>
      </c>
      <c r="P989">
        <f>הגדרות!D12</f>
        <v/>
      </c>
      <c r="Q989">
        <f>N989*(1+O989/100)+P989</f>
        <v/>
      </c>
    </row>
    <row r="990">
      <c r="A990" t="inlineStr">
        <is>
          <t>Monge</t>
        </is>
      </c>
      <c r="B990" t="inlineStr">
        <is>
          <t>מונג מיני סניור 3 ק"ג כלב</t>
        </is>
      </c>
      <c r="D990" t="inlineStr">
        <is>
          <t>29000114</t>
        </is>
      </c>
      <c r="E990" t="inlineStr">
        <is>
          <t>רגיל</t>
        </is>
      </c>
      <c r="F990" t="inlineStr">
        <is>
          <t>יבש</t>
        </is>
      </c>
      <c r="G990" t="inlineStr">
        <is>
          <t>מבוגר</t>
        </is>
      </c>
      <c r="H990" t="inlineStr">
        <is>
          <t>כלב</t>
        </is>
      </c>
      <c r="I990" t="inlineStr">
        <is>
          <t>עד 7 ק"ג</t>
        </is>
      </c>
      <c r="J990" t="inlineStr">
        <is>
          <t>2026-07</t>
        </is>
      </c>
      <c r="K990" t="n">
        <v>112</v>
      </c>
      <c r="L990" t="n">
        <v>132.16</v>
      </c>
      <c r="M990">
        <f>הגדרות!B12</f>
        <v/>
      </c>
      <c r="N990">
        <f>K990*(1-M990/100)*1.18</f>
        <v/>
      </c>
      <c r="O990">
        <f>הגדרות!C12</f>
        <v/>
      </c>
      <c r="P990">
        <f>הגדרות!D12</f>
        <v/>
      </c>
      <c r="Q990">
        <f>N990*(1+O990/100)+P990</f>
        <v/>
      </c>
    </row>
    <row r="991">
      <c r="A991" t="inlineStr">
        <is>
          <t>Monge</t>
        </is>
      </c>
      <c r="B991" t="inlineStr">
        <is>
          <t>מונג מיני פפי כבש ואורז 2.5 ק"ג כלב</t>
        </is>
      </c>
      <c r="D991" t="inlineStr">
        <is>
          <t>29000110</t>
        </is>
      </c>
      <c r="E991" t="inlineStr">
        <is>
          <t>רגיל</t>
        </is>
      </c>
      <c r="F991" t="inlineStr">
        <is>
          <t>יבש</t>
        </is>
      </c>
      <c r="G991" t="inlineStr"/>
      <c r="H991" t="inlineStr">
        <is>
          <t>כלב</t>
        </is>
      </c>
      <c r="I991" t="inlineStr">
        <is>
          <t>עד 7 ק"ג</t>
        </is>
      </c>
      <c r="J991" t="inlineStr">
        <is>
          <t>2026-07</t>
        </is>
      </c>
      <c r="K991" t="n">
        <v>100</v>
      </c>
      <c r="L991" t="n">
        <v>118</v>
      </c>
      <c r="M991">
        <f>הגדרות!B12</f>
        <v/>
      </c>
      <c r="N991">
        <f>K991*(1-M991/100)*1.18</f>
        <v/>
      </c>
      <c r="O991">
        <f>הגדרות!C12</f>
        <v/>
      </c>
      <c r="P991">
        <f>הגדרות!D12</f>
        <v/>
      </c>
      <c r="Q991">
        <f>N991*(1+O991/100)+P991</f>
        <v/>
      </c>
    </row>
    <row r="992">
      <c r="A992" t="inlineStr">
        <is>
          <t>Monge</t>
        </is>
      </c>
      <c r="B992" t="inlineStr">
        <is>
          <t>מונג מיני פפי עוף 3 ק"ג</t>
        </is>
      </c>
      <c r="D992" t="inlineStr">
        <is>
          <t>29000220</t>
        </is>
      </c>
      <c r="E992" t="inlineStr">
        <is>
          <t>רגיל</t>
        </is>
      </c>
      <c r="F992" t="inlineStr">
        <is>
          <t>יבש</t>
        </is>
      </c>
      <c r="G992" t="inlineStr"/>
      <c r="H992" t="inlineStr"/>
      <c r="I992" t="inlineStr">
        <is>
          <t>עד 7 ק"ג</t>
        </is>
      </c>
      <c r="J992" t="inlineStr">
        <is>
          <t>2026-07</t>
        </is>
      </c>
      <c r="K992" t="n">
        <v>112</v>
      </c>
      <c r="L992" t="n">
        <v>132.16</v>
      </c>
      <c r="M992">
        <f>הגדרות!B12</f>
        <v/>
      </c>
      <c r="N992">
        <f>K992*(1-M992/100)*1.18</f>
        <v/>
      </c>
      <c r="O992">
        <f>הגדרות!C12</f>
        <v/>
      </c>
      <c r="P992">
        <f>הגדרות!D12</f>
        <v/>
      </c>
      <c r="Q992">
        <f>N992*(1+O992/100)+P992</f>
        <v/>
      </c>
    </row>
    <row r="993">
      <c r="A993" t="inlineStr">
        <is>
          <t>Monge</t>
        </is>
      </c>
      <c r="B993" t="inlineStr">
        <is>
          <t>מונג מקסי אדולט 12 ק"ג כלב</t>
        </is>
      </c>
      <c r="D993" t="inlineStr">
        <is>
          <t>29000118</t>
        </is>
      </c>
      <c r="E993" t="inlineStr">
        <is>
          <t>רגיל</t>
        </is>
      </c>
      <c r="F993" t="inlineStr">
        <is>
          <t>יבש</t>
        </is>
      </c>
      <c r="G993" t="inlineStr">
        <is>
          <t>בוגר</t>
        </is>
      </c>
      <c r="H993" t="inlineStr">
        <is>
          <t>כלב</t>
        </is>
      </c>
      <c r="I993" t="inlineStr">
        <is>
          <t>מעל 7 ק"ג</t>
        </is>
      </c>
      <c r="J993" t="inlineStr">
        <is>
          <t>2026-07</t>
        </is>
      </c>
      <c r="K993" t="n">
        <v>276</v>
      </c>
      <c r="L993" t="n">
        <v>325.68</v>
      </c>
      <c r="M993">
        <f>הגדרות!B12</f>
        <v/>
      </c>
      <c r="N993">
        <f>K993*(1-M993/100)*1.18</f>
        <v/>
      </c>
      <c r="O993">
        <f>הגדרות!C12</f>
        <v/>
      </c>
      <c r="P993">
        <f>הגדרות!D12</f>
        <v/>
      </c>
      <c r="Q993">
        <f>N993*(1+O993/100)+P993</f>
        <v/>
      </c>
    </row>
    <row r="994">
      <c r="A994" t="inlineStr">
        <is>
          <t>Monge</t>
        </is>
      </c>
      <c r="B994" t="inlineStr">
        <is>
          <t>מונג מקסי פפי 12 ק"ג</t>
        </is>
      </c>
      <c r="D994" t="inlineStr">
        <is>
          <t>29000146</t>
        </is>
      </c>
      <c r="E994" t="inlineStr">
        <is>
          <t>רגיל</t>
        </is>
      </c>
      <c r="F994" t="inlineStr">
        <is>
          <t>יבש</t>
        </is>
      </c>
      <c r="G994" t="inlineStr"/>
      <c r="H994" t="inlineStr"/>
      <c r="I994" t="inlineStr">
        <is>
          <t>מעל 7 ק"ג</t>
        </is>
      </c>
      <c r="J994" t="inlineStr">
        <is>
          <t>2026-07</t>
        </is>
      </c>
      <c r="K994" t="n">
        <v>284</v>
      </c>
      <c r="L994" t="n">
        <v>335.12</v>
      </c>
      <c r="M994">
        <f>הגדרות!B12</f>
        <v/>
      </c>
      <c r="N994">
        <f>K994*(1-M994/100)*1.18</f>
        <v/>
      </c>
      <c r="O994">
        <f>הגדרות!C12</f>
        <v/>
      </c>
      <c r="P994">
        <f>הגדרות!D12</f>
        <v/>
      </c>
      <c r="Q994">
        <f>N994*(1+O994/100)+P994</f>
        <v/>
      </c>
    </row>
    <row r="995">
      <c r="A995" t="inlineStr">
        <is>
          <t>Monge</t>
        </is>
      </c>
      <c r="B995" t="inlineStr">
        <is>
          <t>מונג פפי ברווז אורז ותפוא 2.5 ק"ג</t>
        </is>
      </c>
      <c r="D995" t="inlineStr">
        <is>
          <t>29000318</t>
        </is>
      </c>
      <c r="E995" t="inlineStr">
        <is>
          <t>רגיל</t>
        </is>
      </c>
      <c r="F995" t="inlineStr">
        <is>
          <t>יבש</t>
        </is>
      </c>
      <c r="G995" t="inlineStr"/>
      <c r="H995" t="inlineStr"/>
      <c r="I995" t="inlineStr"/>
      <c r="J995" t="inlineStr">
        <is>
          <t>2026-07</t>
        </is>
      </c>
      <c r="K995" t="n">
        <v>103</v>
      </c>
      <c r="L995" t="n">
        <v>121.54</v>
      </c>
      <c r="M995">
        <f>הגדרות!B12</f>
        <v/>
      </c>
      <c r="N995">
        <f>K995*(1-M995/100)*1.18</f>
        <v/>
      </c>
      <c r="O995">
        <f>הגדרות!C12</f>
        <v/>
      </c>
      <c r="P995">
        <f>הגדרות!D12</f>
        <v/>
      </c>
      <c r="Q995">
        <f>N995*(1+O995/100)+P995</f>
        <v/>
      </c>
    </row>
    <row r="996">
      <c r="A996" t="inlineStr">
        <is>
          <t>Monge</t>
        </is>
      </c>
      <c r="B996" t="inlineStr">
        <is>
          <t>מונג פפי ברווז ותפוח אדמה 12 ק"ג</t>
        </is>
      </c>
      <c r="D996" t="inlineStr">
        <is>
          <t>29000344</t>
        </is>
      </c>
      <c r="E996" t="inlineStr">
        <is>
          <t>רגיל</t>
        </is>
      </c>
      <c r="F996" t="inlineStr">
        <is>
          <t>יבש</t>
        </is>
      </c>
      <c r="G996" t="inlineStr"/>
      <c r="H996" t="inlineStr"/>
      <c r="I996" t="inlineStr"/>
      <c r="J996" t="inlineStr">
        <is>
          <t>2026-07</t>
        </is>
      </c>
      <c r="K996" t="n">
        <v>318</v>
      </c>
      <c r="L996" t="n">
        <v>375.24</v>
      </c>
      <c r="M996">
        <f>הגדרות!B12</f>
        <v/>
      </c>
      <c r="N996">
        <f>K996*(1-M996/100)*1.18</f>
        <v/>
      </c>
      <c r="O996">
        <f>הגדרות!C12</f>
        <v/>
      </c>
      <c r="P996">
        <f>הגדרות!D12</f>
        <v/>
      </c>
      <c r="Q996">
        <f>N996*(1+O996/100)+P996</f>
        <v/>
      </c>
    </row>
    <row r="997">
      <c r="A997" t="inlineStr">
        <is>
          <t>Monge</t>
        </is>
      </c>
      <c r="B997" t="inlineStr">
        <is>
          <t>מונג פפי כבש ואורז 12 ק"ג</t>
        </is>
      </c>
      <c r="D997" t="inlineStr">
        <is>
          <t>29000127</t>
        </is>
      </c>
      <c r="E997" t="inlineStr">
        <is>
          <t>רגיל</t>
        </is>
      </c>
      <c r="F997" t="inlineStr">
        <is>
          <t>יבש</t>
        </is>
      </c>
      <c r="G997" t="inlineStr"/>
      <c r="H997" t="inlineStr"/>
      <c r="I997" t="inlineStr"/>
      <c r="J997" t="inlineStr">
        <is>
          <t>2026-07</t>
        </is>
      </c>
      <c r="K997" t="n">
        <v>318</v>
      </c>
      <c r="L997" t="n">
        <v>375.24</v>
      </c>
      <c r="M997">
        <f>הגדרות!B12</f>
        <v/>
      </c>
      <c r="N997">
        <f>K997*(1-M997/100)*1.18</f>
        <v/>
      </c>
      <c r="O997">
        <f>הגדרות!C12</f>
        <v/>
      </c>
      <c r="P997">
        <f>הגדרות!D12</f>
        <v/>
      </c>
      <c r="Q997">
        <f>N997*(1+O997/100)+P997</f>
        <v/>
      </c>
    </row>
    <row r="998">
      <c r="A998" t="inlineStr">
        <is>
          <t>Monge</t>
        </is>
      </c>
      <c r="B998" t="inlineStr">
        <is>
          <t>מונג פפי כבש ואורז 2.5 ק"ג</t>
        </is>
      </c>
      <c r="D998" t="inlineStr">
        <is>
          <t>29000224</t>
        </is>
      </c>
      <c r="E998" t="inlineStr">
        <is>
          <t>רגיל</t>
        </is>
      </c>
      <c r="F998" t="inlineStr">
        <is>
          <t>יבש</t>
        </is>
      </c>
      <c r="G998" t="inlineStr"/>
      <c r="H998" t="inlineStr"/>
      <c r="I998" t="inlineStr"/>
      <c r="J998" t="inlineStr">
        <is>
          <t>2026-07</t>
        </is>
      </c>
      <c r="K998" t="n">
        <v>90</v>
      </c>
      <c r="L998" t="n">
        <v>106.2</v>
      </c>
      <c r="M998">
        <f>הגדרות!B12</f>
        <v/>
      </c>
      <c r="N998">
        <f>K998*(1-M998/100)*1.18</f>
        <v/>
      </c>
      <c r="O998">
        <f>הגדרות!C12</f>
        <v/>
      </c>
      <c r="P998">
        <f>הגדרות!D12</f>
        <v/>
      </c>
      <c r="Q998">
        <f>N998*(1+O998/100)+P998</f>
        <v/>
      </c>
    </row>
    <row r="999">
      <c r="A999" t="inlineStr">
        <is>
          <t>Monge</t>
        </is>
      </c>
      <c r="B999" t="inlineStr">
        <is>
          <t>מונג פפי סלמון ואורז 12 ק"ג</t>
        </is>
      </c>
      <c r="D999" t="inlineStr">
        <is>
          <t>29000128</t>
        </is>
      </c>
      <c r="E999" t="inlineStr">
        <is>
          <t>רגיל</t>
        </is>
      </c>
      <c r="F999" t="inlineStr">
        <is>
          <t>יבש</t>
        </is>
      </c>
      <c r="G999" t="inlineStr"/>
      <c r="H999" t="inlineStr"/>
      <c r="I999" t="inlineStr"/>
      <c r="J999" t="inlineStr">
        <is>
          <t>2026-07</t>
        </is>
      </c>
      <c r="K999" t="n">
        <v>318</v>
      </c>
      <c r="L999" t="n">
        <v>375.24</v>
      </c>
      <c r="M999">
        <f>הגדרות!B12</f>
        <v/>
      </c>
      <c r="N999">
        <f>K999*(1-M999/100)*1.18</f>
        <v/>
      </c>
      <c r="O999">
        <f>הגדרות!C12</f>
        <v/>
      </c>
      <c r="P999">
        <f>הגדרות!D12</f>
        <v/>
      </c>
      <c r="Q999">
        <f>N999*(1+O999/100)+P999</f>
        <v/>
      </c>
    </row>
    <row r="1000">
      <c r="A1000" t="inlineStr">
        <is>
          <t>Monge</t>
        </is>
      </c>
      <c r="B1000" t="inlineStr">
        <is>
          <t>מונג פפי סלמון ואורז 2.5 ק"ג</t>
        </is>
      </c>
      <c r="D1000" t="inlineStr">
        <is>
          <t>29000219</t>
        </is>
      </c>
      <c r="E1000" t="inlineStr">
        <is>
          <t>רגיל</t>
        </is>
      </c>
      <c r="F1000" t="inlineStr">
        <is>
          <t>יבש</t>
        </is>
      </c>
      <c r="G1000" t="inlineStr"/>
      <c r="H1000" t="inlineStr"/>
      <c r="I1000" t="inlineStr"/>
      <c r="J1000" t="inlineStr">
        <is>
          <t>2026-07</t>
        </is>
      </c>
      <c r="K1000" t="n">
        <v>90</v>
      </c>
      <c r="L1000" t="n">
        <v>106.2</v>
      </c>
      <c r="M1000">
        <f>הגדרות!B12</f>
        <v/>
      </c>
      <c r="N1000">
        <f>K1000*(1-M1000/100)*1.18</f>
        <v/>
      </c>
      <c r="O1000">
        <f>הגדרות!C12</f>
        <v/>
      </c>
      <c r="P1000">
        <f>הגדרות!D12</f>
        <v/>
      </c>
      <c r="Q1000">
        <f>N1000*(1+O1000/100)+P1000</f>
        <v/>
      </c>
    </row>
    <row r="1001">
      <c r="A1001" t="inlineStr">
        <is>
          <t>Monge</t>
        </is>
      </c>
      <c r="B1001" t="inlineStr">
        <is>
          <t>מונג פפי פורל אורז ותפו"א 2.5 ק"ג</t>
        </is>
      </c>
      <c r="D1001" t="inlineStr">
        <is>
          <t>29000343</t>
        </is>
      </c>
      <c r="E1001" t="inlineStr">
        <is>
          <t>רגיל</t>
        </is>
      </c>
      <c r="F1001" t="inlineStr">
        <is>
          <t>יבש</t>
        </is>
      </c>
      <c r="G1001" t="inlineStr"/>
      <c r="H1001" t="inlineStr"/>
      <c r="I1001" t="inlineStr"/>
      <c r="J1001" t="inlineStr">
        <is>
          <t>2026-07</t>
        </is>
      </c>
      <c r="K1001" t="n">
        <v>103</v>
      </c>
      <c r="L1001" t="n">
        <v>121.54</v>
      </c>
      <c r="M1001">
        <f>הגדרות!B12</f>
        <v/>
      </c>
      <c r="N1001">
        <f>K1001*(1-M1001/100)*1.18</f>
        <v/>
      </c>
      <c r="O1001">
        <f>הגדרות!C12</f>
        <v/>
      </c>
      <c r="P1001">
        <f>הגדרות!D12</f>
        <v/>
      </c>
      <c r="Q1001">
        <f>N1001*(1+O1001/100)+P1001</f>
        <v/>
      </c>
    </row>
    <row r="1002">
      <c r="A1002" t="inlineStr">
        <is>
          <t>Monge</t>
        </is>
      </c>
      <c r="B1002" t="inlineStr">
        <is>
          <t>מונג פפי פורל ותפו"א 12 ק"ג</t>
        </is>
      </c>
      <c r="D1002" t="inlineStr">
        <is>
          <t>29000345</t>
        </is>
      </c>
      <c r="E1002" t="inlineStr">
        <is>
          <t>רגיל</t>
        </is>
      </c>
      <c r="F1002" t="inlineStr">
        <is>
          <t>יבש</t>
        </is>
      </c>
      <c r="G1002" t="inlineStr"/>
      <c r="H1002" t="inlineStr"/>
      <c r="I1002" t="inlineStr"/>
      <c r="J1002" t="inlineStr">
        <is>
          <t>2026-07</t>
        </is>
      </c>
      <c r="K1002" t="n">
        <v>318</v>
      </c>
      <c r="L1002" t="n">
        <v>375.24</v>
      </c>
      <c r="M1002">
        <f>הגדרות!B12</f>
        <v/>
      </c>
      <c r="N1002">
        <f>K1002*(1-M1002/100)*1.18</f>
        <v/>
      </c>
      <c r="O1002">
        <f>הגדרות!C12</f>
        <v/>
      </c>
      <c r="P1002">
        <f>הגדרות!D12</f>
        <v/>
      </c>
      <c r="Q1002">
        <f>N1002*(1+O1002/100)+P1002</f>
        <v/>
      </c>
    </row>
    <row r="1003">
      <c r="A1003" t="inlineStr">
        <is>
          <t>Monge</t>
        </is>
      </c>
      <c r="B1003" t="inlineStr">
        <is>
          <t>מונג פפי חזיר אורז ותפוא 2.5 ק"ג</t>
        </is>
      </c>
      <c r="D1003" t="inlineStr">
        <is>
          <t>29000358</t>
        </is>
      </c>
      <c r="E1003" t="inlineStr">
        <is>
          <t>רגיל</t>
        </is>
      </c>
      <c r="F1003" t="inlineStr">
        <is>
          <t>יבש</t>
        </is>
      </c>
      <c r="G1003" t="inlineStr"/>
      <c r="H1003" t="inlineStr"/>
      <c r="I1003" t="inlineStr"/>
      <c r="J1003" t="inlineStr">
        <is>
          <t>2026-07</t>
        </is>
      </c>
      <c r="K1003" t="n">
        <v>90</v>
      </c>
      <c r="L1003" t="n">
        <v>106.2</v>
      </c>
      <c r="M1003">
        <f>הגדרות!B12</f>
        <v/>
      </c>
      <c r="N1003">
        <f>K1003*(1-M1003/100)*1.18</f>
        <v/>
      </c>
      <c r="O1003">
        <f>הגדרות!C12</f>
        <v/>
      </c>
      <c r="P1003">
        <f>הגדרות!D12</f>
        <v/>
      </c>
      <c r="Q1003">
        <f>N1003*(1+O1003/100)+P1003</f>
        <v/>
      </c>
    </row>
    <row r="1004">
      <c r="A1004" t="inlineStr">
        <is>
          <t>Monge</t>
        </is>
      </c>
      <c r="B1004" t="inlineStr">
        <is>
          <t>מונג מיני פפי סלמון ואורז 2.5 ק"ג כלב</t>
        </is>
      </c>
      <c r="D1004" t="inlineStr">
        <is>
          <t>29000357</t>
        </is>
      </c>
      <c r="E1004" t="inlineStr">
        <is>
          <t>רגיל</t>
        </is>
      </c>
      <c r="F1004" t="inlineStr">
        <is>
          <t>יבש</t>
        </is>
      </c>
      <c r="G1004" t="inlineStr"/>
      <c r="H1004" t="inlineStr">
        <is>
          <t>כלב</t>
        </is>
      </c>
      <c r="I1004" t="inlineStr">
        <is>
          <t>עד 7 ק"ג</t>
        </is>
      </c>
      <c r="J1004" t="inlineStr">
        <is>
          <t>2026-07</t>
        </is>
      </c>
      <c r="K1004" t="n">
        <v>100</v>
      </c>
      <c r="L1004" t="n">
        <v>118</v>
      </c>
      <c r="M1004">
        <f>הגדרות!B12</f>
        <v/>
      </c>
      <c r="N1004">
        <f>K1004*(1-M1004/100)*1.18</f>
        <v/>
      </c>
      <c r="O1004">
        <f>הגדרות!C12</f>
        <v/>
      </c>
      <c r="P1004">
        <f>הגדרות!D12</f>
        <v/>
      </c>
      <c r="Q1004">
        <f>N1004*(1+O1004/100)+P1004</f>
        <v/>
      </c>
    </row>
    <row r="1005">
      <c r="A1005" t="inlineStr">
        <is>
          <t>Monge</t>
        </is>
      </c>
      <c r="B1005" t="inlineStr">
        <is>
          <t>מונג ג.פרי אדולט בופלו תפוא 1.5 ק"ג * חתול BW</t>
        </is>
      </c>
      <c r="C1005" t="inlineStr">
        <is>
          <t>BeWild</t>
        </is>
      </c>
      <c r="D1005" t="inlineStr">
        <is>
          <t>29000276</t>
        </is>
      </c>
      <c r="E1005" t="inlineStr">
        <is>
          <t>רגיל</t>
        </is>
      </c>
      <c r="F1005" t="inlineStr">
        <is>
          <t>יבש</t>
        </is>
      </c>
      <c r="G1005" t="inlineStr">
        <is>
          <t>בוגר</t>
        </is>
      </c>
      <c r="H1005" t="inlineStr">
        <is>
          <t>חתול</t>
        </is>
      </c>
      <c r="I1005" t="inlineStr"/>
      <c r="J1005" t="inlineStr">
        <is>
          <t>2026-07</t>
        </is>
      </c>
      <c r="K1005" t="n">
        <v>86</v>
      </c>
      <c r="L1005" t="n">
        <v>101.48</v>
      </c>
      <c r="M1005">
        <f>הגדרות!B12</f>
        <v/>
      </c>
      <c r="N1005">
        <f>K1005*(1-M1005/100)*1.18</f>
        <v/>
      </c>
      <c r="O1005">
        <f>הגדרות!C12</f>
        <v/>
      </c>
      <c r="P1005">
        <f>הגדרות!D12</f>
        <v/>
      </c>
      <c r="Q1005">
        <f>N1005*(1+O1005/100)+P1005</f>
        <v/>
      </c>
    </row>
    <row r="1006">
      <c r="A1006" t="inlineStr">
        <is>
          <t>Monge</t>
        </is>
      </c>
      <c r="B1006" t="inlineStr">
        <is>
          <t>מונג ג.פרי אדולט בקלה תפוא 1.5 ק"ג * חתול BW</t>
        </is>
      </c>
      <c r="C1006" t="inlineStr">
        <is>
          <t>BeWild</t>
        </is>
      </c>
      <c r="D1006" t="inlineStr">
        <is>
          <t>29000275</t>
        </is>
      </c>
      <c r="E1006" t="inlineStr">
        <is>
          <t>רגיל</t>
        </is>
      </c>
      <c r="F1006" t="inlineStr">
        <is>
          <t>יבש</t>
        </is>
      </c>
      <c r="G1006" t="inlineStr">
        <is>
          <t>בוגר</t>
        </is>
      </c>
      <c r="H1006" t="inlineStr">
        <is>
          <t>חתול</t>
        </is>
      </c>
      <c r="I1006" t="inlineStr"/>
      <c r="J1006" t="inlineStr">
        <is>
          <t>2026-07</t>
        </is>
      </c>
      <c r="K1006" t="n">
        <v>86</v>
      </c>
      <c r="L1006" t="n">
        <v>101.48</v>
      </c>
      <c r="M1006">
        <f>הגדרות!B12</f>
        <v/>
      </c>
      <c r="N1006">
        <f>K1006*(1-M1006/100)*1.18</f>
        <v/>
      </c>
      <c r="O1006">
        <f>הגדרות!C12</f>
        <v/>
      </c>
      <c r="P1006">
        <f>הגדרות!D12</f>
        <v/>
      </c>
      <c r="Q1006">
        <f>N1006*(1+O1006/100)+P1006</f>
        <v/>
      </c>
    </row>
    <row r="1007">
      <c r="A1007" t="inlineStr">
        <is>
          <t>Monge</t>
        </is>
      </c>
      <c r="B1007" t="inlineStr">
        <is>
          <t>מונג ג.פרי אדולט סלמון ואפונה 1.5 ק"ג * חתול BW</t>
        </is>
      </c>
      <c r="C1007" t="inlineStr">
        <is>
          <t>BeWild</t>
        </is>
      </c>
      <c r="D1007" t="inlineStr">
        <is>
          <t>29000277</t>
        </is>
      </c>
      <c r="E1007" t="inlineStr">
        <is>
          <t>רגיל</t>
        </is>
      </c>
      <c r="F1007" t="inlineStr">
        <is>
          <t>יבש</t>
        </is>
      </c>
      <c r="G1007" t="inlineStr">
        <is>
          <t>בוגר</t>
        </is>
      </c>
      <c r="H1007" t="inlineStr">
        <is>
          <t>חתול</t>
        </is>
      </c>
      <c r="I1007" t="inlineStr"/>
      <c r="J1007" t="inlineStr">
        <is>
          <t>2026-07</t>
        </is>
      </c>
      <c r="K1007" t="n">
        <v>86</v>
      </c>
      <c r="L1007" t="n">
        <v>101.48</v>
      </c>
      <c r="M1007">
        <f>הגדרות!B12</f>
        <v/>
      </c>
      <c r="N1007">
        <f>K1007*(1-M1007/100)*1.18</f>
        <v/>
      </c>
      <c r="O1007">
        <f>הגדרות!C12</f>
        <v/>
      </c>
      <c r="P1007">
        <f>הגדרות!D12</f>
        <v/>
      </c>
      <c r="Q1007">
        <f>N1007*(1+O1007/100)+P1007</f>
        <v/>
      </c>
    </row>
    <row r="1008">
      <c r="A1008" t="inlineStr">
        <is>
          <t>Monge</t>
        </is>
      </c>
      <c r="B1008" t="inlineStr">
        <is>
          <t>מונג ג.פרי אדולט סלמון ואפונה 12 ק"ג * כלב BW</t>
        </is>
      </c>
      <c r="C1008" t="inlineStr">
        <is>
          <t>BeWild</t>
        </is>
      </c>
      <c r="D1008" t="inlineStr">
        <is>
          <t>29000273</t>
        </is>
      </c>
      <c r="E1008" t="inlineStr">
        <is>
          <t>רגיל</t>
        </is>
      </c>
      <c r="F1008" t="inlineStr">
        <is>
          <t>יבש</t>
        </is>
      </c>
      <c r="G1008" t="inlineStr">
        <is>
          <t>בוגר</t>
        </is>
      </c>
      <c r="H1008" t="inlineStr">
        <is>
          <t>כלב</t>
        </is>
      </c>
      <c r="I1008" t="inlineStr"/>
      <c r="J1008" t="inlineStr">
        <is>
          <t>2026-07</t>
        </is>
      </c>
      <c r="K1008" t="n">
        <v>449</v>
      </c>
      <c r="L1008" t="n">
        <v>529.8200000000001</v>
      </c>
      <c r="M1008">
        <f>הגדרות!B12</f>
        <v/>
      </c>
      <c r="N1008">
        <f>K1008*(1-M1008/100)*1.18</f>
        <v/>
      </c>
      <c r="O1008">
        <f>הגדרות!C12</f>
        <v/>
      </c>
      <c r="P1008">
        <f>הגדרות!D12</f>
        <v/>
      </c>
      <c r="Q1008">
        <f>N1008*(1+O1008/100)+P1008</f>
        <v/>
      </c>
    </row>
    <row r="1009">
      <c r="A1009" t="inlineStr">
        <is>
          <t>Monge</t>
        </is>
      </c>
      <c r="B1009" t="inlineStr">
        <is>
          <t>מונג ג.פרי אדולט סלמון ואפונה 2.5 ק"ג * כלב BW</t>
        </is>
      </c>
      <c r="C1009" t="inlineStr">
        <is>
          <t>BeWild</t>
        </is>
      </c>
      <c r="D1009" t="inlineStr">
        <is>
          <t>29000286</t>
        </is>
      </c>
      <c r="E1009" t="inlineStr">
        <is>
          <t>רגיל</t>
        </is>
      </c>
      <c r="F1009" t="inlineStr">
        <is>
          <t>יבש</t>
        </is>
      </c>
      <c r="G1009" t="inlineStr">
        <is>
          <t>בוגר</t>
        </is>
      </c>
      <c r="H1009" t="inlineStr">
        <is>
          <t>כלב</t>
        </is>
      </c>
      <c r="I1009" t="inlineStr"/>
      <c r="J1009" t="inlineStr">
        <is>
          <t>2026-07</t>
        </is>
      </c>
      <c r="K1009" t="n">
        <v>130</v>
      </c>
      <c r="L1009" t="n">
        <v>153.4</v>
      </c>
      <c r="M1009">
        <f>הגדרות!B12</f>
        <v/>
      </c>
      <c r="N1009">
        <f>K1009*(1-M1009/100)*1.18</f>
        <v/>
      </c>
      <c r="O1009">
        <f>הגדרות!C12</f>
        <v/>
      </c>
      <c r="P1009">
        <f>הגדרות!D12</f>
        <v/>
      </c>
      <c r="Q1009">
        <f>N1009*(1+O1009/100)+P1009</f>
        <v/>
      </c>
    </row>
    <row r="1010">
      <c r="A1010" t="inlineStr">
        <is>
          <t>Monge</t>
        </is>
      </c>
      <c r="B1010" t="inlineStr">
        <is>
          <t>מונג ג.פרי אנשובי תפוא ואפונה 2.5 ק"ג</t>
        </is>
      </c>
      <c r="C1010" t="inlineStr">
        <is>
          <t>BeWild</t>
        </is>
      </c>
      <c r="D1010" t="inlineStr">
        <is>
          <t>29000176</t>
        </is>
      </c>
      <c r="E1010" t="inlineStr">
        <is>
          <t>רגיל</t>
        </is>
      </c>
      <c r="F1010" t="inlineStr">
        <is>
          <t>יבש</t>
        </is>
      </c>
      <c r="G1010" t="inlineStr"/>
      <c r="H1010" t="inlineStr"/>
      <c r="I1010" t="inlineStr"/>
      <c r="J1010" t="inlineStr">
        <is>
          <t>2026-07</t>
        </is>
      </c>
      <c r="K1010" t="n">
        <v>130</v>
      </c>
      <c r="L1010" t="n">
        <v>153.4</v>
      </c>
      <c r="M1010">
        <f>הגדרות!B12</f>
        <v/>
      </c>
      <c r="N1010">
        <f>K1010*(1-M1010/100)*1.18</f>
        <v/>
      </c>
      <c r="O1010">
        <f>הגדרות!C12</f>
        <v/>
      </c>
      <c r="P1010">
        <f>הגדרות!D12</f>
        <v/>
      </c>
      <c r="Q1010">
        <f>N1010*(1+O1010/100)+P1010</f>
        <v/>
      </c>
    </row>
    <row r="1011">
      <c r="A1011" t="inlineStr">
        <is>
          <t>Monge</t>
        </is>
      </c>
      <c r="B1011" t="inlineStr">
        <is>
          <t>מונג ג.פרי ברווז ותפוא 12 ק"ג * כלב B.W</t>
        </is>
      </c>
      <c r="C1011" t="inlineStr">
        <is>
          <t>BeWild</t>
        </is>
      </c>
      <c r="D1011" t="inlineStr">
        <is>
          <t>29000123</t>
        </is>
      </c>
      <c r="E1011" t="inlineStr">
        <is>
          <t>רגיל</t>
        </is>
      </c>
      <c r="F1011" t="inlineStr">
        <is>
          <t>יבש</t>
        </is>
      </c>
      <c r="G1011" t="inlineStr"/>
      <c r="H1011" t="inlineStr">
        <is>
          <t>כלב</t>
        </is>
      </c>
      <c r="I1011" t="inlineStr"/>
      <c r="J1011" t="inlineStr">
        <is>
          <t>2026-07</t>
        </is>
      </c>
      <c r="K1011" t="n">
        <v>449</v>
      </c>
      <c r="L1011" t="n">
        <v>529.8200000000001</v>
      </c>
      <c r="M1011">
        <f>הגדרות!B12</f>
        <v/>
      </c>
      <c r="N1011">
        <f>K1011*(1-M1011/100)*1.18</f>
        <v/>
      </c>
      <c r="O1011">
        <f>הגדרות!C12</f>
        <v/>
      </c>
      <c r="P1011">
        <f>הגדרות!D12</f>
        <v/>
      </c>
      <c r="Q1011">
        <f>N1011*(1+O1011/100)+P1011</f>
        <v/>
      </c>
    </row>
    <row r="1012">
      <c r="A1012" t="inlineStr">
        <is>
          <t>Monge</t>
        </is>
      </c>
      <c r="B1012" t="inlineStr">
        <is>
          <t>מונג ג.פרי ברווז ותפוח אדמה 2.5 ק"ג * כלב B.W</t>
        </is>
      </c>
      <c r="C1012" t="inlineStr">
        <is>
          <t>BeWild</t>
        </is>
      </c>
      <c r="D1012" t="inlineStr">
        <is>
          <t>29000177</t>
        </is>
      </c>
      <c r="E1012" t="inlineStr">
        <is>
          <t>רגיל</t>
        </is>
      </c>
      <c r="F1012" t="inlineStr">
        <is>
          <t>יבש</t>
        </is>
      </c>
      <c r="G1012" t="inlineStr"/>
      <c r="H1012" t="inlineStr">
        <is>
          <t>כלב</t>
        </is>
      </c>
      <c r="I1012" t="inlineStr"/>
      <c r="J1012" t="inlineStr">
        <is>
          <t>2026-07</t>
        </is>
      </c>
      <c r="K1012" t="n">
        <v>120</v>
      </c>
      <c r="L1012" t="n">
        <v>141.6</v>
      </c>
      <c r="M1012">
        <f>הגדרות!B12</f>
        <v/>
      </c>
      <c r="N1012">
        <f>K1012*(1-M1012/100)*1.18</f>
        <v/>
      </c>
      <c r="O1012">
        <f>הגדרות!C12</f>
        <v/>
      </c>
      <c r="P1012">
        <f>הגדרות!D12</f>
        <v/>
      </c>
      <c r="Q1012">
        <f>N1012*(1+O1012/100)+P1012</f>
        <v/>
      </c>
    </row>
    <row r="1013">
      <c r="A1013" t="inlineStr">
        <is>
          <t>Monge</t>
        </is>
      </c>
      <c r="B1013" t="inlineStr">
        <is>
          <t>מונג ג.פרי כבש תפוא אפונה 12 ק"ג * כלב BW</t>
        </is>
      </c>
      <c r="C1013" t="inlineStr">
        <is>
          <t>BeWild</t>
        </is>
      </c>
      <c r="D1013" t="inlineStr">
        <is>
          <t>29000267</t>
        </is>
      </c>
      <c r="E1013" t="inlineStr">
        <is>
          <t>רגיל</t>
        </is>
      </c>
      <c r="F1013" t="inlineStr">
        <is>
          <t>יבש</t>
        </is>
      </c>
      <c r="G1013" t="inlineStr"/>
      <c r="H1013" t="inlineStr">
        <is>
          <t>כלב</t>
        </is>
      </c>
      <c r="I1013" t="inlineStr"/>
      <c r="J1013" t="inlineStr">
        <is>
          <t>2026-07</t>
        </is>
      </c>
      <c r="K1013" t="n">
        <v>449</v>
      </c>
      <c r="L1013" t="n">
        <v>529.8200000000001</v>
      </c>
      <c r="M1013">
        <f>הגדרות!B12</f>
        <v/>
      </c>
      <c r="N1013">
        <f>K1013*(1-M1013/100)*1.18</f>
        <v/>
      </c>
      <c r="O1013">
        <f>הגדרות!C12</f>
        <v/>
      </c>
      <c r="P1013">
        <f>הגדרות!D12</f>
        <v/>
      </c>
      <c r="Q1013">
        <f>N1013*(1+O1013/100)+P1013</f>
        <v/>
      </c>
    </row>
    <row r="1014">
      <c r="A1014" t="inlineStr">
        <is>
          <t>Monge</t>
        </is>
      </c>
      <c r="B1014" t="inlineStr">
        <is>
          <t>מונג ג.פרי כבש תפוא אפונה 2.5 ק"ג * כלב BW</t>
        </is>
      </c>
      <c r="C1014" t="inlineStr">
        <is>
          <t>BeWild</t>
        </is>
      </c>
      <c r="D1014" t="inlineStr">
        <is>
          <t>29000287</t>
        </is>
      </c>
      <c r="E1014" t="inlineStr">
        <is>
          <t>רגיל</t>
        </is>
      </c>
      <c r="F1014" t="inlineStr">
        <is>
          <t>יבש</t>
        </is>
      </c>
      <c r="G1014" t="inlineStr"/>
      <c r="H1014" t="inlineStr">
        <is>
          <t>כלב</t>
        </is>
      </c>
      <c r="I1014" t="inlineStr"/>
      <c r="J1014" t="inlineStr">
        <is>
          <t>2026-07</t>
        </is>
      </c>
      <c r="K1014" t="n">
        <v>130</v>
      </c>
      <c r="L1014" t="n">
        <v>153.4</v>
      </c>
      <c r="M1014">
        <f>הגדרות!B12</f>
        <v/>
      </c>
      <c r="N1014">
        <f>K1014*(1-M1014/100)*1.18</f>
        <v/>
      </c>
      <c r="O1014">
        <f>הגדרות!C12</f>
        <v/>
      </c>
      <c r="P1014">
        <f>הגדרות!D12</f>
        <v/>
      </c>
      <c r="Q1014">
        <f>N1014*(1+O1014/100)+P1014</f>
        <v/>
      </c>
    </row>
    <row r="1015">
      <c r="A1015" t="inlineStr">
        <is>
          <t>Monge</t>
        </is>
      </c>
      <c r="B1015" t="inlineStr">
        <is>
          <t>מונג ג.פרי כלב אנשובי תפוא ואפונה 12 ק"ג</t>
        </is>
      </c>
      <c r="C1015" t="inlineStr">
        <is>
          <t>BeWild</t>
        </is>
      </c>
      <c r="D1015" t="inlineStr">
        <is>
          <t>29000122</t>
        </is>
      </c>
      <c r="E1015" t="inlineStr">
        <is>
          <t>רגיל</t>
        </is>
      </c>
      <c r="F1015" t="inlineStr">
        <is>
          <t>יבש</t>
        </is>
      </c>
      <c r="G1015" t="inlineStr"/>
      <c r="H1015" t="inlineStr">
        <is>
          <t>כלב</t>
        </is>
      </c>
      <c r="I1015" t="inlineStr"/>
      <c r="J1015" t="inlineStr">
        <is>
          <t>2026-07</t>
        </is>
      </c>
      <c r="K1015" t="n">
        <v>449</v>
      </c>
      <c r="L1015" t="n">
        <v>529.8200000000001</v>
      </c>
      <c r="M1015">
        <f>הגדרות!B12</f>
        <v/>
      </c>
      <c r="N1015">
        <f>K1015*(1-M1015/100)*1.18</f>
        <v/>
      </c>
      <c r="O1015">
        <f>הגדרות!C12</f>
        <v/>
      </c>
      <c r="P1015">
        <f>הגדרות!D12</f>
        <v/>
      </c>
      <c r="Q1015">
        <f>N1015*(1+O1015/100)+P1015</f>
        <v/>
      </c>
    </row>
    <row r="1016">
      <c r="A1016" t="inlineStr">
        <is>
          <t>Monge</t>
        </is>
      </c>
      <c r="B1016" t="inlineStr">
        <is>
          <t>מונג ג.פרי מיני אד. ברווז תפוא 2.5 ק"ג * כלב BW</t>
        </is>
      </c>
      <c r="C1016" t="inlineStr">
        <is>
          <t>BeWild</t>
        </is>
      </c>
      <c r="D1016" t="inlineStr">
        <is>
          <t>29000280</t>
        </is>
      </c>
      <c r="E1016" t="inlineStr">
        <is>
          <t>רגיל</t>
        </is>
      </c>
      <c r="F1016" t="inlineStr">
        <is>
          <t>יבש</t>
        </is>
      </c>
      <c r="G1016" t="inlineStr"/>
      <c r="H1016" t="inlineStr">
        <is>
          <t>כלב</t>
        </is>
      </c>
      <c r="I1016" t="inlineStr">
        <is>
          <t>עד 7 ק"ג</t>
        </is>
      </c>
      <c r="J1016" t="inlineStr">
        <is>
          <t>2026-07</t>
        </is>
      </c>
      <c r="K1016" t="n">
        <v>130</v>
      </c>
      <c r="L1016" t="n">
        <v>153.4</v>
      </c>
      <c r="M1016">
        <f>הגדרות!B12</f>
        <v/>
      </c>
      <c r="N1016">
        <f>K1016*(1-M1016/100)*1.18</f>
        <v/>
      </c>
      <c r="O1016">
        <f>הגדרות!C12</f>
        <v/>
      </c>
      <c r="P1016">
        <f>הגדרות!D12</f>
        <v/>
      </c>
      <c r="Q1016">
        <f>N1016*(1+O1016/100)+P1016</f>
        <v/>
      </c>
    </row>
    <row r="1017">
      <c r="A1017" t="inlineStr">
        <is>
          <t>Monge</t>
        </is>
      </c>
      <c r="B1017" t="inlineStr">
        <is>
          <t>מונג ג.פרי מיני אנשובי ואפונה 2.5 ק"ג * כלב BW</t>
        </is>
      </c>
      <c r="C1017" t="inlineStr">
        <is>
          <t>BeWild</t>
        </is>
      </c>
      <c r="D1017" t="inlineStr">
        <is>
          <t>29000288</t>
        </is>
      </c>
      <c r="E1017" t="inlineStr">
        <is>
          <t>רגיל</t>
        </is>
      </c>
      <c r="F1017" t="inlineStr">
        <is>
          <t>יבש</t>
        </is>
      </c>
      <c r="G1017" t="inlineStr"/>
      <c r="H1017" t="inlineStr">
        <is>
          <t>כלב</t>
        </is>
      </c>
      <c r="I1017" t="inlineStr">
        <is>
          <t>עד 7 ק"ג</t>
        </is>
      </c>
      <c r="J1017" t="inlineStr">
        <is>
          <t>2026-07</t>
        </is>
      </c>
      <c r="K1017" t="n">
        <v>150</v>
      </c>
      <c r="L1017" t="n">
        <v>177</v>
      </c>
      <c r="M1017">
        <f>הגדרות!B12</f>
        <v/>
      </c>
      <c r="N1017">
        <f>K1017*(1-M1017/100)*1.18</f>
        <v/>
      </c>
      <c r="O1017">
        <f>הגדרות!C12</f>
        <v/>
      </c>
      <c r="P1017">
        <f>הגדרות!D12</f>
        <v/>
      </c>
      <c r="Q1017">
        <f>N1017*(1+O1017/100)+P1017</f>
        <v/>
      </c>
    </row>
    <row r="1018">
      <c r="A1018" t="inlineStr">
        <is>
          <t>Monge</t>
        </is>
      </c>
      <c r="B1018" t="inlineStr">
        <is>
          <t>מונג ג.פרי סטריליז טונה ואפונה 1.5 ק"ג * חתול BW</t>
        </is>
      </c>
      <c r="C1018" t="inlineStr">
        <is>
          <t>BeWild</t>
        </is>
      </c>
      <c r="D1018" t="inlineStr">
        <is>
          <t>29000278</t>
        </is>
      </c>
      <c r="E1018" t="inlineStr">
        <is>
          <t>רגיל</t>
        </is>
      </c>
      <c r="F1018" t="inlineStr">
        <is>
          <t>יבש</t>
        </is>
      </c>
      <c r="G1018" t="inlineStr"/>
      <c r="H1018" t="inlineStr">
        <is>
          <t>חתול</t>
        </is>
      </c>
      <c r="I1018" t="inlineStr"/>
      <c r="J1018" t="inlineStr">
        <is>
          <t>2026-07</t>
        </is>
      </c>
      <c r="K1018" t="n">
        <v>86</v>
      </c>
      <c r="L1018" t="n">
        <v>101.48</v>
      </c>
      <c r="M1018">
        <f>הגדרות!B12</f>
        <v/>
      </c>
      <c r="N1018">
        <f>K1018*(1-M1018/100)*1.18</f>
        <v/>
      </c>
      <c r="O1018">
        <f>הגדרות!C12</f>
        <v/>
      </c>
      <c r="P1018">
        <f>הגדרות!D12</f>
        <v/>
      </c>
      <c r="Q1018">
        <f>N1018*(1+O1018/100)+P1018</f>
        <v/>
      </c>
    </row>
    <row r="1019">
      <c r="A1019" t="inlineStr">
        <is>
          <t>Monge</t>
        </is>
      </c>
      <c r="B1019" t="inlineStr">
        <is>
          <t>מונג ג.פרי פפי ברווז ותפוא 12 ק"ג * כלב BW</t>
        </is>
      </c>
      <c r="C1019" t="inlineStr">
        <is>
          <t>BeWild</t>
        </is>
      </c>
      <c r="D1019" t="inlineStr">
        <is>
          <t>29000268</t>
        </is>
      </c>
      <c r="E1019" t="inlineStr">
        <is>
          <t>רגיל</t>
        </is>
      </c>
      <c r="F1019" t="inlineStr">
        <is>
          <t>יבש</t>
        </is>
      </c>
      <c r="G1019" t="inlineStr"/>
      <c r="H1019" t="inlineStr">
        <is>
          <t>כלב</t>
        </is>
      </c>
      <c r="I1019" t="inlineStr"/>
      <c r="J1019" t="inlineStr">
        <is>
          <t>2026-07</t>
        </is>
      </c>
      <c r="K1019" t="n">
        <v>449</v>
      </c>
      <c r="L1019" t="n">
        <v>529.8200000000001</v>
      </c>
      <c r="M1019">
        <f>הגדרות!B12</f>
        <v/>
      </c>
      <c r="N1019">
        <f>K1019*(1-M1019/100)*1.18</f>
        <v/>
      </c>
      <c r="O1019">
        <f>הגדרות!C12</f>
        <v/>
      </c>
      <c r="P1019">
        <f>הגדרות!D12</f>
        <v/>
      </c>
      <c r="Q1019">
        <f>N1019*(1+O1019/100)+P1019</f>
        <v/>
      </c>
    </row>
    <row r="1020">
      <c r="A1020" t="inlineStr">
        <is>
          <t>Monge</t>
        </is>
      </c>
      <c r="B1020" t="inlineStr">
        <is>
          <t>מונג ג.פרי פפי ברווז ותפוא 2.5 ק"ג * כלב BW</t>
        </is>
      </c>
      <c r="C1020" t="inlineStr">
        <is>
          <t>BeWild</t>
        </is>
      </c>
      <c r="D1020" t="inlineStr">
        <is>
          <t>29000279</t>
        </is>
      </c>
      <c r="E1020" t="inlineStr">
        <is>
          <t>רגיל</t>
        </is>
      </c>
      <c r="F1020" t="inlineStr">
        <is>
          <t>יבש</t>
        </is>
      </c>
      <c r="G1020" t="inlineStr"/>
      <c r="H1020" t="inlineStr">
        <is>
          <t>כלב</t>
        </is>
      </c>
      <c r="I1020" t="inlineStr"/>
      <c r="J1020" t="inlineStr">
        <is>
          <t>2026-07</t>
        </is>
      </c>
      <c r="K1020" t="n">
        <v>130</v>
      </c>
      <c r="L1020" t="n">
        <v>153.4</v>
      </c>
      <c r="M1020">
        <f>הגדרות!B12</f>
        <v/>
      </c>
      <c r="N1020">
        <f>K1020*(1-M1020/100)*1.18</f>
        <v/>
      </c>
      <c r="O1020">
        <f>הגדרות!C12</f>
        <v/>
      </c>
      <c r="P1020">
        <f>הגדרות!D12</f>
        <v/>
      </c>
      <c r="Q1020">
        <f>N1020*(1+O1020/100)+P1020</f>
        <v/>
      </c>
    </row>
    <row r="1021">
      <c r="A1021" t="inlineStr">
        <is>
          <t>Monge</t>
        </is>
      </c>
      <c r="B1021" t="inlineStr">
        <is>
          <t>מונג חתול ביווילד 1.5 ק"ג אנשובי BW</t>
        </is>
      </c>
      <c r="C1021" t="inlineStr">
        <is>
          <t>BeWild</t>
        </is>
      </c>
      <c r="D1021" t="inlineStr">
        <is>
          <t>29000106</t>
        </is>
      </c>
      <c r="E1021" t="inlineStr">
        <is>
          <t>רגיל</t>
        </is>
      </c>
      <c r="F1021" t="inlineStr">
        <is>
          <t>יבש</t>
        </is>
      </c>
      <c r="G1021" t="inlineStr"/>
      <c r="H1021" t="inlineStr">
        <is>
          <t>חתול</t>
        </is>
      </c>
      <c r="I1021" t="inlineStr"/>
      <c r="J1021" t="inlineStr">
        <is>
          <t>2026-07</t>
        </is>
      </c>
      <c r="K1021" t="n">
        <v>86</v>
      </c>
      <c r="L1021" t="n">
        <v>101.48</v>
      </c>
      <c r="M1021">
        <f>הגדרות!B12</f>
        <v/>
      </c>
      <c r="N1021">
        <f>K1021*(1-M1021/100)*1.18</f>
        <v/>
      </c>
      <c r="O1021">
        <f>הגדרות!C12</f>
        <v/>
      </c>
      <c r="P1021">
        <f>הגדרות!D12</f>
        <v/>
      </c>
      <c r="Q1021">
        <f>N1021*(1+O1021/100)+P1021</f>
        <v/>
      </c>
    </row>
    <row r="1022">
      <c r="A1022" t="inlineStr">
        <is>
          <t>Monge</t>
        </is>
      </c>
      <c r="B1022" t="inlineStr">
        <is>
          <t>מונג חתול ביווילד 1.5 ק"ג ארנבת BW</t>
        </is>
      </c>
      <c r="C1022" t="inlineStr">
        <is>
          <t>BeWild</t>
        </is>
      </c>
      <c r="D1022" t="inlineStr">
        <is>
          <t>29000105</t>
        </is>
      </c>
      <c r="E1022" t="inlineStr">
        <is>
          <t>רגיל</t>
        </is>
      </c>
      <c r="F1022" t="inlineStr">
        <is>
          <t>יבש</t>
        </is>
      </c>
      <c r="G1022" t="inlineStr"/>
      <c r="H1022" t="inlineStr">
        <is>
          <t>חתול</t>
        </is>
      </c>
      <c r="I1022" t="inlineStr"/>
      <c r="J1022" t="inlineStr">
        <is>
          <t>2026-07</t>
        </is>
      </c>
      <c r="K1022" t="n">
        <v>86</v>
      </c>
      <c r="L1022" t="n">
        <v>101.48</v>
      </c>
      <c r="M1022">
        <f>הגדרות!B12</f>
        <v/>
      </c>
      <c r="N1022">
        <f>K1022*(1-M1022/100)*1.18</f>
        <v/>
      </c>
      <c r="O1022">
        <f>הגדרות!C12</f>
        <v/>
      </c>
      <c r="P1022">
        <f>הגדרות!D12</f>
        <v/>
      </c>
      <c r="Q1022">
        <f>N1022*(1+O1022/100)+P1022</f>
        <v/>
      </c>
    </row>
    <row r="1023">
      <c r="A1023" t="inlineStr">
        <is>
          <t>Monge</t>
        </is>
      </c>
      <c r="B1023" t="inlineStr">
        <is>
          <t>מונג חתול ביווילד אנשובי 10 ק"ג BW</t>
        </is>
      </c>
      <c r="C1023" t="inlineStr">
        <is>
          <t>BeWild</t>
        </is>
      </c>
      <c r="D1023" t="inlineStr">
        <is>
          <t>29000228</t>
        </is>
      </c>
      <c r="E1023" t="inlineStr">
        <is>
          <t>רגיל</t>
        </is>
      </c>
      <c r="F1023" t="inlineStr">
        <is>
          <t>יבש</t>
        </is>
      </c>
      <c r="G1023" t="inlineStr"/>
      <c r="H1023" t="inlineStr">
        <is>
          <t>חתול</t>
        </is>
      </c>
      <c r="I1023" t="inlineStr"/>
      <c r="J1023" t="inlineStr">
        <is>
          <t>2026-07</t>
        </is>
      </c>
      <c r="K1023" t="n">
        <v>421</v>
      </c>
      <c r="L1023" t="n">
        <v>496.78</v>
      </c>
      <c r="M1023">
        <f>הגדרות!B12</f>
        <v/>
      </c>
      <c r="N1023">
        <f>K1023*(1-M1023/100)*1.18</f>
        <v/>
      </c>
      <c r="O1023">
        <f>הגדרות!C12</f>
        <v/>
      </c>
      <c r="P1023">
        <f>הגדרות!D12</f>
        <v/>
      </c>
      <c r="Q1023">
        <f>N1023*(1+O1023/100)+P1023</f>
        <v/>
      </c>
    </row>
    <row r="1024">
      <c r="A1024" t="inlineStr">
        <is>
          <t>Monge</t>
        </is>
      </c>
      <c r="B1024" t="inlineStr">
        <is>
          <t>מונג חתול ביווילד ארנבת 10 ק"ג BW</t>
        </is>
      </c>
      <c r="C1024" t="inlineStr">
        <is>
          <t>BeWild</t>
        </is>
      </c>
      <c r="D1024" t="inlineStr">
        <is>
          <t>29000229</t>
        </is>
      </c>
      <c r="E1024" t="inlineStr">
        <is>
          <t>רגיל</t>
        </is>
      </c>
      <c r="F1024" t="inlineStr">
        <is>
          <t>יבש</t>
        </is>
      </c>
      <c r="G1024" t="inlineStr"/>
      <c r="H1024" t="inlineStr">
        <is>
          <t>חתול</t>
        </is>
      </c>
      <c r="I1024" t="inlineStr"/>
      <c r="J1024" t="inlineStr">
        <is>
          <t>2026-07</t>
        </is>
      </c>
      <c r="K1024" t="n">
        <v>421</v>
      </c>
      <c r="L1024" t="n">
        <v>496.78</v>
      </c>
      <c r="M1024">
        <f>הגדרות!B12</f>
        <v/>
      </c>
      <c r="N1024">
        <f>K1024*(1-M1024/100)*1.18</f>
        <v/>
      </c>
      <c r="O1024">
        <f>הגדרות!C12</f>
        <v/>
      </c>
      <c r="P1024">
        <f>הגדרות!D12</f>
        <v/>
      </c>
      <c r="Q1024">
        <f>N1024*(1+O1024/100)+P1024</f>
        <v/>
      </c>
    </row>
    <row r="1025">
      <c r="A1025" t="inlineStr">
        <is>
          <t>Monge</t>
        </is>
      </c>
      <c r="B1025" t="inlineStr">
        <is>
          <t>מונג חתול ל.גריין קיטן אווז 1.5 ק"ג * BW</t>
        </is>
      </c>
      <c r="C1025" t="inlineStr">
        <is>
          <t>BeWild</t>
        </is>
      </c>
      <c r="D1025" t="inlineStr">
        <is>
          <t>29000274</t>
        </is>
      </c>
      <c r="E1025" t="inlineStr">
        <is>
          <t>רגיל</t>
        </is>
      </c>
      <c r="F1025" t="inlineStr">
        <is>
          <t>יבש</t>
        </is>
      </c>
      <c r="G1025" t="inlineStr">
        <is>
          <t>גורים</t>
        </is>
      </c>
      <c r="H1025" t="inlineStr">
        <is>
          <t>חתול</t>
        </is>
      </c>
      <c r="I1025" t="inlineStr"/>
      <c r="J1025" t="inlineStr">
        <is>
          <t>2026-07</t>
        </is>
      </c>
      <c r="K1025" t="n">
        <v>90</v>
      </c>
      <c r="L1025" t="n">
        <v>106.2</v>
      </c>
      <c r="M1025">
        <f>הגדרות!B12</f>
        <v/>
      </c>
      <c r="N1025">
        <f>K1025*(1-M1025/100)*1.18</f>
        <v/>
      </c>
      <c r="O1025">
        <f>הגדרות!C12</f>
        <v/>
      </c>
      <c r="P1025">
        <f>הגדרות!D12</f>
        <v/>
      </c>
      <c r="Q1025">
        <f>N1025*(1+O1025/100)+P1025</f>
        <v/>
      </c>
    </row>
    <row r="1026">
      <c r="A1026" t="inlineStr">
        <is>
          <t>Monge</t>
        </is>
      </c>
      <c r="B1026" t="inlineStr">
        <is>
          <t>מונג חתול לארג בופלו 10 ק"ג BW</t>
        </is>
      </c>
      <c r="C1026" t="inlineStr">
        <is>
          <t>BeWild</t>
        </is>
      </c>
      <c r="D1026" t="inlineStr">
        <is>
          <t>29000302</t>
        </is>
      </c>
      <c r="E1026" t="inlineStr">
        <is>
          <t>רגיל</t>
        </is>
      </c>
      <c r="F1026" t="inlineStr">
        <is>
          <t>יבש</t>
        </is>
      </c>
      <c r="G1026" t="inlineStr"/>
      <c r="H1026" t="inlineStr">
        <is>
          <t>חתול</t>
        </is>
      </c>
      <c r="I1026" t="inlineStr"/>
      <c r="J1026" t="inlineStr">
        <is>
          <t>2026-07</t>
        </is>
      </c>
      <c r="K1026" t="n">
        <v>421</v>
      </c>
      <c r="L1026" t="n">
        <v>496.78</v>
      </c>
      <c r="M1026">
        <f>הגדרות!B12</f>
        <v/>
      </c>
      <c r="N1026">
        <f>K1026*(1-M1026/100)*1.18</f>
        <v/>
      </c>
      <c r="O1026">
        <f>הגדרות!C12</f>
        <v/>
      </c>
      <c r="P1026">
        <f>הגדרות!D12</f>
        <v/>
      </c>
      <c r="Q1026">
        <f>N1026*(1+O1026/100)+P1026</f>
        <v/>
      </c>
    </row>
    <row r="1027">
      <c r="A1027" t="inlineStr">
        <is>
          <t>Monge</t>
        </is>
      </c>
      <c r="B1027" t="inlineStr">
        <is>
          <t>מונג חתול קיטן אווז 10 ק"ג BW</t>
        </is>
      </c>
      <c r="C1027" t="inlineStr">
        <is>
          <t>BeWild</t>
        </is>
      </c>
      <c r="D1027" t="inlineStr">
        <is>
          <t>29000309</t>
        </is>
      </c>
      <c r="E1027" t="inlineStr">
        <is>
          <t>רגיל</t>
        </is>
      </c>
      <c r="F1027" t="inlineStr">
        <is>
          <t>יבש</t>
        </is>
      </c>
      <c r="G1027" t="inlineStr">
        <is>
          <t>גורים</t>
        </is>
      </c>
      <c r="H1027" t="inlineStr">
        <is>
          <t>חתול</t>
        </is>
      </c>
      <c r="I1027" t="inlineStr"/>
      <c r="J1027" t="inlineStr">
        <is>
          <t>2026-07</t>
        </is>
      </c>
      <c r="K1027" t="n">
        <v>421</v>
      </c>
      <c r="L1027" t="n">
        <v>496.78</v>
      </c>
      <c r="M1027">
        <f>הגדרות!B12</f>
        <v/>
      </c>
      <c r="N1027">
        <f>K1027*(1-M1027/100)*1.18</f>
        <v/>
      </c>
      <c r="O1027">
        <f>הגדרות!C12</f>
        <v/>
      </c>
      <c r="P1027">
        <f>הגדרות!D12</f>
        <v/>
      </c>
      <c r="Q1027">
        <f>N1027*(1+O1027/100)+P1027</f>
        <v/>
      </c>
    </row>
    <row r="1028">
      <c r="A1028" t="inlineStr">
        <is>
          <t>Monge</t>
        </is>
      </c>
      <c r="B1028" t="inlineStr">
        <is>
          <t>מונג ל.גריין אדולט אווז 12 ק"ג * כלב BW</t>
        </is>
      </c>
      <c r="C1028" t="inlineStr">
        <is>
          <t>BeWild</t>
        </is>
      </c>
      <c r="D1028" t="inlineStr">
        <is>
          <t>29000270</t>
        </is>
      </c>
      <c r="E1028" t="inlineStr">
        <is>
          <t>רגיל</t>
        </is>
      </c>
      <c r="F1028" t="inlineStr">
        <is>
          <t>יבש</t>
        </is>
      </c>
      <c r="G1028" t="inlineStr">
        <is>
          <t>בוגר</t>
        </is>
      </c>
      <c r="H1028" t="inlineStr">
        <is>
          <t>כלב</t>
        </is>
      </c>
      <c r="I1028" t="inlineStr"/>
      <c r="J1028" t="inlineStr">
        <is>
          <t>2026-07</t>
        </is>
      </c>
      <c r="K1028" t="n">
        <v>348</v>
      </c>
      <c r="L1028" t="n">
        <v>410.64</v>
      </c>
      <c r="M1028">
        <f>הגדרות!B12</f>
        <v/>
      </c>
      <c r="N1028">
        <f>K1028*(1-M1028/100)*1.18</f>
        <v/>
      </c>
      <c r="O1028">
        <f>הגדרות!C12</f>
        <v/>
      </c>
      <c r="P1028">
        <f>הגדרות!D12</f>
        <v/>
      </c>
      <c r="Q1028">
        <f>N1028*(1+O1028/100)+P1028</f>
        <v/>
      </c>
    </row>
    <row r="1029">
      <c r="A1029" t="inlineStr">
        <is>
          <t>Monge</t>
        </is>
      </c>
      <c r="B1029" t="inlineStr">
        <is>
          <t>מונג ל.גריין אדולט אווז 2.5 ק"ג * כלב BW</t>
        </is>
      </c>
      <c r="C1029" t="inlineStr">
        <is>
          <t>BeWild</t>
        </is>
      </c>
      <c r="D1029" t="inlineStr">
        <is>
          <t>29000292</t>
        </is>
      </c>
      <c r="E1029" t="inlineStr">
        <is>
          <t>רגיל</t>
        </is>
      </c>
      <c r="F1029" t="inlineStr">
        <is>
          <t>יבש</t>
        </is>
      </c>
      <c r="G1029" t="inlineStr">
        <is>
          <t>בוגר</t>
        </is>
      </c>
      <c r="H1029" t="inlineStr">
        <is>
          <t>כלב</t>
        </is>
      </c>
      <c r="I1029" t="inlineStr"/>
      <c r="J1029" t="inlineStr">
        <is>
          <t>2026-07</t>
        </is>
      </c>
      <c r="K1029" t="n">
        <v>113</v>
      </c>
      <c r="L1029" t="n">
        <v>133.34</v>
      </c>
      <c r="M1029">
        <f>הגדרות!B12</f>
        <v/>
      </c>
      <c r="N1029">
        <f>K1029*(1-M1029/100)*1.18</f>
        <v/>
      </c>
      <c r="O1029">
        <f>הגדרות!C12</f>
        <v/>
      </c>
      <c r="P1029">
        <f>הגדרות!D12</f>
        <v/>
      </c>
      <c r="Q1029">
        <f>N1029*(1+O1029/100)+P1029</f>
        <v/>
      </c>
    </row>
    <row r="1030">
      <c r="A1030" t="inlineStr">
        <is>
          <t>Monge</t>
        </is>
      </c>
      <c r="B1030" t="inlineStr">
        <is>
          <t>מונג ל.גריין אדולט חזיר בר 12 ק"ג * כלב BW</t>
        </is>
      </c>
      <c r="C1030" t="inlineStr">
        <is>
          <t>BeWild</t>
        </is>
      </c>
      <c r="D1030" t="inlineStr">
        <is>
          <t>29000269</t>
        </is>
      </c>
      <c r="E1030" t="inlineStr">
        <is>
          <t>רגיל</t>
        </is>
      </c>
      <c r="F1030" t="inlineStr">
        <is>
          <t>יבש</t>
        </is>
      </c>
      <c r="G1030" t="inlineStr">
        <is>
          <t>בוגר</t>
        </is>
      </c>
      <c r="H1030" t="inlineStr">
        <is>
          <t>כלב</t>
        </is>
      </c>
      <c r="I1030" t="inlineStr"/>
      <c r="J1030" t="inlineStr">
        <is>
          <t>2026-07</t>
        </is>
      </c>
      <c r="K1030" t="n">
        <v>348</v>
      </c>
      <c r="L1030" t="n">
        <v>410.64</v>
      </c>
      <c r="M1030">
        <f>הגדרות!B12</f>
        <v/>
      </c>
      <c r="N1030">
        <f>K1030*(1-M1030/100)*1.18</f>
        <v/>
      </c>
      <c r="O1030">
        <f>הגדרות!C12</f>
        <v/>
      </c>
      <c r="P1030">
        <f>הגדרות!D12</f>
        <v/>
      </c>
      <c r="Q1030">
        <f>N1030*(1+O1030/100)+P1030</f>
        <v/>
      </c>
    </row>
    <row r="1031">
      <c r="A1031" t="inlineStr">
        <is>
          <t>Monge</t>
        </is>
      </c>
      <c r="B1031" t="inlineStr">
        <is>
          <t>מונג ל.גריין אדולט חזיר בר 2.5 ק"ג * כלב BW</t>
        </is>
      </c>
      <c r="C1031" t="inlineStr">
        <is>
          <t>BeWild</t>
        </is>
      </c>
      <c r="D1031" t="inlineStr">
        <is>
          <t>29000291</t>
        </is>
      </c>
      <c r="E1031" t="inlineStr">
        <is>
          <t>רגיל</t>
        </is>
      </c>
      <c r="F1031" t="inlineStr">
        <is>
          <t>יבש</t>
        </is>
      </c>
      <c r="G1031" t="inlineStr">
        <is>
          <t>בוגר</t>
        </is>
      </c>
      <c r="H1031" t="inlineStr">
        <is>
          <t>כלב</t>
        </is>
      </c>
      <c r="I1031" t="inlineStr"/>
      <c r="J1031" t="inlineStr">
        <is>
          <t>2026-07</t>
        </is>
      </c>
      <c r="K1031" t="n">
        <v>113</v>
      </c>
      <c r="L1031" t="n">
        <v>133.34</v>
      </c>
      <c r="M1031">
        <f>הגדרות!B12</f>
        <v/>
      </c>
      <c r="N1031">
        <f>K1031*(1-M1031/100)*1.18</f>
        <v/>
      </c>
      <c r="O1031">
        <f>הגדרות!C12</f>
        <v/>
      </c>
      <c r="P1031">
        <f>הגדרות!D12</f>
        <v/>
      </c>
      <c r="Q1031">
        <f>N1031*(1+O1031/100)+P1031</f>
        <v/>
      </c>
    </row>
    <row r="1032">
      <c r="A1032" t="inlineStr">
        <is>
          <t>Monge</t>
        </is>
      </c>
      <c r="B1032" t="inlineStr">
        <is>
          <t>מונג ל.גריין אדולט צבי 12 ק"ג * כלב BW</t>
        </is>
      </c>
      <c r="C1032" t="inlineStr">
        <is>
          <t>BeWild</t>
        </is>
      </c>
      <c r="D1032" t="inlineStr">
        <is>
          <t>29000271</t>
        </is>
      </c>
      <c r="E1032" t="inlineStr">
        <is>
          <t>רגיל</t>
        </is>
      </c>
      <c r="F1032" t="inlineStr">
        <is>
          <t>יבש</t>
        </is>
      </c>
      <c r="G1032" t="inlineStr">
        <is>
          <t>בוגר</t>
        </is>
      </c>
      <c r="H1032" t="inlineStr">
        <is>
          <t>כלב</t>
        </is>
      </c>
      <c r="I1032" t="inlineStr"/>
      <c r="J1032" t="inlineStr">
        <is>
          <t>2026-07</t>
        </is>
      </c>
      <c r="K1032" t="n">
        <v>396</v>
      </c>
      <c r="L1032" t="n">
        <v>467.28</v>
      </c>
      <c r="M1032">
        <f>הגדרות!B12</f>
        <v/>
      </c>
      <c r="N1032">
        <f>K1032*(1-M1032/100)*1.18</f>
        <v/>
      </c>
      <c r="O1032">
        <f>הגדרות!C12</f>
        <v/>
      </c>
      <c r="P1032">
        <f>הגדרות!D12</f>
        <v/>
      </c>
      <c r="Q1032">
        <f>N1032*(1+O1032/100)+P1032</f>
        <v/>
      </c>
    </row>
    <row r="1033">
      <c r="A1033" t="inlineStr">
        <is>
          <t>Monge</t>
        </is>
      </c>
      <c r="B1033" t="inlineStr">
        <is>
          <t>מונג ל.גריין אדולט צבי 2.5 ק"ג * כלב BW</t>
        </is>
      </c>
      <c r="C1033" t="inlineStr">
        <is>
          <t>BeWild</t>
        </is>
      </c>
      <c r="D1033" t="inlineStr">
        <is>
          <t>29000290</t>
        </is>
      </c>
      <c r="E1033" t="inlineStr">
        <is>
          <t>רגיל</t>
        </is>
      </c>
      <c r="F1033" t="inlineStr">
        <is>
          <t>יבש</t>
        </is>
      </c>
      <c r="G1033" t="inlineStr">
        <is>
          <t>בוגר</t>
        </is>
      </c>
      <c r="H1033" t="inlineStr">
        <is>
          <t>כלב</t>
        </is>
      </c>
      <c r="I1033" t="inlineStr"/>
      <c r="J1033" t="inlineStr">
        <is>
          <t>2026-07</t>
        </is>
      </c>
      <c r="K1033" t="n">
        <v>113</v>
      </c>
      <c r="L1033" t="n">
        <v>133.34</v>
      </c>
      <c r="M1033">
        <f>הגדרות!B12</f>
        <v/>
      </c>
      <c r="N1033">
        <f>K1033*(1-M1033/100)*1.18</f>
        <v/>
      </c>
      <c r="O1033">
        <f>הגדרות!C12</f>
        <v/>
      </c>
      <c r="P1033">
        <f>הגדרות!D12</f>
        <v/>
      </c>
      <c r="Q1033">
        <f>N1033*(1+O1033/100)+P1033</f>
        <v/>
      </c>
    </row>
    <row r="1034">
      <c r="A1034" t="inlineStr">
        <is>
          <t>Monge</t>
        </is>
      </c>
      <c r="B1034" t="inlineStr">
        <is>
          <t>מונג ל.גריין פפי צבי 12 ק"ג * כלב BW</t>
        </is>
      </c>
      <c r="C1034" t="inlineStr">
        <is>
          <t>BeWild</t>
        </is>
      </c>
      <c r="D1034" t="inlineStr">
        <is>
          <t>29000272</t>
        </is>
      </c>
      <c r="E1034" t="inlineStr">
        <is>
          <t>רגיל</t>
        </is>
      </c>
      <c r="F1034" t="inlineStr">
        <is>
          <t>יבש</t>
        </is>
      </c>
      <c r="G1034" t="inlineStr"/>
      <c r="H1034" t="inlineStr">
        <is>
          <t>כלב</t>
        </is>
      </c>
      <c r="I1034" t="inlineStr"/>
      <c r="J1034" t="inlineStr">
        <is>
          <t>2026-07</t>
        </is>
      </c>
      <c r="K1034" t="n">
        <v>401</v>
      </c>
      <c r="L1034" t="n">
        <v>473.18</v>
      </c>
      <c r="M1034">
        <f>הגדרות!B12</f>
        <v/>
      </c>
      <c r="N1034">
        <f>K1034*(1-M1034/100)*1.18</f>
        <v/>
      </c>
      <c r="O1034">
        <f>הגדרות!C12</f>
        <v/>
      </c>
      <c r="P1034">
        <f>הגדרות!D12</f>
        <v/>
      </c>
      <c r="Q1034">
        <f>N1034*(1+O1034/100)+P1034</f>
        <v/>
      </c>
    </row>
    <row r="1035">
      <c r="A1035" t="inlineStr">
        <is>
          <t>Monge</t>
        </is>
      </c>
      <c r="B1035" t="inlineStr">
        <is>
          <t>מונג ל.גריין פפי צבי 2.5 ק"ג * כלב BW</t>
        </is>
      </c>
      <c r="C1035" t="inlineStr">
        <is>
          <t>BeWild</t>
        </is>
      </c>
      <c r="D1035" t="inlineStr">
        <is>
          <t>29000289</t>
        </is>
      </c>
      <c r="E1035" t="inlineStr">
        <is>
          <t>רגיל</t>
        </is>
      </c>
      <c r="F1035" t="inlineStr">
        <is>
          <t>יבש</t>
        </is>
      </c>
      <c r="G1035" t="inlineStr"/>
      <c r="H1035" t="inlineStr">
        <is>
          <t>כלב</t>
        </is>
      </c>
      <c r="I1035" t="inlineStr"/>
      <c r="J1035" t="inlineStr">
        <is>
          <t>2026-07</t>
        </is>
      </c>
      <c r="K1035" t="n">
        <v>113</v>
      </c>
      <c r="L1035" t="n">
        <v>133.34</v>
      </c>
      <c r="M1035">
        <f>הגדרות!B12</f>
        <v/>
      </c>
      <c r="N1035">
        <f>K1035*(1-M1035/100)*1.18</f>
        <v/>
      </c>
      <c r="O1035">
        <f>הגדרות!C12</f>
        <v/>
      </c>
      <c r="P1035">
        <f>הגדרות!D12</f>
        <v/>
      </c>
      <c r="Q1035">
        <f>N1035*(1+O1035/100)+P1035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2026-08-30T12:46:53Z</dcterms:created>
  <dcterms:modified xmlns:dcterms="http://purl.org/dc/terms/" xmlns:xsi="http://www.w3.org/2001/XMLSchema-instance" xsi:type="dcterms:W3CDTF">2026-08-30T12:46:54Z</dcterms:modified>
</cp:coreProperties>
</file>