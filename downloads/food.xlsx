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מזו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ספק</t>
        </is>
      </c>
      <c r="B1" s="1" t="inlineStr">
        <is>
          <t>ההנחה שלי %</t>
        </is>
      </c>
      <c r="C1" s="1" t="inlineStr">
        <is>
          <t>מרווח %</t>
        </is>
      </c>
      <c r="D1" s="1" t="inlineStr">
        <is>
          <t>מרווח ₪ קבוע</t>
        </is>
      </c>
    </row>
    <row r="2">
      <c r="A2" t="inlineStr">
        <is>
          <t>Royal Canin VET</t>
        </is>
      </c>
      <c r="B2" t="n">
        <v>0</v>
      </c>
      <c r="C2" t="n">
        <v>0</v>
      </c>
      <c r="D2" t="n">
        <v>0</v>
      </c>
    </row>
    <row r="3">
      <c r="A3" t="inlineStr">
        <is>
          <t>Royal Canin חנויות</t>
        </is>
      </c>
      <c r="B3" t="n">
        <v>0</v>
      </c>
      <c r="C3" t="n">
        <v>0</v>
      </c>
      <c r="D3" t="n">
        <v>0</v>
      </c>
    </row>
    <row r="4">
      <c r="A4" t="inlineStr">
        <is>
          <t>Hill's Prescription Diet</t>
        </is>
      </c>
      <c r="B4" t="n">
        <v>0</v>
      </c>
      <c r="C4" t="n">
        <v>0</v>
      </c>
      <c r="D4" t="n">
        <v>0</v>
      </c>
    </row>
    <row r="5">
      <c r="A5" t="inlineStr">
        <is>
          <t>Hill's Science Plan</t>
        </is>
      </c>
      <c r="B5" t="n">
        <v>0</v>
      </c>
      <c r="C5" t="n">
        <v>0</v>
      </c>
      <c r="D5" t="n">
        <v>0</v>
      </c>
    </row>
    <row r="6">
      <c r="A6" t="inlineStr">
        <is>
          <t>Hill's Vet Essentials</t>
        </is>
      </c>
      <c r="B6" t="n">
        <v>0</v>
      </c>
      <c r="C6" t="n">
        <v>0</v>
      </c>
      <c r="D6" t="n">
        <v>0</v>
      </c>
    </row>
    <row r="7">
      <c r="A7" t="inlineStr">
        <is>
          <t>VetLife</t>
        </is>
      </c>
      <c r="B7" t="n">
        <v>0</v>
      </c>
      <c r="C7" t="n">
        <v>0</v>
      </c>
      <c r="D7" t="n">
        <v>0</v>
      </c>
    </row>
    <row r="8">
      <c r="A8" t="inlineStr">
        <is>
          <t>Purina Pro Plan VET</t>
        </is>
      </c>
      <c r="B8" t="n">
        <v>0</v>
      </c>
      <c r="C8" t="n">
        <v>0</v>
      </c>
      <c r="D8" t="n">
        <v>0</v>
      </c>
    </row>
    <row r="9">
      <c r="A9" t="inlineStr">
        <is>
          <t>פורינה (חנויות)</t>
        </is>
      </c>
      <c r="B9" t="n">
        <v>0</v>
      </c>
      <c r="C9" t="n">
        <v>0</v>
      </c>
      <c r="D9" t="n">
        <v>0</v>
      </c>
    </row>
    <row r="10">
      <c r="A10" t="inlineStr">
        <is>
          <t>Monge Vet Solution</t>
        </is>
      </c>
      <c r="B10" t="n">
        <v>0</v>
      </c>
      <c r="C10" t="n">
        <v>0</v>
      </c>
      <c r="D10" t="n">
        <v>0</v>
      </c>
    </row>
    <row r="11">
      <c r="A11" t="inlineStr">
        <is>
          <t>Monge</t>
        </is>
      </c>
      <c r="B11" t="n">
        <v>0</v>
      </c>
      <c r="C11" t="n">
        <v>0</v>
      </c>
      <c r="D11" t="n">
        <v>0</v>
      </c>
    </row>
    <row r="13">
      <c r="A13" t="inlineStr">
        <is>
          <t>נוסחה: עלות = מחיר ללא מע"מ × (1 − הנחה) × 1.18 ; מחיר ללקוח = עלות × (1 + מרווח %) + מרווח 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9" customWidth="1" min="8" max="8"/>
    <col width="18" customWidth="1" min="9" max="9"/>
    <col width="9" customWidth="1" min="10" max="10"/>
    <col width="9" customWidth="1" min="11" max="11"/>
    <col width="14" customWidth="1" min="12" max="12"/>
  </cols>
  <sheetData>
    <row r="1">
      <c r="A1" s="2" t="inlineStr">
        <is>
          <t>ספק</t>
        </is>
      </c>
      <c r="B1" s="2" t="inlineStr">
        <is>
          <t>פריט</t>
        </is>
      </c>
      <c r="C1" s="2" t="inlineStr">
        <is>
          <t>קטגוריה</t>
        </is>
      </c>
      <c r="D1" s="2" t="inlineStr">
        <is>
          <t>מק"ט</t>
        </is>
      </c>
      <c r="E1" s="2" t="inlineStr">
        <is>
          <t>תאריך מחירון</t>
        </is>
      </c>
      <c r="F1" s="2" t="inlineStr">
        <is>
          <t>מחיר ללא מע"מ</t>
        </is>
      </c>
      <c r="G1" s="2" t="inlineStr">
        <is>
          <t>מחיר כולל מע"מ</t>
        </is>
      </c>
      <c r="H1" s="2" t="inlineStr">
        <is>
          <t>הנחה %</t>
        </is>
      </c>
      <c r="I1" s="2" t="inlineStr">
        <is>
          <t>עלות אחרי הנחה (כולל מע"מ)</t>
        </is>
      </c>
      <c r="J1" s="2" t="inlineStr">
        <is>
          <t>מרווח %</t>
        </is>
      </c>
      <c r="K1" s="2" t="inlineStr">
        <is>
          <t>מרווח ₪</t>
        </is>
      </c>
      <c r="L1" s="2" t="inlineStr">
        <is>
          <t>מחיר ללקוח</t>
        </is>
      </c>
    </row>
    <row r="2">
      <c r="A2" t="inlineStr">
        <is>
          <t>Royal Canin VET</t>
        </is>
      </c>
      <c r="B2" t="inlineStr">
        <is>
          <t>ריקברי נוזלי 0.2X3 ליטר</t>
        </is>
      </c>
      <c r="C2" t="inlineStr">
        <is>
          <t>מזון נוזלי, תחליפי חלב לגורים ותוספים</t>
        </is>
      </c>
      <c r="D2" t="inlineStr">
        <is>
          <t>2491020060</t>
        </is>
      </c>
      <c r="E2" t="inlineStr">
        <is>
          <t>2026-06</t>
        </is>
      </c>
      <c r="F2" t="n">
        <v>89</v>
      </c>
      <c r="G2" t="n">
        <v>105.02</v>
      </c>
      <c r="H2">
        <f>הגדרות!B2</f>
        <v/>
      </c>
      <c r="I2">
        <f>F2*(1-H2/100)*1.18</f>
        <v/>
      </c>
      <c r="J2">
        <f>הגדרות!C2</f>
        <v/>
      </c>
      <c r="K2">
        <f>הגדרות!D2</f>
        <v/>
      </c>
      <c r="L2">
        <f>I2*(1+J2/100)+K2</f>
        <v/>
      </c>
    </row>
    <row r="3">
      <c r="A3" t="inlineStr">
        <is>
          <t>Royal Canin VET</t>
        </is>
      </c>
      <c r="B3" t="inlineStr">
        <is>
          <t>גסטרואינטסטינל דל שומן נוזל 0.2X3 ליטר</t>
        </is>
      </c>
      <c r="C3" t="inlineStr">
        <is>
          <t>מזון נוזלי, תחליפי חלב לגורים ותוספים</t>
        </is>
      </c>
      <c r="D3" t="inlineStr">
        <is>
          <t>2491220060</t>
        </is>
      </c>
      <c r="E3" t="inlineStr">
        <is>
          <t>2026-06</t>
        </is>
      </c>
      <c r="F3" t="n">
        <v>89</v>
      </c>
      <c r="G3" t="n">
        <v>105.02</v>
      </c>
      <c r="H3">
        <f>הגדרות!B2</f>
        <v/>
      </c>
      <c r="I3">
        <f>F3*(1-H3/100)*1.18</f>
        <v/>
      </c>
      <c r="J3">
        <f>הגדרות!C2</f>
        <v/>
      </c>
      <c r="K3">
        <f>הגדרות!D2</f>
        <v/>
      </c>
      <c r="L3">
        <f>I3*(1+J3/100)+K3</f>
        <v/>
      </c>
    </row>
    <row r="4">
      <c r="A4" t="inlineStr">
        <is>
          <t>Royal Canin VET</t>
        </is>
      </c>
      <c r="B4" t="inlineStr">
        <is>
          <t>גסטרואינטסטינל היי אנרגי נוזל 0.2X3 ליטר</t>
        </is>
      </c>
      <c r="C4" t="inlineStr">
        <is>
          <t>מזון נוזלי, תחליפי חלב לגורים ותוספים</t>
        </is>
      </c>
      <c r="D4" t="inlineStr">
        <is>
          <t>2491320060</t>
        </is>
      </c>
      <c r="E4" t="inlineStr">
        <is>
          <t>2026-06</t>
        </is>
      </c>
      <c r="F4" t="n">
        <v>89</v>
      </c>
      <c r="G4" t="n">
        <v>105.02</v>
      </c>
      <c r="H4">
        <f>הגדרות!B2</f>
        <v/>
      </c>
      <c r="I4">
        <f>F4*(1-H4/100)*1.18</f>
        <v/>
      </c>
      <c r="J4">
        <f>הגדרות!C2</f>
        <v/>
      </c>
      <c r="K4">
        <f>הגדרות!D2</f>
        <v/>
      </c>
      <c r="L4">
        <f>I4*(1+J4/100)+K4</f>
        <v/>
      </c>
    </row>
    <row r="5">
      <c r="A5" t="inlineStr">
        <is>
          <t>Royal Canin VET</t>
        </is>
      </c>
      <c r="B5" t="inlineStr">
        <is>
          <t>VD רינאל נוזלי חתול 0.2X3 ליטר</t>
        </is>
      </c>
      <c r="C5" t="inlineStr">
        <is>
          <t>מזון נוזלי, תחליפי חלב לגורים ותוספים</t>
        </is>
      </c>
      <c r="D5" t="inlineStr">
        <is>
          <t>2495120060</t>
        </is>
      </c>
      <c r="E5" t="inlineStr">
        <is>
          <t>2026-06</t>
        </is>
      </c>
      <c r="F5" t="n">
        <v>89</v>
      </c>
      <c r="G5" t="n">
        <v>105.02</v>
      </c>
      <c r="H5">
        <f>הגדרות!B2</f>
        <v/>
      </c>
      <c r="I5">
        <f>F5*(1-H5/100)*1.18</f>
        <v/>
      </c>
      <c r="J5">
        <f>הגדרות!C2</f>
        <v/>
      </c>
      <c r="K5">
        <f>הגדרות!D2</f>
        <v/>
      </c>
      <c r="L5">
        <f>I5*(1+J5/100)+K5</f>
        <v/>
      </c>
    </row>
    <row r="6">
      <c r="A6" t="inlineStr">
        <is>
          <t>Royal Canin VET</t>
        </is>
      </c>
      <c r="B6" t="inlineStr">
        <is>
          <t>אבקת תחליף חלב לגורי כלב 400 גרם</t>
        </is>
      </c>
      <c r="C6" t="inlineStr">
        <is>
          <t>מזון נוזלי, תחליפי חלב לגורים ותוספים</t>
        </is>
      </c>
      <c r="D6" t="inlineStr">
        <is>
          <t>2230010040</t>
        </is>
      </c>
      <c r="E6" t="inlineStr">
        <is>
          <t>2026-06</t>
        </is>
      </c>
      <c r="F6" t="n">
        <v>115</v>
      </c>
      <c r="G6" t="n">
        <v>135.7</v>
      </c>
      <c r="H6">
        <f>הגדרות!B2</f>
        <v/>
      </c>
      <c r="I6">
        <f>F6*(1-H6/100)*1.18</f>
        <v/>
      </c>
      <c r="J6">
        <f>הגדרות!C2</f>
        <v/>
      </c>
      <c r="K6">
        <f>הגדרות!D2</f>
        <v/>
      </c>
      <c r="L6">
        <f>I6*(1+J6/100)+K6</f>
        <v/>
      </c>
    </row>
    <row r="7">
      <c r="A7" t="inlineStr">
        <is>
          <t>Royal Canin VET</t>
        </is>
      </c>
      <c r="B7" t="inlineStr">
        <is>
          <t>ארלי רינאל חתול 3.5 ק"ג</t>
        </is>
      </c>
      <c r="C7" t="inlineStr">
        <is>
          <t>VETERINARY HEALTH NUTRITION CAT - DRY</t>
        </is>
      </c>
      <c r="D7" t="inlineStr">
        <is>
          <t>2124210350</t>
        </is>
      </c>
      <c r="E7" t="inlineStr">
        <is>
          <t>2026-06</t>
        </is>
      </c>
      <c r="F7" t="n">
        <v>179</v>
      </c>
      <c r="G7" t="n">
        <v>211.22</v>
      </c>
      <c r="H7">
        <f>הגדרות!B2</f>
        <v/>
      </c>
      <c r="I7">
        <f>F7*(1-H7/100)*1.18</f>
        <v/>
      </c>
      <c r="J7">
        <f>הגדרות!C2</f>
        <v/>
      </c>
      <c r="K7">
        <f>הגדרות!D2</f>
        <v/>
      </c>
      <c r="L7">
        <f>I7*(1+J7/100)+K7</f>
        <v/>
      </c>
    </row>
    <row r="8">
      <c r="A8" t="inlineStr">
        <is>
          <t>Royal Canin VET</t>
        </is>
      </c>
      <c r="B8" t="inlineStr">
        <is>
          <t>רינאל חתול 2 ק"ג</t>
        </is>
      </c>
      <c r="C8" t="inlineStr">
        <is>
          <t>VETERINARY HEALTH NUTRITION CAT - DRY</t>
        </is>
      </c>
      <c r="D8" t="inlineStr">
        <is>
          <t>2390010200</t>
        </is>
      </c>
      <c r="E8" t="inlineStr">
        <is>
          <t>2026-06</t>
        </is>
      </c>
      <c r="F8" t="n">
        <v>139</v>
      </c>
      <c r="G8" t="n">
        <v>164.02</v>
      </c>
      <c r="H8">
        <f>הגדרות!B2</f>
        <v/>
      </c>
      <c r="I8">
        <f>F8*(1-H8/100)*1.18</f>
        <v/>
      </c>
      <c r="J8">
        <f>הגדרות!C2</f>
        <v/>
      </c>
      <c r="K8">
        <f>הגדרות!D2</f>
        <v/>
      </c>
      <c r="L8">
        <f>I8*(1+J8/100)+K8</f>
        <v/>
      </c>
    </row>
    <row r="9">
      <c r="A9" t="inlineStr">
        <is>
          <t>Royal Canin VET</t>
        </is>
      </c>
      <c r="B9" t="inlineStr">
        <is>
          <t>רינאל חתול 4 ק"ג</t>
        </is>
      </c>
      <c r="C9" t="inlineStr">
        <is>
          <t>VETERINARY HEALTH NUTRITION CAT - DRY</t>
        </is>
      </c>
      <c r="D9" t="inlineStr">
        <is>
          <t>2390010400</t>
        </is>
      </c>
      <c r="E9" t="inlineStr">
        <is>
          <t>2026-06</t>
        </is>
      </c>
      <c r="F9" t="n">
        <v>196</v>
      </c>
      <c r="G9" t="n">
        <v>231.28</v>
      </c>
      <c r="H9">
        <f>הגדרות!B2</f>
        <v/>
      </c>
      <c r="I9">
        <f>F9*(1-H9/100)*1.18</f>
        <v/>
      </c>
      <c r="J9">
        <f>הגדרות!C2</f>
        <v/>
      </c>
      <c r="K9">
        <f>הגדרות!D2</f>
        <v/>
      </c>
      <c r="L9">
        <f>I9*(1+J9/100)+K9</f>
        <v/>
      </c>
    </row>
    <row r="10">
      <c r="A10" t="inlineStr">
        <is>
          <t>Royal Canin VET</t>
        </is>
      </c>
      <c r="B10" t="inlineStr">
        <is>
          <t>רינאל ספיישל חתול 2 ק"ג</t>
        </is>
      </c>
      <c r="C10" t="inlineStr">
        <is>
          <t>VETERINARY HEALTH NUTRITION CAT - DRY</t>
        </is>
      </c>
      <c r="D10" t="inlineStr">
        <is>
          <t>2394910200</t>
        </is>
      </c>
      <c r="E10" t="inlineStr">
        <is>
          <t>2026-06</t>
        </is>
      </c>
      <c r="F10" t="n">
        <v>139</v>
      </c>
      <c r="G10" t="n">
        <v>164.02</v>
      </c>
      <c r="H10">
        <f>הגדרות!B2</f>
        <v/>
      </c>
      <c r="I10">
        <f>F10*(1-H10/100)*1.18</f>
        <v/>
      </c>
      <c r="J10">
        <f>הגדרות!C2</f>
        <v/>
      </c>
      <c r="K10">
        <f>הגדרות!D2</f>
        <v/>
      </c>
      <c r="L10">
        <f>I10*(1+J10/100)+K10</f>
        <v/>
      </c>
    </row>
    <row r="11">
      <c r="A11" t="inlineStr">
        <is>
          <t>Royal Canin VET</t>
        </is>
      </c>
      <c r="B11" t="inlineStr">
        <is>
          <t>רינאל ספיישל חתול 4 ק"ג</t>
        </is>
      </c>
      <c r="C11" t="inlineStr">
        <is>
          <t>VETERINARY HEALTH NUTRITION CAT - DRY</t>
        </is>
      </c>
      <c r="D11" t="inlineStr">
        <is>
          <t>2394910400</t>
        </is>
      </c>
      <c r="E11" t="inlineStr">
        <is>
          <t>2026-06</t>
        </is>
      </c>
      <c r="F11" t="n">
        <v>196</v>
      </c>
      <c r="G11" t="n">
        <v>231.28</v>
      </c>
      <c r="H11">
        <f>הגדרות!B2</f>
        <v/>
      </c>
      <c r="I11">
        <f>F11*(1-H11/100)*1.18</f>
        <v/>
      </c>
      <c r="J11">
        <f>הגדרות!C2</f>
        <v/>
      </c>
      <c r="K11">
        <f>הגדרות!D2</f>
        <v/>
      </c>
      <c r="L11">
        <f>I11*(1+J11/100)+K11</f>
        <v/>
      </c>
    </row>
    <row r="12">
      <c r="A12" t="inlineStr">
        <is>
          <t>Royal Canin VET</t>
        </is>
      </c>
      <c r="B12" t="inlineStr">
        <is>
          <t>רינאל סלקט חתול 2 ק"ג</t>
        </is>
      </c>
      <c r="C12" t="inlineStr">
        <is>
          <t>VETERINARY HEALTH NUTRITION CAT - DRY</t>
        </is>
      </c>
      <c r="D12" t="inlineStr">
        <is>
          <t>2416010200</t>
        </is>
      </c>
      <c r="E12" t="inlineStr">
        <is>
          <t>2026-06</t>
        </is>
      </c>
      <c r="F12" t="n">
        <v>139</v>
      </c>
      <c r="G12" t="n">
        <v>164.02</v>
      </c>
      <c r="H12">
        <f>הגדרות!B2</f>
        <v/>
      </c>
      <c r="I12">
        <f>F12*(1-H12/100)*1.18</f>
        <v/>
      </c>
      <c r="J12">
        <f>הגדרות!C2</f>
        <v/>
      </c>
      <c r="K12">
        <f>הגדרות!D2</f>
        <v/>
      </c>
      <c r="L12">
        <f>I12*(1+J12/100)+K12</f>
        <v/>
      </c>
    </row>
    <row r="13">
      <c r="A13" t="inlineStr">
        <is>
          <t>Royal Canin VET</t>
        </is>
      </c>
      <c r="B13" t="inlineStr">
        <is>
          <t>רינאל סלקט חתול 4 ק"ג</t>
        </is>
      </c>
      <c r="C13" t="inlineStr">
        <is>
          <t>VETERINARY HEALTH NUTRITION CAT - DRY</t>
        </is>
      </c>
      <c r="D13" t="inlineStr">
        <is>
          <t>2416010400</t>
        </is>
      </c>
      <c r="E13" t="inlineStr">
        <is>
          <t>2026-06</t>
        </is>
      </c>
      <c r="F13" t="n">
        <v>196</v>
      </c>
      <c r="G13" t="n">
        <v>231.28</v>
      </c>
      <c r="H13">
        <f>הגדרות!B2</f>
        <v/>
      </c>
      <c r="I13">
        <f>F13*(1-H13/100)*1.18</f>
        <v/>
      </c>
      <c r="J13">
        <f>הגדרות!C2</f>
        <v/>
      </c>
      <c r="K13">
        <f>הגדרות!D2</f>
        <v/>
      </c>
      <c r="L13">
        <f>I13*(1+J13/100)+K13</f>
        <v/>
      </c>
    </row>
    <row r="14">
      <c r="A14" t="inlineStr">
        <is>
          <t>Royal Canin VET</t>
        </is>
      </c>
      <c r="B14" t="inlineStr">
        <is>
          <t>מוביליטי חתול 2 ק"ג</t>
        </is>
      </c>
      <c r="C14" t="inlineStr">
        <is>
          <t>VETERINARY HEALTH NUTRITION CAT - DRY</t>
        </is>
      </c>
      <c r="D14" t="inlineStr">
        <is>
          <t>2394610200</t>
        </is>
      </c>
      <c r="E14" t="inlineStr">
        <is>
          <t>2026-06</t>
        </is>
      </c>
      <c r="F14" t="n">
        <v>139</v>
      </c>
      <c r="G14" t="n">
        <v>164.02</v>
      </c>
      <c r="H14">
        <f>הגדרות!B2</f>
        <v/>
      </c>
      <c r="I14">
        <f>F14*(1-H14/100)*1.18</f>
        <v/>
      </c>
      <c r="J14">
        <f>הגדרות!C2</f>
        <v/>
      </c>
      <c r="K14">
        <f>הגדרות!D2</f>
        <v/>
      </c>
      <c r="L14">
        <f>I14*(1+J14/100)+K14</f>
        <v/>
      </c>
    </row>
    <row r="15">
      <c r="A15" t="inlineStr">
        <is>
          <t>Royal Canin VET</t>
        </is>
      </c>
      <c r="B15" t="inlineStr">
        <is>
          <t>סטיאטי חתול 3.5 ק"ג</t>
        </is>
      </c>
      <c r="C15" t="inlineStr">
        <is>
          <t>VETERINARY HEALTH NUTRITION CAT - DRY</t>
        </is>
      </c>
      <c r="D15" t="inlineStr">
        <is>
          <t>2394310350</t>
        </is>
      </c>
      <c r="E15" t="inlineStr">
        <is>
          <t>2026-06</t>
        </is>
      </c>
      <c r="F15" t="n">
        <v>179</v>
      </c>
      <c r="G15" t="n">
        <v>211.22</v>
      </c>
      <c r="H15">
        <f>הגדרות!B2</f>
        <v/>
      </c>
      <c r="I15">
        <f>F15*(1-H15/100)*1.18</f>
        <v/>
      </c>
      <c r="J15">
        <f>הגדרות!C2</f>
        <v/>
      </c>
      <c r="K15">
        <f>הגדרות!D2</f>
        <v/>
      </c>
      <c r="L15">
        <f>I15*(1+J15/100)+K15</f>
        <v/>
      </c>
    </row>
    <row r="16">
      <c r="A16" t="inlineStr">
        <is>
          <t>Royal Canin VET</t>
        </is>
      </c>
      <c r="B16" t="inlineStr">
        <is>
          <t>סטיאטי חתול 6 ק"ג</t>
        </is>
      </c>
      <c r="C16" t="inlineStr">
        <is>
          <t>VETERINARY HEALTH NUTRITION CAT - DRY</t>
        </is>
      </c>
      <c r="D16" t="inlineStr">
        <is>
          <t>2394310600</t>
        </is>
      </c>
      <c r="E16" t="inlineStr">
        <is>
          <t>2026-06</t>
        </is>
      </c>
      <c r="F16" t="n">
        <v>288</v>
      </c>
      <c r="G16" t="n">
        <v>339.84</v>
      </c>
      <c r="H16">
        <f>הגדרות!B2</f>
        <v/>
      </c>
      <c r="I16">
        <f>F16*(1-H16/100)*1.18</f>
        <v/>
      </c>
      <c r="J16">
        <f>הגדרות!C2</f>
        <v/>
      </c>
      <c r="K16">
        <f>הגדרות!D2</f>
        <v/>
      </c>
      <c r="L16">
        <f>I16*(1+J16/100)+K16</f>
        <v/>
      </c>
    </row>
    <row r="17">
      <c r="A17" t="inlineStr">
        <is>
          <t>Royal Canin VET</t>
        </is>
      </c>
      <c r="B17" t="inlineStr">
        <is>
          <t>דיאבטיק חתול 3.5 ק"ג</t>
        </is>
      </c>
      <c r="C17" t="inlineStr">
        <is>
          <t>VETERINARY HEALTH NUTRITION CAT - DRY</t>
        </is>
      </c>
      <c r="D17" t="inlineStr">
        <is>
          <t>2390610350</t>
        </is>
      </c>
      <c r="E17" t="inlineStr">
        <is>
          <t>2026-06</t>
        </is>
      </c>
      <c r="F17" t="n">
        <v>179</v>
      </c>
      <c r="G17" t="n">
        <v>211.22</v>
      </c>
      <c r="H17">
        <f>הגדרות!B2</f>
        <v/>
      </c>
      <c r="I17">
        <f>F17*(1-H17/100)*1.18</f>
        <v/>
      </c>
      <c r="J17">
        <f>הגדרות!C2</f>
        <v/>
      </c>
      <c r="K17">
        <f>הגדרות!D2</f>
        <v/>
      </c>
      <c r="L17">
        <f>I17*(1+J17/100)+K17</f>
        <v/>
      </c>
    </row>
    <row r="18">
      <c r="A18" t="inlineStr">
        <is>
          <t>Royal Canin VET</t>
        </is>
      </c>
      <c r="B18" t="inlineStr">
        <is>
          <t>ניוטרד סטאיטי באלאנס חתול 3.5 ק"ג</t>
        </is>
      </c>
      <c r="C18" t="inlineStr">
        <is>
          <t>VETERINARY HEALTH NUTRITION CAT - DRY</t>
        </is>
      </c>
      <c r="D18" t="inlineStr">
        <is>
          <t>2272110350</t>
        </is>
      </c>
      <c r="E18" t="inlineStr">
        <is>
          <t>2026-06</t>
        </is>
      </c>
      <c r="F18" t="n">
        <v>159</v>
      </c>
      <c r="G18" t="n">
        <v>187.62</v>
      </c>
      <c r="H18">
        <f>הגדרות!B2</f>
        <v/>
      </c>
      <c r="I18">
        <f>F18*(1-H18/100)*1.18</f>
        <v/>
      </c>
      <c r="J18">
        <f>הגדרות!C2</f>
        <v/>
      </c>
      <c r="K18">
        <f>הגדרות!D2</f>
        <v/>
      </c>
      <c r="L18">
        <f>I18*(1+J18/100)+K18</f>
        <v/>
      </c>
    </row>
    <row r="19">
      <c r="A19" t="inlineStr">
        <is>
          <t>Royal Canin VET</t>
        </is>
      </c>
      <c r="B19" t="inlineStr">
        <is>
          <t>גסטרואינטסטינל קיטן חתול 2 ק"ג</t>
        </is>
      </c>
      <c r="C19" t="inlineStr">
        <is>
          <t>VETERINARY HEALTH NUTRITION CAT - DRY</t>
        </is>
      </c>
      <c r="D19" t="inlineStr">
        <is>
          <t>2122810200</t>
        </is>
      </c>
      <c r="E19" t="inlineStr">
        <is>
          <t>2026-06</t>
        </is>
      </c>
      <c r="F19" t="n">
        <v>143</v>
      </c>
      <c r="G19" t="n">
        <v>168.74</v>
      </c>
      <c r="H19">
        <f>הגדרות!B2</f>
        <v/>
      </c>
      <c r="I19">
        <f>F19*(1-H19/100)*1.18</f>
        <v/>
      </c>
      <c r="J19">
        <f>הגדרות!C2</f>
        <v/>
      </c>
      <c r="K19">
        <f>הגדרות!D2</f>
        <v/>
      </c>
      <c r="L19">
        <f>I19*(1+J19/100)+K19</f>
        <v/>
      </c>
    </row>
    <row r="20">
      <c r="A20" t="inlineStr">
        <is>
          <t>Royal Canin VET</t>
        </is>
      </c>
      <c r="B20" t="inlineStr">
        <is>
          <t>גסטרואינטסטינל חתול 2 ק"ג</t>
        </is>
      </c>
      <c r="C20" t="inlineStr">
        <is>
          <t>VETERINARY HEALTH NUTRITION CAT - DRY</t>
        </is>
      </c>
      <c r="D20" t="inlineStr">
        <is>
          <t>2390510200</t>
        </is>
      </c>
      <c r="E20" t="inlineStr">
        <is>
          <t>2026-06</t>
        </is>
      </c>
      <c r="F20" t="n">
        <v>139</v>
      </c>
      <c r="G20" t="n">
        <v>164.02</v>
      </c>
      <c r="H20">
        <f>הגדרות!B2</f>
        <v/>
      </c>
      <c r="I20">
        <f>F20*(1-H20/100)*1.18</f>
        <v/>
      </c>
      <c r="J20">
        <f>הגדרות!C2</f>
        <v/>
      </c>
      <c r="K20">
        <f>הגדרות!D2</f>
        <v/>
      </c>
      <c r="L20">
        <f>I20*(1+J20/100)+K20</f>
        <v/>
      </c>
    </row>
    <row r="21">
      <c r="A21" t="inlineStr">
        <is>
          <t>Royal Canin VET</t>
        </is>
      </c>
      <c r="B21" t="inlineStr">
        <is>
          <t>גסטרואינטסטינל חתול 4 ק"ג</t>
        </is>
      </c>
      <c r="C21" t="inlineStr">
        <is>
          <t>VETERINARY HEALTH NUTRITION CAT - DRY</t>
        </is>
      </c>
      <c r="D21" t="inlineStr">
        <is>
          <t>2390510400</t>
        </is>
      </c>
      <c r="E21" t="inlineStr">
        <is>
          <t>2026-06</t>
        </is>
      </c>
      <c r="F21" t="n">
        <v>215</v>
      </c>
      <c r="G21" t="n">
        <v>253.7</v>
      </c>
      <c r="H21">
        <f>הגדרות!B2</f>
        <v/>
      </c>
      <c r="I21">
        <f>F21*(1-H21/100)*1.18</f>
        <v/>
      </c>
      <c r="J21">
        <f>הגדרות!C2</f>
        <v/>
      </c>
      <c r="K21">
        <f>הגדרות!D2</f>
        <v/>
      </c>
      <c r="L21">
        <f>I21*(1+J21/100)+K21</f>
        <v/>
      </c>
    </row>
    <row r="22">
      <c r="A22" t="inlineStr">
        <is>
          <t>Royal Canin VET</t>
        </is>
      </c>
      <c r="B22" t="inlineStr">
        <is>
          <t>גסטרואינטסטינל מופחת קלוריות חתול 2 ק"ג</t>
        </is>
      </c>
      <c r="C22" t="inlineStr">
        <is>
          <t>VETERINARY HEALTH NUTRITION CAT - DRY</t>
        </is>
      </c>
      <c r="D22" t="inlineStr">
        <is>
          <t>2400810200</t>
        </is>
      </c>
      <c r="E22" t="inlineStr">
        <is>
          <t>2026-06</t>
        </is>
      </c>
      <c r="F22" t="n">
        <v>139</v>
      </c>
      <c r="G22" t="n">
        <v>164.02</v>
      </c>
      <c r="H22">
        <f>הגדרות!B2</f>
        <v/>
      </c>
      <c r="I22">
        <f>F22*(1-H22/100)*1.18</f>
        <v/>
      </c>
      <c r="J22">
        <f>הגדרות!C2</f>
        <v/>
      </c>
      <c r="K22">
        <f>הגדרות!D2</f>
        <v/>
      </c>
      <c r="L22">
        <f>I22*(1+J22/100)+K22</f>
        <v/>
      </c>
    </row>
    <row r="23">
      <c r="A23" t="inlineStr">
        <is>
          <t>Royal Canin VET</t>
        </is>
      </c>
      <c r="B23" t="inlineStr">
        <is>
          <t>גסטרואינטסטינל היירבול 4 ק"ג</t>
        </is>
      </c>
      <c r="C23" t="inlineStr">
        <is>
          <t>VETERINARY HEALTH NUTRITION CAT - DRY</t>
        </is>
      </c>
      <c r="D23" t="inlineStr">
        <is>
          <t>2272210400</t>
        </is>
      </c>
      <c r="E23" t="inlineStr">
        <is>
          <t>2026-06</t>
        </is>
      </c>
      <c r="F23" t="n">
        <v>223</v>
      </c>
      <c r="G23" t="n">
        <v>263.14</v>
      </c>
      <c r="H23">
        <f>הגדרות!B2</f>
        <v/>
      </c>
      <c r="I23">
        <f>F23*(1-H23/100)*1.18</f>
        <v/>
      </c>
      <c r="J23">
        <f>הגדרות!C2</f>
        <v/>
      </c>
      <c r="K23">
        <f>הגדרות!D2</f>
        <v/>
      </c>
      <c r="L23">
        <f>I23*(1+J23/100)+K23</f>
        <v/>
      </c>
    </row>
    <row r="24">
      <c r="A24" t="inlineStr">
        <is>
          <t>Royal Canin VET</t>
        </is>
      </c>
      <c r="B24" t="inlineStr">
        <is>
          <t>גסטרואינטסטינל פייבר ריספונס חתול 2 ק"ג</t>
        </is>
      </c>
      <c r="C24" t="inlineStr">
        <is>
          <t>VETERINARY HEALTH NUTRITION CAT - DRY</t>
        </is>
      </c>
      <c r="D24" t="inlineStr">
        <is>
          <t>2400710200</t>
        </is>
      </c>
      <c r="E24" t="inlineStr">
        <is>
          <t>2026-06</t>
        </is>
      </c>
      <c r="F24" t="n">
        <v>139</v>
      </c>
      <c r="G24" t="n">
        <v>164.02</v>
      </c>
      <c r="H24">
        <f>הגדרות!B2</f>
        <v/>
      </c>
      <c r="I24">
        <f>F24*(1-H24/100)*1.18</f>
        <v/>
      </c>
      <c r="J24">
        <f>הגדרות!C2</f>
        <v/>
      </c>
      <c r="K24">
        <f>הגדרות!D2</f>
        <v/>
      </c>
      <c r="L24">
        <f>I24*(1+J24/100)+K24</f>
        <v/>
      </c>
    </row>
    <row r="25">
      <c r="A25" t="inlineStr">
        <is>
          <t>Royal Canin VET</t>
        </is>
      </c>
      <c r="B25" t="inlineStr">
        <is>
          <t>סנסטיביטי קונטרול חתול 3.5 ק"ג</t>
        </is>
      </c>
      <c r="C25" t="inlineStr">
        <is>
          <t>VETERINARY HEALTH NUTRITION CAT - DRY</t>
        </is>
      </c>
      <c r="D25" t="inlineStr">
        <is>
          <t>2390910350</t>
        </is>
      </c>
      <c r="E25" t="inlineStr">
        <is>
          <t>2026-06</t>
        </is>
      </c>
      <c r="F25" t="n">
        <v>179</v>
      </c>
      <c r="G25" t="n">
        <v>211.22</v>
      </c>
      <c r="H25">
        <f>הגדרות!B2</f>
        <v/>
      </c>
      <c r="I25">
        <f>F25*(1-H25/100)*1.18</f>
        <v/>
      </c>
      <c r="J25">
        <f>הגדרות!C2</f>
        <v/>
      </c>
      <c r="K25">
        <f>הגדרות!D2</f>
        <v/>
      </c>
      <c r="L25">
        <f>I25*(1+J25/100)+K25</f>
        <v/>
      </c>
    </row>
    <row r="26">
      <c r="A26" t="inlineStr">
        <is>
          <t>Royal Canin VET</t>
        </is>
      </c>
      <c r="B26" t="inlineStr">
        <is>
          <t>אנאלרג'ניק חתול 2 ק"ג</t>
        </is>
      </c>
      <c r="C26" t="inlineStr">
        <is>
          <t>VETERINARY HEALTH NUTRITION CAT - DRY</t>
        </is>
      </c>
      <c r="D26" t="inlineStr">
        <is>
          <t>2195010200</t>
        </is>
      </c>
      <c r="E26" t="inlineStr">
        <is>
          <t>2026-06</t>
        </is>
      </c>
      <c r="F26" t="n">
        <v>145</v>
      </c>
      <c r="G26" t="n">
        <v>171.1</v>
      </c>
      <c r="H26">
        <f>הגדרות!B2</f>
        <v/>
      </c>
      <c r="I26">
        <f>F26*(1-H26/100)*1.18</f>
        <v/>
      </c>
      <c r="J26">
        <f>הגדרות!C2</f>
        <v/>
      </c>
      <c r="K26">
        <f>הגדרות!D2</f>
        <v/>
      </c>
      <c r="L26">
        <f>I26*(1+J26/100)+K26</f>
        <v/>
      </c>
    </row>
    <row r="27">
      <c r="A27" t="inlineStr">
        <is>
          <t>Royal Canin VET</t>
        </is>
      </c>
      <c r="B27" t="inlineStr">
        <is>
          <t>היפואלרגני חתול 2.5 ק"ג</t>
        </is>
      </c>
      <c r="C27" t="inlineStr">
        <is>
          <t>VETERINARY HEALTH NUTRITION CAT - DRY</t>
        </is>
      </c>
      <c r="D27" t="inlineStr">
        <is>
          <t>2390210250</t>
        </is>
      </c>
      <c r="E27" t="inlineStr">
        <is>
          <t>2026-06</t>
        </is>
      </c>
      <c r="F27" t="n">
        <v>153</v>
      </c>
      <c r="G27" t="n">
        <v>180.54</v>
      </c>
      <c r="H27">
        <f>הגדרות!B2</f>
        <v/>
      </c>
      <c r="I27">
        <f>F27*(1-H27/100)*1.18</f>
        <v/>
      </c>
      <c r="J27">
        <f>הגדרות!C2</f>
        <v/>
      </c>
      <c r="K27">
        <f>הגדרות!D2</f>
        <v/>
      </c>
      <c r="L27">
        <f>I27*(1+J27/100)+K27</f>
        <v/>
      </c>
    </row>
    <row r="28">
      <c r="A28" t="inlineStr">
        <is>
          <t>Royal Canin VET</t>
        </is>
      </c>
      <c r="B28" t="inlineStr">
        <is>
          <t>היפואלרגני חתול 4.5 ק"ג</t>
        </is>
      </c>
      <c r="C28" t="inlineStr">
        <is>
          <t>VETERINARY HEALTH NUTRITION CAT - DRY</t>
        </is>
      </c>
      <c r="D28" t="inlineStr">
        <is>
          <t>2390210450</t>
        </is>
      </c>
      <c r="E28" t="inlineStr">
        <is>
          <t>2026-06</t>
        </is>
      </c>
      <c r="F28" t="n">
        <v>264</v>
      </c>
      <c r="G28" t="n">
        <v>311.52</v>
      </c>
      <c r="H28">
        <f>הגדרות!B2</f>
        <v/>
      </c>
      <c r="I28">
        <f>F28*(1-H28/100)*1.18</f>
        <v/>
      </c>
      <c r="J28">
        <f>הגדרות!C2</f>
        <v/>
      </c>
      <c r="K28">
        <f>הגדרות!D2</f>
        <v/>
      </c>
      <c r="L28">
        <f>I28*(1+J28/100)+K28</f>
        <v/>
      </c>
    </row>
    <row r="29">
      <c r="A29" t="inlineStr">
        <is>
          <t>Royal Canin VET</t>
        </is>
      </c>
      <c r="B29" t="inlineStr">
        <is>
          <t>סקין&amp;קואט חתול 3.5 ק"ג</t>
        </is>
      </c>
      <c r="C29" t="inlineStr">
        <is>
          <t>VETERINARY HEALTH NUTRITION CAT - DRY</t>
        </is>
      </c>
      <c r="D29" t="inlineStr">
        <is>
          <t>2132310350</t>
        </is>
      </c>
      <c r="E29" t="inlineStr">
        <is>
          <t>2026-06</t>
        </is>
      </c>
      <c r="F29" t="n">
        <v>159</v>
      </c>
      <c r="G29" t="n">
        <v>187.62</v>
      </c>
      <c r="H29">
        <f>הגדרות!B2</f>
        <v/>
      </c>
      <c r="I29">
        <f>F29*(1-H29/100)*1.18</f>
        <v/>
      </c>
      <c r="J29">
        <f>הגדרות!C2</f>
        <v/>
      </c>
      <c r="K29">
        <f>הגדרות!D2</f>
        <v/>
      </c>
      <c r="L29">
        <f>I29*(1+J29/100)+K29</f>
        <v/>
      </c>
    </row>
    <row r="30">
      <c r="A30" t="inlineStr">
        <is>
          <t>Royal Canin VET</t>
        </is>
      </c>
      <c r="B30" t="inlineStr">
        <is>
          <t>הפטיק חתול 4 ק"ג</t>
        </is>
      </c>
      <c r="C30" t="inlineStr">
        <is>
          <t>VETERINARY HEALTH NUTRITION CAT - DRY</t>
        </is>
      </c>
      <c r="D30" t="inlineStr">
        <is>
          <t>2401210400</t>
        </is>
      </c>
      <c r="E30" t="inlineStr">
        <is>
          <t>2026-06</t>
        </is>
      </c>
      <c r="F30" t="n">
        <v>215</v>
      </c>
      <c r="G30" t="n">
        <v>253.7</v>
      </c>
      <c r="H30">
        <f>הגדרות!B2</f>
        <v/>
      </c>
      <c r="I30">
        <f>F30*(1-H30/100)*1.18</f>
        <v/>
      </c>
      <c r="J30">
        <f>הגדרות!C2</f>
        <v/>
      </c>
      <c r="K30">
        <f>הגדרות!D2</f>
        <v/>
      </c>
      <c r="L30">
        <f>I30*(1+J30/100)+K30</f>
        <v/>
      </c>
    </row>
    <row r="31">
      <c r="A31" t="inlineStr">
        <is>
          <t>Royal Canin VET</t>
        </is>
      </c>
      <c r="B31" t="inlineStr">
        <is>
          <t>יורינרי S/O חתול 1.5 ק"ג</t>
        </is>
      </c>
      <c r="C31" t="inlineStr">
        <is>
          <t>VETERINARY HEALTH NUTRITION CAT - DRY</t>
        </is>
      </c>
      <c r="D31" t="inlineStr">
        <is>
          <t>2390110150</t>
        </is>
      </c>
      <c r="E31" t="inlineStr">
        <is>
          <t>2026-06</t>
        </is>
      </c>
      <c r="F31" t="n">
        <v>109</v>
      </c>
      <c r="G31" t="n">
        <v>128.62</v>
      </c>
      <c r="H31">
        <f>הגדרות!B2</f>
        <v/>
      </c>
      <c r="I31">
        <f>F31*(1-H31/100)*1.18</f>
        <v/>
      </c>
      <c r="J31">
        <f>הגדרות!C2</f>
        <v/>
      </c>
      <c r="K31">
        <f>הגדרות!D2</f>
        <v/>
      </c>
      <c r="L31">
        <f>I31*(1+J31/100)+K31</f>
        <v/>
      </c>
    </row>
    <row r="32">
      <c r="A32" t="inlineStr">
        <is>
          <t>Royal Canin VET</t>
        </is>
      </c>
      <c r="B32" t="inlineStr">
        <is>
          <t>יורינרי S/O חתול 3.5 ק"ג</t>
        </is>
      </c>
      <c r="C32" t="inlineStr">
        <is>
          <t>VETERINARY HEALTH NUTRITION CAT - DRY</t>
        </is>
      </c>
      <c r="D32" t="inlineStr">
        <is>
          <t>2390110350</t>
        </is>
      </c>
      <c r="E32" t="inlineStr">
        <is>
          <t>2026-06</t>
        </is>
      </c>
      <c r="F32" t="n">
        <v>179</v>
      </c>
      <c r="G32" t="n">
        <v>211.22</v>
      </c>
      <c r="H32">
        <f>הגדרות!B2</f>
        <v/>
      </c>
      <c r="I32">
        <f>F32*(1-H32/100)*1.18</f>
        <v/>
      </c>
      <c r="J32">
        <f>הגדרות!C2</f>
        <v/>
      </c>
      <c r="K32">
        <f>הגדרות!D2</f>
        <v/>
      </c>
      <c r="L32">
        <f>I32*(1+J32/100)+K32</f>
        <v/>
      </c>
    </row>
    <row r="33">
      <c r="A33" t="inlineStr">
        <is>
          <t>Royal Canin VET</t>
        </is>
      </c>
      <c r="B33" t="inlineStr">
        <is>
          <t>יורינרי S/O חתול 7 ק"ג</t>
        </is>
      </c>
      <c r="C33" t="inlineStr">
        <is>
          <t>VETERINARY HEALTH NUTRITION CAT - DRY</t>
        </is>
      </c>
      <c r="D33" t="inlineStr">
        <is>
          <t>2390110700</t>
        </is>
      </c>
      <c r="E33" t="inlineStr">
        <is>
          <t>2026-06</t>
        </is>
      </c>
      <c r="F33" t="n">
        <v>299</v>
      </c>
      <c r="G33" t="n">
        <v>352.82</v>
      </c>
      <c r="H33">
        <f>הגדרות!B2</f>
        <v/>
      </c>
      <c r="I33">
        <f>F33*(1-H33/100)*1.18</f>
        <v/>
      </c>
      <c r="J33">
        <f>הגדרות!C2</f>
        <v/>
      </c>
      <c r="K33">
        <f>הגדרות!D2</f>
        <v/>
      </c>
      <c r="L33">
        <f>I33*(1+J33/100)+K33</f>
        <v/>
      </c>
    </row>
    <row r="34">
      <c r="A34" t="inlineStr">
        <is>
          <t>Royal Canin VET</t>
        </is>
      </c>
      <c r="B34" t="inlineStr">
        <is>
          <t>יורינרי S/O חתול 9 ק"ג</t>
        </is>
      </c>
      <c r="C34" t="inlineStr">
        <is>
          <t>VETERINARY HEALTH NUTRITION CAT - DRY</t>
        </is>
      </c>
      <c r="D34" t="inlineStr">
        <is>
          <t>2390110900</t>
        </is>
      </c>
      <c r="E34" t="inlineStr">
        <is>
          <t>2026-06</t>
        </is>
      </c>
      <c r="F34" t="n">
        <v>352</v>
      </c>
      <c r="G34" t="n">
        <v>415.36</v>
      </c>
      <c r="H34">
        <f>הגדרות!B2</f>
        <v/>
      </c>
      <c r="I34">
        <f>F34*(1-H34/100)*1.18</f>
        <v/>
      </c>
      <c r="J34">
        <f>הגדרות!C2</f>
        <v/>
      </c>
      <c r="K34">
        <f>הגדרות!D2</f>
        <v/>
      </c>
      <c r="L34">
        <f>I34*(1+J34/100)+K34</f>
        <v/>
      </c>
    </row>
    <row r="35">
      <c r="A35" t="inlineStr">
        <is>
          <t>Royal Canin VET</t>
        </is>
      </c>
      <c r="B35" t="inlineStr">
        <is>
          <t>יורינרי מופ' קל' חתול 3.5 ק"ג</t>
        </is>
      </c>
      <c r="C35" t="inlineStr">
        <is>
          <t>VETERINARY HEALTH NUTRITION CAT - DRY</t>
        </is>
      </c>
      <c r="D35" t="inlineStr">
        <is>
          <t>2395410350</t>
        </is>
      </c>
      <c r="E35" t="inlineStr">
        <is>
          <t>2026-06</t>
        </is>
      </c>
      <c r="F35" t="n">
        <v>179</v>
      </c>
      <c r="G35" t="n">
        <v>211.22</v>
      </c>
      <c r="H35">
        <f>הגדרות!B2</f>
        <v/>
      </c>
      <c r="I35">
        <f>F35*(1-H35/100)*1.18</f>
        <v/>
      </c>
      <c r="J35">
        <f>הגדרות!C2</f>
        <v/>
      </c>
      <c r="K35">
        <f>הגדרות!D2</f>
        <v/>
      </c>
      <c r="L35">
        <f>I35*(1+J35/100)+K35</f>
        <v/>
      </c>
    </row>
    <row r="36">
      <c r="A36" t="inlineStr">
        <is>
          <t>Royal Canin VET</t>
        </is>
      </c>
      <c r="B36" t="inlineStr">
        <is>
          <t>ריקברי חתול / כלב 195X12 גרם שימורים</t>
        </is>
      </c>
      <c r="C36" t="inlineStr">
        <is>
          <t>VETERINARY HEALTH NUTRITION CAT - WET</t>
        </is>
      </c>
      <c r="D36" t="inlineStr">
        <is>
          <t>2405520019</t>
        </is>
      </c>
      <c r="E36" t="inlineStr">
        <is>
          <t>2026-06</t>
        </is>
      </c>
      <c r="F36" t="n">
        <v>179</v>
      </c>
      <c r="G36" t="n">
        <v>211.22</v>
      </c>
      <c r="H36">
        <f>הגדרות!B2</f>
        <v/>
      </c>
      <c r="I36">
        <f>F36*(1-H36/100)*1.18</f>
        <v/>
      </c>
      <c r="J36">
        <f>הגדרות!C2</f>
        <v/>
      </c>
      <c r="K36">
        <f>הגדרות!D2</f>
        <v/>
      </c>
      <c r="L36">
        <f>I36*(1+J36/100)+K36</f>
        <v/>
      </c>
    </row>
    <row r="37">
      <c r="A37" t="inlineStr">
        <is>
          <t>Royal Canin VET</t>
        </is>
      </c>
      <c r="B37" t="inlineStr">
        <is>
          <t>גסטרואינטסטינל קיטן מוס רך במיוחד 195X12 גרם שימורים</t>
        </is>
      </c>
      <c r="C37" t="inlineStr">
        <is>
          <t>VETERINARY HEALTH NUTRITION CAT - WET</t>
        </is>
      </c>
      <c r="D37" t="inlineStr">
        <is>
          <t>2122720019</t>
        </is>
      </c>
      <c r="E37" t="inlineStr">
        <is>
          <t>2026-06</t>
        </is>
      </c>
      <c r="F37" t="n">
        <v>139</v>
      </c>
      <c r="G37" t="n">
        <v>164.02</v>
      </c>
      <c r="H37">
        <f>הגדרות!B2</f>
        <v/>
      </c>
      <c r="I37">
        <f>F37*(1-H37/100)*1.18</f>
        <v/>
      </c>
      <c r="J37">
        <f>הגדרות!C2</f>
        <v/>
      </c>
      <c r="K37">
        <f>הגדרות!D2</f>
        <v/>
      </c>
      <c r="L37">
        <f>I37*(1+J37/100)+K37</f>
        <v/>
      </c>
    </row>
    <row r="38">
      <c r="A38" t="inlineStr">
        <is>
          <t>Royal Canin VET</t>
        </is>
      </c>
      <c r="B38" t="inlineStr">
        <is>
          <t>גסטרואינטסטינל מופחת קלוריות לחתול 85X12 גרם פאוץ'</t>
        </is>
      </c>
      <c r="C38" t="inlineStr">
        <is>
          <t>VETERINARY HEALTH NUTRITION CAT - WET</t>
        </is>
      </c>
      <c r="D38" t="inlineStr">
        <is>
          <t>2400920102</t>
        </is>
      </c>
      <c r="E38" t="inlineStr">
        <is>
          <t>2026-06</t>
        </is>
      </c>
      <c r="F38" t="n">
        <v>89</v>
      </c>
      <c r="G38" t="n">
        <v>105.02</v>
      </c>
      <c r="H38">
        <f>הגדרות!B2</f>
        <v/>
      </c>
      <c r="I38">
        <f>F38*(1-H38/100)*1.18</f>
        <v/>
      </c>
      <c r="J38">
        <f>הגדרות!C2</f>
        <v/>
      </c>
      <c r="K38">
        <f>הגדרות!D2</f>
        <v/>
      </c>
      <c r="L38">
        <f>I38*(1+J38/100)+K38</f>
        <v/>
      </c>
    </row>
    <row r="39">
      <c r="A39" t="inlineStr">
        <is>
          <t>Royal Canin VET</t>
        </is>
      </c>
      <c r="B39" t="inlineStr">
        <is>
          <t>גסטרואינטסטינל לחתול 85X12 גרם פאוץ'</t>
        </is>
      </c>
      <c r="C39" t="inlineStr">
        <is>
          <t>VETERINARY HEALTH NUTRITION CAT - WET</t>
        </is>
      </c>
      <c r="D39" t="inlineStr">
        <is>
          <t>2403920102</t>
        </is>
      </c>
      <c r="E39" t="inlineStr">
        <is>
          <t>2026-06</t>
        </is>
      </c>
      <c r="F39" t="n">
        <v>89</v>
      </c>
      <c r="G39" t="n">
        <v>105.02</v>
      </c>
      <c r="H39">
        <f>הגדרות!B2</f>
        <v/>
      </c>
      <c r="I39">
        <f>F39*(1-H39/100)*1.18</f>
        <v/>
      </c>
      <c r="J39">
        <f>הגדרות!C2</f>
        <v/>
      </c>
      <c r="K39">
        <f>הגדרות!D2</f>
        <v/>
      </c>
      <c r="L39">
        <f>I39*(1+J39/100)+K39</f>
        <v/>
      </c>
    </row>
    <row r="40">
      <c r="A40" t="inlineStr">
        <is>
          <t>Royal Canin VET</t>
        </is>
      </c>
      <c r="B40" t="inlineStr">
        <is>
          <t>גסטרואינטסטינל פייבר רספונס 85X12 גרם פאוץ'</t>
        </is>
      </c>
      <c r="C40" t="inlineStr">
        <is>
          <t>VETERINARY HEALTH NUTRITION CAT - WET</t>
        </is>
      </c>
      <c r="D40" t="inlineStr">
        <is>
          <t>2273320102</t>
        </is>
      </c>
      <c r="E40" t="inlineStr">
        <is>
          <t>2026-06</t>
        </is>
      </c>
      <c r="F40" t="n">
        <v>89</v>
      </c>
      <c r="G40" t="n">
        <v>105.02</v>
      </c>
      <c r="H40">
        <f>הגדרות!B2</f>
        <v/>
      </c>
      <c r="I40">
        <f>F40*(1-H40/100)*1.18</f>
        <v/>
      </c>
      <c r="J40">
        <f>הגדרות!C2</f>
        <v/>
      </c>
      <c r="K40">
        <f>הגדרות!D2</f>
        <v/>
      </c>
      <c r="L40">
        <f>I40*(1+J40/100)+K40</f>
        <v/>
      </c>
    </row>
    <row r="41">
      <c r="A41" t="inlineStr">
        <is>
          <t>Royal Canin VET</t>
        </is>
      </c>
      <c r="B41" t="inlineStr">
        <is>
          <t>רינאל עוף (חתיכות ברוטב) לחתול 85X12 גרם פאוץ'</t>
        </is>
      </c>
      <c r="C41" t="inlineStr">
        <is>
          <t>VETERINARY HEALTH NUTRITION CAT - WET</t>
        </is>
      </c>
      <c r="D41" t="inlineStr">
        <is>
          <t>2403020102</t>
        </is>
      </c>
      <c r="E41" t="inlineStr">
        <is>
          <t>2026-06</t>
        </is>
      </c>
      <c r="F41" t="n">
        <v>89</v>
      </c>
      <c r="G41" t="n">
        <v>105.02</v>
      </c>
      <c r="H41">
        <f>הגדרות!B2</f>
        <v/>
      </c>
      <c r="I41">
        <f>F41*(1-H41/100)*1.18</f>
        <v/>
      </c>
      <c r="J41">
        <f>הגדרות!C2</f>
        <v/>
      </c>
      <c r="K41">
        <f>הגדרות!D2</f>
        <v/>
      </c>
      <c r="L41">
        <f>I41*(1+J41/100)+K41</f>
        <v/>
      </c>
    </row>
    <row r="42">
      <c r="A42" t="inlineStr">
        <is>
          <t>Royal Canin VET</t>
        </is>
      </c>
      <c r="B42" t="inlineStr">
        <is>
          <t>רינאל בקר (חתיכות ברוטב) לחתול 85X12 גרם פאוץ'</t>
        </is>
      </c>
      <c r="C42" t="inlineStr">
        <is>
          <t>VETERINARY HEALTH NUTRITION CAT - WET</t>
        </is>
      </c>
      <c r="D42" t="inlineStr">
        <is>
          <t>2403120102</t>
        </is>
      </c>
      <c r="E42" t="inlineStr">
        <is>
          <t>2026-06</t>
        </is>
      </c>
      <c r="F42" t="n">
        <v>89</v>
      </c>
      <c r="G42" t="n">
        <v>105.02</v>
      </c>
      <c r="H42">
        <f>הגדרות!B2</f>
        <v/>
      </c>
      <c r="I42">
        <f>F42*(1-H42/100)*1.18</f>
        <v/>
      </c>
      <c r="J42">
        <f>הגדרות!C2</f>
        <v/>
      </c>
      <c r="K42">
        <f>הגדרות!D2</f>
        <v/>
      </c>
      <c r="L42">
        <f>I42*(1+J42/100)+K42</f>
        <v/>
      </c>
    </row>
    <row r="43">
      <c r="A43" t="inlineStr">
        <is>
          <t>Royal Canin VET</t>
        </is>
      </c>
      <c r="B43" t="inlineStr">
        <is>
          <t>רינאל דגים (חתיכות ברוטב) לחתול 85X12 גרם פאוץ'</t>
        </is>
      </c>
      <c r="C43" t="inlineStr">
        <is>
          <t>VETERINARY HEALTH NUTRITION CAT - WET</t>
        </is>
      </c>
      <c r="D43" t="inlineStr">
        <is>
          <t>2406720102</t>
        </is>
      </c>
      <c r="E43" t="inlineStr">
        <is>
          <t>2026-06</t>
        </is>
      </c>
      <c r="F43" t="n">
        <v>89</v>
      </c>
      <c r="G43" t="n">
        <v>105.02</v>
      </c>
      <c r="H43">
        <f>הגדרות!B2</f>
        <v/>
      </c>
      <c r="I43">
        <f>F43*(1-H43/100)*1.18</f>
        <v/>
      </c>
      <c r="J43">
        <f>הגדרות!C2</f>
        <v/>
      </c>
      <c r="K43">
        <f>הגדרות!D2</f>
        <v/>
      </c>
      <c r="L43">
        <f>I43*(1+J43/100)+K43</f>
        <v/>
      </c>
    </row>
    <row r="44">
      <c r="A44" t="inlineStr">
        <is>
          <t>Royal Canin VET</t>
        </is>
      </c>
      <c r="B44" t="inlineStr">
        <is>
          <t>רינאל (לואף) לחתול 85X12 גרם פאוץ'</t>
        </is>
      </c>
      <c r="C44" t="inlineStr">
        <is>
          <t>VETERINARY HEALTH NUTRITION CAT - WET</t>
        </is>
      </c>
      <c r="D44" t="inlineStr">
        <is>
          <t>2124620102</t>
        </is>
      </c>
      <c r="E44" t="inlineStr">
        <is>
          <t>2026-06</t>
        </is>
      </c>
      <c r="F44" t="n">
        <v>89</v>
      </c>
      <c r="G44" t="n">
        <v>105.02</v>
      </c>
      <c r="H44">
        <f>הגדרות!B2</f>
        <v/>
      </c>
      <c r="I44">
        <f>F44*(1-H44/100)*1.18</f>
        <v/>
      </c>
      <c r="J44">
        <f>הגדרות!C2</f>
        <v/>
      </c>
      <c r="K44">
        <f>הגדרות!D2</f>
        <v/>
      </c>
      <c r="L44">
        <f>I44*(1+J44/100)+K44</f>
        <v/>
      </c>
    </row>
    <row r="45">
      <c r="A45" t="inlineStr">
        <is>
          <t>Royal Canin VET</t>
        </is>
      </c>
      <c r="B45" t="inlineStr">
        <is>
          <t>ארלי רינאל (חתיכות ברוטב) לחתול 85X12 גרם פאוץ'</t>
        </is>
      </c>
      <c r="C45" t="inlineStr">
        <is>
          <t>VETERINARY HEALTH NUTRITION CAT - WET</t>
        </is>
      </c>
      <c r="D45" t="inlineStr">
        <is>
          <t>2124820102</t>
        </is>
      </c>
      <c r="E45" t="inlineStr">
        <is>
          <t>2026-06</t>
        </is>
      </c>
      <c r="F45" t="n">
        <v>89</v>
      </c>
      <c r="G45" t="n">
        <v>105.02</v>
      </c>
      <c r="H45">
        <f>הגדרות!B2</f>
        <v/>
      </c>
      <c r="I45">
        <f>F45*(1-H45/100)*1.18</f>
        <v/>
      </c>
      <c r="J45">
        <f>הגדרות!C2</f>
        <v/>
      </c>
      <c r="K45">
        <f>הגדרות!D2</f>
        <v/>
      </c>
      <c r="L45">
        <f>I45*(1+J45/100)+K45</f>
        <v/>
      </c>
    </row>
    <row r="46">
      <c r="A46" t="inlineStr">
        <is>
          <t>Royal Canin VET</t>
        </is>
      </c>
      <c r="B46" t="inlineStr">
        <is>
          <t>סטיאטי לחתול 85X12 גרם פאוץ'</t>
        </is>
      </c>
      <c r="C46" t="inlineStr">
        <is>
          <t>VETERINARY HEALTH NUTRITION CAT - WET</t>
        </is>
      </c>
      <c r="D46" t="inlineStr">
        <is>
          <t>2107020102</t>
        </is>
      </c>
      <c r="E46" t="inlineStr">
        <is>
          <t>2026-06</t>
        </is>
      </c>
      <c r="F46" t="n">
        <v>89</v>
      </c>
      <c r="G46" t="n">
        <v>105.02</v>
      </c>
      <c r="H46">
        <f>הגדרות!B2</f>
        <v/>
      </c>
      <c r="I46">
        <f>F46*(1-H46/100)*1.18</f>
        <v/>
      </c>
      <c r="J46">
        <f>הגדרות!C2</f>
        <v/>
      </c>
      <c r="K46">
        <f>הגדרות!D2</f>
        <v/>
      </c>
      <c r="L46">
        <f>I46*(1+J46/100)+K46</f>
        <v/>
      </c>
    </row>
    <row r="47">
      <c r="A47" t="inlineStr">
        <is>
          <t>Royal Canin VET</t>
        </is>
      </c>
      <c r="B47" t="inlineStr">
        <is>
          <t>סנסיטיביטי קונטרול חתול 85X12 גרם פאוץ'</t>
        </is>
      </c>
      <c r="C47" t="inlineStr">
        <is>
          <t>VETERINARY HEALTH NUTRITION CAT - WET</t>
        </is>
      </c>
      <c r="D47" t="inlineStr">
        <is>
          <t>2403520102</t>
        </is>
      </c>
      <c r="E47" t="inlineStr">
        <is>
          <t>2026-06</t>
        </is>
      </c>
      <c r="F47" t="n">
        <v>89</v>
      </c>
      <c r="G47" t="n">
        <v>105.02</v>
      </c>
      <c r="H47">
        <f>הגדרות!B2</f>
        <v/>
      </c>
      <c r="I47">
        <f>F47*(1-H47/100)*1.18</f>
        <v/>
      </c>
      <c r="J47">
        <f>הגדרות!C2</f>
        <v/>
      </c>
      <c r="K47">
        <f>הגדרות!D2</f>
        <v/>
      </c>
      <c r="L47">
        <f>I47*(1+J47/100)+K47</f>
        <v/>
      </c>
    </row>
    <row r="48">
      <c r="A48" t="inlineStr">
        <is>
          <t>Royal Canin VET</t>
        </is>
      </c>
      <c r="B48" t="inlineStr">
        <is>
          <t>דיאבטיק לחתול 85X12 גרם פאוץ'</t>
        </is>
      </c>
      <c r="C48" t="inlineStr">
        <is>
          <t>VETERINARY HEALTH NUTRITION CAT - WET</t>
        </is>
      </c>
      <c r="D48" t="inlineStr">
        <is>
          <t>2408520102</t>
        </is>
      </c>
      <c r="E48" t="inlineStr">
        <is>
          <t>2026-06</t>
        </is>
      </c>
      <c r="F48" t="n">
        <v>89</v>
      </c>
      <c r="G48" t="n">
        <v>105.02</v>
      </c>
      <c r="H48">
        <f>הגדרות!B2</f>
        <v/>
      </c>
      <c r="I48">
        <f>F48*(1-H48/100)*1.18</f>
        <v/>
      </c>
      <c r="J48">
        <f>הגדרות!C2</f>
        <v/>
      </c>
      <c r="K48">
        <f>הגדרות!D2</f>
        <v/>
      </c>
      <c r="L48">
        <f>I48*(1+J48/100)+K48</f>
        <v/>
      </c>
    </row>
    <row r="49">
      <c r="A49" t="inlineStr">
        <is>
          <t>Royal Canin VET</t>
        </is>
      </c>
      <c r="B49" t="inlineStr">
        <is>
          <t>יורינרי עוף (לואף) לחתול 85X12 גרם פאוץ'</t>
        </is>
      </c>
      <c r="C49" t="inlineStr">
        <is>
          <t>VETERINARY HEALTH NUTRITION CAT - WET</t>
        </is>
      </c>
      <c r="D49" t="inlineStr">
        <is>
          <t>2403220102</t>
        </is>
      </c>
      <c r="E49" t="inlineStr">
        <is>
          <t>2026-06</t>
        </is>
      </c>
      <c r="F49" t="n">
        <v>89</v>
      </c>
      <c r="G49" t="n">
        <v>105.02</v>
      </c>
      <c r="H49">
        <f>הגדרות!B2</f>
        <v/>
      </c>
      <c r="I49">
        <f>F49*(1-H49/100)*1.18</f>
        <v/>
      </c>
      <c r="J49">
        <f>הגדרות!C2</f>
        <v/>
      </c>
      <c r="K49">
        <f>הגדרות!D2</f>
        <v/>
      </c>
      <c r="L49">
        <f>I49*(1+J49/100)+K49</f>
        <v/>
      </c>
    </row>
    <row r="50">
      <c r="A50" t="inlineStr">
        <is>
          <t>Royal Canin VET</t>
        </is>
      </c>
      <c r="B50" t="inlineStr">
        <is>
          <t>רינאל כלב גזע קטן 3.5 ק"ג</t>
        </is>
      </c>
      <c r="C50" t="inlineStr">
        <is>
          <t>VETERINARY HEALTH NUTRITION DOG - DRY</t>
        </is>
      </c>
      <c r="D50" t="inlineStr">
        <is>
          <t>2124910350</t>
        </is>
      </c>
      <c r="E50" t="inlineStr">
        <is>
          <t>2026-06</t>
        </is>
      </c>
      <c r="F50" t="n">
        <v>174</v>
      </c>
      <c r="G50" t="n">
        <v>205.32</v>
      </c>
      <c r="H50">
        <f>הגדרות!B2</f>
        <v/>
      </c>
      <c r="I50">
        <f>F50*(1-H50/100)*1.18</f>
        <v/>
      </c>
      <c r="J50">
        <f>הגדרות!C2</f>
        <v/>
      </c>
      <c r="K50">
        <f>הגדרות!D2</f>
        <v/>
      </c>
      <c r="L50">
        <f>I50*(1+J50/100)+K50</f>
        <v/>
      </c>
    </row>
    <row r="51">
      <c r="A51" t="inlineStr">
        <is>
          <t>Royal Canin VET</t>
        </is>
      </c>
      <c r="B51" t="inlineStr">
        <is>
          <t>ארלי רינאל כלב 7 ק"ג</t>
        </is>
      </c>
      <c r="C51" t="inlineStr">
        <is>
          <t>VETERINARY HEALTH NUTRITION DOG - DRY</t>
        </is>
      </c>
      <c r="D51" t="inlineStr">
        <is>
          <t>2124810700</t>
        </is>
      </c>
      <c r="E51" t="inlineStr">
        <is>
          <t>2026-06</t>
        </is>
      </c>
      <c r="F51" t="n">
        <v>269</v>
      </c>
      <c r="G51" t="n">
        <v>317.42</v>
      </c>
      <c r="H51">
        <f>הגדרות!B2</f>
        <v/>
      </c>
      <c r="I51">
        <f>F51*(1-H51/100)*1.18</f>
        <v/>
      </c>
      <c r="J51">
        <f>הגדרות!C2</f>
        <v/>
      </c>
      <c r="K51">
        <f>הגדרות!D2</f>
        <v/>
      </c>
      <c r="L51">
        <f>I51*(1+J51/100)+K51</f>
        <v/>
      </c>
    </row>
    <row r="52">
      <c r="A52" t="inlineStr">
        <is>
          <t>Royal Canin VET</t>
        </is>
      </c>
      <c r="B52" t="inlineStr">
        <is>
          <t>רינאל כלב 2 ק"ג</t>
        </is>
      </c>
      <c r="C52" t="inlineStr">
        <is>
          <t>VETERINARY HEALTH NUTRITION DOG - DRY</t>
        </is>
      </c>
      <c r="D52" t="inlineStr">
        <is>
          <t>2391610200</t>
        </is>
      </c>
      <c r="E52" t="inlineStr">
        <is>
          <t>2026-06</t>
        </is>
      </c>
      <c r="F52" t="n">
        <v>115</v>
      </c>
      <c r="G52" t="n">
        <v>135.7</v>
      </c>
      <c r="H52">
        <f>הגדרות!B2</f>
        <v/>
      </c>
      <c r="I52">
        <f>F52*(1-H52/100)*1.18</f>
        <v/>
      </c>
      <c r="J52">
        <f>הגדרות!C2</f>
        <v/>
      </c>
      <c r="K52">
        <f>הגדרות!D2</f>
        <v/>
      </c>
      <c r="L52">
        <f>I52*(1+J52/100)+K52</f>
        <v/>
      </c>
    </row>
    <row r="53">
      <c r="A53" t="inlineStr">
        <is>
          <t>Royal Canin VET</t>
        </is>
      </c>
      <c r="B53" t="inlineStr">
        <is>
          <t>רינאל כלב 7 ק"ג</t>
        </is>
      </c>
      <c r="C53" t="inlineStr">
        <is>
          <t>VETERINARY HEALTH NUTRITION DOG - DRY</t>
        </is>
      </c>
      <c r="D53" t="inlineStr">
        <is>
          <t>2391610700</t>
        </is>
      </c>
      <c r="E53" t="inlineStr">
        <is>
          <t>2026-06</t>
        </is>
      </c>
      <c r="F53" t="n">
        <v>321</v>
      </c>
      <c r="G53" t="n">
        <v>378.78</v>
      </c>
      <c r="H53">
        <f>הגדרות!B2</f>
        <v/>
      </c>
      <c r="I53">
        <f>F53*(1-H53/100)*1.18</f>
        <v/>
      </c>
      <c r="J53">
        <f>הגדרות!C2</f>
        <v/>
      </c>
      <c r="K53">
        <f>הגדרות!D2</f>
        <v/>
      </c>
      <c r="L53">
        <f>I53*(1+J53/100)+K53</f>
        <v/>
      </c>
    </row>
    <row r="54">
      <c r="A54" t="inlineStr">
        <is>
          <t>Royal Canin VET</t>
        </is>
      </c>
      <c r="B54" t="inlineStr">
        <is>
          <t>רינאל כלב 14 ק"ג</t>
        </is>
      </c>
      <c r="C54" t="inlineStr">
        <is>
          <t>VETERINARY HEALTH NUTRITION DOG - DRY</t>
        </is>
      </c>
      <c r="D54" t="inlineStr">
        <is>
          <t>2391611400</t>
        </is>
      </c>
      <c r="E54" t="inlineStr">
        <is>
          <t>2026-06</t>
        </is>
      </c>
      <c r="F54" t="n">
        <v>515</v>
      </c>
      <c r="G54" t="n">
        <v>607.7</v>
      </c>
      <c r="H54">
        <f>הגדרות!B2</f>
        <v/>
      </c>
      <c r="I54">
        <f>F54*(1-H54/100)*1.18</f>
        <v/>
      </c>
      <c r="J54">
        <f>הגדרות!C2</f>
        <v/>
      </c>
      <c r="K54">
        <f>הגדרות!D2</f>
        <v/>
      </c>
      <c r="L54">
        <f>I54*(1+J54/100)+K54</f>
        <v/>
      </c>
    </row>
    <row r="55">
      <c r="A55" t="inlineStr">
        <is>
          <t>Royal Canin VET</t>
        </is>
      </c>
      <c r="B55" t="inlineStr">
        <is>
          <t>רינאל ספיישל כלב 2 ק"ג</t>
        </is>
      </c>
      <c r="C55" t="inlineStr">
        <is>
          <t>VETERINARY HEALTH NUTRITION DOG - DRY</t>
        </is>
      </c>
      <c r="D55" t="inlineStr">
        <is>
          <t>2416110200</t>
        </is>
      </c>
      <c r="E55" t="inlineStr">
        <is>
          <t>2026-06</t>
        </is>
      </c>
      <c r="F55" t="n">
        <v>115</v>
      </c>
      <c r="G55" t="n">
        <v>135.7</v>
      </c>
      <c r="H55">
        <f>הגדרות!B2</f>
        <v/>
      </c>
      <c r="I55">
        <f>F55*(1-H55/100)*1.18</f>
        <v/>
      </c>
      <c r="J55">
        <f>הגדרות!C2</f>
        <v/>
      </c>
      <c r="K55">
        <f>הגדרות!D2</f>
        <v/>
      </c>
      <c r="L55">
        <f>I55*(1+J55/100)+K55</f>
        <v/>
      </c>
    </row>
    <row r="56">
      <c r="A56" t="inlineStr">
        <is>
          <t>Royal Canin VET</t>
        </is>
      </c>
      <c r="B56" t="inlineStr">
        <is>
          <t>רינאל סלקט כלב 2 ק"ג</t>
        </is>
      </c>
      <c r="C56" t="inlineStr">
        <is>
          <t>VETERINARY HEALTH NUTRITION DOG - DRY</t>
        </is>
      </c>
      <c r="D56" t="inlineStr">
        <is>
          <t>2416210200</t>
        </is>
      </c>
      <c r="E56" t="inlineStr">
        <is>
          <t>2026-06</t>
        </is>
      </c>
      <c r="F56" t="n">
        <v>115</v>
      </c>
      <c r="G56" t="n">
        <v>135.7</v>
      </c>
      <c r="H56">
        <f>הגדרות!B2</f>
        <v/>
      </c>
      <c r="I56">
        <f>F56*(1-H56/100)*1.18</f>
        <v/>
      </c>
      <c r="J56">
        <f>הגדרות!C2</f>
        <v/>
      </c>
      <c r="K56">
        <f>הגדרות!D2</f>
        <v/>
      </c>
      <c r="L56">
        <f>I56*(1+J56/100)+K56</f>
        <v/>
      </c>
    </row>
    <row r="57">
      <c r="A57" t="inlineStr">
        <is>
          <t>Royal Canin VET</t>
        </is>
      </c>
      <c r="B57" t="inlineStr">
        <is>
          <t>רינאל סלקט כלב 10 ק"ג</t>
        </is>
      </c>
      <c r="C57" t="inlineStr">
        <is>
          <t>VETERINARY HEALTH NUTRITION DOG - DRY</t>
        </is>
      </c>
      <c r="D57" t="inlineStr">
        <is>
          <t>2416211000</t>
        </is>
      </c>
      <c r="E57" t="inlineStr">
        <is>
          <t>2026-06</t>
        </is>
      </c>
      <c r="F57" t="n">
        <v>399</v>
      </c>
      <c r="G57" t="n">
        <v>470.82</v>
      </c>
      <c r="H57">
        <f>הגדרות!B2</f>
        <v/>
      </c>
      <c r="I57">
        <f>F57*(1-H57/100)*1.18</f>
        <v/>
      </c>
      <c r="J57">
        <f>הגדרות!C2</f>
        <v/>
      </c>
      <c r="K57">
        <f>הגדרות!D2</f>
        <v/>
      </c>
      <c r="L57">
        <f>I57*(1+J57/100)+K57</f>
        <v/>
      </c>
    </row>
    <row r="58">
      <c r="A58" t="inlineStr">
        <is>
          <t>Royal Canin VET</t>
        </is>
      </c>
      <c r="B58" t="inlineStr">
        <is>
          <t>סטיאטי כלב גזע קטן 3 ק"ג</t>
        </is>
      </c>
      <c r="C58" t="inlineStr">
        <is>
          <t>VETERINARY HEALTH NUTRITION DOG - DRY</t>
        </is>
      </c>
      <c r="D58" t="inlineStr">
        <is>
          <t>2425210300</t>
        </is>
      </c>
      <c r="E58" t="inlineStr">
        <is>
          <t>2026-06</t>
        </is>
      </c>
      <c r="F58" t="n">
        <v>169</v>
      </c>
      <c r="G58" t="n">
        <v>199.42</v>
      </c>
      <c r="H58">
        <f>הגדרות!B2</f>
        <v/>
      </c>
      <c r="I58">
        <f>F58*(1-H58/100)*1.18</f>
        <v/>
      </c>
      <c r="J58">
        <f>הגדרות!C2</f>
        <v/>
      </c>
      <c r="K58">
        <f>הגדרות!D2</f>
        <v/>
      </c>
      <c r="L58">
        <f>I58*(1+J58/100)+K58</f>
        <v/>
      </c>
    </row>
    <row r="59">
      <c r="A59" t="inlineStr">
        <is>
          <t>Royal Canin VET</t>
        </is>
      </c>
      <c r="B59" t="inlineStr">
        <is>
          <t>סטיאטי כלב גזע קטן 8 ק"ג</t>
        </is>
      </c>
      <c r="C59" t="inlineStr">
        <is>
          <t>VETERINARY HEALTH NUTRITION DOG - DRY</t>
        </is>
      </c>
      <c r="D59" t="inlineStr">
        <is>
          <t>2425210800</t>
        </is>
      </c>
      <c r="E59" t="inlineStr">
        <is>
          <t>2026-06</t>
        </is>
      </c>
      <c r="F59" t="n">
        <v>359</v>
      </c>
      <c r="G59" t="n">
        <v>423.62</v>
      </c>
      <c r="H59">
        <f>הגדרות!B2</f>
        <v/>
      </c>
      <c r="I59">
        <f>F59*(1-H59/100)*1.18</f>
        <v/>
      </c>
      <c r="J59">
        <f>הגדרות!C2</f>
        <v/>
      </c>
      <c r="K59">
        <f>הגדרות!D2</f>
        <v/>
      </c>
      <c r="L59">
        <f>I59*(1+J59/100)+K59</f>
        <v/>
      </c>
    </row>
    <row r="60">
      <c r="A60" t="inlineStr">
        <is>
          <t>Royal Canin VET</t>
        </is>
      </c>
      <c r="B60" t="inlineStr">
        <is>
          <t>סטיאטי כלב 6 ק"ג</t>
        </is>
      </c>
      <c r="C60" t="inlineStr">
        <is>
          <t>VETERINARY HEALTH NUTRITION DOG - DRY</t>
        </is>
      </c>
      <c r="D60" t="inlineStr">
        <is>
          <t>2394810600</t>
        </is>
      </c>
      <c r="E60" t="inlineStr">
        <is>
          <t>2026-06</t>
        </is>
      </c>
      <c r="F60" t="n">
        <v>289</v>
      </c>
      <c r="G60" t="n">
        <v>341.02</v>
      </c>
      <c r="H60">
        <f>הגדרות!B2</f>
        <v/>
      </c>
      <c r="I60">
        <f>F60*(1-H60/100)*1.18</f>
        <v/>
      </c>
      <c r="J60">
        <f>הגדרות!C2</f>
        <v/>
      </c>
      <c r="K60">
        <f>הגדרות!D2</f>
        <v/>
      </c>
      <c r="L60">
        <f>I60*(1+J60/100)+K60</f>
        <v/>
      </c>
    </row>
    <row r="61">
      <c r="A61" t="inlineStr">
        <is>
          <t>Royal Canin VET</t>
        </is>
      </c>
      <c r="B61" t="inlineStr">
        <is>
          <t>סטיאטי כלב 12 ק"ג</t>
        </is>
      </c>
      <c r="C61" t="inlineStr">
        <is>
          <t>VETERINARY HEALTH NUTRITION DOG - DRY</t>
        </is>
      </c>
      <c r="D61" t="inlineStr">
        <is>
          <t>2394811200</t>
        </is>
      </c>
      <c r="E61" t="inlineStr">
        <is>
          <t>2026-06</t>
        </is>
      </c>
      <c r="F61" t="n">
        <v>504</v>
      </c>
      <c r="G61" t="n">
        <v>594.72</v>
      </c>
      <c r="H61">
        <f>הגדרות!B2</f>
        <v/>
      </c>
      <c r="I61">
        <f>F61*(1-H61/100)*1.18</f>
        <v/>
      </c>
      <c r="J61">
        <f>הגדרות!C2</f>
        <v/>
      </c>
      <c r="K61">
        <f>הגדרות!D2</f>
        <v/>
      </c>
      <c r="L61">
        <f>I61*(1+J61/100)+K61</f>
        <v/>
      </c>
    </row>
    <row r="62">
      <c r="A62" t="inlineStr">
        <is>
          <t>Royal Canin VET</t>
        </is>
      </c>
      <c r="B62" t="inlineStr">
        <is>
          <t>גליקובלאנס כלב קטן 4 ק"ג</t>
        </is>
      </c>
      <c r="C62" t="inlineStr">
        <is>
          <t>VETERINARY HEALTH NUTRITION DOG - DRY</t>
        </is>
      </c>
      <c r="D62" t="inlineStr">
        <is>
          <t>R606109</t>
        </is>
      </c>
      <c r="E62" t="inlineStr">
        <is>
          <t>2026-06</t>
        </is>
      </c>
      <c r="F62" t="n">
        <v>215</v>
      </c>
      <c r="G62" t="n">
        <v>253.7</v>
      </c>
      <c r="H62">
        <f>הגדרות!B2</f>
        <v/>
      </c>
      <c r="I62">
        <f>F62*(1-H62/100)*1.18</f>
        <v/>
      </c>
      <c r="J62">
        <f>הגדרות!C2</f>
        <v/>
      </c>
      <c r="K62">
        <f>הגדרות!D2</f>
        <v/>
      </c>
      <c r="L62">
        <f>I62*(1+J62/100)+K62</f>
        <v/>
      </c>
    </row>
    <row r="63">
      <c r="A63" t="inlineStr">
        <is>
          <t>Royal Canin VET</t>
        </is>
      </c>
      <c r="B63" t="inlineStr">
        <is>
          <t>גליקובלאנס כלב 7 ק"ג</t>
        </is>
      </c>
      <c r="C63" t="inlineStr">
        <is>
          <t>VETERINARY HEALTH NUTRITION DOG - DRY</t>
        </is>
      </c>
      <c r="D63" t="inlineStr">
        <is>
          <t>R606103</t>
        </is>
      </c>
      <c r="E63" t="inlineStr">
        <is>
          <t>2026-06</t>
        </is>
      </c>
      <c r="F63" t="n">
        <v>330</v>
      </c>
      <c r="G63" t="n">
        <v>389.4</v>
      </c>
      <c r="H63">
        <f>הגדרות!B2</f>
        <v/>
      </c>
      <c r="I63">
        <f>F63*(1-H63/100)*1.18</f>
        <v/>
      </c>
      <c r="J63">
        <f>הגדרות!C2</f>
        <v/>
      </c>
      <c r="K63">
        <f>הגדרות!D2</f>
        <v/>
      </c>
      <c r="L63">
        <f>I63*(1+J63/100)+K63</f>
        <v/>
      </c>
    </row>
    <row r="64">
      <c r="A64" t="inlineStr">
        <is>
          <t>Royal Canin VET</t>
        </is>
      </c>
      <c r="B64" t="inlineStr">
        <is>
          <t>גליקובלאנס כלב 12 ק"ג</t>
        </is>
      </c>
      <c r="C64" t="inlineStr">
        <is>
          <t>VETERINARY HEALTH NUTRITION DOG - DRY</t>
        </is>
      </c>
      <c r="D64" t="inlineStr">
        <is>
          <t>R606104</t>
        </is>
      </c>
      <c r="E64" t="inlineStr">
        <is>
          <t>2026-06</t>
        </is>
      </c>
      <c r="F64" t="n">
        <v>504</v>
      </c>
      <c r="G64" t="n">
        <v>594.72</v>
      </c>
      <c r="H64">
        <f>הגדרות!B2</f>
        <v/>
      </c>
      <c r="I64">
        <f>F64*(1-H64/100)*1.18</f>
        <v/>
      </c>
      <c r="J64">
        <f>הגדרות!C2</f>
        <v/>
      </c>
      <c r="K64">
        <f>הגדרות!D2</f>
        <v/>
      </c>
      <c r="L64">
        <f>I64*(1+J64/100)+K64</f>
        <v/>
      </c>
    </row>
    <row r="65">
      <c r="A65" t="inlineStr">
        <is>
          <t>Royal Canin VET</t>
        </is>
      </c>
      <c r="B65" t="inlineStr">
        <is>
          <t>גסטרואינטסטינל פאפי כלב 2.5 ק"ג</t>
        </is>
      </c>
      <c r="C65" t="inlineStr">
        <is>
          <t>VETERINARY HEALTH NUTRITION DOG - DRY</t>
        </is>
      </c>
      <c r="D65" t="inlineStr">
        <is>
          <t>2395710250</t>
        </is>
      </c>
      <c r="E65" t="inlineStr">
        <is>
          <t>2026-06</t>
        </is>
      </c>
      <c r="F65" t="n">
        <v>155</v>
      </c>
      <c r="G65" t="n">
        <v>182.9</v>
      </c>
      <c r="H65">
        <f>הגדרות!B2</f>
        <v/>
      </c>
      <c r="I65">
        <f>F65*(1-H65/100)*1.18</f>
        <v/>
      </c>
      <c r="J65">
        <f>הגדרות!C2</f>
        <v/>
      </c>
      <c r="K65">
        <f>הגדרות!D2</f>
        <v/>
      </c>
      <c r="L65">
        <f>I65*(1+J65/100)+K65</f>
        <v/>
      </c>
    </row>
    <row r="66">
      <c r="A66" t="inlineStr">
        <is>
          <t>Royal Canin VET</t>
        </is>
      </c>
      <c r="B66" t="inlineStr">
        <is>
          <t>גסטרואינטסטינל פאפי כלב 10 ק"ג</t>
        </is>
      </c>
      <c r="C66" t="inlineStr">
        <is>
          <t>VETERINARY HEALTH NUTRITION DOG - DRY</t>
        </is>
      </c>
      <c r="D66" t="inlineStr">
        <is>
          <t>2395711000</t>
        </is>
      </c>
      <c r="E66" t="inlineStr">
        <is>
          <t>2026-06</t>
        </is>
      </c>
      <c r="F66" t="n">
        <v>504</v>
      </c>
      <c r="G66" t="n">
        <v>594.72</v>
      </c>
      <c r="H66">
        <f>הגדרות!B2</f>
        <v/>
      </c>
      <c r="I66">
        <f>F66*(1-H66/100)*1.18</f>
        <v/>
      </c>
      <c r="J66">
        <f>הגדרות!C2</f>
        <v/>
      </c>
      <c r="K66">
        <f>הגדרות!D2</f>
        <v/>
      </c>
      <c r="L66">
        <f>I66*(1+J66/100)+K66</f>
        <v/>
      </c>
    </row>
    <row r="67">
      <c r="A67" t="inlineStr">
        <is>
          <t>Royal Canin VET</t>
        </is>
      </c>
      <c r="B67" t="inlineStr">
        <is>
          <t>גסטרואינטסטינל כלב 2 ק"ג</t>
        </is>
      </c>
      <c r="C67" t="inlineStr">
        <is>
          <t>VETERINARY HEALTH NUTRITION DOG - DRY</t>
        </is>
      </c>
      <c r="D67" t="inlineStr">
        <is>
          <t>2391110200</t>
        </is>
      </c>
      <c r="E67" t="inlineStr">
        <is>
          <t>2026-06</t>
        </is>
      </c>
      <c r="F67" t="n">
        <v>115</v>
      </c>
      <c r="G67" t="n">
        <v>135.7</v>
      </c>
      <c r="H67">
        <f>הגדרות!B2</f>
        <v/>
      </c>
      <c r="I67">
        <f>F67*(1-H67/100)*1.18</f>
        <v/>
      </c>
      <c r="J67">
        <f>הגדרות!C2</f>
        <v/>
      </c>
      <c r="K67">
        <f>הגדרות!D2</f>
        <v/>
      </c>
      <c r="L67">
        <f>I67*(1+J67/100)+K67</f>
        <v/>
      </c>
    </row>
    <row r="68">
      <c r="A68" t="inlineStr">
        <is>
          <t>Royal Canin VET</t>
        </is>
      </c>
      <c r="B68" t="inlineStr">
        <is>
          <t>גסטרואינטסטינל כלב 7.5 ק"ג</t>
        </is>
      </c>
      <c r="C68" t="inlineStr">
        <is>
          <t>VETERINARY HEALTH NUTRITION DOG - DRY</t>
        </is>
      </c>
      <c r="D68" t="inlineStr">
        <is>
          <t>2391110750</t>
        </is>
      </c>
      <c r="E68" t="inlineStr">
        <is>
          <t>2026-06</t>
        </is>
      </c>
      <c r="F68" t="n">
        <v>315</v>
      </c>
      <c r="G68" t="n">
        <v>371.7</v>
      </c>
      <c r="H68">
        <f>הגדרות!B2</f>
        <v/>
      </c>
      <c r="I68">
        <f>F68*(1-H68/100)*1.18</f>
        <v/>
      </c>
      <c r="J68">
        <f>הגדרות!C2</f>
        <v/>
      </c>
      <c r="K68">
        <f>הגדרות!D2</f>
        <v/>
      </c>
      <c r="L68">
        <f>I68*(1+J68/100)+K68</f>
        <v/>
      </c>
    </row>
    <row r="69">
      <c r="A69" t="inlineStr">
        <is>
          <t>Royal Canin VET</t>
        </is>
      </c>
      <c r="B69" t="inlineStr">
        <is>
          <t>גסטרואינטסטינל כלב 15 ק"ג</t>
        </is>
      </c>
      <c r="C69" t="inlineStr">
        <is>
          <t>VETERINARY HEALTH NUTRITION DOG - DRY</t>
        </is>
      </c>
      <c r="D69" t="inlineStr">
        <is>
          <t>2391111500</t>
        </is>
      </c>
      <c r="E69" t="inlineStr">
        <is>
          <t>2026-06</t>
        </is>
      </c>
      <c r="F69" t="n">
        <v>519</v>
      </c>
      <c r="G69" t="n">
        <v>612.42</v>
      </c>
      <c r="H69">
        <f>הגדרות!B2</f>
        <v/>
      </c>
      <c r="I69">
        <f>F69*(1-H69/100)*1.18</f>
        <v/>
      </c>
      <c r="J69">
        <f>הגדרות!C2</f>
        <v/>
      </c>
      <c r="K69">
        <f>הגדרות!D2</f>
        <v/>
      </c>
      <c r="L69">
        <f>I69*(1+J69/100)+K69</f>
        <v/>
      </c>
    </row>
    <row r="70">
      <c r="A70" t="inlineStr">
        <is>
          <t>Royal Canin VET</t>
        </is>
      </c>
      <c r="B70" t="inlineStr">
        <is>
          <t>גסטרואינטסטינל מופחת קלוריות כלב 2 ק"ג</t>
        </is>
      </c>
      <c r="C70" t="inlineStr">
        <is>
          <t>VETERINARY HEALTH NUTRITION DOG - DRY</t>
        </is>
      </c>
      <c r="D70" t="inlineStr">
        <is>
          <t>2395810200</t>
        </is>
      </c>
      <c r="E70" t="inlineStr">
        <is>
          <t>2026-06</t>
        </is>
      </c>
      <c r="F70" t="n">
        <v>115</v>
      </c>
      <c r="G70" t="n">
        <v>135.7</v>
      </c>
      <c r="H70">
        <f>הגדרות!B2</f>
        <v/>
      </c>
      <c r="I70">
        <f>F70*(1-H70/100)*1.18</f>
        <v/>
      </c>
      <c r="J70">
        <f>הגדרות!C2</f>
        <v/>
      </c>
      <c r="K70">
        <f>הגדרות!D2</f>
        <v/>
      </c>
      <c r="L70">
        <f>I70*(1+J70/100)+K70</f>
        <v/>
      </c>
    </row>
    <row r="71">
      <c r="A71" t="inlineStr">
        <is>
          <t>Royal Canin VET</t>
        </is>
      </c>
      <c r="B71" t="inlineStr">
        <is>
          <t>גסטרואינטסטינל דל שומן כלב 6 ק"ג</t>
        </is>
      </c>
      <c r="C71" t="inlineStr">
        <is>
          <t>VETERINARY HEALTH NUTRITION DOG - DRY</t>
        </is>
      </c>
      <c r="D71" t="inlineStr">
        <is>
          <t>2393210600</t>
        </is>
      </c>
      <c r="E71" t="inlineStr">
        <is>
          <t>2026-06</t>
        </is>
      </c>
      <c r="F71" t="n">
        <v>289</v>
      </c>
      <c r="G71" t="n">
        <v>341.02</v>
      </c>
      <c r="H71">
        <f>הגדרות!B2</f>
        <v/>
      </c>
      <c r="I71">
        <f>F71*(1-H71/100)*1.18</f>
        <v/>
      </c>
      <c r="J71">
        <f>הגדרות!C2</f>
        <v/>
      </c>
      <c r="K71">
        <f>הגדרות!D2</f>
        <v/>
      </c>
      <c r="L71">
        <f>I71*(1+J71/100)+K71</f>
        <v/>
      </c>
    </row>
    <row r="72">
      <c r="A72" t="inlineStr">
        <is>
          <t>Royal Canin VET</t>
        </is>
      </c>
      <c r="B72" t="inlineStr">
        <is>
          <t>גסטרואינטסטינל דל שומן כלב 12 ק"ג</t>
        </is>
      </c>
      <c r="C72" t="inlineStr">
        <is>
          <t>VETERINARY HEALTH NUTRITION DOG - DRY</t>
        </is>
      </c>
      <c r="D72" t="inlineStr">
        <is>
          <t>2393211200</t>
        </is>
      </c>
      <c r="E72" t="inlineStr">
        <is>
          <t>2026-06</t>
        </is>
      </c>
      <c r="F72" t="n">
        <v>504</v>
      </c>
      <c r="G72" t="n">
        <v>594.72</v>
      </c>
      <c r="H72">
        <f>הגדרות!B2</f>
        <v/>
      </c>
      <c r="I72">
        <f>F72*(1-H72/100)*1.18</f>
        <v/>
      </c>
      <c r="J72">
        <f>הגדרות!C2</f>
        <v/>
      </c>
      <c r="K72">
        <f>הגדרות!D2</f>
        <v/>
      </c>
      <c r="L72">
        <f>I72*(1+J72/100)+K72</f>
        <v/>
      </c>
    </row>
    <row r="73">
      <c r="A73" t="inlineStr">
        <is>
          <t>Royal Canin VET</t>
        </is>
      </c>
      <c r="B73" t="inlineStr">
        <is>
          <t>גסטרואינטסטינל דל שומן כלב גזע קטן 3.5 ק"ג</t>
        </is>
      </c>
      <c r="C73" t="inlineStr">
        <is>
          <t>VETERINARY HEALTH NUTRITION DOG - DRY</t>
        </is>
      </c>
      <c r="D73" t="inlineStr">
        <is>
          <t>2146310350</t>
        </is>
      </c>
      <c r="E73" t="inlineStr">
        <is>
          <t>2026-06</t>
        </is>
      </c>
      <c r="F73" t="n">
        <v>174</v>
      </c>
      <c r="G73" t="n">
        <v>205.32</v>
      </c>
      <c r="H73">
        <f>הגדרות!B2</f>
        <v/>
      </c>
      <c r="I73">
        <f>F73*(1-H73/100)*1.18</f>
        <v/>
      </c>
      <c r="J73">
        <f>הגדרות!C2</f>
        <v/>
      </c>
      <c r="K73">
        <f>הגדרות!D2</f>
        <v/>
      </c>
      <c r="L73">
        <f>I73*(1+J73/100)+K73</f>
        <v/>
      </c>
    </row>
    <row r="74">
      <c r="A74" t="inlineStr">
        <is>
          <t>Royal Canin VET</t>
        </is>
      </c>
      <c r="B74" t="inlineStr">
        <is>
          <t>גסטרואינטסטינל היי פייבר כלב 2 ק"ג</t>
        </is>
      </c>
      <c r="C74" t="inlineStr">
        <is>
          <t>VETERINARY HEALTH NUTRITION DOG - DRY</t>
        </is>
      </c>
      <c r="D74" t="inlineStr">
        <is>
          <t>2395910200</t>
        </is>
      </c>
      <c r="E74" t="inlineStr">
        <is>
          <t>2026-06</t>
        </is>
      </c>
      <c r="F74" t="n">
        <v>115</v>
      </c>
      <c r="G74" t="n">
        <v>135.7</v>
      </c>
      <c r="H74">
        <f>הגדרות!B2</f>
        <v/>
      </c>
      <c r="I74">
        <f>F74*(1-H74/100)*1.18</f>
        <v/>
      </c>
      <c r="J74">
        <f>הגדרות!C2</f>
        <v/>
      </c>
      <c r="K74">
        <f>הגדרות!D2</f>
        <v/>
      </c>
      <c r="L74">
        <f>I74*(1+J74/100)+K74</f>
        <v/>
      </c>
    </row>
    <row r="75">
      <c r="A75" t="inlineStr">
        <is>
          <t>Royal Canin VET</t>
        </is>
      </c>
      <c r="B75" t="inlineStr">
        <is>
          <t>גסטרואינטסטינל היי פייבר כלב 7.5 ק"ג</t>
        </is>
      </c>
      <c r="C75" t="inlineStr">
        <is>
          <t>VETERINARY HEALTH NUTRITION DOG - DRY</t>
        </is>
      </c>
      <c r="D75" t="inlineStr">
        <is>
          <t>2395910750</t>
        </is>
      </c>
      <c r="E75" t="inlineStr">
        <is>
          <t>2026-06</t>
        </is>
      </c>
      <c r="F75" t="n">
        <v>319</v>
      </c>
      <c r="G75" t="n">
        <v>376.42</v>
      </c>
      <c r="H75">
        <f>הגדרות!B2</f>
        <v/>
      </c>
      <c r="I75">
        <f>F75*(1-H75/100)*1.18</f>
        <v/>
      </c>
      <c r="J75">
        <f>הגדרות!C2</f>
        <v/>
      </c>
      <c r="K75">
        <f>הגדרות!D2</f>
        <v/>
      </c>
      <c r="L75">
        <f>I75*(1+J75/100)+K75</f>
        <v/>
      </c>
    </row>
    <row r="76">
      <c r="A76" t="inlineStr">
        <is>
          <t>Royal Canin VET</t>
        </is>
      </c>
      <c r="B76" t="inlineStr">
        <is>
          <t>הפאטיק כלב 7 ק"ג</t>
        </is>
      </c>
      <c r="C76" t="inlineStr">
        <is>
          <t>VETERINARY HEALTH NUTRITION DOG - DRY</t>
        </is>
      </c>
      <c r="D76" t="inlineStr">
        <is>
          <t>2392710700</t>
        </is>
      </c>
      <c r="E76" t="inlineStr">
        <is>
          <t>2026-06</t>
        </is>
      </c>
      <c r="F76" t="n">
        <v>315</v>
      </c>
      <c r="G76" t="n">
        <v>371.7</v>
      </c>
      <c r="H76">
        <f>הגדרות!B2</f>
        <v/>
      </c>
      <c r="I76">
        <f>F76*(1-H76/100)*1.18</f>
        <v/>
      </c>
      <c r="J76">
        <f>הגדרות!C2</f>
        <v/>
      </c>
      <c r="K76">
        <f>הגדרות!D2</f>
        <v/>
      </c>
      <c r="L76">
        <f>I76*(1+J76/100)+K76</f>
        <v/>
      </c>
    </row>
    <row r="77">
      <c r="A77" t="inlineStr">
        <is>
          <t>Royal Canin VET</t>
        </is>
      </c>
      <c r="B77" t="inlineStr">
        <is>
          <t>הפאטיק כלב 12 ק"ג</t>
        </is>
      </c>
      <c r="C77" t="inlineStr">
        <is>
          <t>VETERINARY HEALTH NUTRITION DOG - DRY</t>
        </is>
      </c>
      <c r="D77" t="inlineStr">
        <is>
          <t>2392711200</t>
        </is>
      </c>
      <c r="E77" t="inlineStr">
        <is>
          <t>2026-06</t>
        </is>
      </c>
      <c r="F77" t="n">
        <v>504</v>
      </c>
      <c r="G77" t="n">
        <v>594.72</v>
      </c>
      <c r="H77">
        <f>הגדרות!B2</f>
        <v/>
      </c>
      <c r="I77">
        <f>F77*(1-H77/100)*1.18</f>
        <v/>
      </c>
      <c r="J77">
        <f>הגדרות!C2</f>
        <v/>
      </c>
      <c r="K77">
        <f>הגדרות!D2</f>
        <v/>
      </c>
      <c r="L77">
        <f>I77*(1+J77/100)+K77</f>
        <v/>
      </c>
    </row>
    <row r="78">
      <c r="A78" t="inlineStr">
        <is>
          <t>Royal Canin VET</t>
        </is>
      </c>
      <c r="B78" t="inlineStr">
        <is>
          <t>יורינרי U/C כלב 7.5 ק"ג</t>
        </is>
      </c>
      <c r="C78" t="inlineStr">
        <is>
          <t>VETERINARY HEALTH NUTRITION DOG - DRY</t>
        </is>
      </c>
      <c r="D78" t="inlineStr">
        <is>
          <t>2394210750</t>
        </is>
      </c>
      <c r="E78" t="inlineStr">
        <is>
          <t>2026-06</t>
        </is>
      </c>
      <c r="F78" t="n">
        <v>315</v>
      </c>
      <c r="G78" t="n">
        <v>371.7</v>
      </c>
      <c r="H78">
        <f>הגדרות!B2</f>
        <v/>
      </c>
      <c r="I78">
        <f>F78*(1-H78/100)*1.18</f>
        <v/>
      </c>
      <c r="J78">
        <f>הגדרות!C2</f>
        <v/>
      </c>
      <c r="K78">
        <f>הגדרות!D2</f>
        <v/>
      </c>
      <c r="L78">
        <f>I78*(1+J78/100)+K78</f>
        <v/>
      </c>
    </row>
    <row r="79">
      <c r="A79" t="inlineStr">
        <is>
          <t>Royal Canin VET</t>
        </is>
      </c>
      <c r="B79" t="inlineStr">
        <is>
          <t>יורינרי S/O כלב 2 ק"ג</t>
        </is>
      </c>
      <c r="C79" t="inlineStr">
        <is>
          <t>VETERINARY HEALTH NUTRITION DOG - DRY</t>
        </is>
      </c>
      <c r="D79" t="inlineStr">
        <is>
          <t>2391310200</t>
        </is>
      </c>
      <c r="E79" t="inlineStr">
        <is>
          <t>2026-06</t>
        </is>
      </c>
      <c r="F79" t="n">
        <v>115</v>
      </c>
      <c r="G79" t="n">
        <v>135.7</v>
      </c>
      <c r="H79">
        <f>הגדרות!B2</f>
        <v/>
      </c>
      <c r="I79">
        <f>F79*(1-H79/100)*1.18</f>
        <v/>
      </c>
      <c r="J79">
        <f>הגדרות!C2</f>
        <v/>
      </c>
      <c r="K79">
        <f>הגדרות!D2</f>
        <v/>
      </c>
      <c r="L79">
        <f>I79*(1+J79/100)+K79</f>
        <v/>
      </c>
    </row>
    <row r="80">
      <c r="A80" t="inlineStr">
        <is>
          <t>Royal Canin VET</t>
        </is>
      </c>
      <c r="B80" t="inlineStr">
        <is>
          <t>יורינרי S/O כלב 7.5 ק"ג</t>
        </is>
      </c>
      <c r="C80" t="inlineStr">
        <is>
          <t>VETERINARY HEALTH NUTRITION DOG - DRY</t>
        </is>
      </c>
      <c r="D80" t="inlineStr">
        <is>
          <t>2391310750</t>
        </is>
      </c>
      <c r="E80" t="inlineStr">
        <is>
          <t>2026-06</t>
        </is>
      </c>
      <c r="F80" t="n">
        <v>315</v>
      </c>
      <c r="G80" t="n">
        <v>371.7</v>
      </c>
      <c r="H80">
        <f>הגדרות!B2</f>
        <v/>
      </c>
      <c r="I80">
        <f>F80*(1-H80/100)*1.18</f>
        <v/>
      </c>
      <c r="J80">
        <f>הגדרות!C2</f>
        <v/>
      </c>
      <c r="K80">
        <f>הגדרות!D2</f>
        <v/>
      </c>
      <c r="L80">
        <f>I80*(1+J80/100)+K80</f>
        <v/>
      </c>
    </row>
    <row r="81">
      <c r="A81" t="inlineStr">
        <is>
          <t>Royal Canin VET</t>
        </is>
      </c>
      <c r="B81" t="inlineStr">
        <is>
          <t>יורינרי S/O כלב- גזע קטן 4 ק"ג</t>
        </is>
      </c>
      <c r="C81" t="inlineStr">
        <is>
          <t>VETERINARY HEALTH NUTRITION DOG - DRY</t>
        </is>
      </c>
      <c r="D81" t="inlineStr">
        <is>
          <t>2380110400</t>
        </is>
      </c>
      <c r="E81" t="inlineStr">
        <is>
          <t>2026-06</t>
        </is>
      </c>
      <c r="F81" t="n">
        <v>215</v>
      </c>
      <c r="G81" t="n">
        <v>253.7</v>
      </c>
      <c r="H81">
        <f>הגדרות!B2</f>
        <v/>
      </c>
      <c r="I81">
        <f>F81*(1-H81/100)*1.18</f>
        <v/>
      </c>
      <c r="J81">
        <f>הגדרות!C2</f>
        <v/>
      </c>
      <c r="K81">
        <f>הגדרות!D2</f>
        <v/>
      </c>
      <c r="L81">
        <f>I81*(1+J81/100)+K81</f>
        <v/>
      </c>
    </row>
    <row r="82">
      <c r="A82" t="inlineStr">
        <is>
          <t>Royal Canin VET</t>
        </is>
      </c>
      <c r="B82" t="inlineStr">
        <is>
          <t>אנאלרג'ניק כלב גזע קטן 1.5 קג</t>
        </is>
      </c>
      <c r="C82" t="inlineStr">
        <is>
          <t>VETERINARY HEALTH NUTRITION DOG - DRY</t>
        </is>
      </c>
      <c r="D82" t="inlineStr">
        <is>
          <t>2331710150</t>
        </is>
      </c>
      <c r="E82" t="inlineStr">
        <is>
          <t>2026-06</t>
        </is>
      </c>
      <c r="F82" t="n">
        <v>115</v>
      </c>
      <c r="G82" t="n">
        <v>135.7</v>
      </c>
      <c r="H82">
        <f>הגדרות!B2</f>
        <v/>
      </c>
      <c r="I82">
        <f>F82*(1-H82/100)*1.18</f>
        <v/>
      </c>
      <c r="J82">
        <f>הגדרות!C2</f>
        <v/>
      </c>
      <c r="K82">
        <f>הגדרות!D2</f>
        <v/>
      </c>
      <c r="L82">
        <f>I82*(1+J82/100)+K82</f>
        <v/>
      </c>
    </row>
    <row r="83">
      <c r="A83" t="inlineStr">
        <is>
          <t>Royal Canin VET</t>
        </is>
      </c>
      <c r="B83" t="inlineStr">
        <is>
          <t>אנאלרג'ניק כלב 3 ק"ג</t>
        </is>
      </c>
      <c r="C83" t="inlineStr">
        <is>
          <t>VETERINARY HEALTH NUTRITION DOG - DRY</t>
        </is>
      </c>
      <c r="D83" t="inlineStr">
        <is>
          <t>2401410300</t>
        </is>
      </c>
      <c r="E83" t="inlineStr">
        <is>
          <t>2026-06</t>
        </is>
      </c>
      <c r="F83" t="n">
        <v>215</v>
      </c>
      <c r="G83" t="n">
        <v>253.7</v>
      </c>
      <c r="H83">
        <f>הגדרות!B2</f>
        <v/>
      </c>
      <c r="I83">
        <f>F83*(1-H83/100)*1.18</f>
        <v/>
      </c>
      <c r="J83">
        <f>הגדרות!C2</f>
        <v/>
      </c>
      <c r="K83">
        <f>הגדרות!D2</f>
        <v/>
      </c>
      <c r="L83">
        <f>I83*(1+J83/100)+K83</f>
        <v/>
      </c>
    </row>
    <row r="84">
      <c r="A84" t="inlineStr">
        <is>
          <t>Royal Canin VET</t>
        </is>
      </c>
      <c r="B84" t="inlineStr">
        <is>
          <t>אנאלרג'ניק כלב 8 ק"ג</t>
        </is>
      </c>
      <c r="C84" t="inlineStr">
        <is>
          <t>VETERINARY HEALTH NUTRITION DOG - DRY</t>
        </is>
      </c>
      <c r="D84" t="inlineStr">
        <is>
          <t>2401410800</t>
        </is>
      </c>
      <c r="E84" t="inlineStr">
        <is>
          <t>2026-06</t>
        </is>
      </c>
      <c r="F84" t="n">
        <v>499</v>
      </c>
      <c r="G84" t="n">
        <v>588.8200000000001</v>
      </c>
      <c r="H84">
        <f>הגדרות!B2</f>
        <v/>
      </c>
      <c r="I84">
        <f>F84*(1-H84/100)*1.18</f>
        <v/>
      </c>
      <c r="J84">
        <f>הגדרות!C2</f>
        <v/>
      </c>
      <c r="K84">
        <f>הגדרות!D2</f>
        <v/>
      </c>
      <c r="L84">
        <f>I84*(1+J84/100)+K84</f>
        <v/>
      </c>
    </row>
    <row r="85">
      <c r="A85" t="inlineStr">
        <is>
          <t>Royal Canin VET</t>
        </is>
      </c>
      <c r="B85" t="inlineStr">
        <is>
          <t>היפואלרגני פאפי 3.5 ק"ג</t>
        </is>
      </c>
      <c r="C85" t="inlineStr">
        <is>
          <t>VETERINARY HEALTH NUTRITION DOG - DRY</t>
        </is>
      </c>
      <c r="D85" t="inlineStr">
        <is>
          <t>R448070</t>
        </is>
      </c>
      <c r="E85" t="inlineStr">
        <is>
          <t>2026-06</t>
        </is>
      </c>
      <c r="F85" t="n">
        <v>205</v>
      </c>
      <c r="G85" t="n">
        <v>241.9</v>
      </c>
      <c r="H85">
        <f>הגדרות!B2</f>
        <v/>
      </c>
      <c r="I85">
        <f>F85*(1-H85/100)*1.18</f>
        <v/>
      </c>
      <c r="J85">
        <f>הגדרות!C2</f>
        <v/>
      </c>
      <c r="K85">
        <f>הגדרות!D2</f>
        <v/>
      </c>
      <c r="L85">
        <f>I85*(1+J85/100)+K85</f>
        <v/>
      </c>
    </row>
    <row r="86">
      <c r="A86" t="inlineStr">
        <is>
          <t>Royal Canin VET</t>
        </is>
      </c>
      <c r="B86" t="inlineStr">
        <is>
          <t>היפואלרגני כלב 2 ק"ג</t>
        </is>
      </c>
      <c r="C86" t="inlineStr">
        <is>
          <t>VETERINARY HEALTH NUTRITION DOG - DRY</t>
        </is>
      </c>
      <c r="D86" t="inlineStr">
        <is>
          <t>2391010200</t>
        </is>
      </c>
      <c r="E86" t="inlineStr">
        <is>
          <t>2026-06</t>
        </is>
      </c>
      <c r="F86" t="n">
        <v>129</v>
      </c>
      <c r="G86" t="n">
        <v>152.22</v>
      </c>
      <c r="H86">
        <f>הגדרות!B2</f>
        <v/>
      </c>
      <c r="I86">
        <f>F86*(1-H86/100)*1.18</f>
        <v/>
      </c>
      <c r="J86">
        <f>הגדרות!C2</f>
        <v/>
      </c>
      <c r="K86">
        <f>הגדרות!D2</f>
        <v/>
      </c>
      <c r="L86">
        <f>I86*(1+J86/100)+K86</f>
        <v/>
      </c>
    </row>
    <row r="87">
      <c r="A87" t="inlineStr">
        <is>
          <t>Royal Canin VET</t>
        </is>
      </c>
      <c r="B87" t="inlineStr">
        <is>
          <t>היפואלרגני כלב 7 ק"ג</t>
        </is>
      </c>
      <c r="C87" t="inlineStr">
        <is>
          <t>VETERINARY HEALTH NUTRITION DOG - DRY</t>
        </is>
      </c>
      <c r="D87" t="inlineStr">
        <is>
          <t>2391010700</t>
        </is>
      </c>
      <c r="E87" t="inlineStr">
        <is>
          <t>2026-06</t>
        </is>
      </c>
      <c r="F87" t="n">
        <v>324</v>
      </c>
      <c r="G87" t="n">
        <v>382.32</v>
      </c>
      <c r="H87">
        <f>הגדרות!B2</f>
        <v/>
      </c>
      <c r="I87">
        <f>F87*(1-H87/100)*1.18</f>
        <v/>
      </c>
      <c r="J87">
        <f>הגדרות!C2</f>
        <v/>
      </c>
      <c r="K87">
        <f>הגדרות!D2</f>
        <v/>
      </c>
      <c r="L87">
        <f>I87*(1+J87/100)+K87</f>
        <v/>
      </c>
    </row>
    <row r="88">
      <c r="A88" t="inlineStr">
        <is>
          <t>Royal Canin VET</t>
        </is>
      </c>
      <c r="B88" t="inlineStr">
        <is>
          <t>היפואלרגני כלב 14 ק"ג</t>
        </is>
      </c>
      <c r="C88" t="inlineStr">
        <is>
          <t>VETERINARY HEALTH NUTRITION DOG - DRY</t>
        </is>
      </c>
      <c r="D88" t="inlineStr">
        <is>
          <t>2391011400</t>
        </is>
      </c>
      <c r="E88" t="inlineStr">
        <is>
          <t>2026-06</t>
        </is>
      </c>
      <c r="F88" t="n">
        <v>559</v>
      </c>
      <c r="G88" t="n">
        <v>659.62</v>
      </c>
      <c r="H88">
        <f>הגדרות!B2</f>
        <v/>
      </c>
      <c r="I88">
        <f>F88*(1-H88/100)*1.18</f>
        <v/>
      </c>
      <c r="J88">
        <f>הגדרות!C2</f>
        <v/>
      </c>
      <c r="K88">
        <f>הגדרות!D2</f>
        <v/>
      </c>
      <c r="L88">
        <f>I88*(1+J88/100)+K88</f>
        <v/>
      </c>
    </row>
    <row r="89">
      <c r="A89" t="inlineStr">
        <is>
          <t>Royal Canin VET</t>
        </is>
      </c>
      <c r="B89" t="inlineStr">
        <is>
          <t>היפואלרגני כלב גזע קטן 1 ק"ג</t>
        </is>
      </c>
      <c r="C89" t="inlineStr">
        <is>
          <t>VETERINARY HEALTH NUTRITION DOG - DRY</t>
        </is>
      </c>
      <c r="D89" t="inlineStr">
        <is>
          <t>2395210100</t>
        </is>
      </c>
      <c r="E89" t="inlineStr">
        <is>
          <t>2026-06</t>
        </is>
      </c>
      <c r="F89" t="n">
        <v>74</v>
      </c>
      <c r="G89" t="n">
        <v>87.31999999999999</v>
      </c>
      <c r="H89">
        <f>הגדרות!B2</f>
        <v/>
      </c>
      <c r="I89">
        <f>F89*(1-H89/100)*1.18</f>
        <v/>
      </c>
      <c r="J89">
        <f>הגדרות!C2</f>
        <v/>
      </c>
      <c r="K89">
        <f>הגדרות!D2</f>
        <v/>
      </c>
      <c r="L89">
        <f>I89*(1+J89/100)+K89</f>
        <v/>
      </c>
    </row>
    <row r="90">
      <c r="A90" t="inlineStr">
        <is>
          <t>Royal Canin VET</t>
        </is>
      </c>
      <c r="B90" t="inlineStr">
        <is>
          <t>היפואלרגני כלב גזע קטן 3.5 ק"ג</t>
        </is>
      </c>
      <c r="C90" t="inlineStr">
        <is>
          <t>VETERINARY HEALTH NUTRITION DOG - DRY</t>
        </is>
      </c>
      <c r="D90" t="inlineStr">
        <is>
          <t>2395210350</t>
        </is>
      </c>
      <c r="E90" t="inlineStr">
        <is>
          <t>2026-06</t>
        </is>
      </c>
      <c r="F90" t="n">
        <v>205</v>
      </c>
      <c r="G90" t="n">
        <v>241.9</v>
      </c>
      <c r="H90">
        <f>הגדרות!B2</f>
        <v/>
      </c>
      <c r="I90">
        <f>F90*(1-H90/100)*1.18</f>
        <v/>
      </c>
      <c r="J90">
        <f>הגדרות!C2</f>
        <v/>
      </c>
      <c r="K90">
        <f>הגדרות!D2</f>
        <v/>
      </c>
      <c r="L90">
        <f>I90*(1+J90/100)+K90</f>
        <v/>
      </c>
    </row>
    <row r="91">
      <c r="A91" t="inlineStr">
        <is>
          <t>Royal Canin VET</t>
        </is>
      </c>
      <c r="B91" t="inlineStr">
        <is>
          <t>היפואלרגני מופחת קלוריות כלב 7 ק"ג</t>
        </is>
      </c>
      <c r="C91" t="inlineStr">
        <is>
          <t>VETERINARY HEALTH NUTRITION DOG - DRY</t>
        </is>
      </c>
      <c r="D91" t="inlineStr">
        <is>
          <t>2396410700</t>
        </is>
      </c>
      <c r="E91" t="inlineStr">
        <is>
          <t>2026-06</t>
        </is>
      </c>
      <c r="F91" t="n">
        <v>359</v>
      </c>
      <c r="G91" t="n">
        <v>423.62</v>
      </c>
      <c r="H91">
        <f>הגדרות!B2</f>
        <v/>
      </c>
      <c r="I91">
        <f>F91*(1-H91/100)*1.18</f>
        <v/>
      </c>
      <c r="J91">
        <f>הגדרות!C2</f>
        <v/>
      </c>
      <c r="K91">
        <f>הגדרות!D2</f>
        <v/>
      </c>
      <c r="L91">
        <f>I91*(1+J91/100)+K91</f>
        <v/>
      </c>
    </row>
    <row r="92">
      <c r="A92" t="inlineStr">
        <is>
          <t>Royal Canin VET</t>
        </is>
      </c>
      <c r="B92" t="inlineStr">
        <is>
          <t>סקין קר כלב גזע קטן 4 ק"ג</t>
        </is>
      </c>
      <c r="C92" t="inlineStr">
        <is>
          <t>VETERINARY HEALTH NUTRITION DOG - DRY</t>
        </is>
      </c>
      <c r="D92" t="inlineStr">
        <is>
          <t>2400610400</t>
        </is>
      </c>
      <c r="E92" t="inlineStr">
        <is>
          <t>2026-06</t>
        </is>
      </c>
      <c r="F92" t="n">
        <v>215</v>
      </c>
      <c r="G92" t="n">
        <v>253.7</v>
      </c>
      <c r="H92">
        <f>הגדרות!B2</f>
        <v/>
      </c>
      <c r="I92">
        <f>F92*(1-H92/100)*1.18</f>
        <v/>
      </c>
      <c r="J92">
        <f>הגדרות!C2</f>
        <v/>
      </c>
      <c r="K92">
        <f>הגדרות!D2</f>
        <v/>
      </c>
      <c r="L92">
        <f>I92*(1+J92/100)+K92</f>
        <v/>
      </c>
    </row>
    <row r="93">
      <c r="A93" t="inlineStr">
        <is>
          <t>Royal Canin VET</t>
        </is>
      </c>
      <c r="B93" t="inlineStr">
        <is>
          <t>סנסטיביטי קונטרול כלב 1.5 ק"ג</t>
        </is>
      </c>
      <c r="C93" t="inlineStr">
        <is>
          <t>VETERINARY HEALTH NUTRITION DOG - DRY</t>
        </is>
      </c>
      <c r="D93" t="inlineStr">
        <is>
          <t>2392210150</t>
        </is>
      </c>
      <c r="E93" t="inlineStr">
        <is>
          <t>2026-06</t>
        </is>
      </c>
      <c r="F93" t="n">
        <v>115</v>
      </c>
      <c r="G93" t="n">
        <v>135.7</v>
      </c>
      <c r="H93">
        <f>הגדרות!B2</f>
        <v/>
      </c>
      <c r="I93">
        <f>F93*(1-H93/100)*1.18</f>
        <v/>
      </c>
      <c r="J93">
        <f>הגדרות!C2</f>
        <v/>
      </c>
      <c r="K93">
        <f>הגדרות!D2</f>
        <v/>
      </c>
      <c r="L93">
        <f>I93*(1+J93/100)+K93</f>
        <v/>
      </c>
    </row>
    <row r="94">
      <c r="A94" t="inlineStr">
        <is>
          <t>Royal Canin VET</t>
        </is>
      </c>
      <c r="B94" t="inlineStr">
        <is>
          <t>סנסטיביטי קונטרול כלב 7 ק"ג</t>
        </is>
      </c>
      <c r="C94" t="inlineStr">
        <is>
          <t>VETERINARY HEALTH NUTRITION DOG - DRY</t>
        </is>
      </c>
      <c r="D94" t="inlineStr">
        <is>
          <t>2392210700</t>
        </is>
      </c>
      <c r="E94" t="inlineStr">
        <is>
          <t>2026-06</t>
        </is>
      </c>
      <c r="F94" t="n">
        <v>315</v>
      </c>
      <c r="G94" t="n">
        <v>371.7</v>
      </c>
      <c r="H94">
        <f>הגדרות!B2</f>
        <v/>
      </c>
      <c r="I94">
        <f>F94*(1-H94/100)*1.18</f>
        <v/>
      </c>
      <c r="J94">
        <f>הגדרות!C2</f>
        <v/>
      </c>
      <c r="K94">
        <f>הגדרות!D2</f>
        <v/>
      </c>
      <c r="L94">
        <f>I94*(1+J94/100)+K94</f>
        <v/>
      </c>
    </row>
    <row r="95">
      <c r="A95" t="inlineStr">
        <is>
          <t>Royal Canin VET</t>
        </is>
      </c>
      <c r="B95" t="inlineStr">
        <is>
          <t>סנסטיביטי קונטרול כלב 14 ק"ג</t>
        </is>
      </c>
      <c r="C95" t="inlineStr">
        <is>
          <t>VETERINARY HEALTH NUTRITION DOG - DRY</t>
        </is>
      </c>
      <c r="D95" t="inlineStr">
        <is>
          <t>2392211400</t>
        </is>
      </c>
      <c r="E95" t="inlineStr">
        <is>
          <t>2026-06</t>
        </is>
      </c>
      <c r="F95" t="n">
        <v>499</v>
      </c>
      <c r="G95" t="n">
        <v>588.8200000000001</v>
      </c>
      <c r="H95">
        <f>הגדרות!B2</f>
        <v/>
      </c>
      <c r="I95">
        <f>F95*(1-H95/100)*1.18</f>
        <v/>
      </c>
      <c r="J95">
        <f>הגדרות!C2</f>
        <v/>
      </c>
      <c r="K95">
        <f>הגדרות!D2</f>
        <v/>
      </c>
      <c r="L95">
        <f>I95*(1+J95/100)+K95</f>
        <v/>
      </c>
    </row>
    <row r="96">
      <c r="A96" t="inlineStr">
        <is>
          <t>Royal Canin VET</t>
        </is>
      </c>
      <c r="B96" t="inlineStr">
        <is>
          <t>מוביליטי כלב 7 ק"ג</t>
        </is>
      </c>
      <c r="C96" t="inlineStr">
        <is>
          <t>VETERINARY HEALTH NUTRITION DOG - DRY</t>
        </is>
      </c>
      <c r="D96" t="inlineStr">
        <is>
          <t>2182910700</t>
        </is>
      </c>
      <c r="E96" t="inlineStr">
        <is>
          <t>2026-06</t>
        </is>
      </c>
      <c r="F96" t="n">
        <v>315</v>
      </c>
      <c r="G96" t="n">
        <v>371.7</v>
      </c>
      <c r="H96">
        <f>הגדרות!B2</f>
        <v/>
      </c>
      <c r="I96">
        <f>F96*(1-H96/100)*1.18</f>
        <v/>
      </c>
      <c r="J96">
        <f>הגדרות!C2</f>
        <v/>
      </c>
      <c r="K96">
        <f>הגדרות!D2</f>
        <v/>
      </c>
      <c r="L96">
        <f>I96*(1+J96/100)+K96</f>
        <v/>
      </c>
    </row>
    <row r="97">
      <c r="A97" t="inlineStr">
        <is>
          <t>Royal Canin VET</t>
        </is>
      </c>
      <c r="B97" t="inlineStr">
        <is>
          <t>מוביליטי כלב 12 ק"ג</t>
        </is>
      </c>
      <c r="C97" t="inlineStr">
        <is>
          <t>VETERINARY HEALTH NUTRITION DOG - DRY</t>
        </is>
      </c>
      <c r="D97" t="inlineStr">
        <is>
          <t>2182910120</t>
        </is>
      </c>
      <c r="E97" t="inlineStr">
        <is>
          <t>2026-06</t>
        </is>
      </c>
      <c r="F97" t="n">
        <v>449</v>
      </c>
      <c r="G97" t="n">
        <v>529.8200000000001</v>
      </c>
      <c r="H97">
        <f>הגדרות!B2</f>
        <v/>
      </c>
      <c r="I97">
        <f>F97*(1-H97/100)*1.18</f>
        <v/>
      </c>
      <c r="J97">
        <f>הגדרות!C2</f>
        <v/>
      </c>
      <c r="K97">
        <f>הגדרות!D2</f>
        <v/>
      </c>
      <c r="L97">
        <f>I97*(1+J97/100)+K97</f>
        <v/>
      </c>
    </row>
    <row r="98">
      <c r="A98" t="inlineStr">
        <is>
          <t>Royal Canin VET</t>
        </is>
      </c>
      <c r="B98" t="inlineStr">
        <is>
          <t>קרדיאק כלב 2 ק"ג</t>
        </is>
      </c>
      <c r="C98" t="inlineStr">
        <is>
          <t>VETERINARY HEALTH NUTRITION DOG - DRY</t>
        </is>
      </c>
      <c r="D98" t="inlineStr">
        <is>
          <t>2393010200</t>
        </is>
      </c>
      <c r="E98" t="inlineStr">
        <is>
          <t>2026-06</t>
        </is>
      </c>
      <c r="F98" t="n">
        <v>115</v>
      </c>
      <c r="G98" t="n">
        <v>135.7</v>
      </c>
      <c r="H98">
        <f>הגדרות!B2</f>
        <v/>
      </c>
      <c r="I98">
        <f>F98*(1-H98/100)*1.18</f>
        <v/>
      </c>
      <c r="J98">
        <f>הגדרות!C2</f>
        <v/>
      </c>
      <c r="K98">
        <f>הגדרות!D2</f>
        <v/>
      </c>
      <c r="L98">
        <f>I98*(1+J98/100)+K98</f>
        <v/>
      </c>
    </row>
    <row r="99">
      <c r="A99" t="inlineStr">
        <is>
          <t>Royal Canin VET</t>
        </is>
      </c>
      <c r="B99" t="inlineStr">
        <is>
          <t>קרדיאק כלב 7.5 ק"ג</t>
        </is>
      </c>
      <c r="C99" t="inlineStr">
        <is>
          <t>VETERINARY HEALTH NUTRITION DOG - DRY</t>
        </is>
      </c>
      <c r="D99" t="inlineStr">
        <is>
          <t>2393010750</t>
        </is>
      </c>
      <c r="E99" t="inlineStr">
        <is>
          <t>2026-06</t>
        </is>
      </c>
      <c r="F99" t="n">
        <v>315</v>
      </c>
      <c r="G99" t="n">
        <v>371.7</v>
      </c>
      <c r="H99">
        <f>הגדרות!B2</f>
        <v/>
      </c>
      <c r="I99">
        <f>F99*(1-H99/100)*1.18</f>
        <v/>
      </c>
      <c r="J99">
        <f>הגדרות!C2</f>
        <v/>
      </c>
      <c r="K99">
        <f>הגדרות!D2</f>
        <v/>
      </c>
      <c r="L99">
        <f>I99*(1+J99/100)+K99</f>
        <v/>
      </c>
    </row>
    <row r="100">
      <c r="A100" t="inlineStr">
        <is>
          <t>Royal Canin VET</t>
        </is>
      </c>
      <c r="B100" t="inlineStr">
        <is>
          <t>גסטרואינטסטינל דל שומן 410x12 גרם שימורים</t>
        </is>
      </c>
      <c r="C100" t="inlineStr">
        <is>
          <t>VETERINARY HEALTH NUTRITION DOG - DRY</t>
        </is>
      </c>
      <c r="D100" t="inlineStr">
        <is>
          <t>2402920042</t>
        </is>
      </c>
      <c r="E100" t="inlineStr">
        <is>
          <t>2026-06</t>
        </is>
      </c>
      <c r="F100" t="n">
        <v>224</v>
      </c>
      <c r="G100" t="n">
        <v>264.32</v>
      </c>
      <c r="H100">
        <f>הגדרות!B2</f>
        <v/>
      </c>
      <c r="I100">
        <f>F100*(1-H100/100)*1.18</f>
        <v/>
      </c>
      <c r="J100">
        <f>הגדרות!C2</f>
        <v/>
      </c>
      <c r="K100">
        <f>הגדרות!D2</f>
        <v/>
      </c>
      <c r="L100">
        <f>I100*(1+J100/100)+K100</f>
        <v/>
      </c>
    </row>
    <row r="101">
      <c r="A101" t="inlineStr">
        <is>
          <t>Royal Canin VET</t>
        </is>
      </c>
      <c r="B101" t="inlineStr">
        <is>
          <t>גסטרואינטסטינל כלב 400x12 גרם שימורים</t>
        </is>
      </c>
      <c r="C101" t="inlineStr">
        <is>
          <t>VETERINARY HEALTH NUTRITION DOG - DRY</t>
        </is>
      </c>
      <c r="D101" t="inlineStr">
        <is>
          <t>2403820040</t>
        </is>
      </c>
      <c r="E101" t="inlineStr">
        <is>
          <t>2026-06</t>
        </is>
      </c>
      <c r="F101" t="n">
        <v>224</v>
      </c>
      <c r="G101" t="n">
        <v>264.32</v>
      </c>
      <c r="H101">
        <f>הגדרות!B2</f>
        <v/>
      </c>
      <c r="I101">
        <f>F101*(1-H101/100)*1.18</f>
        <v/>
      </c>
      <c r="J101">
        <f>הגדרות!C2</f>
        <v/>
      </c>
      <c r="K101">
        <f>הגדרות!D2</f>
        <v/>
      </c>
      <c r="L101">
        <f>I101*(1+J101/100)+K101</f>
        <v/>
      </c>
    </row>
    <row r="102">
      <c r="A102" t="inlineStr">
        <is>
          <t>Royal Canin VET</t>
        </is>
      </c>
      <c r="B102" t="inlineStr">
        <is>
          <t>גסטרואינטסטינל פאפי מוס 195X12 גרם שימורים</t>
        </is>
      </c>
      <c r="C102" t="inlineStr">
        <is>
          <t>VETERINARY HEALTH NUTRITION DOG - DRY</t>
        </is>
      </c>
      <c r="D102" t="inlineStr">
        <is>
          <t>R402189</t>
        </is>
      </c>
      <c r="E102" t="inlineStr">
        <is>
          <t>2026-06</t>
        </is>
      </c>
      <c r="F102" t="n">
        <v>139</v>
      </c>
      <c r="G102" t="n">
        <v>164.02</v>
      </c>
      <c r="H102">
        <f>הגדרות!B2</f>
        <v/>
      </c>
      <c r="I102">
        <f>F102*(1-H102/100)*1.18</f>
        <v/>
      </c>
      <c r="J102">
        <f>הגדרות!C2</f>
        <v/>
      </c>
      <c r="K102">
        <f>הגדרות!D2</f>
        <v/>
      </c>
      <c r="L102">
        <f>I102*(1+J102/100)+K102</f>
        <v/>
      </c>
    </row>
    <row r="103">
      <c r="A103" t="inlineStr">
        <is>
          <t>Royal Canin VET</t>
        </is>
      </c>
      <c r="B103" t="inlineStr">
        <is>
          <t>גסטרואינטסטינל היי פייבר 410x12 גרם שימורים</t>
        </is>
      </c>
      <c r="C103" t="inlineStr">
        <is>
          <t>VETERINARY HEALTH NUTRITION DOG - DRY</t>
        </is>
      </c>
      <c r="D103" t="inlineStr">
        <is>
          <t>2148020102</t>
        </is>
      </c>
      <c r="E103" t="inlineStr">
        <is>
          <t>2026-06</t>
        </is>
      </c>
      <c r="F103" t="n">
        <v>224</v>
      </c>
      <c r="G103" t="n">
        <v>264.32</v>
      </c>
      <c r="H103">
        <f>הגדרות!B2</f>
        <v/>
      </c>
      <c r="I103">
        <f>F103*(1-H103/100)*1.18</f>
        <v/>
      </c>
      <c r="J103">
        <f>הגדרות!C2</f>
        <v/>
      </c>
      <c r="K103">
        <f>הגדרות!D2</f>
        <v/>
      </c>
      <c r="L103">
        <f>I103*(1+J103/100)+K103</f>
        <v/>
      </c>
    </row>
    <row r="104">
      <c r="A104" t="inlineStr">
        <is>
          <t>Royal Canin VET</t>
        </is>
      </c>
      <c r="B104" t="inlineStr">
        <is>
          <t>הפאטיק כלב 420x12 גרם שימורים</t>
        </is>
      </c>
      <c r="C104" t="inlineStr">
        <is>
          <t>VETERINARY HEALTH NUTRITION DOG - DRY</t>
        </is>
      </c>
      <c r="D104" t="inlineStr">
        <is>
          <t>2402220042</t>
        </is>
      </c>
      <c r="E104" t="inlineStr">
        <is>
          <t>2026-06</t>
        </is>
      </c>
      <c r="F104" t="n">
        <v>224</v>
      </c>
      <c r="G104" t="n">
        <v>264.32</v>
      </c>
      <c r="H104">
        <f>הגדרות!B2</f>
        <v/>
      </c>
      <c r="I104">
        <f>F104*(1-H104/100)*1.18</f>
        <v/>
      </c>
      <c r="J104">
        <f>הגדרות!C2</f>
        <v/>
      </c>
      <c r="K104">
        <f>הגדרות!D2</f>
        <v/>
      </c>
      <c r="L104">
        <f>I104*(1+J104/100)+K104</f>
        <v/>
      </c>
    </row>
    <row r="105">
      <c r="A105" t="inlineStr">
        <is>
          <t>Royal Canin VET</t>
        </is>
      </c>
      <c r="B105" t="inlineStr">
        <is>
          <t>רינאל (לואף) כלב 410x12 גרם שימורים</t>
        </is>
      </c>
      <c r="C105" t="inlineStr">
        <is>
          <t>VETERINARY HEALTH NUTRITION DOG - DRY</t>
        </is>
      </c>
      <c r="D105" t="inlineStr">
        <is>
          <t>2402020041</t>
        </is>
      </c>
      <c r="E105" t="inlineStr">
        <is>
          <t>2026-06</t>
        </is>
      </c>
      <c r="F105" t="n">
        <v>224</v>
      </c>
      <c r="G105" t="n">
        <v>264.32</v>
      </c>
      <c r="H105">
        <f>הגדרות!B2</f>
        <v/>
      </c>
      <c r="I105">
        <f>F105*(1-H105/100)*1.18</f>
        <v/>
      </c>
      <c r="J105">
        <f>הגדרות!C2</f>
        <v/>
      </c>
      <c r="K105">
        <f>הגדרות!D2</f>
        <v/>
      </c>
      <c r="L105">
        <f>I105*(1+J105/100)+K105</f>
        <v/>
      </c>
    </row>
    <row r="106">
      <c r="A106" t="inlineStr">
        <is>
          <t>Royal Canin VET</t>
        </is>
      </c>
      <c r="B106" t="inlineStr">
        <is>
          <t>סטיאטי כלב 410x12 גרם שימורים</t>
        </is>
      </c>
      <c r="C106" t="inlineStr">
        <is>
          <t>VETERINARY HEALTH NUTRITION DOG - DRY</t>
        </is>
      </c>
      <c r="D106" t="inlineStr">
        <is>
          <t>2425020041</t>
        </is>
      </c>
      <c r="E106" t="inlineStr">
        <is>
          <t>2026-06</t>
        </is>
      </c>
      <c r="F106" t="n">
        <v>224</v>
      </c>
      <c r="G106" t="n">
        <v>264.32</v>
      </c>
      <c r="H106">
        <f>הגדרות!B2</f>
        <v/>
      </c>
      <c r="I106">
        <f>F106*(1-H106/100)*1.18</f>
        <v/>
      </c>
      <c r="J106">
        <f>הגדרות!C2</f>
        <v/>
      </c>
      <c r="K106">
        <f>הגדרות!D2</f>
        <v/>
      </c>
      <c r="L106">
        <f>I106*(1+J106/100)+K106</f>
        <v/>
      </c>
    </row>
    <row r="107">
      <c r="A107" t="inlineStr">
        <is>
          <t>Royal Canin VET</t>
        </is>
      </c>
      <c r="B107" t="inlineStr">
        <is>
          <t>גליקובלאנס לואף דל פחמימות פחית 85x12 גרם</t>
        </is>
      </c>
      <c r="C107" t="inlineStr">
        <is>
          <t>VETERINARY HEALTH NUTRITION DOG - DRY</t>
        </is>
      </c>
      <c r="D107" t="inlineStr">
        <is>
          <t>R603745</t>
        </is>
      </c>
      <c r="E107" t="inlineStr">
        <is>
          <t>2026-06</t>
        </is>
      </c>
      <c r="F107" t="n">
        <v>224</v>
      </c>
      <c r="G107" t="n">
        <v>264.32</v>
      </c>
      <c r="H107">
        <f>הגדרות!B2</f>
        <v/>
      </c>
      <c r="I107">
        <f>F107*(1-H107/100)*1.18</f>
        <v/>
      </c>
      <c r="J107">
        <f>הגדרות!C2</f>
        <v/>
      </c>
      <c r="K107">
        <f>הגדרות!D2</f>
        <v/>
      </c>
      <c r="L107">
        <f>I107*(1+J107/100)+K107</f>
        <v/>
      </c>
    </row>
    <row r="108">
      <c r="A108" t="inlineStr">
        <is>
          <t>Royal Canin VET</t>
        </is>
      </c>
      <c r="B108" t="inlineStr">
        <is>
          <t>יורינרי כלב 410x12 גרם שימורים</t>
        </is>
      </c>
      <c r="C108" t="inlineStr">
        <is>
          <t>VETERINARY HEALTH NUTRITION DOG - DRY</t>
        </is>
      </c>
      <c r="D108" t="inlineStr">
        <is>
          <t>2402120041</t>
        </is>
      </c>
      <c r="E108" t="inlineStr">
        <is>
          <t>2026-06</t>
        </is>
      </c>
      <c r="F108" t="n">
        <v>224</v>
      </c>
      <c r="G108" t="n">
        <v>264.32</v>
      </c>
      <c r="H108">
        <f>הגדרות!B2</f>
        <v/>
      </c>
      <c r="I108">
        <f>F108*(1-H108/100)*1.18</f>
        <v/>
      </c>
      <c r="J108">
        <f>הגדרות!C2</f>
        <v/>
      </c>
      <c r="K108">
        <f>הגדרות!D2</f>
        <v/>
      </c>
      <c r="L108">
        <f>I108*(1+J108/100)+K108</f>
        <v/>
      </c>
    </row>
    <row r="109">
      <c r="A109" t="inlineStr">
        <is>
          <t>Royal Canin VET</t>
        </is>
      </c>
      <c r="B109" t="inlineStr">
        <is>
          <t>היפואלרגני כלב 400x12 גרם שימורים</t>
        </is>
      </c>
      <c r="C109" t="inlineStr">
        <is>
          <t>VETERINARY HEALTH NUTRITION DOG - DRY</t>
        </is>
      </c>
      <c r="D109" t="inlineStr">
        <is>
          <t>2408420040</t>
        </is>
      </c>
      <c r="E109" t="inlineStr">
        <is>
          <t>2026-06</t>
        </is>
      </c>
      <c r="F109" t="n">
        <v>224</v>
      </c>
      <c r="G109" t="n">
        <v>264.32</v>
      </c>
      <c r="H109">
        <f>הגדרות!B2</f>
        <v/>
      </c>
      <c r="I109">
        <f>F109*(1-H109/100)*1.18</f>
        <v/>
      </c>
      <c r="J109">
        <f>הגדרות!C2</f>
        <v/>
      </c>
      <c r="K109">
        <f>הגדרות!D2</f>
        <v/>
      </c>
      <c r="L109">
        <f>I109*(1+J109/100)+K109</f>
        <v/>
      </c>
    </row>
    <row r="110">
      <c r="A110" t="inlineStr">
        <is>
          <t>Royal Canin חנויות</t>
        </is>
      </c>
      <c r="B110" t="inlineStr">
        <is>
          <t>SHN אקסטרה סמול פאפי 1.5 ק"ג</t>
        </is>
      </c>
      <c r="C110" t="inlineStr">
        <is>
          <t>תזונה מותאמת לגודל וגיל הכלב Size Health Nutrition</t>
        </is>
      </c>
      <c r="D110" t="inlineStr">
        <is>
          <t>3182550793612</t>
        </is>
      </c>
      <c r="E110" t="inlineStr">
        <is>
          <t>2026-01</t>
        </is>
      </c>
      <c r="F110" t="n">
        <v>95</v>
      </c>
      <c r="G110" t="n">
        <v>112.1</v>
      </c>
      <c r="H110">
        <f>הגדרות!B3</f>
        <v/>
      </c>
      <c r="I110">
        <f>F110*(1-H110/100)*1.18</f>
        <v/>
      </c>
      <c r="J110">
        <f>הגדרות!C3</f>
        <v/>
      </c>
      <c r="K110">
        <f>הגדרות!D3</f>
        <v/>
      </c>
      <c r="L110">
        <f>I110*(1+J110/100)+K110</f>
        <v/>
      </c>
    </row>
    <row r="111">
      <c r="A111" t="inlineStr">
        <is>
          <t>Royal Canin חנויות</t>
        </is>
      </c>
      <c r="B111" t="inlineStr">
        <is>
          <t>SHN אקסטרה סמול פאפי 3 ק"ג</t>
        </is>
      </c>
      <c r="C111" t="inlineStr">
        <is>
          <t>תזונה מותאמת לגודל וגיל הכלב Size Health Nutrition</t>
        </is>
      </c>
      <c r="D111" t="inlineStr">
        <is>
          <t>3182550793636</t>
        </is>
      </c>
      <c r="E111" t="inlineStr">
        <is>
          <t>2026-01</t>
        </is>
      </c>
      <c r="F111" t="n">
        <v>139</v>
      </c>
      <c r="G111" t="n">
        <v>164.02</v>
      </c>
      <c r="H111">
        <f>הגדרות!B3</f>
        <v/>
      </c>
      <c r="I111">
        <f>F111*(1-H111/100)*1.18</f>
        <v/>
      </c>
      <c r="J111">
        <f>הגדרות!C3</f>
        <v/>
      </c>
      <c r="K111">
        <f>הגדרות!D3</f>
        <v/>
      </c>
      <c r="L111">
        <f>I111*(1+J111/100)+K111</f>
        <v/>
      </c>
    </row>
    <row r="112">
      <c r="A112" t="inlineStr">
        <is>
          <t>Royal Canin חנויות</t>
        </is>
      </c>
      <c r="B112" t="inlineStr">
        <is>
          <t>SHN אקסטרה סמול אדולט 1.5 ק"ג</t>
        </is>
      </c>
      <c r="C112" t="inlineStr">
        <is>
          <t>תזונה מותאמת לגודל וגיל הכלב Size Health Nutrition</t>
        </is>
      </c>
      <c r="D112" t="inlineStr">
        <is>
          <t>3182550793728</t>
        </is>
      </c>
      <c r="E112" t="inlineStr">
        <is>
          <t>2026-01</t>
        </is>
      </c>
      <c r="F112" t="n">
        <v>89</v>
      </c>
      <c r="G112" t="n">
        <v>105.02</v>
      </c>
      <c r="H112">
        <f>הגדרות!B3</f>
        <v/>
      </c>
      <c r="I112">
        <f>F112*(1-H112/100)*1.18</f>
        <v/>
      </c>
      <c r="J112">
        <f>הגדרות!C3</f>
        <v/>
      </c>
      <c r="K112">
        <f>הגדרות!D3</f>
        <v/>
      </c>
      <c r="L112">
        <f>I112*(1+J112/100)+K112</f>
        <v/>
      </c>
    </row>
    <row r="113">
      <c r="A113" t="inlineStr">
        <is>
          <t>Royal Canin חנויות</t>
        </is>
      </c>
      <c r="B113" t="inlineStr">
        <is>
          <t>SHN אקסטרה סמול אדולט 3 ק"ג</t>
        </is>
      </c>
      <c r="C113" t="inlineStr">
        <is>
          <t>תזונה מותאמת לגודל וגיל הכלב Size Health Nutrition</t>
        </is>
      </c>
      <c r="D113" t="inlineStr">
        <is>
          <t>3182550793735</t>
        </is>
      </c>
      <c r="E113" t="inlineStr">
        <is>
          <t>2026-01</t>
        </is>
      </c>
      <c r="F113" t="n">
        <v>129</v>
      </c>
      <c r="G113" t="n">
        <v>152.22</v>
      </c>
      <c r="H113">
        <f>הגדרות!B3</f>
        <v/>
      </c>
      <c r="I113">
        <f>F113*(1-H113/100)*1.18</f>
        <v/>
      </c>
      <c r="J113">
        <f>הגדרות!C3</f>
        <v/>
      </c>
      <c r="K113">
        <f>הגדרות!D3</f>
        <v/>
      </c>
      <c r="L113">
        <f>I113*(1+J113/100)+K113</f>
        <v/>
      </c>
    </row>
    <row r="114">
      <c r="A114" t="inlineStr">
        <is>
          <t>Royal Canin חנויות</t>
        </is>
      </c>
      <c r="B114" t="inlineStr">
        <is>
          <t>SHN אקסטרה סמול אדולט 3 +8 ק"ג</t>
        </is>
      </c>
      <c r="C114" t="inlineStr">
        <is>
          <t>תזונה מותאמת לגודל וגיל הכלב Size Health Nutrition</t>
        </is>
      </c>
      <c r="D114" t="inlineStr">
        <is>
          <t>3182550831352</t>
        </is>
      </c>
      <c r="E114" t="inlineStr">
        <is>
          <t>2026-01</t>
        </is>
      </c>
      <c r="F114" t="n">
        <v>139</v>
      </c>
      <c r="G114" t="n">
        <v>164.02</v>
      </c>
      <c r="H114">
        <f>הגדרות!B3</f>
        <v/>
      </c>
      <c r="I114">
        <f>F114*(1-H114/100)*1.18</f>
        <v/>
      </c>
      <c r="J114">
        <f>הגדרות!C3</f>
        <v/>
      </c>
      <c r="K114">
        <f>הגדרות!D3</f>
        <v/>
      </c>
      <c r="L114">
        <f>I114*(1+J114/100)+K114</f>
        <v/>
      </c>
    </row>
    <row r="115">
      <c r="A115" t="inlineStr">
        <is>
          <t>Royal Canin חנויות</t>
        </is>
      </c>
      <c r="B115" t="inlineStr">
        <is>
          <t>SHN מיני סטרטר 4 ק"ג</t>
        </is>
      </c>
      <c r="C115" t="inlineStr">
        <is>
          <t>תזונה מותאמת לגודל וגיל הכלב Size Health Nutrition</t>
        </is>
      </c>
      <c r="D115" t="inlineStr">
        <is>
          <t>3182550932707</t>
        </is>
      </c>
      <c r="E115" t="inlineStr">
        <is>
          <t>2026-01</t>
        </is>
      </c>
      <c r="F115" t="n">
        <v>165</v>
      </c>
      <c r="G115" t="n">
        <v>194.7</v>
      </c>
      <c r="H115">
        <f>הגדרות!B3</f>
        <v/>
      </c>
      <c r="I115">
        <f>F115*(1-H115/100)*1.18</f>
        <v/>
      </c>
      <c r="J115">
        <f>הגדרות!C3</f>
        <v/>
      </c>
      <c r="K115">
        <f>הגדרות!D3</f>
        <v/>
      </c>
      <c r="L115">
        <f>I115*(1+J115/100)+K115</f>
        <v/>
      </c>
    </row>
    <row r="116">
      <c r="A116" t="inlineStr">
        <is>
          <t>Royal Canin חנויות</t>
        </is>
      </c>
      <c r="B116" t="inlineStr">
        <is>
          <t>SHN מיני סטרטר 8 ק"ג</t>
        </is>
      </c>
      <c r="C116" t="inlineStr">
        <is>
          <t>תזונה מותאמת לגודל וגיל הכלב Size Health Nutrition</t>
        </is>
      </c>
      <c r="D116" t="inlineStr">
        <is>
          <t>3182550932691</t>
        </is>
      </c>
      <c r="E116" t="inlineStr">
        <is>
          <t>2026-01</t>
        </is>
      </c>
      <c r="F116" t="n">
        <v>329</v>
      </c>
      <c r="G116" t="n">
        <v>388.22</v>
      </c>
      <c r="H116">
        <f>הגדרות!B3</f>
        <v/>
      </c>
      <c r="I116">
        <f>F116*(1-H116/100)*1.18</f>
        <v/>
      </c>
      <c r="J116">
        <f>הגדרות!C3</f>
        <v/>
      </c>
      <c r="K116">
        <f>הגדרות!D3</f>
        <v/>
      </c>
      <c r="L116">
        <f>I116*(1+J116/100)+K116</f>
        <v/>
      </c>
    </row>
    <row r="117">
      <c r="A117" t="inlineStr">
        <is>
          <t>Royal Canin חנויות</t>
        </is>
      </c>
      <c r="B117" t="inlineStr">
        <is>
          <t>SHN מיני פאפי 2 ק"ג</t>
        </is>
      </c>
      <c r="C117" t="inlineStr">
        <is>
          <t>תזונה מותאמת לגודל וגיל הכלב Size Health Nutrition</t>
        </is>
      </c>
      <c r="D117" t="inlineStr">
        <is>
          <t>3182550793001</t>
        </is>
      </c>
      <c r="E117" t="inlineStr">
        <is>
          <t>2026-01</t>
        </is>
      </c>
      <c r="F117" t="n">
        <v>95</v>
      </c>
      <c r="G117" t="n">
        <v>112.1</v>
      </c>
      <c r="H117">
        <f>הגדרות!B3</f>
        <v/>
      </c>
      <c r="I117">
        <f>F117*(1-H117/100)*1.18</f>
        <v/>
      </c>
      <c r="J117">
        <f>הגדרות!C3</f>
        <v/>
      </c>
      <c r="K117">
        <f>הגדרות!D3</f>
        <v/>
      </c>
      <c r="L117">
        <f>I117*(1+J117/100)+K117</f>
        <v/>
      </c>
    </row>
    <row r="118">
      <c r="A118" t="inlineStr">
        <is>
          <t>Royal Canin חנויות</t>
        </is>
      </c>
      <c r="B118" t="inlineStr">
        <is>
          <t>SHN מיני פאפי 4 ק"ג</t>
        </is>
      </c>
      <c r="C118" t="inlineStr">
        <is>
          <t>תזונה מותאמת לגודל וגיל הכלב Size Health Nutrition</t>
        </is>
      </c>
      <c r="D118" t="inlineStr">
        <is>
          <t>3182550793032</t>
        </is>
      </c>
      <c r="E118" t="inlineStr">
        <is>
          <t>2026-01</t>
        </is>
      </c>
      <c r="F118" t="n">
        <v>155</v>
      </c>
      <c r="G118" t="n">
        <v>182.9</v>
      </c>
      <c r="H118">
        <f>הגדרות!B3</f>
        <v/>
      </c>
      <c r="I118">
        <f>F118*(1-H118/100)*1.18</f>
        <v/>
      </c>
      <c r="J118">
        <f>הגדרות!C3</f>
        <v/>
      </c>
      <c r="K118">
        <f>הגדרות!D3</f>
        <v/>
      </c>
      <c r="L118">
        <f>I118*(1+J118/100)+K118</f>
        <v/>
      </c>
    </row>
    <row r="119">
      <c r="A119" t="inlineStr">
        <is>
          <t>Royal Canin חנויות</t>
        </is>
      </c>
      <c r="B119" t="inlineStr">
        <is>
          <t>SHN מיני פאפי 8 ק"ג</t>
        </is>
      </c>
      <c r="C119" t="inlineStr">
        <is>
          <t>תזונה מותאמת לגודל וגיל הכלב Size Health Nutrition</t>
        </is>
      </c>
      <c r="D119" t="inlineStr">
        <is>
          <t>3182550793049</t>
        </is>
      </c>
      <c r="E119" t="inlineStr">
        <is>
          <t>2026-01</t>
        </is>
      </c>
      <c r="F119" t="n">
        <v>239</v>
      </c>
      <c r="G119" t="n">
        <v>282.02</v>
      </c>
      <c r="H119">
        <f>הגדרות!B3</f>
        <v/>
      </c>
      <c r="I119">
        <f>F119*(1-H119/100)*1.18</f>
        <v/>
      </c>
      <c r="J119">
        <f>הגדרות!C3</f>
        <v/>
      </c>
      <c r="K119">
        <f>הגדרות!D3</f>
        <v/>
      </c>
      <c r="L119">
        <f>I119*(1+J119/100)+K119</f>
        <v/>
      </c>
    </row>
    <row r="120">
      <c r="A120" t="inlineStr">
        <is>
          <t>Royal Canin חנויות</t>
        </is>
      </c>
      <c r="B120" t="inlineStr">
        <is>
          <t>SHN מיני אדולט 2 ק"ג</t>
        </is>
      </c>
      <c r="C120" t="inlineStr">
        <is>
          <t>תזונה מותאמת לגודל וגיל הכלב Size Health Nutrition</t>
        </is>
      </c>
      <c r="D120" t="inlineStr">
        <is>
          <t>3182550402170</t>
        </is>
      </c>
      <c r="E120" t="inlineStr">
        <is>
          <t>2026-01</t>
        </is>
      </c>
      <c r="F120" t="n">
        <v>85</v>
      </c>
      <c r="G120" t="n">
        <v>100.3</v>
      </c>
      <c r="H120">
        <f>הגדרות!B3</f>
        <v/>
      </c>
      <c r="I120">
        <f>F120*(1-H120/100)*1.18</f>
        <v/>
      </c>
      <c r="J120">
        <f>הגדרות!C3</f>
        <v/>
      </c>
      <c r="K120">
        <f>הגדרות!D3</f>
        <v/>
      </c>
      <c r="L120">
        <f>I120*(1+J120/100)+K120</f>
        <v/>
      </c>
    </row>
    <row r="121">
      <c r="A121" t="inlineStr">
        <is>
          <t>Royal Canin חנויות</t>
        </is>
      </c>
      <c r="B121" t="inlineStr">
        <is>
          <t>SHN מיני אדולט 4 ק"ג</t>
        </is>
      </c>
      <c r="C121" t="inlineStr">
        <is>
          <t>תזונה מותאמת לגודל וגיל הכלב Size Health Nutrition</t>
        </is>
      </c>
      <c r="D121" t="inlineStr">
        <is>
          <t>3182550727822</t>
        </is>
      </c>
      <c r="E121" t="inlineStr">
        <is>
          <t>2026-01</t>
        </is>
      </c>
      <c r="F121" t="n">
        <v>149</v>
      </c>
      <c r="G121" t="n">
        <v>175.82</v>
      </c>
      <c r="H121">
        <f>הגדרות!B3</f>
        <v/>
      </c>
      <c r="I121">
        <f>F121*(1-H121/100)*1.18</f>
        <v/>
      </c>
      <c r="J121">
        <f>הגדרות!C3</f>
        <v/>
      </c>
      <c r="K121">
        <f>הגדרות!D3</f>
        <v/>
      </c>
      <c r="L121">
        <f>I121*(1+J121/100)+K121</f>
        <v/>
      </c>
    </row>
    <row r="122">
      <c r="A122" t="inlineStr">
        <is>
          <t>Royal Canin חנויות</t>
        </is>
      </c>
      <c r="B122" t="inlineStr">
        <is>
          <t>SHN מיני אדולט 8 ק"ג</t>
        </is>
      </c>
      <c r="C122" t="inlineStr">
        <is>
          <t>תזונה מותאמת לגודל וגיל הכלב Size Health Nutrition</t>
        </is>
      </c>
      <c r="D122" t="inlineStr">
        <is>
          <t>3182550716888</t>
        </is>
      </c>
      <c r="E122" t="inlineStr">
        <is>
          <t>2026-01</t>
        </is>
      </c>
      <c r="F122" t="n">
        <v>229</v>
      </c>
      <c r="G122" t="n">
        <v>270.22</v>
      </c>
      <c r="H122">
        <f>הגדרות!B3</f>
        <v/>
      </c>
      <c r="I122">
        <f>F122*(1-H122/100)*1.18</f>
        <v/>
      </c>
      <c r="J122">
        <f>הגדרות!C3</f>
        <v/>
      </c>
      <c r="K122">
        <f>הגדרות!D3</f>
        <v/>
      </c>
      <c r="L122">
        <f>I122*(1+J122/100)+K122</f>
        <v/>
      </c>
    </row>
    <row r="123">
      <c r="A123" t="inlineStr">
        <is>
          <t>Royal Canin חנויות</t>
        </is>
      </c>
      <c r="B123" t="inlineStr">
        <is>
          <t>SHN מיני אדולט 2 +8 ק"ג</t>
        </is>
      </c>
      <c r="C123" t="inlineStr">
        <is>
          <t>תזונה מותאמת לגודל וגיל הכלב Size Health Nutrition</t>
        </is>
      </c>
      <c r="D123" t="inlineStr">
        <is>
          <t>3182550831383</t>
        </is>
      </c>
      <c r="E123" t="inlineStr">
        <is>
          <t>2026-01</t>
        </is>
      </c>
      <c r="F123" t="n">
        <v>95</v>
      </c>
      <c r="G123" t="n">
        <v>112.1</v>
      </c>
      <c r="H123">
        <f>הגדרות!B3</f>
        <v/>
      </c>
      <c r="I123">
        <f>F123*(1-H123/100)*1.18</f>
        <v/>
      </c>
      <c r="J123">
        <f>הגדרות!C3</f>
        <v/>
      </c>
      <c r="K123">
        <f>הגדרות!D3</f>
        <v/>
      </c>
      <c r="L123">
        <f>I123*(1+J123/100)+K123</f>
        <v/>
      </c>
    </row>
    <row r="124">
      <c r="A124" t="inlineStr">
        <is>
          <t>Royal Canin חנויות</t>
        </is>
      </c>
      <c r="B124" t="inlineStr">
        <is>
          <t>SHN מיני אדולט 4 +8 ק"ג</t>
        </is>
      </c>
      <c r="C124" t="inlineStr">
        <is>
          <t>תזונה מותאמת לגודל וגיל הכלב Size Health Nutrition</t>
        </is>
      </c>
      <c r="D124" t="inlineStr">
        <is>
          <t>3182550831390</t>
        </is>
      </c>
      <c r="E124" t="inlineStr">
        <is>
          <t>2026-01</t>
        </is>
      </c>
      <c r="F124" t="n">
        <v>155</v>
      </c>
      <c r="G124" t="n">
        <v>182.9</v>
      </c>
      <c r="H124">
        <f>הגדרות!B3</f>
        <v/>
      </c>
      <c r="I124">
        <f>F124*(1-H124/100)*1.18</f>
        <v/>
      </c>
      <c r="J124">
        <f>הגדרות!C3</f>
        <v/>
      </c>
      <c r="K124">
        <f>הגדרות!D3</f>
        <v/>
      </c>
      <c r="L124">
        <f>I124*(1+J124/100)+K124</f>
        <v/>
      </c>
    </row>
    <row r="125">
      <c r="A125" t="inlineStr">
        <is>
          <t>Royal Canin חנויות</t>
        </is>
      </c>
      <c r="B125" t="inlineStr">
        <is>
          <t>SHN מיני אדולט 8 +8 ק"ג</t>
        </is>
      </c>
      <c r="C125" t="inlineStr">
        <is>
          <t>תזונה מותאמת לגודל וגיל הכלב Size Health Nutrition</t>
        </is>
      </c>
      <c r="D125" t="inlineStr">
        <is>
          <t>3182550831406</t>
        </is>
      </c>
      <c r="E125" t="inlineStr">
        <is>
          <t>2026-01</t>
        </is>
      </c>
      <c r="F125" t="n">
        <v>255</v>
      </c>
      <c r="G125" t="n">
        <v>300.9</v>
      </c>
      <c r="H125">
        <f>הגדרות!B3</f>
        <v/>
      </c>
      <c r="I125">
        <f>F125*(1-H125/100)*1.18</f>
        <v/>
      </c>
      <c r="J125">
        <f>הגדרות!C3</f>
        <v/>
      </c>
      <c r="K125">
        <f>הגדרות!D3</f>
        <v/>
      </c>
      <c r="L125">
        <f>I125*(1+J125/100)+K125</f>
        <v/>
      </c>
    </row>
    <row r="126">
      <c r="A126" t="inlineStr">
        <is>
          <t>Royal Canin חנויות</t>
        </is>
      </c>
      <c r="B126" t="inlineStr">
        <is>
          <t>SHN מיני אייג'ינג 3.5 ק"ג</t>
        </is>
      </c>
      <c r="C126" t="inlineStr">
        <is>
          <t>תזונה מותאמת לגודל וגיל הכלב Size Health Nutrition</t>
        </is>
      </c>
      <c r="D126" t="inlineStr">
        <is>
          <t>3182550793582</t>
        </is>
      </c>
      <c r="E126" t="inlineStr">
        <is>
          <t>2026-01</t>
        </is>
      </c>
      <c r="F126" t="n">
        <v>159</v>
      </c>
      <c r="G126" t="n">
        <v>187.62</v>
      </c>
      <c r="H126">
        <f>הגדרות!B3</f>
        <v/>
      </c>
      <c r="I126">
        <f>F126*(1-H126/100)*1.18</f>
        <v/>
      </c>
      <c r="J126">
        <f>הגדרות!C3</f>
        <v/>
      </c>
      <c r="K126">
        <f>הגדרות!D3</f>
        <v/>
      </c>
      <c r="L126">
        <f>I126*(1+J126/100)+K126</f>
        <v/>
      </c>
    </row>
    <row r="127">
      <c r="A127" t="inlineStr">
        <is>
          <t>Royal Canin חנויות</t>
        </is>
      </c>
      <c r="B127" t="inlineStr">
        <is>
          <t>SHN מדיום סטרטר 4 ק"ג</t>
        </is>
      </c>
      <c r="C127" t="inlineStr">
        <is>
          <t>תזונה מותאמת לגודל וגיל הכלב Size Health Nutrition</t>
        </is>
      </c>
      <c r="D127" t="inlineStr">
        <is>
          <t>3182550778725</t>
        </is>
      </c>
      <c r="E127" t="inlineStr">
        <is>
          <t>2026-01</t>
        </is>
      </c>
      <c r="F127" t="n">
        <v>155</v>
      </c>
      <c r="G127" t="n">
        <v>182.9</v>
      </c>
      <c r="H127">
        <f>הגדרות!B3</f>
        <v/>
      </c>
      <c r="I127">
        <f>F127*(1-H127/100)*1.18</f>
        <v/>
      </c>
      <c r="J127">
        <f>הגדרות!C3</f>
        <v/>
      </c>
      <c r="K127">
        <f>הגדרות!D3</f>
        <v/>
      </c>
      <c r="L127">
        <f>I127*(1+J127/100)+K127</f>
        <v/>
      </c>
    </row>
    <row r="128">
      <c r="A128" t="inlineStr">
        <is>
          <t>Royal Canin חנויות</t>
        </is>
      </c>
      <c r="B128" t="inlineStr">
        <is>
          <t>SHN מדיום סטרטר 15 ק"ג</t>
        </is>
      </c>
      <c r="C128" t="inlineStr">
        <is>
          <t>תזונה מותאמת לגודל וגיל הכלב Size Health Nutrition</t>
        </is>
      </c>
      <c r="D128" t="inlineStr">
        <is>
          <t>3182550932714</t>
        </is>
      </c>
      <c r="E128" t="inlineStr">
        <is>
          <t>2026-01</t>
        </is>
      </c>
      <c r="F128" t="n">
        <v>359</v>
      </c>
      <c r="G128" t="n">
        <v>423.62</v>
      </c>
      <c r="H128">
        <f>הגדרות!B3</f>
        <v/>
      </c>
      <c r="I128">
        <f>F128*(1-H128/100)*1.18</f>
        <v/>
      </c>
      <c r="J128">
        <f>הגדרות!C3</f>
        <v/>
      </c>
      <c r="K128">
        <f>הגדרות!D3</f>
        <v/>
      </c>
      <c r="L128">
        <f>I128*(1+J128/100)+K128</f>
        <v/>
      </c>
    </row>
    <row r="129">
      <c r="A129" t="inlineStr">
        <is>
          <t>Royal Canin חנויות</t>
        </is>
      </c>
      <c r="B129" t="inlineStr">
        <is>
          <t>SHN מדיום פאפי 4 ק"ג</t>
        </is>
      </c>
      <c r="C129" t="inlineStr">
        <is>
          <t>תזונה מותאמת לגודל וגיל הכלב Size Health Nutrition</t>
        </is>
      </c>
      <c r="D129" t="inlineStr">
        <is>
          <t>3182550708180</t>
        </is>
      </c>
      <c r="E129" t="inlineStr">
        <is>
          <t>2026-01</t>
        </is>
      </c>
      <c r="F129" t="n">
        <v>155</v>
      </c>
      <c r="G129" t="n">
        <v>182.9</v>
      </c>
      <c r="H129">
        <f>הגדרות!B3</f>
        <v/>
      </c>
      <c r="I129">
        <f>F129*(1-H129/100)*1.18</f>
        <v/>
      </c>
      <c r="J129">
        <f>הגדרות!C3</f>
        <v/>
      </c>
      <c r="K129">
        <f>הגדרות!D3</f>
        <v/>
      </c>
      <c r="L129">
        <f>I129*(1+J129/100)+K129</f>
        <v/>
      </c>
    </row>
    <row r="130">
      <c r="A130" t="inlineStr">
        <is>
          <t>Royal Canin חנויות</t>
        </is>
      </c>
      <c r="B130" t="inlineStr">
        <is>
          <t>SHN מדיום פאפי 12 ק"ג</t>
        </is>
      </c>
      <c r="C130" t="inlineStr">
        <is>
          <t>תזונה מותאמת לגודל וגיל הכלב Size Health Nutrition</t>
        </is>
      </c>
      <c r="D130" t="inlineStr">
        <is>
          <t>3182551065336</t>
        </is>
      </c>
      <c r="E130" t="inlineStr">
        <is>
          <t>2026-01</t>
        </is>
      </c>
      <c r="F130" t="n">
        <v>279</v>
      </c>
      <c r="G130" t="n">
        <v>329.22</v>
      </c>
      <c r="H130">
        <f>הגדרות!B3</f>
        <v/>
      </c>
      <c r="I130">
        <f>F130*(1-H130/100)*1.18</f>
        <v/>
      </c>
      <c r="J130">
        <f>הגדרות!C3</f>
        <v/>
      </c>
      <c r="K130">
        <f>הגדרות!D3</f>
        <v/>
      </c>
      <c r="L130">
        <f>I130*(1+J130/100)+K130</f>
        <v/>
      </c>
    </row>
    <row r="131">
      <c r="A131" t="inlineStr">
        <is>
          <t>Royal Canin חנויות</t>
        </is>
      </c>
      <c r="B131" t="inlineStr">
        <is>
          <t>SHN מדיום פאפי 15 ק"ג</t>
        </is>
      </c>
      <c r="C131" t="inlineStr">
        <is>
          <t>תזונה מותאמת לגודל וגיל הכלב Size Health Nutrition</t>
        </is>
      </c>
      <c r="D131" t="inlineStr">
        <is>
          <t>3182550402132</t>
        </is>
      </c>
      <c r="E131" t="inlineStr">
        <is>
          <t>2026-01</t>
        </is>
      </c>
      <c r="F131" t="n">
        <v>337</v>
      </c>
      <c r="G131" t="n">
        <v>397.66</v>
      </c>
      <c r="H131">
        <f>הגדרות!B3</f>
        <v/>
      </c>
      <c r="I131">
        <f>F131*(1-H131/100)*1.18</f>
        <v/>
      </c>
      <c r="J131">
        <f>הגדרות!C3</f>
        <v/>
      </c>
      <c r="K131">
        <f>הגדרות!D3</f>
        <v/>
      </c>
      <c r="L131">
        <f>I131*(1+J131/100)+K131</f>
        <v/>
      </c>
    </row>
    <row r="132">
      <c r="A132" t="inlineStr">
        <is>
          <t>Royal Canin חנויות</t>
        </is>
      </c>
      <c r="B132" t="inlineStr">
        <is>
          <t>SHN מדיום אדולט 4 ק"ג</t>
        </is>
      </c>
      <c r="C132" t="inlineStr">
        <is>
          <t>תזונה מותאמת לגודל וגיל הכלב Size Health Nutrition</t>
        </is>
      </c>
      <c r="D132" t="inlineStr">
        <is>
          <t>3182550708197</t>
        </is>
      </c>
      <c r="E132" t="inlineStr">
        <is>
          <t>2026-01</t>
        </is>
      </c>
      <c r="F132" t="n">
        <v>155</v>
      </c>
      <c r="G132" t="n">
        <v>182.9</v>
      </c>
      <c r="H132">
        <f>הגדרות!B3</f>
        <v/>
      </c>
      <c r="I132">
        <f>F132*(1-H132/100)*1.18</f>
        <v/>
      </c>
      <c r="J132">
        <f>הגדרות!C3</f>
        <v/>
      </c>
      <c r="K132">
        <f>הגדרות!D3</f>
        <v/>
      </c>
      <c r="L132">
        <f>I132*(1+J132/100)+K132</f>
        <v/>
      </c>
    </row>
    <row r="133">
      <c r="A133" t="inlineStr">
        <is>
          <t>Royal Canin חנויות</t>
        </is>
      </c>
      <c r="B133" t="inlineStr">
        <is>
          <t>SHN מדיום אדולט 12 ק"ג</t>
        </is>
      </c>
      <c r="C133" t="inlineStr">
        <is>
          <t>תזונה מותאמת לגודל וגיל הכלב Size Health Nutrition</t>
        </is>
      </c>
      <c r="D133" t="inlineStr">
        <is>
          <t>3182551065367</t>
        </is>
      </c>
      <c r="E133" t="inlineStr">
        <is>
          <t>2026-01</t>
        </is>
      </c>
      <c r="F133" t="n">
        <v>272</v>
      </c>
      <c r="G133" t="n">
        <v>320.96</v>
      </c>
      <c r="H133">
        <f>הגדרות!B3</f>
        <v/>
      </c>
      <c r="I133">
        <f>F133*(1-H133/100)*1.18</f>
        <v/>
      </c>
      <c r="J133">
        <f>הגדרות!C3</f>
        <v/>
      </c>
      <c r="K133">
        <f>הגדרות!D3</f>
        <v/>
      </c>
      <c r="L133">
        <f>I133*(1+J133/100)+K133</f>
        <v/>
      </c>
    </row>
    <row r="134">
      <c r="A134" t="inlineStr">
        <is>
          <t>Royal Canin חנויות</t>
        </is>
      </c>
      <c r="B134" t="inlineStr">
        <is>
          <t>SHN מדיום אדולט 15 ק"ג</t>
        </is>
      </c>
      <c r="C134" t="inlineStr">
        <is>
          <t>תזונה מותאמת לגודל וגיל הכלב Size Health Nutrition</t>
        </is>
      </c>
      <c r="D134" t="inlineStr">
        <is>
          <t>3182550402217</t>
        </is>
      </c>
      <c r="E134" t="inlineStr">
        <is>
          <t>2026-01</t>
        </is>
      </c>
      <c r="F134" t="n">
        <v>330</v>
      </c>
      <c r="G134" t="n">
        <v>389.4</v>
      </c>
      <c r="H134">
        <f>הגדרות!B3</f>
        <v/>
      </c>
      <c r="I134">
        <f>F134*(1-H134/100)*1.18</f>
        <v/>
      </c>
      <c r="J134">
        <f>הגדרות!C3</f>
        <v/>
      </c>
      <c r="K134">
        <f>הגדרות!D3</f>
        <v/>
      </c>
      <c r="L134">
        <f>I134*(1+J134/100)+K134</f>
        <v/>
      </c>
    </row>
    <row r="135">
      <c r="A135" t="inlineStr">
        <is>
          <t>Royal Canin חנויות</t>
        </is>
      </c>
      <c r="B135" t="inlineStr">
        <is>
          <t>SHN מדיום אדולט 15 +7 ק"ג</t>
        </is>
      </c>
      <c r="C135" t="inlineStr">
        <is>
          <t>תזונה מותאמת לגודל וגיל הכלב Size Health Nutrition</t>
        </is>
      </c>
      <c r="D135" t="inlineStr">
        <is>
          <t>3182550402286</t>
        </is>
      </c>
      <c r="E135" t="inlineStr">
        <is>
          <t>2026-01</t>
        </is>
      </c>
      <c r="F135" t="n">
        <v>355</v>
      </c>
      <c r="G135" t="n">
        <v>418.9</v>
      </c>
      <c r="H135">
        <f>הגדרות!B3</f>
        <v/>
      </c>
      <c r="I135">
        <f>F135*(1-H135/100)*1.18</f>
        <v/>
      </c>
      <c r="J135">
        <f>הגדרות!C3</f>
        <v/>
      </c>
      <c r="K135">
        <f>הגדרות!D3</f>
        <v/>
      </c>
      <c r="L135">
        <f>I135*(1+J135/100)+K135</f>
        <v/>
      </c>
    </row>
    <row r="136">
      <c r="A136" t="inlineStr">
        <is>
          <t>Royal Canin חנויות</t>
        </is>
      </c>
      <c r="B136" t="inlineStr">
        <is>
          <t>SHN מקסי סטרטר 4 ק"ג</t>
        </is>
      </c>
      <c r="C136" t="inlineStr">
        <is>
          <t>תזונה מותאמת לגודל וגיל הכלב Size Health Nutrition</t>
        </is>
      </c>
      <c r="D136" t="inlineStr">
        <is>
          <t>3182550778770</t>
        </is>
      </c>
      <c r="E136" t="inlineStr">
        <is>
          <t>2026-01</t>
        </is>
      </c>
      <c r="F136" t="n">
        <v>155</v>
      </c>
      <c r="G136" t="n">
        <v>182.9</v>
      </c>
      <c r="H136">
        <f>הגדרות!B3</f>
        <v/>
      </c>
      <c r="I136">
        <f>F136*(1-H136/100)*1.18</f>
        <v/>
      </c>
      <c r="J136">
        <f>הגדרות!C3</f>
        <v/>
      </c>
      <c r="K136">
        <f>הגדרות!D3</f>
        <v/>
      </c>
      <c r="L136">
        <f>I136*(1+J136/100)+K136</f>
        <v/>
      </c>
    </row>
    <row r="137">
      <c r="A137" t="inlineStr">
        <is>
          <t>Royal Canin חנויות</t>
        </is>
      </c>
      <c r="B137" t="inlineStr">
        <is>
          <t>SHN מקסי סטרטר 15 ק"ג</t>
        </is>
      </c>
      <c r="C137" t="inlineStr">
        <is>
          <t>תזונה מותאמת לגודל וגיל הכלב Size Health Nutrition</t>
        </is>
      </c>
      <c r="D137" t="inlineStr">
        <is>
          <t>3182550778787</t>
        </is>
      </c>
      <c r="E137" t="inlineStr">
        <is>
          <t>2026-01</t>
        </is>
      </c>
      <c r="F137" t="n">
        <v>359</v>
      </c>
      <c r="G137" t="n">
        <v>423.62</v>
      </c>
      <c r="H137">
        <f>הגדרות!B3</f>
        <v/>
      </c>
      <c r="I137">
        <f>F137*(1-H137/100)*1.18</f>
        <v/>
      </c>
      <c r="J137">
        <f>הגדרות!C3</f>
        <v/>
      </c>
      <c r="K137">
        <f>הגדרות!D3</f>
        <v/>
      </c>
      <c r="L137">
        <f>I137*(1+J137/100)+K137</f>
        <v/>
      </c>
    </row>
    <row r="138">
      <c r="A138" t="inlineStr">
        <is>
          <t>Royal Canin חנויות</t>
        </is>
      </c>
      <c r="B138" t="inlineStr">
        <is>
          <t>SHN מקסי פאפי 4 ק"ג</t>
        </is>
      </c>
      <c r="C138" t="inlineStr">
        <is>
          <t>תזונה מותאמת לגודל וגיל הכלב Size Health Nutrition</t>
        </is>
      </c>
      <c r="D138" t="inlineStr">
        <is>
          <t>3182550402149</t>
        </is>
      </c>
      <c r="E138" t="inlineStr">
        <is>
          <t>2026-01</t>
        </is>
      </c>
      <c r="F138" t="n">
        <v>155</v>
      </c>
      <c r="G138" t="n">
        <v>182.9</v>
      </c>
      <c r="H138">
        <f>הגדרות!B3</f>
        <v/>
      </c>
      <c r="I138">
        <f>F138*(1-H138/100)*1.18</f>
        <v/>
      </c>
      <c r="J138">
        <f>הגדרות!C3</f>
        <v/>
      </c>
      <c r="K138">
        <f>הגדרות!D3</f>
        <v/>
      </c>
      <c r="L138">
        <f>I138*(1+J138/100)+K138</f>
        <v/>
      </c>
    </row>
    <row r="139">
      <c r="A139" t="inlineStr">
        <is>
          <t>Royal Canin חנויות</t>
        </is>
      </c>
      <c r="B139" t="inlineStr">
        <is>
          <t>SHN מקסי פאפי 12 ק"ג</t>
        </is>
      </c>
      <c r="C139" t="inlineStr">
        <is>
          <t>תזונה מותאמת לגודל וגיל הכלב Size Health Nutrition</t>
        </is>
      </c>
      <c r="D139" t="inlineStr">
        <is>
          <t>3182551065398</t>
        </is>
      </c>
      <c r="E139" t="inlineStr">
        <is>
          <t>2026-01</t>
        </is>
      </c>
      <c r="F139" t="n">
        <v>279</v>
      </c>
      <c r="G139" t="n">
        <v>329.22</v>
      </c>
      <c r="H139">
        <f>הגדרות!B3</f>
        <v/>
      </c>
      <c r="I139">
        <f>F139*(1-H139/100)*1.18</f>
        <v/>
      </c>
      <c r="J139">
        <f>הגדרות!C3</f>
        <v/>
      </c>
      <c r="K139">
        <f>הגדרות!D3</f>
        <v/>
      </c>
      <c r="L139">
        <f>I139*(1+J139/100)+K139</f>
        <v/>
      </c>
    </row>
    <row r="140">
      <c r="A140" t="inlineStr">
        <is>
          <t>Royal Canin חנויות</t>
        </is>
      </c>
      <c r="B140" t="inlineStr">
        <is>
          <t>SHN מקסי פאפי 15 ק"ג</t>
        </is>
      </c>
      <c r="C140" t="inlineStr">
        <is>
          <t>תזונה מותאמת לגודל וגיל הכלב Size Health Nutrition</t>
        </is>
      </c>
      <c r="D140" t="inlineStr">
        <is>
          <t>3182550402224</t>
        </is>
      </c>
      <c r="E140" t="inlineStr">
        <is>
          <t>2026-01</t>
        </is>
      </c>
      <c r="F140" t="n">
        <v>337</v>
      </c>
      <c r="G140" t="n">
        <v>397.66</v>
      </c>
      <c r="H140">
        <f>הגדרות!B3</f>
        <v/>
      </c>
      <c r="I140">
        <f>F140*(1-H140/100)*1.18</f>
        <v/>
      </c>
      <c r="J140">
        <f>הגדרות!C3</f>
        <v/>
      </c>
      <c r="K140">
        <f>הגדרות!D3</f>
        <v/>
      </c>
      <c r="L140">
        <f>I140*(1+J140/100)+K140</f>
        <v/>
      </c>
    </row>
    <row r="141">
      <c r="A141" t="inlineStr">
        <is>
          <t>Royal Canin חנויות</t>
        </is>
      </c>
      <c r="B141" t="inlineStr">
        <is>
          <t>SHN מקסי אדולט 4 ק"ג</t>
        </is>
      </c>
      <c r="C141" t="inlineStr">
        <is>
          <t>תזונה מותאמת לגודל וגיל הכלב Size Health Nutrition</t>
        </is>
      </c>
      <c r="D141" t="inlineStr">
        <is>
          <t>3182550732154</t>
        </is>
      </c>
      <c r="E141" t="inlineStr">
        <is>
          <t>2026-01</t>
        </is>
      </c>
      <c r="F141" t="n">
        <v>155</v>
      </c>
      <c r="G141" t="n">
        <v>182.9</v>
      </c>
      <c r="H141">
        <f>הגדרות!B3</f>
        <v/>
      </c>
      <c r="I141">
        <f>F141*(1-H141/100)*1.18</f>
        <v/>
      </c>
      <c r="J141">
        <f>הגדרות!C3</f>
        <v/>
      </c>
      <c r="K141">
        <f>הגדרות!D3</f>
        <v/>
      </c>
      <c r="L141">
        <f>I141*(1+J141/100)+K141</f>
        <v/>
      </c>
    </row>
    <row r="142">
      <c r="A142" t="inlineStr">
        <is>
          <t>Royal Canin חנויות</t>
        </is>
      </c>
      <c r="B142" t="inlineStr">
        <is>
          <t>SHN מקסי אדולט 12 ק"ג</t>
        </is>
      </c>
      <c r="C142" t="inlineStr">
        <is>
          <t>תזונה מותאמת לגודל וגיל הכלב Size Health Nutrition</t>
        </is>
      </c>
      <c r="D142" t="inlineStr">
        <is>
          <t>3182551065404</t>
        </is>
      </c>
      <c r="E142" t="inlineStr">
        <is>
          <t>2026-01</t>
        </is>
      </c>
      <c r="F142" t="n">
        <v>272</v>
      </c>
      <c r="G142" t="n">
        <v>320.96</v>
      </c>
      <c r="H142">
        <f>הגדרות!B3</f>
        <v/>
      </c>
      <c r="I142">
        <f>F142*(1-H142/100)*1.18</f>
        <v/>
      </c>
      <c r="J142">
        <f>הגדרות!C3</f>
        <v/>
      </c>
      <c r="K142">
        <f>הגדרות!D3</f>
        <v/>
      </c>
      <c r="L142">
        <f>I142*(1+J142/100)+K142</f>
        <v/>
      </c>
    </row>
    <row r="143">
      <c r="A143" t="inlineStr">
        <is>
          <t>Royal Canin חנויות</t>
        </is>
      </c>
      <c r="B143" t="inlineStr">
        <is>
          <t>SHN מקסי אדולט 15 ק"ג</t>
        </is>
      </c>
      <c r="C143" t="inlineStr">
        <is>
          <t>תזונה מותאמת לגודל וגיל הכלב Size Health Nutrition</t>
        </is>
      </c>
      <c r="D143" t="inlineStr">
        <is>
          <t>3182550732154</t>
        </is>
      </c>
      <c r="E143" t="inlineStr">
        <is>
          <t>2026-01</t>
        </is>
      </c>
      <c r="F143" t="n">
        <v>330</v>
      </c>
      <c r="G143" t="n">
        <v>389.4</v>
      </c>
      <c r="H143">
        <f>הגדרות!B3</f>
        <v/>
      </c>
      <c r="I143">
        <f>F143*(1-H143/100)*1.18</f>
        <v/>
      </c>
      <c r="J143">
        <f>הגדרות!C3</f>
        <v/>
      </c>
      <c r="K143">
        <f>הגדרות!D3</f>
        <v/>
      </c>
      <c r="L143">
        <f>I143*(1+J143/100)+K143</f>
        <v/>
      </c>
    </row>
    <row r="144">
      <c r="A144" t="inlineStr">
        <is>
          <t>Royal Canin חנויות</t>
        </is>
      </c>
      <c r="B144" t="inlineStr">
        <is>
          <t>SHN מקסי אדולט 15 +5 ק"ג</t>
        </is>
      </c>
      <c r="C144" t="inlineStr">
        <is>
          <t>תזונה מותאמת לגודל וגיל הכלב Size Health Nutrition</t>
        </is>
      </c>
      <c r="D144" t="inlineStr">
        <is>
          <t>3182550402316</t>
        </is>
      </c>
      <c r="E144" t="inlineStr">
        <is>
          <t>2026-01</t>
        </is>
      </c>
      <c r="F144" t="n">
        <v>349</v>
      </c>
      <c r="G144" t="n">
        <v>411.82</v>
      </c>
      <c r="H144">
        <f>הגדרות!B3</f>
        <v/>
      </c>
      <c r="I144">
        <f>F144*(1-H144/100)*1.18</f>
        <v/>
      </c>
      <c r="J144">
        <f>הגדרות!C3</f>
        <v/>
      </c>
      <c r="K144">
        <f>הגדרות!D3</f>
        <v/>
      </c>
      <c r="L144">
        <f>I144*(1+J144/100)+K144</f>
        <v/>
      </c>
    </row>
    <row r="145">
      <c r="A145" t="inlineStr">
        <is>
          <t>Royal Canin חנויות</t>
        </is>
      </c>
      <c r="B145" t="inlineStr">
        <is>
          <t>SHN מקסי אייג'ינג 15 +8 ק"ג</t>
        </is>
      </c>
      <c r="C145" t="inlineStr">
        <is>
          <t>תזונה מותאמת לגודל וגיל הכלב Size Health Nutrition</t>
        </is>
      </c>
      <c r="D145" t="inlineStr">
        <is>
          <t>3182550803113</t>
        </is>
      </c>
      <c r="E145" t="inlineStr">
        <is>
          <t>2026-01</t>
        </is>
      </c>
      <c r="F145" t="n">
        <v>355</v>
      </c>
      <c r="G145" t="n">
        <v>418.9</v>
      </c>
      <c r="H145">
        <f>הגדרות!B3</f>
        <v/>
      </c>
      <c r="I145">
        <f>F145*(1-H145/100)*1.18</f>
        <v/>
      </c>
      <c r="J145">
        <f>הגדרות!C3</f>
        <v/>
      </c>
      <c r="K145">
        <f>הגדרות!D3</f>
        <v/>
      </c>
      <c r="L145">
        <f>I145*(1+J145/100)+K145</f>
        <v/>
      </c>
    </row>
    <row r="146">
      <c r="A146" t="inlineStr">
        <is>
          <t>Royal Canin חנויות</t>
        </is>
      </c>
      <c r="B146" t="inlineStr">
        <is>
          <t>SHN ג'יאנט סטרטר 15 ק"ג</t>
        </is>
      </c>
      <c r="C146" t="inlineStr">
        <is>
          <t>תזונה מותאמת לגודל וגיל הכלב Size Health Nutrition</t>
        </is>
      </c>
      <c r="D146" t="inlineStr">
        <is>
          <t>3182550778831</t>
        </is>
      </c>
      <c r="E146" t="inlineStr">
        <is>
          <t>2026-01</t>
        </is>
      </c>
      <c r="F146" t="n">
        <v>390</v>
      </c>
      <c r="G146" t="n">
        <v>460.2</v>
      </c>
      <c r="H146">
        <f>הגדרות!B3</f>
        <v/>
      </c>
      <c r="I146">
        <f>F146*(1-H146/100)*1.18</f>
        <v/>
      </c>
      <c r="J146">
        <f>הגדרות!C3</f>
        <v/>
      </c>
      <c r="K146">
        <f>הגדרות!D3</f>
        <v/>
      </c>
      <c r="L146">
        <f>I146*(1+J146/100)+K146</f>
        <v/>
      </c>
    </row>
    <row r="147">
      <c r="A147" t="inlineStr">
        <is>
          <t>Royal Canin חנויות</t>
        </is>
      </c>
      <c r="B147" t="inlineStr">
        <is>
          <t>SHN ג'יאנט פאפי 15 ק"ג</t>
        </is>
      </c>
      <c r="C147" t="inlineStr">
        <is>
          <t>תזונה מותאמת לגודל וגיל הכלב Size Health Nutrition</t>
        </is>
      </c>
      <c r="D147" t="inlineStr">
        <is>
          <t>3182550707046</t>
        </is>
      </c>
      <c r="E147" t="inlineStr">
        <is>
          <t>2026-01</t>
        </is>
      </c>
      <c r="F147" t="n">
        <v>365</v>
      </c>
      <c r="G147" t="n">
        <v>430.7</v>
      </c>
      <c r="H147">
        <f>הגדרות!B3</f>
        <v/>
      </c>
      <c r="I147">
        <f>F147*(1-H147/100)*1.18</f>
        <v/>
      </c>
      <c r="J147">
        <f>הגדרות!C3</f>
        <v/>
      </c>
      <c r="K147">
        <f>הגדרות!D3</f>
        <v/>
      </c>
      <c r="L147">
        <f>I147*(1+J147/100)+K147</f>
        <v/>
      </c>
    </row>
    <row r="148">
      <c r="A148" t="inlineStr">
        <is>
          <t>Royal Canin חנויות</t>
        </is>
      </c>
      <c r="B148" t="inlineStr">
        <is>
          <t>SHN ג'יאנט ג'וניור 15 ק"ג</t>
        </is>
      </c>
      <c r="C148" t="inlineStr">
        <is>
          <t>תזונה מותאמת לגודל וגיל הכלב Size Health Nutrition</t>
        </is>
      </c>
      <c r="D148" t="inlineStr">
        <is>
          <t>3182550707077</t>
        </is>
      </c>
      <c r="E148" t="inlineStr">
        <is>
          <t>2026-01</t>
        </is>
      </c>
      <c r="F148" t="n">
        <v>365</v>
      </c>
      <c r="G148" t="n">
        <v>430.7</v>
      </c>
      <c r="H148">
        <f>הגדרות!B3</f>
        <v/>
      </c>
      <c r="I148">
        <f>F148*(1-H148/100)*1.18</f>
        <v/>
      </c>
      <c r="J148">
        <f>הגדרות!C3</f>
        <v/>
      </c>
      <c r="K148">
        <f>הגדרות!D3</f>
        <v/>
      </c>
      <c r="L148">
        <f>I148*(1+J148/100)+K148</f>
        <v/>
      </c>
    </row>
    <row r="149">
      <c r="A149" t="inlineStr">
        <is>
          <t>Royal Canin חנויות</t>
        </is>
      </c>
      <c r="B149" t="inlineStr">
        <is>
          <t>SHN ג'יאנט אדולט 15 ק"ג</t>
        </is>
      </c>
      <c r="C149" t="inlineStr">
        <is>
          <t>תזונה מותאמת לגודל וגיל הכלב Size Health Nutrition</t>
        </is>
      </c>
      <c r="D149" t="inlineStr">
        <is>
          <t>3182550703079</t>
        </is>
      </c>
      <c r="E149" t="inlineStr">
        <is>
          <t>2026-01</t>
        </is>
      </c>
      <c r="F149" t="n">
        <v>359</v>
      </c>
      <c r="G149" t="n">
        <v>423.62</v>
      </c>
      <c r="H149">
        <f>הגדרות!B3</f>
        <v/>
      </c>
      <c r="I149">
        <f>F149*(1-H149/100)*1.18</f>
        <v/>
      </c>
      <c r="J149">
        <f>הגדרות!C3</f>
        <v/>
      </c>
      <c r="K149">
        <f>הגדרות!D3</f>
        <v/>
      </c>
      <c r="L149">
        <f>I149*(1+J149/100)+K149</f>
        <v/>
      </c>
    </row>
    <row r="150">
      <c r="A150" t="inlineStr">
        <is>
          <t>Royal Canin חנויות</t>
        </is>
      </c>
      <c r="B150" t="inlineStr">
        <is>
          <t>CCN מיני אקסיג'נט 3 ק"ג</t>
        </is>
      </c>
      <c r="C150" t="inlineStr">
        <is>
          <t>תזונה מותאמת לגודל וגיל הכלב Size Health Nutrition</t>
        </is>
      </c>
      <c r="D150" t="inlineStr">
        <is>
          <t>3182550894050</t>
        </is>
      </c>
      <c r="E150" t="inlineStr">
        <is>
          <t>2026-01</t>
        </is>
      </c>
      <c r="F150" t="n">
        <v>149</v>
      </c>
      <c r="G150" t="n">
        <v>175.82</v>
      </c>
      <c r="H150">
        <f>הגדרות!B3</f>
        <v/>
      </c>
      <c r="I150">
        <f>F150*(1-H150/100)*1.18</f>
        <v/>
      </c>
      <c r="J150">
        <f>הגדרות!C3</f>
        <v/>
      </c>
      <c r="K150">
        <f>הגדרות!D3</f>
        <v/>
      </c>
      <c r="L150">
        <f>I150*(1+J150/100)+K150</f>
        <v/>
      </c>
    </row>
    <row r="151">
      <c r="A151" t="inlineStr">
        <is>
          <t>Royal Canin חנויות</t>
        </is>
      </c>
      <c r="B151" t="inlineStr">
        <is>
          <t>CCN מיני דייג'סטיב קייר 3 ק"ג</t>
        </is>
      </c>
      <c r="C151" t="inlineStr">
        <is>
          <t>תזונה מותאמת לגודל וגיל הכלב Size Health Nutrition</t>
        </is>
      </c>
      <c r="D151" t="inlineStr">
        <is>
          <t>3182550894012</t>
        </is>
      </c>
      <c r="E151" t="inlineStr">
        <is>
          <t>2026-01</t>
        </is>
      </c>
      <c r="F151" t="n">
        <v>149</v>
      </c>
      <c r="G151" t="n">
        <v>175.82</v>
      </c>
      <c r="H151">
        <f>הגדרות!B3</f>
        <v/>
      </c>
      <c r="I151">
        <f>F151*(1-H151/100)*1.18</f>
        <v/>
      </c>
      <c r="J151">
        <f>הגדרות!C3</f>
        <v/>
      </c>
      <c r="K151">
        <f>הגדרות!D3</f>
        <v/>
      </c>
      <c r="L151">
        <f>I151*(1+J151/100)+K151</f>
        <v/>
      </c>
    </row>
    <row r="152">
      <c r="A152" t="inlineStr">
        <is>
          <t>Royal Canin חנויות</t>
        </is>
      </c>
      <c r="B152" t="inlineStr">
        <is>
          <t>CCN מדיום דייג'סטיב קייר 12 ק"ג</t>
        </is>
      </c>
      <c r="C152" t="inlineStr">
        <is>
          <t>תזונה מותאמת לגודל וגיל הכלב Size Health Nutrition</t>
        </is>
      </c>
      <c r="D152" t="inlineStr">
        <is>
          <t>3182550928663</t>
        </is>
      </c>
      <c r="E152" t="inlineStr">
        <is>
          <t>2026-01</t>
        </is>
      </c>
      <c r="F152" t="n">
        <v>349</v>
      </c>
      <c r="G152" t="n">
        <v>411.82</v>
      </c>
      <c r="H152">
        <f>הגדרות!B3</f>
        <v/>
      </c>
      <c r="I152">
        <f>F152*(1-H152/100)*1.18</f>
        <v/>
      </c>
      <c r="J152">
        <f>הגדרות!C3</f>
        <v/>
      </c>
      <c r="K152">
        <f>הגדרות!D3</f>
        <v/>
      </c>
      <c r="L152">
        <f>I152*(1+J152/100)+K152</f>
        <v/>
      </c>
    </row>
    <row r="153">
      <c r="A153" t="inlineStr">
        <is>
          <t>Royal Canin חנויות</t>
        </is>
      </c>
      <c r="B153" t="inlineStr">
        <is>
          <t>CCN מיני דנטאל קייר 3 ק"ג</t>
        </is>
      </c>
      <c r="C153" t="inlineStr">
        <is>
          <t>תזונה מותאמת לגודל וגיל הכלב Size Health Nutrition</t>
        </is>
      </c>
      <c r="D153" t="inlineStr">
        <is>
          <t>3182550894371</t>
        </is>
      </c>
      <c r="E153" t="inlineStr">
        <is>
          <t>2026-01</t>
        </is>
      </c>
      <c r="F153" t="n">
        <v>149</v>
      </c>
      <c r="G153" t="n">
        <v>175.82</v>
      </c>
      <c r="H153">
        <f>הגדרות!B3</f>
        <v/>
      </c>
      <c r="I153">
        <f>F153*(1-H153/100)*1.18</f>
        <v/>
      </c>
      <c r="J153">
        <f>הגדרות!C3</f>
        <v/>
      </c>
      <c r="K153">
        <f>הגדרות!D3</f>
        <v/>
      </c>
      <c r="L153">
        <f>I153*(1+J153/100)+K153</f>
        <v/>
      </c>
    </row>
    <row r="154">
      <c r="A154" t="inlineStr">
        <is>
          <t>Royal Canin חנויות</t>
        </is>
      </c>
      <c r="B154" t="inlineStr">
        <is>
          <t>CCN מיני דרמה 3 ק"ג</t>
        </is>
      </c>
      <c r="C154" t="inlineStr">
        <is>
          <t>תזונה מותאמת לגודל וגיל הכלב Size Health Nutrition</t>
        </is>
      </c>
      <c r="D154" t="inlineStr">
        <is>
          <t>3182550893916</t>
        </is>
      </c>
      <c r="E154" t="inlineStr">
        <is>
          <t>2026-01</t>
        </is>
      </c>
      <c r="F154" t="n">
        <v>149</v>
      </c>
      <c r="G154" t="n">
        <v>175.82</v>
      </c>
      <c r="H154">
        <f>הגדרות!B3</f>
        <v/>
      </c>
      <c r="I154">
        <f>F154*(1-H154/100)*1.18</f>
        <v/>
      </c>
      <c r="J154">
        <f>הגדרות!C3</f>
        <v/>
      </c>
      <c r="K154">
        <f>הגדרות!D3</f>
        <v/>
      </c>
      <c r="L154">
        <f>I154*(1+J154/100)+K154</f>
        <v/>
      </c>
    </row>
    <row r="155">
      <c r="A155" t="inlineStr">
        <is>
          <t>Royal Canin חנויות</t>
        </is>
      </c>
      <c r="B155" t="inlineStr">
        <is>
          <t>CCN מדיום דרמה 12 ק"ג</t>
        </is>
      </c>
      <c r="C155" t="inlineStr">
        <is>
          <t>תזונה מותאמת לגודל וגיל הכלב Size Health Nutrition</t>
        </is>
      </c>
      <c r="D155" t="inlineStr">
        <is>
          <t>3182550928526</t>
        </is>
      </c>
      <c r="E155" t="inlineStr">
        <is>
          <t>2026-01</t>
        </is>
      </c>
      <c r="F155" t="n">
        <v>349</v>
      </c>
      <c r="G155" t="n">
        <v>411.82</v>
      </c>
      <c r="H155">
        <f>הגדרות!B3</f>
        <v/>
      </c>
      <c r="I155">
        <f>F155*(1-H155/100)*1.18</f>
        <v/>
      </c>
      <c r="J155">
        <f>הגדרות!C3</f>
        <v/>
      </c>
      <c r="K155">
        <f>הגדרות!D3</f>
        <v/>
      </c>
      <c r="L155">
        <f>I155*(1+J155/100)+K155</f>
        <v/>
      </c>
    </row>
    <row r="156">
      <c r="A156" t="inlineStr">
        <is>
          <t>Royal Canin חנויות</t>
        </is>
      </c>
      <c r="B156" t="inlineStr">
        <is>
          <t>CCN מקסי דרמה 12 ק"ג</t>
        </is>
      </c>
      <c r="C156" t="inlineStr">
        <is>
          <t>תזונה מותאמת לגודל וגיל הכלב Size Health Nutrition</t>
        </is>
      </c>
      <c r="D156" t="inlineStr">
        <is>
          <t>3182550928540</t>
        </is>
      </c>
      <c r="E156" t="inlineStr">
        <is>
          <t>2026-01</t>
        </is>
      </c>
      <c r="F156" t="n">
        <v>349</v>
      </c>
      <c r="G156" t="n">
        <v>411.82</v>
      </c>
      <c r="H156">
        <f>הגדרות!B3</f>
        <v/>
      </c>
      <c r="I156">
        <f>F156*(1-H156/100)*1.18</f>
        <v/>
      </c>
      <c r="J156">
        <f>הגדרות!C3</f>
        <v/>
      </c>
      <c r="K156">
        <f>הגדרות!D3</f>
        <v/>
      </c>
      <c r="L156">
        <f>I156*(1+J156/100)+K156</f>
        <v/>
      </c>
    </row>
    <row r="157">
      <c r="A157" t="inlineStr">
        <is>
          <t>Royal Canin חנויות</t>
        </is>
      </c>
      <c r="B157" t="inlineStr">
        <is>
          <t>CCN מיני לייט ווייט קייר 3 ק"ג</t>
        </is>
      </c>
      <c r="C157" t="inlineStr">
        <is>
          <t>תזונה מותאמת לגודל וגיל הכלב Size Health Nutrition</t>
        </is>
      </c>
      <c r="D157" t="inlineStr">
        <is>
          <t>3182550894104</t>
        </is>
      </c>
      <c r="E157" t="inlineStr">
        <is>
          <t>2026-01</t>
        </is>
      </c>
      <c r="F157" t="n">
        <v>149</v>
      </c>
      <c r="G157" t="n">
        <v>175.82</v>
      </c>
      <c r="H157">
        <f>הגדרות!B3</f>
        <v/>
      </c>
      <c r="I157">
        <f>F157*(1-H157/100)*1.18</f>
        <v/>
      </c>
      <c r="J157">
        <f>הגדרות!C3</f>
        <v/>
      </c>
      <c r="K157">
        <f>הגדרות!D3</f>
        <v/>
      </c>
      <c r="L157">
        <f>I157*(1+J157/100)+K157</f>
        <v/>
      </c>
    </row>
    <row r="158">
      <c r="A158" t="inlineStr">
        <is>
          <t>Royal Canin חנויות</t>
        </is>
      </c>
      <c r="B158" t="inlineStr">
        <is>
          <t>CCN מדיום לייט ווייט קייר 12 ק"ג</t>
        </is>
      </c>
      <c r="C158" t="inlineStr">
        <is>
          <t>תזונה מותאמת לגודל וגיל הכלב Size Health Nutrition</t>
        </is>
      </c>
      <c r="D158" t="inlineStr">
        <is>
          <t>3182550928588</t>
        </is>
      </c>
      <c r="E158" t="inlineStr">
        <is>
          <t>2026-01</t>
        </is>
      </c>
      <c r="F158" t="n">
        <v>349</v>
      </c>
      <c r="G158" t="n">
        <v>411.82</v>
      </c>
      <c r="H158">
        <f>הגדרות!B3</f>
        <v/>
      </c>
      <c r="I158">
        <f>F158*(1-H158/100)*1.18</f>
        <v/>
      </c>
      <c r="J158">
        <f>הגדרות!C3</f>
        <v/>
      </c>
      <c r="K158">
        <f>הגדרות!D3</f>
        <v/>
      </c>
      <c r="L158">
        <f>I158*(1+J158/100)+K158</f>
        <v/>
      </c>
    </row>
    <row r="159">
      <c r="A159" t="inlineStr">
        <is>
          <t>Royal Canin חנויות</t>
        </is>
      </c>
      <c r="B159" t="inlineStr">
        <is>
          <t>CCN מקסי לייט ווייט קייר 12 ק"ג</t>
        </is>
      </c>
      <c r="C159" t="inlineStr">
        <is>
          <t>תזונה מותאמת לגודל וגיל הכלב Size Health Nutrition</t>
        </is>
      </c>
      <c r="D159" t="inlineStr">
        <is>
          <t>3182550928625</t>
        </is>
      </c>
      <c r="E159" t="inlineStr">
        <is>
          <t>2026-01</t>
        </is>
      </c>
      <c r="F159" t="n">
        <v>349</v>
      </c>
      <c r="G159" t="n">
        <v>411.82</v>
      </c>
      <c r="H159">
        <f>הגדרות!B3</f>
        <v/>
      </c>
      <c r="I159">
        <f>F159*(1-H159/100)*1.18</f>
        <v/>
      </c>
      <c r="J159">
        <f>הגדרות!C3</f>
        <v/>
      </c>
      <c r="K159">
        <f>הגדרות!D3</f>
        <v/>
      </c>
      <c r="L159">
        <f>I159*(1+J159/100)+K159</f>
        <v/>
      </c>
    </row>
    <row r="160">
      <c r="A160" t="inlineStr">
        <is>
          <t>Royal Canin חנויות</t>
        </is>
      </c>
      <c r="B160" t="inlineStr">
        <is>
          <t>BHN 3182550722605 שיצו פאפי 1.5 ק"ג</t>
        </is>
      </c>
      <c r="C160" t="inlineStr">
        <is>
          <t>תזונה מותאמת לצרכיו הייחודיים של הכלב הגזעי Breed Health Nutrition</t>
        </is>
      </c>
      <c r="E160" t="inlineStr">
        <is>
          <t>2026-01</t>
        </is>
      </c>
      <c r="F160" t="n">
        <v>109</v>
      </c>
      <c r="G160" t="n">
        <v>128.62</v>
      </c>
      <c r="H160">
        <f>הגדרות!B3</f>
        <v/>
      </c>
      <c r="I160">
        <f>F160*(1-H160/100)*1.18</f>
        <v/>
      </c>
      <c r="J160">
        <f>הגדרות!C3</f>
        <v/>
      </c>
      <c r="K160">
        <f>הגדרות!D3</f>
        <v/>
      </c>
      <c r="L160">
        <f>I160*(1+J160/100)+K160</f>
        <v/>
      </c>
    </row>
    <row r="161">
      <c r="A161" t="inlineStr">
        <is>
          <t>Royal Canin חנויות</t>
        </is>
      </c>
      <c r="B161" t="inlineStr">
        <is>
          <t>BHN 3182550848442 שיצו אדולט 3 ק"ג</t>
        </is>
      </c>
      <c r="C161" t="inlineStr">
        <is>
          <t>תזונה מותאמת לצרכיו הייחודיים של הכלב הגזעי Breed Health Nutrition</t>
        </is>
      </c>
      <c r="E161" t="inlineStr">
        <is>
          <t>2026-01</t>
        </is>
      </c>
      <c r="F161" t="n">
        <v>145</v>
      </c>
      <c r="G161" t="n">
        <v>171.1</v>
      </c>
      <c r="H161">
        <f>הגדרות!B3</f>
        <v/>
      </c>
      <c r="I161">
        <f>F161*(1-H161/100)*1.18</f>
        <v/>
      </c>
      <c r="J161">
        <f>הגדרות!C3</f>
        <v/>
      </c>
      <c r="K161">
        <f>הגדרות!D3</f>
        <v/>
      </c>
      <c r="L161">
        <f>I161*(1+J161/100)+K161</f>
        <v/>
      </c>
    </row>
    <row r="162">
      <c r="A162" t="inlineStr">
        <is>
          <t>Royal Canin חנויות</t>
        </is>
      </c>
      <c r="B162" t="inlineStr">
        <is>
          <t>BHN 3182550748032 שיצו אדולט 7.5 ק"ג</t>
        </is>
      </c>
      <c r="C162" t="inlineStr">
        <is>
          <t>תזונה מותאמת לצרכיו הייחודיים של הכלב הגזעי Breed Health Nutrition</t>
        </is>
      </c>
      <c r="E162" t="inlineStr">
        <is>
          <t>2026-01</t>
        </is>
      </c>
      <c r="F162" t="n">
        <v>272</v>
      </c>
      <c r="G162" t="n">
        <v>320.96</v>
      </c>
      <c r="H162">
        <f>הגדרות!B3</f>
        <v/>
      </c>
      <c r="I162">
        <f>F162*(1-H162/100)*1.18</f>
        <v/>
      </c>
      <c r="J162">
        <f>הגדרות!C3</f>
        <v/>
      </c>
      <c r="K162">
        <f>הגדרות!D3</f>
        <v/>
      </c>
      <c r="L162">
        <f>I162*(1+J162/100)+K162</f>
        <v/>
      </c>
    </row>
    <row r="163">
      <c r="A163" t="inlineStr">
        <is>
          <t>Royal Canin חנויות</t>
        </is>
      </c>
      <c r="B163" t="inlineStr">
        <is>
          <t>BHN 3182550908443 פומרניאן אדולט 1.5 ק"ג</t>
        </is>
      </c>
      <c r="C163" t="inlineStr">
        <is>
          <t>תזונה מותאמת לצרכיו הייחודיים של הכלב הגזעי Breed Health Nutrition</t>
        </is>
      </c>
      <c r="E163" t="inlineStr">
        <is>
          <t>2026-01</t>
        </is>
      </c>
      <c r="F163" t="n">
        <v>105</v>
      </c>
      <c r="G163" t="n">
        <v>123.9</v>
      </c>
      <c r="H163">
        <f>הגדרות!B3</f>
        <v/>
      </c>
      <c r="I163">
        <f>F163*(1-H163/100)*1.18</f>
        <v/>
      </c>
      <c r="J163">
        <f>הגדרות!C3</f>
        <v/>
      </c>
      <c r="K163">
        <f>הגדרות!D3</f>
        <v/>
      </c>
      <c r="L163">
        <f>I163*(1+J163/100)+K163</f>
        <v/>
      </c>
    </row>
    <row r="164">
      <c r="A164" t="inlineStr">
        <is>
          <t>Royal Canin חנויות</t>
        </is>
      </c>
      <c r="B164" t="inlineStr">
        <is>
          <t>BHN 3182550908450 פומרניאן אדולט 3 ק"ג</t>
        </is>
      </c>
      <c r="C164" t="inlineStr">
        <is>
          <t>תזונה מותאמת לצרכיו הייחודיים של הכלב הגזעי Breed Health Nutrition</t>
        </is>
      </c>
      <c r="E164" t="inlineStr">
        <is>
          <t>2026-01</t>
        </is>
      </c>
      <c r="F164" t="n">
        <v>145</v>
      </c>
      <c r="G164" t="n">
        <v>171.1</v>
      </c>
      <c r="H164">
        <f>הגדרות!B3</f>
        <v/>
      </c>
      <c r="I164">
        <f>F164*(1-H164/100)*1.18</f>
        <v/>
      </c>
      <c r="J164">
        <f>הגדרות!C3</f>
        <v/>
      </c>
      <c r="K164">
        <f>הגדרות!D3</f>
        <v/>
      </c>
      <c r="L164">
        <f>I164*(1+J164/100)+K164</f>
        <v/>
      </c>
    </row>
    <row r="165">
      <c r="A165" t="inlineStr">
        <is>
          <t>Royal Canin חנויות</t>
        </is>
      </c>
      <c r="B165" t="inlineStr">
        <is>
          <t>BHN 3182550743471 יורקשייר פאפי 1.5 ק"ג</t>
        </is>
      </c>
      <c r="C165" t="inlineStr">
        <is>
          <t>תזונה מותאמת לצרכיו הייחודיים של הכלב הגזעי Breed Health Nutrition</t>
        </is>
      </c>
      <c r="E165" t="inlineStr">
        <is>
          <t>2026-01</t>
        </is>
      </c>
      <c r="F165" t="n">
        <v>109</v>
      </c>
      <c r="G165" t="n">
        <v>128.62</v>
      </c>
      <c r="H165">
        <f>הגדרות!B3</f>
        <v/>
      </c>
      <c r="I165">
        <f>F165*(1-H165/100)*1.18</f>
        <v/>
      </c>
      <c r="J165">
        <f>הגדרות!C3</f>
        <v/>
      </c>
      <c r="K165">
        <f>הגדרות!D3</f>
        <v/>
      </c>
      <c r="L165">
        <f>I165*(1+J165/100)+K165</f>
        <v/>
      </c>
    </row>
    <row r="166">
      <c r="A166" t="inlineStr">
        <is>
          <t>Royal Canin חנויות</t>
        </is>
      </c>
      <c r="B166" t="inlineStr">
        <is>
          <t>BHN 3182550716857 יורקשייר אדולט 1.5 ק"ג</t>
        </is>
      </c>
      <c r="C166" t="inlineStr">
        <is>
          <t>תזונה מותאמת לצרכיו הייחודיים של הכלב הגזעי Breed Health Nutrition</t>
        </is>
      </c>
      <c r="E166" t="inlineStr">
        <is>
          <t>2026-01</t>
        </is>
      </c>
      <c r="F166" t="n">
        <v>105</v>
      </c>
      <c r="G166" t="n">
        <v>123.9</v>
      </c>
      <c r="H166">
        <f>הגדרות!B3</f>
        <v/>
      </c>
      <c r="I166">
        <f>F166*(1-H166/100)*1.18</f>
        <v/>
      </c>
      <c r="J166">
        <f>הגדרות!C3</f>
        <v/>
      </c>
      <c r="K166">
        <f>הגדרות!D3</f>
        <v/>
      </c>
      <c r="L166">
        <f>I166*(1+J166/100)+K166</f>
        <v/>
      </c>
    </row>
    <row r="167">
      <c r="A167" t="inlineStr">
        <is>
          <t>Royal Canin חנויות</t>
        </is>
      </c>
      <c r="B167" t="inlineStr">
        <is>
          <t>BHN 3182550799768 יורקשייר אדולט 3 ק"ג</t>
        </is>
      </c>
      <c r="C167" t="inlineStr">
        <is>
          <t>תזונה מותאמת לצרכיו הייחודיים של הכלב הגזעי Breed Health Nutrition</t>
        </is>
      </c>
      <c r="E167" t="inlineStr">
        <is>
          <t>2026-01</t>
        </is>
      </c>
      <c r="F167" t="n">
        <v>145</v>
      </c>
      <c r="G167" t="n">
        <v>171.1</v>
      </c>
      <c r="H167">
        <f>הגדרות!B3</f>
        <v/>
      </c>
      <c r="I167">
        <f>F167*(1-H167/100)*1.18</f>
        <v/>
      </c>
      <c r="J167">
        <f>הגדרות!C3</f>
        <v/>
      </c>
      <c r="K167">
        <f>הגדרות!D3</f>
        <v/>
      </c>
      <c r="L167">
        <f>I167*(1+J167/100)+K167</f>
        <v/>
      </c>
    </row>
    <row r="168">
      <c r="A168" t="inlineStr">
        <is>
          <t>Royal Canin חנויות</t>
        </is>
      </c>
      <c r="B168" t="inlineStr">
        <is>
          <t>BHN 3182550765206 פודל פאפי 3 ק"ג</t>
        </is>
      </c>
      <c r="C168" t="inlineStr">
        <is>
          <t>תזונה מותאמת לצרכיו הייחודיים של הכלב הגזעי Breed Health Nutrition</t>
        </is>
      </c>
      <c r="E168" t="inlineStr">
        <is>
          <t>2026-01</t>
        </is>
      </c>
      <c r="F168" t="n">
        <v>145</v>
      </c>
      <c r="G168" t="n">
        <v>171.1</v>
      </c>
      <c r="H168">
        <f>הגדרות!B3</f>
        <v/>
      </c>
      <c r="I168">
        <f>F168*(1-H168/100)*1.18</f>
        <v/>
      </c>
      <c r="J168">
        <f>הגדרות!C3</f>
        <v/>
      </c>
      <c r="K168">
        <f>הגדרות!D3</f>
        <v/>
      </c>
      <c r="L168">
        <f>I168*(1+J168/100)+K168</f>
        <v/>
      </c>
    </row>
    <row r="169">
      <c r="A169" t="inlineStr">
        <is>
          <t>Royal Canin חנויות</t>
        </is>
      </c>
      <c r="B169" t="inlineStr">
        <is>
          <t>BHN 3182550743174 פודל אדולט 1.5 ק"ג</t>
        </is>
      </c>
      <c r="C169" t="inlineStr">
        <is>
          <t>תזונה מותאמת לצרכיו הייחודיים של הכלב הגזעי Breed Health Nutrition</t>
        </is>
      </c>
      <c r="E169" t="inlineStr">
        <is>
          <t>2026-01</t>
        </is>
      </c>
      <c r="F169" t="n">
        <v>105</v>
      </c>
      <c r="G169" t="n">
        <v>123.9</v>
      </c>
      <c r="H169">
        <f>הגדרות!B3</f>
        <v/>
      </c>
      <c r="I169">
        <f>F169*(1-H169/100)*1.18</f>
        <v/>
      </c>
      <c r="J169">
        <f>הגדרות!C3</f>
        <v/>
      </c>
      <c r="K169">
        <f>הגדרות!D3</f>
        <v/>
      </c>
      <c r="L169">
        <f>I169*(1+J169/100)+K169</f>
        <v/>
      </c>
    </row>
    <row r="170">
      <c r="A170" t="inlineStr">
        <is>
          <t>Royal Canin חנויות</t>
        </is>
      </c>
      <c r="B170" t="inlineStr">
        <is>
          <t>BHN 3182550867719 פודל אדולט 3 ק"ג</t>
        </is>
      </c>
      <c r="C170" t="inlineStr">
        <is>
          <t>תזונה מותאמת לצרכיו הייחודיים של הכלב הגזעי Breed Health Nutrition</t>
        </is>
      </c>
      <c r="E170" t="inlineStr">
        <is>
          <t>2026-01</t>
        </is>
      </c>
      <c r="F170" t="n">
        <v>145</v>
      </c>
      <c r="G170" t="n">
        <v>171.1</v>
      </c>
      <c r="H170">
        <f>הגדרות!B3</f>
        <v/>
      </c>
      <c r="I170">
        <f>F170*(1-H170/100)*1.18</f>
        <v/>
      </c>
      <c r="J170">
        <f>הגדרות!C3</f>
        <v/>
      </c>
      <c r="K170">
        <f>הגדרות!D3</f>
        <v/>
      </c>
      <c r="L170">
        <f>I170*(1+J170/100)+K170</f>
        <v/>
      </c>
    </row>
    <row r="171">
      <c r="A171" t="inlineStr">
        <is>
          <t>Royal Canin חנויות</t>
        </is>
      </c>
      <c r="B171" t="inlineStr">
        <is>
          <t>BHN 3182550716932 פודל אדולט 7.5 ק"ג</t>
        </is>
      </c>
      <c r="C171" t="inlineStr">
        <is>
          <t>תזונה מותאמת לצרכיו הייחודיים של הכלב הגזעי Breed Health Nutrition</t>
        </is>
      </c>
      <c r="E171" t="inlineStr">
        <is>
          <t>2026-01</t>
        </is>
      </c>
      <c r="F171" t="n">
        <v>272</v>
      </c>
      <c r="G171" t="n">
        <v>320.96</v>
      </c>
      <c r="H171">
        <f>הגדרות!B3</f>
        <v/>
      </c>
      <c r="I171">
        <f>F171*(1-H171/100)*1.18</f>
        <v/>
      </c>
      <c r="J171">
        <f>הגדרות!C3</f>
        <v/>
      </c>
      <c r="K171">
        <f>הגדרות!D3</f>
        <v/>
      </c>
      <c r="L171">
        <f>I171*(1+J171/100)+K171</f>
        <v/>
      </c>
    </row>
    <row r="172">
      <c r="A172" t="inlineStr">
        <is>
          <t>Royal Canin חנויות</t>
        </is>
      </c>
      <c r="B172" t="inlineStr">
        <is>
          <t>BHN 3182550722544 צ'יוואווה פאפי 1.5 ק"ג</t>
        </is>
      </c>
      <c r="C172" t="inlineStr">
        <is>
          <t>תזונה מותאמת לצרכיו הייחודיים של הכלב הגזעי Breed Health Nutrition</t>
        </is>
      </c>
      <c r="E172" t="inlineStr">
        <is>
          <t>2026-01</t>
        </is>
      </c>
      <c r="F172" t="n">
        <v>109</v>
      </c>
      <c r="G172" t="n">
        <v>128.62</v>
      </c>
      <c r="H172">
        <f>הגדרות!B3</f>
        <v/>
      </c>
      <c r="I172">
        <f>F172*(1-H172/100)*1.18</f>
        <v/>
      </c>
      <c r="J172">
        <f>הגדרות!C3</f>
        <v/>
      </c>
      <c r="K172">
        <f>הגדרות!D3</f>
        <v/>
      </c>
      <c r="L172">
        <f>I172*(1+J172/100)+K172</f>
        <v/>
      </c>
    </row>
    <row r="173">
      <c r="A173" t="inlineStr">
        <is>
          <t>Royal Canin חנויות</t>
        </is>
      </c>
      <c r="B173" t="inlineStr">
        <is>
          <t>BHN 3182550728102 צ'יוואווה אדולט 1.5 ק"ג</t>
        </is>
      </c>
      <c r="C173" t="inlineStr">
        <is>
          <t>תזונה מותאמת לצרכיו הייחודיים של הכלב הגזעי Breed Health Nutrition</t>
        </is>
      </c>
      <c r="E173" t="inlineStr">
        <is>
          <t>2026-01</t>
        </is>
      </c>
      <c r="F173" t="n">
        <v>105</v>
      </c>
      <c r="G173" t="n">
        <v>123.9</v>
      </c>
      <c r="H173">
        <f>הגדרות!B3</f>
        <v/>
      </c>
      <c r="I173">
        <f>F173*(1-H173/100)*1.18</f>
        <v/>
      </c>
      <c r="J173">
        <f>הגדרות!C3</f>
        <v/>
      </c>
      <c r="K173">
        <f>הגדרות!D3</f>
        <v/>
      </c>
      <c r="L173">
        <f>I173*(1+J173/100)+K173</f>
        <v/>
      </c>
    </row>
    <row r="174">
      <c r="A174" t="inlineStr">
        <is>
          <t>Royal Canin חנויות</t>
        </is>
      </c>
      <c r="B174" t="inlineStr">
        <is>
          <t>BHN 3182550782203 מלטז אדולט 1.5 ק"ג</t>
        </is>
      </c>
      <c r="C174" t="inlineStr">
        <is>
          <t>תזונה מותאמת לצרכיו הייחודיים של הכלב הגזעי Breed Health Nutrition</t>
        </is>
      </c>
      <c r="E174" t="inlineStr">
        <is>
          <t>2026-01</t>
        </is>
      </c>
      <c r="F174" t="n">
        <v>105</v>
      </c>
      <c r="G174" t="n">
        <v>123.9</v>
      </c>
      <c r="H174">
        <f>הגדרות!B3</f>
        <v/>
      </c>
      <c r="I174">
        <f>F174*(1-H174/100)*1.18</f>
        <v/>
      </c>
      <c r="J174">
        <f>הגדרות!C3</f>
        <v/>
      </c>
      <c r="K174">
        <f>הגדרות!D3</f>
        <v/>
      </c>
      <c r="L174">
        <f>I174*(1+J174/100)+K174</f>
        <v/>
      </c>
    </row>
    <row r="175">
      <c r="A175" t="inlineStr">
        <is>
          <t>Royal Canin חנויות</t>
        </is>
      </c>
      <c r="B175" t="inlineStr">
        <is>
          <t>BHN 3182550813051 קינג צ'ארלס פאפי 1.5 ק"ג</t>
        </is>
      </c>
      <c r="C175" t="inlineStr">
        <is>
          <t>תזונה מותאמת לצרכיו הייחודיים של הכלב הגזעי Breed Health Nutrition</t>
        </is>
      </c>
      <c r="E175" t="inlineStr">
        <is>
          <t>2026-01</t>
        </is>
      </c>
      <c r="F175" t="n">
        <v>109</v>
      </c>
      <c r="G175" t="n">
        <v>128.62</v>
      </c>
      <c r="H175">
        <f>הגדרות!B3</f>
        <v/>
      </c>
      <c r="I175">
        <f>F175*(1-H175/100)*1.18</f>
        <v/>
      </c>
      <c r="J175">
        <f>הגדרות!C3</f>
        <v/>
      </c>
      <c r="K175">
        <f>הגדרות!D3</f>
        <v/>
      </c>
      <c r="L175">
        <f>I175*(1+J175/100)+K175</f>
        <v/>
      </c>
    </row>
    <row r="176">
      <c r="A176" t="inlineStr">
        <is>
          <t>Royal Canin חנויות</t>
        </is>
      </c>
      <c r="B176" t="inlineStr">
        <is>
          <t>BHN 3182550777698 קינג צ'ארלס אדולט 3 ק"ג</t>
        </is>
      </c>
      <c r="C176" t="inlineStr">
        <is>
          <t>תזונה מותאמת לצרכיו הייחודיים של הכלב הגזעי Breed Health Nutrition</t>
        </is>
      </c>
      <c r="E176" t="inlineStr">
        <is>
          <t>2026-01</t>
        </is>
      </c>
      <c r="F176" t="n">
        <v>145</v>
      </c>
      <c r="G176" t="n">
        <v>171.1</v>
      </c>
      <c r="H176">
        <f>הגדרות!B3</f>
        <v/>
      </c>
      <c r="I176">
        <f>F176*(1-H176/100)*1.18</f>
        <v/>
      </c>
      <c r="J176">
        <f>הגדרות!C3</f>
        <v/>
      </c>
      <c r="K176">
        <f>הגדרות!D3</f>
        <v/>
      </c>
      <c r="L176">
        <f>I176*(1+J176/100)+K176</f>
        <v/>
      </c>
    </row>
    <row r="177">
      <c r="A177" t="inlineStr">
        <is>
          <t>Royal Canin חנויות</t>
        </is>
      </c>
      <c r="B177" t="inlineStr">
        <is>
          <t>BHN 3182550724159 רועה גרמני פאפי 12 ק"ג</t>
        </is>
      </c>
      <c r="C177" t="inlineStr">
        <is>
          <t>תזונה מותאמת לצרכיו הייחודיים של הכלב הגזעי Breed Health Nutrition</t>
        </is>
      </c>
      <c r="E177" t="inlineStr">
        <is>
          <t>2026-01</t>
        </is>
      </c>
      <c r="F177" t="n">
        <v>355</v>
      </c>
      <c r="G177" t="n">
        <v>418.9</v>
      </c>
      <c r="H177">
        <f>הגדרות!B3</f>
        <v/>
      </c>
      <c r="I177">
        <f>F177*(1-H177/100)*1.18</f>
        <v/>
      </c>
      <c r="J177">
        <f>הגדרות!C3</f>
        <v/>
      </c>
      <c r="K177">
        <f>הגדרות!D3</f>
        <v/>
      </c>
      <c r="L177">
        <f>I177*(1+J177/100)+K177</f>
        <v/>
      </c>
    </row>
    <row r="178">
      <c r="A178" t="inlineStr">
        <is>
          <t>Royal Canin חנויות</t>
        </is>
      </c>
      <c r="B178" t="inlineStr">
        <is>
          <t>BHN 3182550892759 רועה גרמני 11 ק"ג</t>
        </is>
      </c>
      <c r="C178" t="inlineStr">
        <is>
          <t>תזונה מותאמת לצרכיו הייחודיים של הכלב הגזעי Breed Health Nutrition</t>
        </is>
      </c>
      <c r="E178" t="inlineStr">
        <is>
          <t>2026-01</t>
        </is>
      </c>
      <c r="F178" t="n">
        <v>350</v>
      </c>
      <c r="G178" t="n">
        <v>413</v>
      </c>
      <c r="H178">
        <f>הגדרות!B3</f>
        <v/>
      </c>
      <c r="I178">
        <f>F178*(1-H178/100)*1.18</f>
        <v/>
      </c>
      <c r="J178">
        <f>הגדרות!C3</f>
        <v/>
      </c>
      <c r="K178">
        <f>הגדרות!D3</f>
        <v/>
      </c>
      <c r="L178">
        <f>I178*(1+J178/100)+K178</f>
        <v/>
      </c>
    </row>
    <row r="179">
      <c r="A179" t="inlineStr">
        <is>
          <t>Royal Canin חנויות</t>
        </is>
      </c>
      <c r="B179" t="inlineStr">
        <is>
          <t>אם וגורים מוס שימורים כלב 195 גר'</t>
        </is>
      </c>
      <c r="C179" t="inlineStr">
        <is>
          <t>מזון רטוב - כלבים</t>
        </is>
      </c>
      <c r="D179" t="inlineStr">
        <is>
          <t>9003579311462</t>
        </is>
      </c>
      <c r="E179" t="inlineStr">
        <is>
          <t>2026-01</t>
        </is>
      </c>
      <c r="F179" t="n">
        <v>140</v>
      </c>
      <c r="G179" t="n">
        <v>165.2</v>
      </c>
      <c r="H179">
        <f>הגדרות!B3</f>
        <v/>
      </c>
      <c r="I179">
        <f>F179*(1-H179/100)*1.18</f>
        <v/>
      </c>
      <c r="J179">
        <f>הגדרות!C3</f>
        <v/>
      </c>
      <c r="K179">
        <f>הגדרות!D3</f>
        <v/>
      </c>
      <c r="L179">
        <f>I179*(1+J179/100)+K179</f>
        <v/>
      </c>
    </row>
    <row r="180">
      <c r="A180" t="inlineStr">
        <is>
          <t>Royal Canin חנויות</t>
        </is>
      </c>
      <c r="B180" t="inlineStr">
        <is>
          <t>מיני פאפי פאוץ' 85X12 גר'</t>
        </is>
      </c>
      <c r="C180" t="inlineStr">
        <is>
          <t>מזון רטוב - כלבים</t>
        </is>
      </c>
      <c r="D180" t="inlineStr">
        <is>
          <t>9003579008201</t>
        </is>
      </c>
      <c r="E180" t="inlineStr">
        <is>
          <t>2026-01</t>
        </is>
      </c>
      <c r="F180" t="n">
        <v>82</v>
      </c>
      <c r="G180" t="n">
        <v>96.76000000000001</v>
      </c>
      <c r="H180">
        <f>הגדרות!B3</f>
        <v/>
      </c>
      <c r="I180">
        <f>F180*(1-H180/100)*1.18</f>
        <v/>
      </c>
      <c r="J180">
        <f>הגדרות!C3</f>
        <v/>
      </c>
      <c r="K180">
        <f>הגדרות!D3</f>
        <v/>
      </c>
      <c r="L180">
        <f>I180*(1+J180/100)+K180</f>
        <v/>
      </c>
    </row>
    <row r="181">
      <c r="A181" t="inlineStr">
        <is>
          <t>Royal Canin חנויות</t>
        </is>
      </c>
      <c r="B181" t="inlineStr">
        <is>
          <t>מיני אדולט שימורים 195x12 גר'</t>
        </is>
      </c>
      <c r="C181" t="inlineStr">
        <is>
          <t>מזון רטוב - כלבים</t>
        </is>
      </c>
      <c r="D181" t="inlineStr">
        <is>
          <t>9003579008324</t>
        </is>
      </c>
      <c r="E181" t="inlineStr">
        <is>
          <t>2026-01</t>
        </is>
      </c>
      <c r="F181" t="n">
        <v>120</v>
      </c>
      <c r="G181" t="n">
        <v>141.6</v>
      </c>
      <c r="H181">
        <f>הגדרות!B3</f>
        <v/>
      </c>
      <c r="I181">
        <f>F181*(1-H181/100)*1.18</f>
        <v/>
      </c>
      <c r="J181">
        <f>הגדרות!C3</f>
        <v/>
      </c>
      <c r="K181">
        <f>הגדרות!D3</f>
        <v/>
      </c>
      <c r="L181">
        <f>I181*(1+J181/100)+K181</f>
        <v/>
      </c>
    </row>
    <row r="182">
      <c r="A182" t="inlineStr">
        <is>
          <t>Royal Canin חנויות</t>
        </is>
      </c>
      <c r="B182" t="inlineStr">
        <is>
          <t>מיני אייג'ינג 12+ שימורים 195x12 גר'</t>
        </is>
      </c>
      <c r="C182" t="inlineStr">
        <is>
          <t>מזון רטוב - כלבים</t>
        </is>
      </c>
      <c r="D182" t="inlineStr">
        <is>
          <t>9003579008362</t>
        </is>
      </c>
      <c r="E182" t="inlineStr">
        <is>
          <t>2026-01</t>
        </is>
      </c>
      <c r="F182" t="n">
        <v>120</v>
      </c>
      <c r="G182" t="n">
        <v>141.6</v>
      </c>
      <c r="H182">
        <f>הגדרות!B3</f>
        <v/>
      </c>
      <c r="I182">
        <f>F182*(1-H182/100)*1.18</f>
        <v/>
      </c>
      <c r="J182">
        <f>הגדרות!C3</f>
        <v/>
      </c>
      <c r="K182">
        <f>הגדרות!D3</f>
        <v/>
      </c>
      <c r="L182">
        <f>I182*(1+J182/100)+K182</f>
        <v/>
      </c>
    </row>
    <row r="183">
      <c r="A183" t="inlineStr">
        <is>
          <t>Royal Canin חנויות</t>
        </is>
      </c>
      <c r="B183" t="inlineStr">
        <is>
          <t>מדיום פאפי פאוץ' 140X10 גר'</t>
        </is>
      </c>
      <c r="C183" t="inlineStr">
        <is>
          <t>מזון רטוב - כלבים</t>
        </is>
      </c>
      <c r="D183" t="inlineStr">
        <is>
          <t>9003579008447</t>
        </is>
      </c>
      <c r="E183" t="inlineStr">
        <is>
          <t>2026-01</t>
        </is>
      </c>
      <c r="F183" t="n">
        <v>94</v>
      </c>
      <c r="G183" t="n">
        <v>110.92</v>
      </c>
      <c r="H183">
        <f>הגדרות!B3</f>
        <v/>
      </c>
      <c r="I183">
        <f>F183*(1-H183/100)*1.18</f>
        <v/>
      </c>
      <c r="J183">
        <f>הגדרות!C3</f>
        <v/>
      </c>
      <c r="K183">
        <f>הגדרות!D3</f>
        <v/>
      </c>
      <c r="L183">
        <f>I183*(1+J183/100)+K183</f>
        <v/>
      </c>
    </row>
    <row r="184">
      <c r="A184" t="inlineStr">
        <is>
          <t>Royal Canin חנויות</t>
        </is>
      </c>
      <c r="B184" t="inlineStr">
        <is>
          <t>מדיום אדולט שימורים 410x12 גר'</t>
        </is>
      </c>
      <c r="C184" t="inlineStr">
        <is>
          <t>מזון רטוב - כלבים</t>
        </is>
      </c>
      <c r="D184" t="inlineStr">
        <is>
          <t>9003579029763</t>
        </is>
      </c>
      <c r="E184" t="inlineStr">
        <is>
          <t>2026-01</t>
        </is>
      </c>
      <c r="F184" t="n">
        <v>192</v>
      </c>
      <c r="G184" t="n">
        <v>226.56</v>
      </c>
      <c r="H184">
        <f>הגדרות!B3</f>
        <v/>
      </c>
      <c r="I184">
        <f>F184*(1-H184/100)*1.18</f>
        <v/>
      </c>
      <c r="J184">
        <f>הגדרות!C3</f>
        <v/>
      </c>
      <c r="K184">
        <f>הגדרות!D3</f>
        <v/>
      </c>
      <c r="L184">
        <f>I184*(1+J184/100)+K184</f>
        <v/>
      </c>
    </row>
    <row r="185">
      <c r="A185" t="inlineStr">
        <is>
          <t>Royal Canin חנויות</t>
        </is>
      </c>
      <c r="B185" t="inlineStr">
        <is>
          <t>מקסי פאפי פאוץ' 140X10 גר'</t>
        </is>
      </c>
      <c r="C185" t="inlineStr">
        <is>
          <t>מזון רטוב - כלבים</t>
        </is>
      </c>
      <c r="D185" t="inlineStr">
        <is>
          <t>9003579029633</t>
        </is>
      </c>
      <c r="E185" t="inlineStr">
        <is>
          <t>2026-01</t>
        </is>
      </c>
      <c r="F185" t="n">
        <v>94</v>
      </c>
      <c r="G185" t="n">
        <v>110.92</v>
      </c>
      <c r="H185">
        <f>הגדרות!B3</f>
        <v/>
      </c>
      <c r="I185">
        <f>F185*(1-H185/100)*1.18</f>
        <v/>
      </c>
      <c r="J185">
        <f>הגדרות!C3</f>
        <v/>
      </c>
      <c r="K185">
        <f>הגדרות!D3</f>
        <v/>
      </c>
      <c r="L185">
        <f>I185*(1+J185/100)+K185</f>
        <v/>
      </c>
    </row>
    <row r="186">
      <c r="A186" t="inlineStr">
        <is>
          <t>Royal Canin חנויות</t>
        </is>
      </c>
      <c r="B186" t="inlineStr">
        <is>
          <t>מקסי אדולט שימורים 410x12 גר'</t>
        </is>
      </c>
      <c r="C186" t="inlineStr">
        <is>
          <t>מזון רטוב - כלבים</t>
        </is>
      </c>
      <c r="D186" t="inlineStr">
        <is>
          <t>9003579029879</t>
        </is>
      </c>
      <c r="E186" t="inlineStr">
        <is>
          <t>2026-01</t>
        </is>
      </c>
      <c r="F186" t="n">
        <v>192</v>
      </c>
      <c r="G186" t="n">
        <v>226.56</v>
      </c>
      <c r="H186">
        <f>הגדרות!B3</f>
        <v/>
      </c>
      <c r="I186">
        <f>F186*(1-H186/100)*1.18</f>
        <v/>
      </c>
      <c r="J186">
        <f>הגדרות!C3</f>
        <v/>
      </c>
      <c r="K186">
        <f>הגדרות!D3</f>
        <v/>
      </c>
      <c r="L186">
        <f>I186*(1+J186/100)+K186</f>
        <v/>
      </c>
    </row>
    <row r="187">
      <c r="A187" t="inlineStr">
        <is>
          <t>Royal Canin חנויות</t>
        </is>
      </c>
      <c r="B187" t="inlineStr">
        <is>
          <t>9003579001448 יורקשייר פאוץ' 85X12 גר'</t>
        </is>
      </c>
      <c r="C187" t="inlineStr">
        <is>
          <t>מזון רטוב - כלבים</t>
        </is>
      </c>
      <c r="E187" t="inlineStr">
        <is>
          <t>2026-01</t>
        </is>
      </c>
      <c r="F187" t="n">
        <v>82</v>
      </c>
      <c r="G187" t="n">
        <v>96.76000000000001</v>
      </c>
      <c r="H187">
        <f>הגדרות!B3</f>
        <v/>
      </c>
      <c r="I187">
        <f>F187*(1-H187/100)*1.18</f>
        <v/>
      </c>
      <c r="J187">
        <f>הגדרות!C3</f>
        <v/>
      </c>
      <c r="K187">
        <f>הגדרות!D3</f>
        <v/>
      </c>
      <c r="L187">
        <f>I187*(1+J187/100)+K187</f>
        <v/>
      </c>
    </row>
    <row r="188">
      <c r="A188" t="inlineStr">
        <is>
          <t>Royal Canin חנויות</t>
        </is>
      </c>
      <c r="B188" t="inlineStr">
        <is>
          <t>9003579001653 פודל פאוץ' 85X12 גר'</t>
        </is>
      </c>
      <c r="C188" t="inlineStr">
        <is>
          <t>מזון רטוב - כלבים</t>
        </is>
      </c>
      <c r="E188" t="inlineStr">
        <is>
          <t>2026-01</t>
        </is>
      </c>
      <c r="F188" t="n">
        <v>82</v>
      </c>
      <c r="G188" t="n">
        <v>96.76000000000001</v>
      </c>
      <c r="H188">
        <f>הגדרות!B3</f>
        <v/>
      </c>
      <c r="I188">
        <f>F188*(1-H188/100)*1.18</f>
        <v/>
      </c>
      <c r="J188">
        <f>הגדרות!C3</f>
        <v/>
      </c>
      <c r="K188">
        <f>הגדרות!D3</f>
        <v/>
      </c>
      <c r="L188">
        <f>I188*(1+J188/100)+K188</f>
        <v/>
      </c>
    </row>
    <row r="189">
      <c r="A189" t="inlineStr">
        <is>
          <t>Royal Canin חנויות</t>
        </is>
      </c>
      <c r="B189" t="inlineStr">
        <is>
          <t>9003579013755 פומרניאן פאוץ' 85X12 גר'</t>
        </is>
      </c>
      <c r="C189" t="inlineStr">
        <is>
          <t>מזון רטוב - כלבים</t>
        </is>
      </c>
      <c r="E189" t="inlineStr">
        <is>
          <t>2026-01</t>
        </is>
      </c>
      <c r="F189" t="n">
        <v>82</v>
      </c>
      <c r="G189" t="n">
        <v>96.76000000000001</v>
      </c>
      <c r="H189">
        <f>הגדרות!B3</f>
        <v/>
      </c>
      <c r="I189">
        <f>F189*(1-H189/100)*1.18</f>
        <v/>
      </c>
      <c r="J189">
        <f>הגדרות!C3</f>
        <v/>
      </c>
      <c r="K189">
        <f>הגדרות!D3</f>
        <v/>
      </c>
      <c r="L189">
        <f>I189*(1+J189/100)+K189</f>
        <v/>
      </c>
    </row>
    <row r="190">
      <c r="A190" t="inlineStr">
        <is>
          <t>Royal Canin חנויות</t>
        </is>
      </c>
      <c r="B190" t="inlineStr">
        <is>
          <t>9003579001516 צ'יוואווה פאוץ' 85X12 גר'</t>
        </is>
      </c>
      <c r="C190" t="inlineStr">
        <is>
          <t>מזון רטוב - כלבים</t>
        </is>
      </c>
      <c r="E190" t="inlineStr">
        <is>
          <t>2026-01</t>
        </is>
      </c>
      <c r="F190" t="n">
        <v>82</v>
      </c>
      <c r="G190" t="n">
        <v>96.76000000000001</v>
      </c>
      <c r="H190">
        <f>הגדרות!B3</f>
        <v/>
      </c>
      <c r="I190">
        <f>F190*(1-H190/100)*1.18</f>
        <v/>
      </c>
      <c r="J190">
        <f>הגדרות!C3</f>
        <v/>
      </c>
      <c r="K190">
        <f>הגדרות!D3</f>
        <v/>
      </c>
      <c r="L190">
        <f>I190*(1+J190/100)+K190</f>
        <v/>
      </c>
    </row>
    <row r="191">
      <c r="A191" t="inlineStr">
        <is>
          <t>Royal Canin חנויות</t>
        </is>
      </c>
      <c r="B191" t="inlineStr">
        <is>
          <t>7908248300551 שיצו פאוץ' 85X12 גר'</t>
        </is>
      </c>
      <c r="C191" t="inlineStr">
        <is>
          <t>מזון רטוב - כלבים</t>
        </is>
      </c>
      <c r="E191" t="inlineStr">
        <is>
          <t>2026-01</t>
        </is>
      </c>
      <c r="F191" t="n">
        <v>82</v>
      </c>
      <c r="G191" t="n">
        <v>96.76000000000001</v>
      </c>
      <c r="H191">
        <f>הגדרות!B3</f>
        <v/>
      </c>
      <c r="I191">
        <f>F191*(1-H191/100)*1.18</f>
        <v/>
      </c>
      <c r="J191">
        <f>הגדרות!C3</f>
        <v/>
      </c>
      <c r="K191">
        <f>הגדרות!D3</f>
        <v/>
      </c>
      <c r="L191">
        <f>I191*(1+J191/100)+K191</f>
        <v/>
      </c>
    </row>
    <row r="192">
      <c r="A192" t="inlineStr">
        <is>
          <t>Royal Canin חנויות</t>
        </is>
      </c>
      <c r="B192" t="inlineStr">
        <is>
          <t>CCN אקסיג'נט פאוץ' 85X12 גר'</t>
        </is>
      </c>
      <c r="C192" t="inlineStr">
        <is>
          <t>מזון רטוב - כלבים</t>
        </is>
      </c>
      <c r="D192" t="inlineStr">
        <is>
          <t>9003579009451</t>
        </is>
      </c>
      <c r="E192" t="inlineStr">
        <is>
          <t>2026-01</t>
        </is>
      </c>
      <c r="F192" t="n">
        <v>82</v>
      </c>
      <c r="G192" t="n">
        <v>96.76000000000001</v>
      </c>
      <c r="H192">
        <f>הגדרות!B3</f>
        <v/>
      </c>
      <c r="I192">
        <f>F192*(1-H192/100)*1.18</f>
        <v/>
      </c>
      <c r="J192">
        <f>הגדרות!C3</f>
        <v/>
      </c>
      <c r="K192">
        <f>הגדרות!D3</f>
        <v/>
      </c>
      <c r="L192">
        <f>I192*(1+J192/100)+K192</f>
        <v/>
      </c>
    </row>
    <row r="193">
      <c r="A193" t="inlineStr">
        <is>
          <t>Royal Canin חנויות</t>
        </is>
      </c>
      <c r="B193" t="inlineStr">
        <is>
          <t>CCN דייג'סטיב קייר פאוץ' 85X12 גר'</t>
        </is>
      </c>
      <c r="C193" t="inlineStr">
        <is>
          <t>מזון רטוב - כלבים</t>
        </is>
      </c>
      <c r="D193" t="inlineStr">
        <is>
          <t>9003579008775</t>
        </is>
      </c>
      <c r="E193" t="inlineStr">
        <is>
          <t>2026-01</t>
        </is>
      </c>
      <c r="F193" t="n">
        <v>82</v>
      </c>
      <c r="G193" t="n">
        <v>96.76000000000001</v>
      </c>
      <c r="H193">
        <f>הגדרות!B3</f>
        <v/>
      </c>
      <c r="I193">
        <f>F193*(1-H193/100)*1.18</f>
        <v/>
      </c>
      <c r="J193">
        <f>הגדרות!C3</f>
        <v/>
      </c>
      <c r="K193">
        <f>הגדרות!D3</f>
        <v/>
      </c>
      <c r="L193">
        <f>I193*(1+J193/100)+K193</f>
        <v/>
      </c>
    </row>
    <row r="194">
      <c r="A194" t="inlineStr">
        <is>
          <t>Royal Canin חנויות</t>
        </is>
      </c>
      <c r="B194" t="inlineStr">
        <is>
          <t>CCN דרמה קומפורט פאוץ' 85X12 גר'</t>
        </is>
      </c>
      <c r="C194" t="inlineStr">
        <is>
          <t>מזון רטוב - כלבים</t>
        </is>
      </c>
      <c r="D194" t="inlineStr">
        <is>
          <t>9003579008812</t>
        </is>
      </c>
      <c r="E194" t="inlineStr">
        <is>
          <t>2026-01</t>
        </is>
      </c>
      <c r="F194" t="n">
        <v>82</v>
      </c>
      <c r="G194" t="n">
        <v>96.76000000000001</v>
      </c>
      <c r="H194">
        <f>הגדרות!B3</f>
        <v/>
      </c>
      <c r="I194">
        <f>F194*(1-H194/100)*1.18</f>
        <v/>
      </c>
      <c r="J194">
        <f>הגדרות!C3</f>
        <v/>
      </c>
      <c r="K194">
        <f>הגדרות!D3</f>
        <v/>
      </c>
      <c r="L194">
        <f>I194*(1+J194/100)+K194</f>
        <v/>
      </c>
    </row>
    <row r="195">
      <c r="A195" t="inlineStr">
        <is>
          <t>Royal Canin חנויות</t>
        </is>
      </c>
      <c r="B195" t="inlineStr">
        <is>
          <t>CCN לייט ווייט פאוץ' 85X12 גר'</t>
        </is>
      </c>
      <c r="C195" t="inlineStr">
        <is>
          <t>מזון רטוב - כלבים</t>
        </is>
      </c>
      <c r="D195" t="inlineStr">
        <is>
          <t>9003579008690</t>
        </is>
      </c>
      <c r="E195" t="inlineStr">
        <is>
          <t>2026-01</t>
        </is>
      </c>
      <c r="F195" t="n">
        <v>82</v>
      </c>
      <c r="G195" t="n">
        <v>96.76000000000001</v>
      </c>
      <c r="H195">
        <f>הגדרות!B3</f>
        <v/>
      </c>
      <c r="I195">
        <f>F195*(1-H195/100)*1.18</f>
        <v/>
      </c>
      <c r="J195">
        <f>הגדרות!C3</f>
        <v/>
      </c>
      <c r="K195">
        <f>הגדרות!D3</f>
        <v/>
      </c>
      <c r="L195">
        <f>I195*(1+J195/100)+K195</f>
        <v/>
      </c>
    </row>
    <row r="196">
      <c r="A196" t="inlineStr">
        <is>
          <t>Royal Canin חנויות</t>
        </is>
      </c>
      <c r="B196" t="inlineStr">
        <is>
          <t>FHN אם וגורים חתול 2 ק"ג</t>
        </is>
      </c>
      <c r="C196" t="inlineStr">
        <is>
          <t>תזונה מותאמת לצרכיו המשתנים של החתול Feline Health Nutriotion</t>
        </is>
      </c>
      <c r="D196" t="inlineStr">
        <is>
          <t>3182550707312</t>
        </is>
      </c>
      <c r="E196" t="inlineStr">
        <is>
          <t>2026-01</t>
        </is>
      </c>
      <c r="F196" t="n">
        <v>115</v>
      </c>
      <c r="G196" t="n">
        <v>135.7</v>
      </c>
      <c r="H196">
        <f>הגדרות!B3</f>
        <v/>
      </c>
      <c r="I196">
        <f>F196*(1-H196/100)*1.18</f>
        <v/>
      </c>
      <c r="J196">
        <f>הגדרות!C3</f>
        <v/>
      </c>
      <c r="K196">
        <f>הגדרות!D3</f>
        <v/>
      </c>
      <c r="L196">
        <f>I196*(1+J196/100)+K196</f>
        <v/>
      </c>
    </row>
    <row r="197">
      <c r="A197" t="inlineStr">
        <is>
          <t>Royal Canin חנויות</t>
        </is>
      </c>
      <c r="B197" t="inlineStr">
        <is>
          <t>FHN אם וגורים חתול 4 ק"ג</t>
        </is>
      </c>
      <c r="C197" t="inlineStr">
        <is>
          <t>תזונה מותאמת לצרכיו המשתנים של החתול Feline Health Nutriotion</t>
        </is>
      </c>
      <c r="D197" t="inlineStr">
        <is>
          <t>3182550707329</t>
        </is>
      </c>
      <c r="E197" t="inlineStr">
        <is>
          <t>2026-01</t>
        </is>
      </c>
      <c r="F197" t="n">
        <v>179</v>
      </c>
      <c r="G197" t="n">
        <v>211.22</v>
      </c>
      <c r="H197">
        <f>הגדרות!B3</f>
        <v/>
      </c>
      <c r="I197">
        <f>F197*(1-H197/100)*1.18</f>
        <v/>
      </c>
      <c r="J197">
        <f>הגדרות!C3</f>
        <v/>
      </c>
      <c r="K197">
        <f>הגדרות!D3</f>
        <v/>
      </c>
      <c r="L197">
        <f>I197*(1+J197/100)+K197</f>
        <v/>
      </c>
    </row>
    <row r="198">
      <c r="A198" t="inlineStr">
        <is>
          <t>Royal Canin חנויות</t>
        </is>
      </c>
      <c r="B198" t="inlineStr">
        <is>
          <t>FHN אם וגורים חתול 10 ק"ג</t>
        </is>
      </c>
      <c r="C198" t="inlineStr">
        <is>
          <t>תזונה מותאמת לצרכיו המשתנים של החתול Feline Health Nutriotion</t>
        </is>
      </c>
      <c r="D198" t="inlineStr">
        <is>
          <t>3182550931038</t>
        </is>
      </c>
      <c r="E198" t="inlineStr">
        <is>
          <t>2026-01</t>
        </is>
      </c>
      <c r="F198" t="n">
        <v>339</v>
      </c>
      <c r="G198" t="n">
        <v>400.02</v>
      </c>
      <c r="H198">
        <f>הגדרות!B3</f>
        <v/>
      </c>
      <c r="I198">
        <f>F198*(1-H198/100)*1.18</f>
        <v/>
      </c>
      <c r="J198">
        <f>הגדרות!C3</f>
        <v/>
      </c>
      <c r="K198">
        <f>הגדרות!D3</f>
        <v/>
      </c>
      <c r="L198">
        <f>I198*(1+J198/100)+K198</f>
        <v/>
      </c>
    </row>
    <row r="199">
      <c r="A199" t="inlineStr">
        <is>
          <t>Royal Canin חנויות</t>
        </is>
      </c>
      <c r="B199" t="inlineStr">
        <is>
          <t>FHN קיטן 2 ק"ג</t>
        </is>
      </c>
      <c r="C199" t="inlineStr">
        <is>
          <t>תזונה מותאמת לצרכיו המשתנים של החתול Feline Health Nutriotion</t>
        </is>
      </c>
      <c r="D199" t="inlineStr">
        <is>
          <t>3182550702423</t>
        </is>
      </c>
      <c r="E199" t="inlineStr">
        <is>
          <t>2026-01</t>
        </is>
      </c>
      <c r="F199" t="n">
        <v>115</v>
      </c>
      <c r="G199" t="n">
        <v>135.7</v>
      </c>
      <c r="H199">
        <f>הגדרות!B3</f>
        <v/>
      </c>
      <c r="I199">
        <f>F199*(1-H199/100)*1.18</f>
        <v/>
      </c>
      <c r="J199">
        <f>הגדרות!C3</f>
        <v/>
      </c>
      <c r="K199">
        <f>הגדרות!D3</f>
        <v/>
      </c>
      <c r="L199">
        <f>I199*(1+J199/100)+K199</f>
        <v/>
      </c>
    </row>
    <row r="200">
      <c r="A200" t="inlineStr">
        <is>
          <t>Royal Canin חנויות</t>
        </is>
      </c>
      <c r="B200" t="inlineStr">
        <is>
          <t>FHN קיטן 4 ק"ג</t>
        </is>
      </c>
      <c r="C200" t="inlineStr">
        <is>
          <t>תזונה מותאמת לצרכיו המשתנים של החתול Feline Health Nutriotion</t>
        </is>
      </c>
      <c r="D200" t="inlineStr">
        <is>
          <t>3182550702447</t>
        </is>
      </c>
      <c r="E200" t="inlineStr">
        <is>
          <t>2026-01</t>
        </is>
      </c>
      <c r="F200" t="n">
        <v>179</v>
      </c>
      <c r="G200" t="n">
        <v>211.22</v>
      </c>
      <c r="H200">
        <f>הגדרות!B3</f>
        <v/>
      </c>
      <c r="I200">
        <f>F200*(1-H200/100)*1.18</f>
        <v/>
      </c>
      <c r="J200">
        <f>הגדרות!C3</f>
        <v/>
      </c>
      <c r="K200">
        <f>הגדרות!D3</f>
        <v/>
      </c>
      <c r="L200">
        <f>I200*(1+J200/100)+K200</f>
        <v/>
      </c>
    </row>
    <row r="201">
      <c r="A201" t="inlineStr">
        <is>
          <t>Royal Canin חנויות</t>
        </is>
      </c>
      <c r="B201" t="inlineStr">
        <is>
          <t>FHN קיטן 10 ק"ג</t>
        </is>
      </c>
      <c r="C201" t="inlineStr">
        <is>
          <t>תזונה מותאמת לצרכיו המשתנים של החתול Feline Health Nutriotion</t>
        </is>
      </c>
      <c r="D201" t="inlineStr">
        <is>
          <t>3182550702973</t>
        </is>
      </c>
      <c r="E201" t="inlineStr">
        <is>
          <t>2026-01</t>
        </is>
      </c>
      <c r="F201" t="n">
        <v>329</v>
      </c>
      <c r="G201" t="n">
        <v>388.22</v>
      </c>
      <c r="H201">
        <f>הגדרות!B3</f>
        <v/>
      </c>
      <c r="I201">
        <f>F201*(1-H201/100)*1.18</f>
        <v/>
      </c>
      <c r="J201">
        <f>הגדרות!C3</f>
        <v/>
      </c>
      <c r="K201">
        <f>הגדרות!D3</f>
        <v/>
      </c>
      <c r="L201">
        <f>I201*(1+J201/100)+K201</f>
        <v/>
      </c>
    </row>
    <row r="202">
      <c r="A202" t="inlineStr">
        <is>
          <t>Royal Canin חנויות</t>
        </is>
      </c>
      <c r="B202" t="inlineStr">
        <is>
          <t>FHN פיט 32 חתול 2 ק"ג</t>
        </is>
      </c>
      <c r="C202" t="inlineStr">
        <is>
          <t>תזונה מותאמת לצרכיו המשתנים של החתול Feline Health Nutriotion</t>
        </is>
      </c>
      <c r="D202" t="inlineStr">
        <is>
          <t>3182550702201</t>
        </is>
      </c>
      <c r="E202" t="inlineStr">
        <is>
          <t>2026-01</t>
        </is>
      </c>
      <c r="F202" t="n">
        <v>110</v>
      </c>
      <c r="G202" t="n">
        <v>129.8</v>
      </c>
      <c r="H202">
        <f>הגדרות!B3</f>
        <v/>
      </c>
      <c r="I202">
        <f>F202*(1-H202/100)*1.18</f>
        <v/>
      </c>
      <c r="J202">
        <f>הגדרות!C3</f>
        <v/>
      </c>
      <c r="K202">
        <f>הגדרות!D3</f>
        <v/>
      </c>
      <c r="L202">
        <f>I202*(1+J202/100)+K202</f>
        <v/>
      </c>
    </row>
    <row r="203">
      <c r="A203" t="inlineStr">
        <is>
          <t>Royal Canin חנויות</t>
        </is>
      </c>
      <c r="B203" t="inlineStr">
        <is>
          <t>FHN פיט 32 חתול 4 ק"ג</t>
        </is>
      </c>
      <c r="C203" t="inlineStr">
        <is>
          <t>תזונה מותאמת לצרכיו המשתנים של החתול Feline Health Nutriotion</t>
        </is>
      </c>
      <c r="D203" t="inlineStr">
        <is>
          <t>3182550702225</t>
        </is>
      </c>
      <c r="E203" t="inlineStr">
        <is>
          <t>2026-01</t>
        </is>
      </c>
      <c r="F203" t="n">
        <v>175</v>
      </c>
      <c r="G203" t="n">
        <v>206.5</v>
      </c>
      <c r="H203">
        <f>הגדרות!B3</f>
        <v/>
      </c>
      <c r="I203">
        <f>F203*(1-H203/100)*1.18</f>
        <v/>
      </c>
      <c r="J203">
        <f>הגדרות!C3</f>
        <v/>
      </c>
      <c r="K203">
        <f>הגדרות!D3</f>
        <v/>
      </c>
      <c r="L203">
        <f>I203*(1+J203/100)+K203</f>
        <v/>
      </c>
    </row>
    <row r="204">
      <c r="A204" t="inlineStr">
        <is>
          <t>Royal Canin חנויות</t>
        </is>
      </c>
      <c r="B204" t="inlineStr">
        <is>
          <t>FHN פיט 32 חתול 10 ק"ג</t>
        </is>
      </c>
      <c r="C204" t="inlineStr">
        <is>
          <t>תזונה מותאמת לצרכיו המשתנים של החתול Feline Health Nutriotion</t>
        </is>
      </c>
      <c r="D204" t="inlineStr">
        <is>
          <t>3182550702249</t>
        </is>
      </c>
      <c r="E204" t="inlineStr">
        <is>
          <t>2026-01</t>
        </is>
      </c>
      <c r="F204" t="n">
        <v>315</v>
      </c>
      <c r="G204" t="n">
        <v>371.7</v>
      </c>
      <c r="H204">
        <f>הגדרות!B3</f>
        <v/>
      </c>
      <c r="I204">
        <f>F204*(1-H204/100)*1.18</f>
        <v/>
      </c>
      <c r="J204">
        <f>הגדרות!C3</f>
        <v/>
      </c>
      <c r="K204">
        <f>הגדרות!D3</f>
        <v/>
      </c>
      <c r="L204">
        <f>I204*(1+J204/100)+K204</f>
        <v/>
      </c>
    </row>
    <row r="205">
      <c r="A205" t="inlineStr">
        <is>
          <t>Royal Canin חנויות</t>
        </is>
      </c>
      <c r="B205" t="inlineStr">
        <is>
          <t>FHN פיט 32 חתול 15 ק"ג</t>
        </is>
      </c>
      <c r="C205" t="inlineStr">
        <is>
          <t>תזונה מותאמת לצרכיו המשתנים של החתול Feline Health Nutriotion</t>
        </is>
      </c>
      <c r="D205" t="inlineStr">
        <is>
          <t>3182550702256</t>
        </is>
      </c>
      <c r="E205" t="inlineStr">
        <is>
          <t>2026-01</t>
        </is>
      </c>
      <c r="F205" t="n">
        <v>345</v>
      </c>
      <c r="G205" t="n">
        <v>407.1</v>
      </c>
      <c r="H205">
        <f>הגדרות!B3</f>
        <v/>
      </c>
      <c r="I205">
        <f>F205*(1-H205/100)*1.18</f>
        <v/>
      </c>
      <c r="J205">
        <f>הגדרות!C3</f>
        <v/>
      </c>
      <c r="K205">
        <f>הגדרות!D3</f>
        <v/>
      </c>
      <c r="L205">
        <f>I205*(1+J205/100)+K205</f>
        <v/>
      </c>
    </row>
    <row r="206">
      <c r="A206" t="inlineStr">
        <is>
          <t>Royal Canin חנויות</t>
        </is>
      </c>
      <c r="B206" t="inlineStr">
        <is>
          <t>FHN סנסיבל חתול 2 ק"ג</t>
        </is>
      </c>
      <c r="C206" t="inlineStr">
        <is>
          <t>תזונה מותאמת לצרכיו המשתנים של החתול Feline Health Nutriotion</t>
        </is>
      </c>
      <c r="D206" t="inlineStr">
        <is>
          <t>3182550702317</t>
        </is>
      </c>
      <c r="E206" t="inlineStr">
        <is>
          <t>2026-01</t>
        </is>
      </c>
      <c r="F206" t="n">
        <v>110</v>
      </c>
      <c r="G206" t="n">
        <v>129.8</v>
      </c>
      <c r="H206">
        <f>הגדרות!B3</f>
        <v/>
      </c>
      <c r="I206">
        <f>F206*(1-H206/100)*1.18</f>
        <v/>
      </c>
      <c r="J206">
        <f>הגדרות!C3</f>
        <v/>
      </c>
      <c r="K206">
        <f>הגדרות!D3</f>
        <v/>
      </c>
      <c r="L206">
        <f>I206*(1+J206/100)+K206</f>
        <v/>
      </c>
    </row>
    <row r="207">
      <c r="A207" t="inlineStr">
        <is>
          <t>Royal Canin חנויות</t>
        </is>
      </c>
      <c r="B207" t="inlineStr">
        <is>
          <t>FHN סנסיבל חתול 4 ק"ג</t>
        </is>
      </c>
      <c r="C207" t="inlineStr">
        <is>
          <t>תזונה מותאמת לצרכיו המשתנים של החתול Feline Health Nutriotion</t>
        </is>
      </c>
      <c r="D207" t="inlineStr">
        <is>
          <t>3182550702331</t>
        </is>
      </c>
      <c r="E207" t="inlineStr">
        <is>
          <t>2026-01</t>
        </is>
      </c>
      <c r="F207" t="n">
        <v>175</v>
      </c>
      <c r="G207" t="n">
        <v>206.5</v>
      </c>
      <c r="H207">
        <f>הגדרות!B3</f>
        <v/>
      </c>
      <c r="I207">
        <f>F207*(1-H207/100)*1.18</f>
        <v/>
      </c>
      <c r="J207">
        <f>הגדרות!C3</f>
        <v/>
      </c>
      <c r="K207">
        <f>הגדרות!D3</f>
        <v/>
      </c>
      <c r="L207">
        <f>I207*(1+J207/100)+K207</f>
        <v/>
      </c>
    </row>
    <row r="208">
      <c r="A208" t="inlineStr">
        <is>
          <t>Royal Canin חנויות</t>
        </is>
      </c>
      <c r="B208" t="inlineStr">
        <is>
          <t>FHN סנסיבל חתול 10 ק"ג</t>
        </is>
      </c>
      <c r="C208" t="inlineStr">
        <is>
          <t>תזונה מותאמת לצרכיו המשתנים של החתול Feline Health Nutriotion</t>
        </is>
      </c>
      <c r="D208" t="inlineStr">
        <is>
          <t>3182550702355</t>
        </is>
      </c>
      <c r="E208" t="inlineStr">
        <is>
          <t>2026-01</t>
        </is>
      </c>
      <c r="F208" t="n">
        <v>329</v>
      </c>
      <c r="G208" t="n">
        <v>388.22</v>
      </c>
      <c r="H208">
        <f>הגדרות!B3</f>
        <v/>
      </c>
      <c r="I208">
        <f>F208*(1-H208/100)*1.18</f>
        <v/>
      </c>
      <c r="J208">
        <f>הגדרות!C3</f>
        <v/>
      </c>
      <c r="K208">
        <f>הגדרות!D3</f>
        <v/>
      </c>
      <c r="L208">
        <f>I208*(1+J208/100)+K208</f>
        <v/>
      </c>
    </row>
    <row r="209">
      <c r="A209" t="inlineStr">
        <is>
          <t>Royal Canin חנויות</t>
        </is>
      </c>
      <c r="B209" t="inlineStr">
        <is>
          <t>FHN סטרילייז 37 חתול 2 ק"ג</t>
        </is>
      </c>
      <c r="C209" t="inlineStr">
        <is>
          <t>תזונה מותאמת לצרכיו המשתנים של החתול Feline Health Nutriotion</t>
        </is>
      </c>
      <c r="D209" t="inlineStr">
        <is>
          <t>3182550737593</t>
        </is>
      </c>
      <c r="E209" t="inlineStr">
        <is>
          <t>2026-01</t>
        </is>
      </c>
      <c r="F209" t="n">
        <v>110</v>
      </c>
      <c r="G209" t="n">
        <v>129.8</v>
      </c>
      <c r="H209">
        <f>הגדרות!B3</f>
        <v/>
      </c>
      <c r="I209">
        <f>F209*(1-H209/100)*1.18</f>
        <v/>
      </c>
      <c r="J209">
        <f>הגדרות!C3</f>
        <v/>
      </c>
      <c r="K209">
        <f>הגדרות!D3</f>
        <v/>
      </c>
      <c r="L209">
        <f>I209*(1+J209/100)+K209</f>
        <v/>
      </c>
    </row>
    <row r="210">
      <c r="A210" t="inlineStr">
        <is>
          <t>Royal Canin חנויות</t>
        </is>
      </c>
      <c r="B210" t="inlineStr">
        <is>
          <t>FHN סטרילייז 37 חתול 4 ק"ג</t>
        </is>
      </c>
      <c r="C210" t="inlineStr">
        <is>
          <t>תזונה מותאמת לצרכיו המשתנים של החתול Feline Health Nutriotion</t>
        </is>
      </c>
      <c r="D210" t="inlineStr">
        <is>
          <t>3182550737616</t>
        </is>
      </c>
      <c r="E210" t="inlineStr">
        <is>
          <t>2026-01</t>
        </is>
      </c>
      <c r="F210" t="n">
        <v>175</v>
      </c>
      <c r="G210" t="n">
        <v>206.5</v>
      </c>
      <c r="H210">
        <f>הגדרות!B3</f>
        <v/>
      </c>
      <c r="I210">
        <f>F210*(1-H210/100)*1.18</f>
        <v/>
      </c>
      <c r="J210">
        <f>הגדרות!C3</f>
        <v/>
      </c>
      <c r="K210">
        <f>הגדרות!D3</f>
        <v/>
      </c>
      <c r="L210">
        <f>I210*(1+J210/100)+K210</f>
        <v/>
      </c>
    </row>
    <row r="211">
      <c r="A211" t="inlineStr">
        <is>
          <t>Royal Canin חנויות</t>
        </is>
      </c>
      <c r="B211" t="inlineStr">
        <is>
          <t>FHN סטרילייז 37 חתול 10 ק"ג</t>
        </is>
      </c>
      <c r="C211" t="inlineStr">
        <is>
          <t>תזונה מותאמת לצרכיו המשתנים של החתול Feline Health Nutriotion</t>
        </is>
      </c>
      <c r="D211" t="inlineStr">
        <is>
          <t>3182550737623</t>
        </is>
      </c>
      <c r="E211" t="inlineStr">
        <is>
          <t>2026-01</t>
        </is>
      </c>
      <c r="F211" t="n">
        <v>329</v>
      </c>
      <c r="G211" t="n">
        <v>388.22</v>
      </c>
      <c r="H211">
        <f>הגדרות!B3</f>
        <v/>
      </c>
      <c r="I211">
        <f>F211*(1-H211/100)*1.18</f>
        <v/>
      </c>
      <c r="J211">
        <f>הגדרות!C3</f>
        <v/>
      </c>
      <c r="K211">
        <f>הגדרות!D3</f>
        <v/>
      </c>
      <c r="L211">
        <f>I211*(1+J211/100)+K211</f>
        <v/>
      </c>
    </row>
    <row r="212">
      <c r="A212" t="inlineStr">
        <is>
          <t>Royal Canin חנויות</t>
        </is>
      </c>
      <c r="B212" t="inlineStr">
        <is>
          <t>FHN סטרילייז 7+ חתול 3.5 ק"ג</t>
        </is>
      </c>
      <c r="C212" t="inlineStr">
        <is>
          <t>תזונה מותאמת לצרכיו המשתנים של החתול Feline Health Nutriotion</t>
        </is>
      </c>
      <c r="D212" t="inlineStr">
        <is>
          <t>3182550784580</t>
        </is>
      </c>
      <c r="E212" t="inlineStr">
        <is>
          <t>2026-01</t>
        </is>
      </c>
      <c r="F212" t="n">
        <v>175</v>
      </c>
      <c r="G212" t="n">
        <v>206.5</v>
      </c>
      <c r="H212">
        <f>הגדרות!B3</f>
        <v/>
      </c>
      <c r="I212">
        <f>F212*(1-H212/100)*1.18</f>
        <v/>
      </c>
      <c r="J212">
        <f>הגדרות!C3</f>
        <v/>
      </c>
      <c r="K212">
        <f>הגדרות!D3</f>
        <v/>
      </c>
      <c r="L212">
        <f>I212*(1+J212/100)+K212</f>
        <v/>
      </c>
    </row>
    <row r="213">
      <c r="A213" t="inlineStr">
        <is>
          <t>Royal Canin חנויות</t>
        </is>
      </c>
      <c r="B213" t="inlineStr">
        <is>
          <t>FHN סטרילייז 12+ חתול 4 ק"ג</t>
        </is>
      </c>
      <c r="C213" t="inlineStr">
        <is>
          <t>תזונה מותאמת לצרכיו המשתנים של החתול Feline Health Nutriotion</t>
        </is>
      </c>
      <c r="D213" t="inlineStr">
        <is>
          <t>3182550805407</t>
        </is>
      </c>
      <c r="E213" t="inlineStr">
        <is>
          <t>2026-01</t>
        </is>
      </c>
      <c r="F213" t="n">
        <v>185</v>
      </c>
      <c r="G213" t="n">
        <v>218.3</v>
      </c>
      <c r="H213">
        <f>הגדרות!B3</f>
        <v/>
      </c>
      <c r="I213">
        <f>F213*(1-H213/100)*1.18</f>
        <v/>
      </c>
      <c r="J213">
        <f>הגדרות!C3</f>
        <v/>
      </c>
      <c r="K213">
        <f>הגדרות!D3</f>
        <v/>
      </c>
      <c r="L213">
        <f>I213*(1+J213/100)+K213</f>
        <v/>
      </c>
    </row>
    <row r="214">
      <c r="A214" t="inlineStr">
        <is>
          <t>Royal Canin חנויות</t>
        </is>
      </c>
      <c r="B214" t="inlineStr">
        <is>
          <t>FHN פאסי אקסיג'נט חתול 2 ק"ג</t>
        </is>
      </c>
      <c r="C214" t="inlineStr">
        <is>
          <t>תזונה מותאמת לצרכיו המשתנים של החתול Feline Health Nutriotion</t>
        </is>
      </c>
      <c r="D214" t="inlineStr">
        <is>
          <t>3182551065701</t>
        </is>
      </c>
      <c r="E214" t="inlineStr">
        <is>
          <t>2026-01</t>
        </is>
      </c>
      <c r="F214" t="n">
        <v>110</v>
      </c>
      <c r="G214" t="n">
        <v>129.8</v>
      </c>
      <c r="H214">
        <f>הגדרות!B3</f>
        <v/>
      </c>
      <c r="I214">
        <f>F214*(1-H214/100)*1.18</f>
        <v/>
      </c>
      <c r="J214">
        <f>הגדרות!C3</f>
        <v/>
      </c>
      <c r="K214">
        <f>הגדרות!D3</f>
        <v/>
      </c>
      <c r="L214">
        <f>I214*(1+J214/100)+K214</f>
        <v/>
      </c>
    </row>
    <row r="215">
      <c r="A215" t="inlineStr">
        <is>
          <t>Royal Canin חנויות</t>
        </is>
      </c>
      <c r="B215" t="inlineStr">
        <is>
          <t>FHN פאסי אקסיג'נט חתול 4 ק"ג</t>
        </is>
      </c>
      <c r="C215" t="inlineStr">
        <is>
          <t>תזונה מותאמת לצרכיו המשתנים של החתול Feline Health Nutriotion</t>
        </is>
      </c>
      <c r="D215" t="inlineStr">
        <is>
          <t>3182551065732</t>
        </is>
      </c>
      <c r="E215" t="inlineStr">
        <is>
          <t>2026-01</t>
        </is>
      </c>
      <c r="F215" t="n">
        <v>189</v>
      </c>
      <c r="G215" t="n">
        <v>223.02</v>
      </c>
      <c r="H215">
        <f>הגדרות!B3</f>
        <v/>
      </c>
      <c r="I215">
        <f>F215*(1-H215/100)*1.18</f>
        <v/>
      </c>
      <c r="J215">
        <f>הגדרות!C3</f>
        <v/>
      </c>
      <c r="K215">
        <f>הגדרות!D3</f>
        <v/>
      </c>
      <c r="L215">
        <f>I215*(1+J215/100)+K215</f>
        <v/>
      </c>
    </row>
    <row r="216">
      <c r="A216" t="inlineStr">
        <is>
          <t>Royal Canin חנויות</t>
        </is>
      </c>
      <c r="B216" t="inlineStr">
        <is>
          <t>FHN אינדור 27 חתול 2 ק"ג</t>
        </is>
      </c>
      <c r="C216" t="inlineStr">
        <is>
          <t>תזונה מותאמת לצרכיו המשתנים של החתול Feline Health Nutriotion</t>
        </is>
      </c>
      <c r="D216" t="inlineStr">
        <is>
          <t>3182550704625</t>
        </is>
      </c>
      <c r="E216" t="inlineStr">
        <is>
          <t>2026-01</t>
        </is>
      </c>
      <c r="F216" t="n">
        <v>110</v>
      </c>
      <c r="G216" t="n">
        <v>129.8</v>
      </c>
      <c r="H216">
        <f>הגדרות!B3</f>
        <v/>
      </c>
      <c r="I216">
        <f>F216*(1-H216/100)*1.18</f>
        <v/>
      </c>
      <c r="J216">
        <f>הגדרות!C3</f>
        <v/>
      </c>
      <c r="K216">
        <f>הגדרות!D3</f>
        <v/>
      </c>
      <c r="L216">
        <f>I216*(1+J216/100)+K216</f>
        <v/>
      </c>
    </row>
    <row r="217">
      <c r="A217" t="inlineStr">
        <is>
          <t>Royal Canin חנויות</t>
        </is>
      </c>
      <c r="B217" t="inlineStr">
        <is>
          <t>FHN אינדור 27 חתול 4 ק"ג</t>
        </is>
      </c>
      <c r="C217" t="inlineStr">
        <is>
          <t>תזונה מותאמת לצרכיו המשתנים של החתול Feline Health Nutriotion</t>
        </is>
      </c>
      <c r="D217" t="inlineStr">
        <is>
          <t>3182550706933</t>
        </is>
      </c>
      <c r="E217" t="inlineStr">
        <is>
          <t>2026-01</t>
        </is>
      </c>
      <c r="F217" t="n">
        <v>175</v>
      </c>
      <c r="G217" t="n">
        <v>206.5</v>
      </c>
      <c r="H217">
        <f>הגדרות!B3</f>
        <v/>
      </c>
      <c r="I217">
        <f>F217*(1-H217/100)*1.18</f>
        <v/>
      </c>
      <c r="J217">
        <f>הגדרות!C3</f>
        <v/>
      </c>
      <c r="K217">
        <f>הגדרות!D3</f>
        <v/>
      </c>
      <c r="L217">
        <f>I217*(1+J217/100)+K217</f>
        <v/>
      </c>
    </row>
    <row r="218">
      <c r="A218" t="inlineStr">
        <is>
          <t>Royal Canin חנויות</t>
        </is>
      </c>
      <c r="B218" t="inlineStr">
        <is>
          <t>FHN אינדור 27 חתול 3.5 +7 ק"ג</t>
        </is>
      </c>
      <c r="C218" t="inlineStr">
        <is>
          <t>תזונה מותאמת לצרכיו המשתנים של החתול Feline Health Nutriotion</t>
        </is>
      </c>
      <c r="D218" t="inlineStr">
        <is>
          <t>3182550784412</t>
        </is>
      </c>
      <c r="E218" t="inlineStr">
        <is>
          <t>2026-01</t>
        </is>
      </c>
      <c r="F218" t="n">
        <v>175</v>
      </c>
      <c r="G218" t="n">
        <v>206.5</v>
      </c>
      <c r="H218">
        <f>הגדרות!B3</f>
        <v/>
      </c>
      <c r="I218">
        <f>F218*(1-H218/100)*1.18</f>
        <v/>
      </c>
      <c r="J218">
        <f>הגדרות!C3</f>
        <v/>
      </c>
      <c r="K218">
        <f>הגדרות!D3</f>
        <v/>
      </c>
      <c r="L218">
        <f>I218*(1+J218/100)+K218</f>
        <v/>
      </c>
    </row>
    <row r="219">
      <c r="A219" t="inlineStr">
        <is>
          <t>Royal Canin חנויות</t>
        </is>
      </c>
      <c r="B219" t="inlineStr">
        <is>
          <t>FHN אייג'ינג 11+ חתול 2 ק"ג</t>
        </is>
      </c>
      <c r="C219" t="inlineStr">
        <is>
          <t>תזונה מותאמת לצרכיו המשתנים של החתול Feline Health Nutriotion</t>
        </is>
      </c>
      <c r="D219" t="inlineStr">
        <is>
          <t>3182551066005</t>
        </is>
      </c>
      <c r="E219" t="inlineStr">
        <is>
          <t>2026-01</t>
        </is>
      </c>
      <c r="F219" t="n">
        <v>129</v>
      </c>
      <c r="G219" t="n">
        <v>152.22</v>
      </c>
      <c r="H219">
        <f>הגדרות!B3</f>
        <v/>
      </c>
      <c r="I219">
        <f>F219*(1-H219/100)*1.18</f>
        <v/>
      </c>
      <c r="J219">
        <f>הגדרות!C3</f>
        <v/>
      </c>
      <c r="K219">
        <f>הגדרות!D3</f>
        <v/>
      </c>
      <c r="L219">
        <f>I219*(1+J219/100)+K219</f>
        <v/>
      </c>
    </row>
    <row r="220">
      <c r="A220" t="inlineStr">
        <is>
          <t>Royal Canin חנויות</t>
        </is>
      </c>
      <c r="B220" t="inlineStr">
        <is>
          <t>FHN אייג'ינג 11+ חתול 4 ק"ג</t>
        </is>
      </c>
      <c r="C220" t="inlineStr">
        <is>
          <t>תזונה מותאמת לצרכיו המשתנים של החתול Feline Health Nutriotion</t>
        </is>
      </c>
      <c r="D220" t="inlineStr">
        <is>
          <t>3182551066098</t>
        </is>
      </c>
      <c r="E220" t="inlineStr">
        <is>
          <t>2026-01</t>
        </is>
      </c>
      <c r="F220" t="n">
        <v>185</v>
      </c>
      <c r="G220" t="n">
        <v>218.3</v>
      </c>
      <c r="H220">
        <f>הגדרות!B3</f>
        <v/>
      </c>
      <c r="I220">
        <f>F220*(1-H220/100)*1.18</f>
        <v/>
      </c>
      <c r="J220">
        <f>הגדרות!C3</f>
        <v/>
      </c>
      <c r="K220">
        <f>הגדרות!D3</f>
        <v/>
      </c>
      <c r="L220">
        <f>I220*(1+J220/100)+K220</f>
        <v/>
      </c>
    </row>
    <row r="221">
      <c r="A221" t="inlineStr">
        <is>
          <t>Royal Canin חנויות</t>
        </is>
      </c>
      <c r="B221" t="inlineStr">
        <is>
          <t>FHN אייג'ינג סטרילייז 11+ חתול 4 ק"ג</t>
        </is>
      </c>
      <c r="C221" t="inlineStr">
        <is>
          <t>תזונה מותאמת לצרכיו המשתנים של החתול Feline Health Nutriotion</t>
        </is>
      </c>
      <c r="D221" t="inlineStr">
        <is>
          <t>3182551066210</t>
        </is>
      </c>
      <c r="E221" t="inlineStr">
        <is>
          <t>2026-01</t>
        </is>
      </c>
      <c r="F221" t="n">
        <v>185</v>
      </c>
      <c r="G221" t="n">
        <v>218.3</v>
      </c>
      <c r="H221">
        <f>הגדרות!B3</f>
        <v/>
      </c>
      <c r="I221">
        <f>F221*(1-H221/100)*1.18</f>
        <v/>
      </c>
      <c r="J221">
        <f>הגדרות!C3</f>
        <v/>
      </c>
      <c r="K221">
        <f>הגדרות!D3</f>
        <v/>
      </c>
      <c r="L221">
        <f>I221*(1+J221/100)+K221</f>
        <v/>
      </c>
    </row>
    <row r="222">
      <c r="A222" t="inlineStr">
        <is>
          <t>Royal Canin חנויות</t>
        </is>
      </c>
      <c r="B222" t="inlineStr">
        <is>
          <t>FHN אייג'ינג 15+ חתול 2 ק"ג</t>
        </is>
      </c>
      <c r="C222" t="inlineStr">
        <is>
          <t>תזונה מותאמת לצרכיו המשתנים של החתול Feline Health Nutriotion</t>
        </is>
      </c>
      <c r="D222" t="inlineStr">
        <is>
          <t>3182551066067</t>
        </is>
      </c>
      <c r="E222" t="inlineStr">
        <is>
          <t>2026-01</t>
        </is>
      </c>
      <c r="F222" t="n">
        <v>129</v>
      </c>
      <c r="G222" t="n">
        <v>152.22</v>
      </c>
      <c r="H222">
        <f>הגדרות!B3</f>
        <v/>
      </c>
      <c r="I222">
        <f>F222*(1-H222/100)*1.18</f>
        <v/>
      </c>
      <c r="J222">
        <f>הגדרות!C3</f>
        <v/>
      </c>
      <c r="K222">
        <f>הגדרות!D3</f>
        <v/>
      </c>
      <c r="L222">
        <f>I222*(1+J222/100)+K222</f>
        <v/>
      </c>
    </row>
    <row r="223">
      <c r="A223" t="inlineStr">
        <is>
          <t>Royal Canin חנויות</t>
        </is>
      </c>
      <c r="B223" t="inlineStr">
        <is>
          <t>FHN אייג'ינג 15+ חתול 4 ק"ג</t>
        </is>
      </c>
      <c r="C223" t="inlineStr">
        <is>
          <t>תזונה מותאמת לצרכיו המשתנים של החתול Feline Health Nutriotion</t>
        </is>
      </c>
      <c r="D223" t="inlineStr">
        <is>
          <t>3182551066128</t>
        </is>
      </c>
      <c r="E223" t="inlineStr">
        <is>
          <t>2026-01</t>
        </is>
      </c>
      <c r="F223" t="n">
        <v>185</v>
      </c>
      <c r="G223" t="n">
        <v>218.3</v>
      </c>
      <c r="H223">
        <f>הגדרות!B3</f>
        <v/>
      </c>
      <c r="I223">
        <f>F223*(1-H223/100)*1.18</f>
        <v/>
      </c>
      <c r="J223">
        <f>הגדרות!C3</f>
        <v/>
      </c>
      <c r="K223">
        <f>הגדרות!D3</f>
        <v/>
      </c>
      <c r="L223">
        <f>I223*(1+J223/100)+K223</f>
        <v/>
      </c>
    </row>
    <row r="224">
      <c r="A224" t="inlineStr">
        <is>
          <t>Royal Canin חנויות</t>
        </is>
      </c>
      <c r="B224" t="inlineStr">
        <is>
          <t>FCN דנטל קייר חתול 3.5 ק"ג</t>
        </is>
      </c>
      <c r="C224" t="inlineStr">
        <is>
          <t>תזונה תומכת ברגישויות לחתול Feline Care Nutriotion</t>
        </is>
      </c>
      <c r="D224" t="inlineStr">
        <is>
          <t>3182550721615</t>
        </is>
      </c>
      <c r="E224" t="inlineStr">
        <is>
          <t>2026-01</t>
        </is>
      </c>
      <c r="F224" t="n">
        <v>195</v>
      </c>
      <c r="G224" t="n">
        <v>230.1</v>
      </c>
      <c r="H224">
        <f>הגדרות!B3</f>
        <v/>
      </c>
      <c r="I224">
        <f>F224*(1-H224/100)*1.18</f>
        <v/>
      </c>
      <c r="J224">
        <f>הגדרות!C3</f>
        <v/>
      </c>
      <c r="K224">
        <f>הגדרות!D3</f>
        <v/>
      </c>
      <c r="L224">
        <f>I224*(1+J224/100)+K224</f>
        <v/>
      </c>
    </row>
    <row r="225">
      <c r="A225" t="inlineStr">
        <is>
          <t>Royal Canin חנויות</t>
        </is>
      </c>
      <c r="B225" t="inlineStr">
        <is>
          <t>FCN דייג'סטיב קייר חתול 4 ק"ג</t>
        </is>
      </c>
      <c r="C225" t="inlineStr">
        <is>
          <t>תזונה תומכת ברגישויות לחתול Feline Care Nutriotion</t>
        </is>
      </c>
      <c r="D225" t="inlineStr">
        <is>
          <t>3182550752008</t>
        </is>
      </c>
      <c r="E225" t="inlineStr">
        <is>
          <t>2026-01</t>
        </is>
      </c>
      <c r="F225" t="n">
        <v>195</v>
      </c>
      <c r="G225" t="n">
        <v>230.1</v>
      </c>
      <c r="H225">
        <f>הגדרות!B3</f>
        <v/>
      </c>
      <c r="I225">
        <f>F225*(1-H225/100)*1.18</f>
        <v/>
      </c>
      <c r="J225">
        <f>הגדרות!C3</f>
        <v/>
      </c>
      <c r="K225">
        <f>הגדרות!D3</f>
        <v/>
      </c>
      <c r="L225">
        <f>I225*(1+J225/100)+K225</f>
        <v/>
      </c>
    </row>
    <row r="226">
      <c r="A226" t="inlineStr">
        <is>
          <t>Royal Canin חנויות</t>
        </is>
      </c>
      <c r="B226" t="inlineStr">
        <is>
          <t>FCN הייר &amp; סקין קייר חתול 2 ק"ג</t>
        </is>
      </c>
      <c r="C226" t="inlineStr">
        <is>
          <t>תזונה תומכת ברגישויות לחתול Feline Care Nutriotion</t>
        </is>
      </c>
      <c r="D226" t="inlineStr">
        <is>
          <t>3182550721738</t>
        </is>
      </c>
      <c r="E226" t="inlineStr">
        <is>
          <t>2026-01</t>
        </is>
      </c>
      <c r="F226" t="n">
        <v>119</v>
      </c>
      <c r="G226" t="n">
        <v>140.42</v>
      </c>
      <c r="H226">
        <f>הגדרות!B3</f>
        <v/>
      </c>
      <c r="I226">
        <f>F226*(1-H226/100)*1.18</f>
        <v/>
      </c>
      <c r="J226">
        <f>הגדרות!C3</f>
        <v/>
      </c>
      <c r="K226">
        <f>הגדרות!D3</f>
        <v/>
      </c>
      <c r="L226">
        <f>I226*(1+J226/100)+K226</f>
        <v/>
      </c>
    </row>
    <row r="227">
      <c r="A227" t="inlineStr">
        <is>
          <t>Royal Canin חנויות</t>
        </is>
      </c>
      <c r="B227" t="inlineStr">
        <is>
          <t>FCN הייר &amp; סקין קייר חתול 4 ק"ג</t>
        </is>
      </c>
      <c r="C227" t="inlineStr">
        <is>
          <t>תזונה תומכת ברגישויות לחתול Feline Care Nutriotion</t>
        </is>
      </c>
      <c r="D227" t="inlineStr">
        <is>
          <t>3182550721745</t>
        </is>
      </c>
      <c r="E227" t="inlineStr">
        <is>
          <t>2026-01</t>
        </is>
      </c>
      <c r="F227" t="n">
        <v>195</v>
      </c>
      <c r="G227" t="n">
        <v>230.1</v>
      </c>
      <c r="H227">
        <f>הגדרות!B3</f>
        <v/>
      </c>
      <c r="I227">
        <f>F227*(1-H227/100)*1.18</f>
        <v/>
      </c>
      <c r="J227">
        <f>הגדרות!C3</f>
        <v/>
      </c>
      <c r="K227">
        <f>הגדרות!D3</f>
        <v/>
      </c>
      <c r="L227">
        <f>I227*(1+J227/100)+K227</f>
        <v/>
      </c>
    </row>
    <row r="228">
      <c r="A228" t="inlineStr">
        <is>
          <t>Royal Canin חנויות</t>
        </is>
      </c>
      <c r="B228" t="inlineStr">
        <is>
          <t>FCN הייר &amp; סקין קייר חתול 10 ק"ג</t>
        </is>
      </c>
      <c r="C228" t="inlineStr">
        <is>
          <t>תזונה תומכת ברגישויות לחתול Feline Care Nutriotion</t>
        </is>
      </c>
      <c r="D228" t="inlineStr">
        <is>
          <t>3182550721752</t>
        </is>
      </c>
      <c r="E228" t="inlineStr">
        <is>
          <t>2026-01</t>
        </is>
      </c>
      <c r="F228" t="n">
        <v>339</v>
      </c>
      <c r="G228" t="n">
        <v>400.02</v>
      </c>
      <c r="H228">
        <f>הגדרות!B3</f>
        <v/>
      </c>
      <c r="I228">
        <f>F228*(1-H228/100)*1.18</f>
        <v/>
      </c>
      <c r="J228">
        <f>הגדרות!C3</f>
        <v/>
      </c>
      <c r="K228">
        <f>הגדרות!D3</f>
        <v/>
      </c>
      <c r="L228">
        <f>I228*(1+J228/100)+K228</f>
        <v/>
      </c>
    </row>
    <row r="229">
      <c r="A229" t="inlineStr">
        <is>
          <t>Royal Canin חנויות</t>
        </is>
      </c>
      <c r="B229" t="inlineStr">
        <is>
          <t>FCN היירבול קייר חתול 2 ק"ג</t>
        </is>
      </c>
      <c r="C229" t="inlineStr">
        <is>
          <t>תזונה תומכת ברגישויות לחתול Feline Care Nutriotion</t>
        </is>
      </c>
      <c r="D229" t="inlineStr">
        <is>
          <t>3182550721400</t>
        </is>
      </c>
      <c r="E229" t="inlineStr">
        <is>
          <t>2026-01</t>
        </is>
      </c>
      <c r="F229" t="n">
        <v>119</v>
      </c>
      <c r="G229" t="n">
        <v>140.42</v>
      </c>
      <c r="H229">
        <f>הגדרות!B3</f>
        <v/>
      </c>
      <c r="I229">
        <f>F229*(1-H229/100)*1.18</f>
        <v/>
      </c>
      <c r="J229">
        <f>הגדרות!C3</f>
        <v/>
      </c>
      <c r="K229">
        <f>הגדרות!D3</f>
        <v/>
      </c>
      <c r="L229">
        <f>I229*(1+J229/100)+K229</f>
        <v/>
      </c>
    </row>
    <row r="230">
      <c r="A230" t="inlineStr">
        <is>
          <t>Royal Canin חנויות</t>
        </is>
      </c>
      <c r="B230" t="inlineStr">
        <is>
          <t>FCN היירבול קייר חתול 4 ק"ג</t>
        </is>
      </c>
      <c r="C230" t="inlineStr">
        <is>
          <t>תזונה תומכת ברגישויות לחתול Feline Care Nutriotion</t>
        </is>
      </c>
      <c r="D230" t="inlineStr">
        <is>
          <t>3182550721417</t>
        </is>
      </c>
      <c r="E230" t="inlineStr">
        <is>
          <t>2026-01</t>
        </is>
      </c>
      <c r="F230" t="n">
        <v>195</v>
      </c>
      <c r="G230" t="n">
        <v>230.1</v>
      </c>
      <c r="H230">
        <f>הגדרות!B3</f>
        <v/>
      </c>
      <c r="I230">
        <f>F230*(1-H230/100)*1.18</f>
        <v/>
      </c>
      <c r="J230">
        <f>הגדרות!C3</f>
        <v/>
      </c>
      <c r="K230">
        <f>הגדרות!D3</f>
        <v/>
      </c>
      <c r="L230">
        <f>I230*(1+J230/100)+K230</f>
        <v/>
      </c>
    </row>
    <row r="231">
      <c r="A231" t="inlineStr">
        <is>
          <t>Royal Canin חנויות</t>
        </is>
      </c>
      <c r="B231" t="inlineStr">
        <is>
          <t>FCN היירבול קייר חתול 10 ק"ג</t>
        </is>
      </c>
      <c r="C231" t="inlineStr">
        <is>
          <t>תזונה תומכת ברגישויות לחתול Feline Care Nutriotion</t>
        </is>
      </c>
      <c r="D231" t="inlineStr">
        <is>
          <t>3182550721424</t>
        </is>
      </c>
      <c r="E231" t="inlineStr">
        <is>
          <t>2026-01</t>
        </is>
      </c>
      <c r="F231" t="n">
        <v>339</v>
      </c>
      <c r="G231" t="n">
        <v>400.02</v>
      </c>
      <c r="H231">
        <f>הגדרות!B3</f>
        <v/>
      </c>
      <c r="I231">
        <f>F231*(1-H231/100)*1.18</f>
        <v/>
      </c>
      <c r="J231">
        <f>הגדרות!C3</f>
        <v/>
      </c>
      <c r="K231">
        <f>הגדרות!D3</f>
        <v/>
      </c>
      <c r="L231">
        <f>I231*(1+J231/100)+K231</f>
        <v/>
      </c>
    </row>
    <row r="232">
      <c r="A232" t="inlineStr">
        <is>
          <t>Royal Canin חנויות</t>
        </is>
      </c>
      <c r="B232" t="inlineStr">
        <is>
          <t>FCN יורינרי קייר חתול 4 ק"ג</t>
        </is>
      </c>
      <c r="C232" t="inlineStr">
        <is>
          <t>תזונה תומכת ברגישויות לחתול Feline Care Nutriotion</t>
        </is>
      </c>
      <c r="D232" t="inlineStr">
        <is>
          <t>3182550842952</t>
        </is>
      </c>
      <c r="E232" t="inlineStr">
        <is>
          <t>2026-01</t>
        </is>
      </c>
      <c r="F232" t="n">
        <v>195</v>
      </c>
      <c r="G232" t="n">
        <v>230.1</v>
      </c>
      <c r="H232">
        <f>הגדרות!B3</f>
        <v/>
      </c>
      <c r="I232">
        <f>F232*(1-H232/100)*1.18</f>
        <v/>
      </c>
      <c r="J232">
        <f>הגדרות!C3</f>
        <v/>
      </c>
      <c r="K232">
        <f>הגדרות!D3</f>
        <v/>
      </c>
      <c r="L232">
        <f>I232*(1+J232/100)+K232</f>
        <v/>
      </c>
    </row>
    <row r="233">
      <c r="A233" t="inlineStr">
        <is>
          <t>Royal Canin חנויות</t>
        </is>
      </c>
      <c r="B233" t="inlineStr">
        <is>
          <t>FCN לייט ווייט קייר חתול 3 ק"ג</t>
        </is>
      </c>
      <c r="C233" t="inlineStr">
        <is>
          <t>תזונה תומכת ברגישויות לחתול Feline Care Nutriotion</t>
        </is>
      </c>
      <c r="D233" t="inlineStr">
        <is>
          <t>3182550903929</t>
        </is>
      </c>
      <c r="E233" t="inlineStr">
        <is>
          <t>2026-01</t>
        </is>
      </c>
      <c r="F233" t="n">
        <v>179</v>
      </c>
      <c r="G233" t="n">
        <v>211.22</v>
      </c>
      <c r="H233">
        <f>הגדרות!B3</f>
        <v/>
      </c>
      <c r="I233">
        <f>F233*(1-H233/100)*1.18</f>
        <v/>
      </c>
      <c r="J233">
        <f>הגדרות!C3</f>
        <v/>
      </c>
      <c r="K233">
        <f>הגדרות!D3</f>
        <v/>
      </c>
      <c r="L233">
        <f>I233*(1+J233/100)+K233</f>
        <v/>
      </c>
    </row>
    <row r="234">
      <c r="A234" t="inlineStr">
        <is>
          <t>Royal Canin חנויות</t>
        </is>
      </c>
      <c r="B234" t="inlineStr">
        <is>
          <t>FCN לייט ווייט קייר חתול 8 ק"ג</t>
        </is>
      </c>
      <c r="C234" t="inlineStr">
        <is>
          <t>תזונה תומכת ברגישויות לחתול Feline Care Nutriotion</t>
        </is>
      </c>
      <c r="D234" t="inlineStr">
        <is>
          <t>3182550902984</t>
        </is>
      </c>
      <c r="E234" t="inlineStr">
        <is>
          <t>2026-01</t>
        </is>
      </c>
      <c r="F234" t="n">
        <v>289</v>
      </c>
      <c r="G234" t="n">
        <v>341.02</v>
      </c>
      <c r="H234">
        <f>הגדרות!B3</f>
        <v/>
      </c>
      <c r="I234">
        <f>F234*(1-H234/100)*1.18</f>
        <v/>
      </c>
      <c r="J234">
        <f>הגדרות!C3</f>
        <v/>
      </c>
      <c r="K234">
        <f>הגדרות!D3</f>
        <v/>
      </c>
      <c r="L234">
        <f>I234*(1+J234/100)+K234</f>
        <v/>
      </c>
    </row>
    <row r="235">
      <c r="A235" t="inlineStr">
        <is>
          <t>Royal Canin חנויות</t>
        </is>
      </c>
      <c r="B235" t="inlineStr">
        <is>
          <t>FBN 3182550816533 קיטן בריטי 2 ק"ג</t>
        </is>
      </c>
      <c r="C235" t="inlineStr">
        <is>
          <t>תזונה תומכת ברגישויות לחתול Feline Care Nutriotion</t>
        </is>
      </c>
      <c r="E235" t="inlineStr">
        <is>
          <t>2026-01</t>
        </is>
      </c>
      <c r="F235" t="n">
        <v>115</v>
      </c>
      <c r="G235" t="n">
        <v>135.7</v>
      </c>
      <c r="H235">
        <f>הגדרות!B3</f>
        <v/>
      </c>
      <c r="I235">
        <f>F235*(1-H235/100)*1.18</f>
        <v/>
      </c>
      <c r="J235">
        <f>הגדרות!C3</f>
        <v/>
      </c>
      <c r="K235">
        <f>הגדרות!D3</f>
        <v/>
      </c>
      <c r="L235">
        <f>I235*(1+J235/100)+K235</f>
        <v/>
      </c>
    </row>
    <row r="236">
      <c r="A236" t="inlineStr">
        <is>
          <t>Royal Canin חנויות</t>
        </is>
      </c>
      <c r="B236" t="inlineStr">
        <is>
          <t>FBN 3182550756419 בריטי 2 ק"ג</t>
        </is>
      </c>
      <c r="C236" t="inlineStr">
        <is>
          <t>תזונה תומכת ברגישויות לחתול Feline Care Nutriotion</t>
        </is>
      </c>
      <c r="E236" t="inlineStr">
        <is>
          <t>2026-01</t>
        </is>
      </c>
      <c r="F236" t="n">
        <v>112</v>
      </c>
      <c r="G236" t="n">
        <v>132.16</v>
      </c>
      <c r="H236">
        <f>הגדרות!B3</f>
        <v/>
      </c>
      <c r="I236">
        <f>F236*(1-H236/100)*1.18</f>
        <v/>
      </c>
      <c r="J236">
        <f>הגדרות!C3</f>
        <v/>
      </c>
      <c r="K236">
        <f>הגדרות!D3</f>
        <v/>
      </c>
      <c r="L236">
        <f>I236*(1+J236/100)+K236</f>
        <v/>
      </c>
    </row>
    <row r="237">
      <c r="A237" t="inlineStr">
        <is>
          <t>Royal Canin חנויות</t>
        </is>
      </c>
      <c r="B237" t="inlineStr">
        <is>
          <t>FBN 3182550756440 בריטי 4 ק"ג</t>
        </is>
      </c>
      <c r="C237" t="inlineStr">
        <is>
          <t>תזונה תומכת ברגישויות לחתול Feline Care Nutriotion</t>
        </is>
      </c>
      <c r="E237" t="inlineStr">
        <is>
          <t>2026-01</t>
        </is>
      </c>
      <c r="F237" t="n">
        <v>185</v>
      </c>
      <c r="G237" t="n">
        <v>218.3</v>
      </c>
      <c r="H237">
        <f>הגדרות!B3</f>
        <v/>
      </c>
      <c r="I237">
        <f>F237*(1-H237/100)*1.18</f>
        <v/>
      </c>
      <c r="J237">
        <f>הגדרות!C3</f>
        <v/>
      </c>
      <c r="K237">
        <f>הגדרות!D3</f>
        <v/>
      </c>
      <c r="L237">
        <f>I237*(1+J237/100)+K237</f>
        <v/>
      </c>
    </row>
    <row r="238">
      <c r="A238" t="inlineStr">
        <is>
          <t>Royal Canin חנויות</t>
        </is>
      </c>
      <c r="B238" t="inlineStr">
        <is>
          <t>FBN 3182550756464 בריטי 10 ק"ג</t>
        </is>
      </c>
      <c r="C238" t="inlineStr">
        <is>
          <t>תזונה תומכת ברגישויות לחתול Feline Care Nutriotion</t>
        </is>
      </c>
      <c r="E238" t="inlineStr">
        <is>
          <t>2026-01</t>
        </is>
      </c>
      <c r="F238" t="n">
        <v>339</v>
      </c>
      <c r="G238" t="n">
        <v>400.02</v>
      </c>
      <c r="H238">
        <f>הגדרות!B3</f>
        <v/>
      </c>
      <c r="I238">
        <f>F238*(1-H238/100)*1.18</f>
        <v/>
      </c>
      <c r="J238">
        <f>הגדרות!C3</f>
        <v/>
      </c>
      <c r="K238">
        <f>הגדרות!D3</f>
        <v/>
      </c>
      <c r="L238">
        <f>I238*(1+J238/100)+K238</f>
        <v/>
      </c>
    </row>
    <row r="239">
      <c r="A239" t="inlineStr">
        <is>
          <t>Royal Canin חנויות</t>
        </is>
      </c>
      <c r="B239" t="inlineStr">
        <is>
          <t>FBN 3182550710695 סיאמי 4 ק"ג</t>
        </is>
      </c>
      <c r="C239" t="inlineStr">
        <is>
          <t>תזונה תומכת ברגישויות לחתול Feline Care Nutriotion</t>
        </is>
      </c>
      <c r="E239" t="inlineStr">
        <is>
          <t>2026-01</t>
        </is>
      </c>
      <c r="F239" t="n">
        <v>185</v>
      </c>
      <c r="G239" t="n">
        <v>218.3</v>
      </c>
      <c r="H239">
        <f>הגדרות!B3</f>
        <v/>
      </c>
      <c r="I239">
        <f>F239*(1-H239/100)*1.18</f>
        <v/>
      </c>
      <c r="J239">
        <f>הגדרות!C3</f>
        <v/>
      </c>
      <c r="K239">
        <f>הגדרות!D3</f>
        <v/>
      </c>
      <c r="L239">
        <f>I239*(1+J239/100)+K239</f>
        <v/>
      </c>
    </row>
    <row r="240">
      <c r="A240" t="inlineStr">
        <is>
          <t>Royal Canin חנויות</t>
        </is>
      </c>
      <c r="B240" t="inlineStr">
        <is>
          <t>FBN 3182550758840 ספינקס 2 ק"ג</t>
        </is>
      </c>
      <c r="C240" t="inlineStr">
        <is>
          <t>תזונה תומכת ברגישויות לחתול Feline Care Nutriotion</t>
        </is>
      </c>
      <c r="E240" t="inlineStr">
        <is>
          <t>2026-01</t>
        </is>
      </c>
      <c r="F240" t="n">
        <v>112</v>
      </c>
      <c r="G240" t="n">
        <v>132.16</v>
      </c>
      <c r="H240">
        <f>הגדרות!B3</f>
        <v/>
      </c>
      <c r="I240">
        <f>F240*(1-H240/100)*1.18</f>
        <v/>
      </c>
      <c r="J240">
        <f>הגדרות!C3</f>
        <v/>
      </c>
      <c r="K240">
        <f>הגדרות!D3</f>
        <v/>
      </c>
      <c r="L240">
        <f>I240*(1+J240/100)+K240</f>
        <v/>
      </c>
    </row>
    <row r="241">
      <c r="A241" t="inlineStr">
        <is>
          <t>Royal Canin חנויות</t>
        </is>
      </c>
      <c r="B241" t="inlineStr">
        <is>
          <t>FBN 3182550758857 ספינקס 10 ק"ג</t>
        </is>
      </c>
      <c r="C241" t="inlineStr">
        <is>
          <t>תזונה תומכת ברגישויות לחתול Feline Care Nutriotion</t>
        </is>
      </c>
      <c r="E241" t="inlineStr">
        <is>
          <t>2026-01</t>
        </is>
      </c>
      <c r="F241" t="n">
        <v>339</v>
      </c>
      <c r="G241" t="n">
        <v>400.02</v>
      </c>
      <c r="H241">
        <f>הגדרות!B3</f>
        <v/>
      </c>
      <c r="I241">
        <f>F241*(1-H241/100)*1.18</f>
        <v/>
      </c>
      <c r="J241">
        <f>הגדרות!C3</f>
        <v/>
      </c>
      <c r="K241">
        <f>הגדרות!D3</f>
        <v/>
      </c>
      <c r="L241">
        <f>I241*(1+J241/100)+K241</f>
        <v/>
      </c>
    </row>
    <row r="242">
      <c r="A242" t="inlineStr">
        <is>
          <t>Royal Canin חנויות</t>
        </is>
      </c>
      <c r="B242" t="inlineStr">
        <is>
          <t>FBN 3182550721219 קיטן פרסי 2 ק"ג</t>
        </is>
      </c>
      <c r="C242" t="inlineStr">
        <is>
          <t>תזונה תומכת ברגישויות לחתול Feline Care Nutriotion</t>
        </is>
      </c>
      <c r="E242" t="inlineStr">
        <is>
          <t>2026-01</t>
        </is>
      </c>
      <c r="F242" t="n">
        <v>115</v>
      </c>
      <c r="G242" t="n">
        <v>135.7</v>
      </c>
      <c r="H242">
        <f>הגדרות!B3</f>
        <v/>
      </c>
      <c r="I242">
        <f>F242*(1-H242/100)*1.18</f>
        <v/>
      </c>
      <c r="J242">
        <f>הגדרות!C3</f>
        <v/>
      </c>
      <c r="K242">
        <f>הגדרות!D3</f>
        <v/>
      </c>
      <c r="L242">
        <f>I242*(1+J242/100)+K242</f>
        <v/>
      </c>
    </row>
    <row r="243">
      <c r="A243" t="inlineStr">
        <is>
          <t>Royal Canin חנויות</t>
        </is>
      </c>
      <c r="B243" t="inlineStr">
        <is>
          <t>FBN 3182550721226 קיטן פרסי 4 ק"ג</t>
        </is>
      </c>
      <c r="C243" t="inlineStr">
        <is>
          <t>תזונה תומכת ברגישויות לחתול Feline Care Nutriotion</t>
        </is>
      </c>
      <c r="E243" t="inlineStr">
        <is>
          <t>2026-01</t>
        </is>
      </c>
      <c r="F243" t="n">
        <v>185</v>
      </c>
      <c r="G243" t="n">
        <v>218.3</v>
      </c>
      <c r="H243">
        <f>הגדרות!B3</f>
        <v/>
      </c>
      <c r="I243">
        <f>F243*(1-H243/100)*1.18</f>
        <v/>
      </c>
      <c r="J243">
        <f>הגדרות!C3</f>
        <v/>
      </c>
      <c r="K243">
        <f>הגדרות!D3</f>
        <v/>
      </c>
      <c r="L243">
        <f>I243*(1+J243/100)+K243</f>
        <v/>
      </c>
    </row>
    <row r="244">
      <c r="A244" t="inlineStr">
        <is>
          <t>Royal Canin חנויות</t>
        </is>
      </c>
      <c r="B244" t="inlineStr">
        <is>
          <t>FBN 3182550702614 פרסי 2 ק"ג</t>
        </is>
      </c>
      <c r="C244" t="inlineStr">
        <is>
          <t>תזונה תומכת ברגישויות לחתול Feline Care Nutriotion</t>
        </is>
      </c>
      <c r="E244" t="inlineStr">
        <is>
          <t>2026-01</t>
        </is>
      </c>
      <c r="F244" t="n">
        <v>112</v>
      </c>
      <c r="G244" t="n">
        <v>132.16</v>
      </c>
      <c r="H244">
        <f>הגדרות!B3</f>
        <v/>
      </c>
      <c r="I244">
        <f>F244*(1-H244/100)*1.18</f>
        <v/>
      </c>
      <c r="J244">
        <f>הגדרות!C3</f>
        <v/>
      </c>
      <c r="K244">
        <f>הגדרות!D3</f>
        <v/>
      </c>
      <c r="L244">
        <f>I244*(1+J244/100)+K244</f>
        <v/>
      </c>
    </row>
    <row r="245">
      <c r="A245" t="inlineStr">
        <is>
          <t>Royal Canin חנויות</t>
        </is>
      </c>
      <c r="B245" t="inlineStr">
        <is>
          <t>FBN 3182550704533 פרסי 4 ק"ג</t>
        </is>
      </c>
      <c r="C245" t="inlineStr">
        <is>
          <t>תזונה תומכת ברגישויות לחתול Feline Care Nutriotion</t>
        </is>
      </c>
      <c r="E245" t="inlineStr">
        <is>
          <t>2026-01</t>
        </is>
      </c>
      <c r="F245" t="n">
        <v>185</v>
      </c>
      <c r="G245" t="n">
        <v>218.3</v>
      </c>
      <c r="H245">
        <f>הגדרות!B3</f>
        <v/>
      </c>
      <c r="I245">
        <f>F245*(1-H245/100)*1.18</f>
        <v/>
      </c>
      <c r="J245">
        <f>הגדרות!C3</f>
        <v/>
      </c>
      <c r="K245">
        <f>הגדרות!D3</f>
        <v/>
      </c>
      <c r="L245">
        <f>I245*(1+J245/100)+K245</f>
        <v/>
      </c>
    </row>
    <row r="246">
      <c r="A246" t="inlineStr">
        <is>
          <t>Royal Canin חנויות</t>
        </is>
      </c>
      <c r="B246" t="inlineStr">
        <is>
          <t>FBN 3182550702621 פרסי 10 ק"ג</t>
        </is>
      </c>
      <c r="C246" t="inlineStr">
        <is>
          <t>תזונה תומכת ברגישויות לחתול Feline Care Nutriotion</t>
        </is>
      </c>
      <c r="E246" t="inlineStr">
        <is>
          <t>2026-01</t>
        </is>
      </c>
      <c r="F246" t="n">
        <v>339</v>
      </c>
      <c r="G246" t="n">
        <v>400.02</v>
      </c>
      <c r="H246">
        <f>הגדרות!B3</f>
        <v/>
      </c>
      <c r="I246">
        <f>F246*(1-H246/100)*1.18</f>
        <v/>
      </c>
      <c r="J246">
        <f>הגדרות!C3</f>
        <v/>
      </c>
      <c r="K246">
        <f>הגדרות!D3</f>
        <v/>
      </c>
      <c r="L246">
        <f>I246*(1+J246/100)+K246</f>
        <v/>
      </c>
    </row>
    <row r="247">
      <c r="A247" t="inlineStr">
        <is>
          <t>Royal Canin חנויות</t>
        </is>
      </c>
      <c r="B247" t="inlineStr">
        <is>
          <t>FBN 3182550770958 קיטן מיין קון 4 ק"ג</t>
        </is>
      </c>
      <c r="C247" t="inlineStr">
        <is>
          <t>תזונה תומכת ברגישויות לחתול Feline Care Nutriotion</t>
        </is>
      </c>
      <c r="E247" t="inlineStr">
        <is>
          <t>2026-01</t>
        </is>
      </c>
      <c r="F247" t="n">
        <v>185</v>
      </c>
      <c r="G247" t="n">
        <v>218.3</v>
      </c>
      <c r="H247">
        <f>הגדרות!B3</f>
        <v/>
      </c>
      <c r="I247">
        <f>F247*(1-H247/100)*1.18</f>
        <v/>
      </c>
      <c r="J247">
        <f>הגדרות!C3</f>
        <v/>
      </c>
      <c r="K247">
        <f>הגדרות!D3</f>
        <v/>
      </c>
      <c r="L247">
        <f>I247*(1+J247/100)+K247</f>
        <v/>
      </c>
    </row>
    <row r="248">
      <c r="A248" t="inlineStr">
        <is>
          <t>Royal Canin חנויות</t>
        </is>
      </c>
      <c r="B248" t="inlineStr">
        <is>
          <t>FBN 3182550863681 קיטן מיין קון 10 ק"ג</t>
        </is>
      </c>
      <c r="C248" t="inlineStr">
        <is>
          <t>תזונה תומכת ברגישויות לחתול Feline Care Nutriotion</t>
        </is>
      </c>
      <c r="E248" t="inlineStr">
        <is>
          <t>2026-01</t>
        </is>
      </c>
      <c r="F248" t="n">
        <v>339</v>
      </c>
      <c r="G248" t="n">
        <v>400.02</v>
      </c>
      <c r="H248">
        <f>הגדרות!B3</f>
        <v/>
      </c>
      <c r="I248">
        <f>F248*(1-H248/100)*1.18</f>
        <v/>
      </c>
      <c r="J248">
        <f>הגדרות!C3</f>
        <v/>
      </c>
      <c r="K248">
        <f>הגדרות!D3</f>
        <v/>
      </c>
      <c r="L248">
        <f>I248*(1+J248/100)+K248</f>
        <v/>
      </c>
    </row>
    <row r="249">
      <c r="A249" t="inlineStr">
        <is>
          <t>Royal Canin חנויות</t>
        </is>
      </c>
      <c r="B249" t="inlineStr">
        <is>
          <t>FBN 3182550710657 מיין קון 4 ק"ג</t>
        </is>
      </c>
      <c r="C249" t="inlineStr">
        <is>
          <t>תזונה תומכת ברגישויות לחתול Feline Care Nutriotion</t>
        </is>
      </c>
      <c r="E249" t="inlineStr">
        <is>
          <t>2026-01</t>
        </is>
      </c>
      <c r="F249" t="n">
        <v>185</v>
      </c>
      <c r="G249" t="n">
        <v>218.3</v>
      </c>
      <c r="H249">
        <f>הגדרות!B3</f>
        <v/>
      </c>
      <c r="I249">
        <f>F249*(1-H249/100)*1.18</f>
        <v/>
      </c>
      <c r="J249">
        <f>הגדרות!C3</f>
        <v/>
      </c>
      <c r="K249">
        <f>הגדרות!D3</f>
        <v/>
      </c>
      <c r="L249">
        <f>I249*(1+J249/100)+K249</f>
        <v/>
      </c>
    </row>
    <row r="250">
      <c r="A250" t="inlineStr">
        <is>
          <t>Royal Canin חנויות</t>
        </is>
      </c>
      <c r="B250" t="inlineStr">
        <is>
          <t>FBN 3182550710664 מיין קון 10 ק"ג</t>
        </is>
      </c>
      <c r="C250" t="inlineStr">
        <is>
          <t>תזונה תומכת ברגישויות לחתול Feline Care Nutriotion</t>
        </is>
      </c>
      <c r="E250" t="inlineStr">
        <is>
          <t>2026-01</t>
        </is>
      </c>
      <c r="F250" t="n">
        <v>339</v>
      </c>
      <c r="G250" t="n">
        <v>400.02</v>
      </c>
      <c r="H250">
        <f>הגדרות!B3</f>
        <v/>
      </c>
      <c r="I250">
        <f>F250*(1-H250/100)*1.18</f>
        <v/>
      </c>
      <c r="J250">
        <f>הגדרות!C3</f>
        <v/>
      </c>
      <c r="K250">
        <f>הגדרות!D3</f>
        <v/>
      </c>
      <c r="L250">
        <f>I250*(1+J250/100)+K250</f>
        <v/>
      </c>
    </row>
    <row r="251">
      <c r="A251" t="inlineStr">
        <is>
          <t>Royal Canin חנויות</t>
        </is>
      </c>
      <c r="B251" t="inlineStr">
        <is>
          <t>אם וגורים מוס שימורים חתול 195 גר'</t>
        </is>
      </c>
      <c r="C251" t="inlineStr">
        <is>
          <t>מזון רטוב חתולים</t>
        </is>
      </c>
      <c r="D251" t="inlineStr">
        <is>
          <t>9003579311660</t>
        </is>
      </c>
      <c r="E251" t="inlineStr">
        <is>
          <t>2026-01</t>
        </is>
      </c>
      <c r="F251" t="n">
        <v>140</v>
      </c>
      <c r="G251" t="n">
        <v>165.2</v>
      </c>
      <c r="H251">
        <f>הגדרות!B3</f>
        <v/>
      </c>
      <c r="I251">
        <f>F251*(1-H251/100)*1.18</f>
        <v/>
      </c>
      <c r="J251">
        <f>הגדרות!C3</f>
        <v/>
      </c>
      <c r="K251">
        <f>הגדרות!D3</f>
        <v/>
      </c>
      <c r="L251">
        <f>I251*(1+J251/100)+K251</f>
        <v/>
      </c>
    </row>
    <row r="252">
      <c r="A252" t="inlineStr">
        <is>
          <t>Royal Canin חנויות</t>
        </is>
      </c>
      <c r="B252" t="inlineStr">
        <is>
          <t>קיטן פאוץ' רוטב 85X12 גר'</t>
        </is>
      </c>
      <c r="C252" t="inlineStr">
        <is>
          <t>מזון רטוב חתולים</t>
        </is>
      </c>
      <c r="D252" t="inlineStr">
        <is>
          <t>9003579308943</t>
        </is>
      </c>
      <c r="E252" t="inlineStr">
        <is>
          <t>2026-01</t>
        </is>
      </c>
      <c r="F252" t="n">
        <v>82</v>
      </c>
      <c r="G252" t="n">
        <v>96.76000000000001</v>
      </c>
      <c r="H252">
        <f>הגדרות!B3</f>
        <v/>
      </c>
      <c r="I252">
        <f>F252*(1-H252/100)*1.18</f>
        <v/>
      </c>
      <c r="J252">
        <f>הגדרות!C3</f>
        <v/>
      </c>
      <c r="K252">
        <f>הגדרות!D3</f>
        <v/>
      </c>
      <c r="L252">
        <f>I252*(1+J252/100)+K252</f>
        <v/>
      </c>
    </row>
    <row r="253">
      <c r="A253" t="inlineStr">
        <is>
          <t>Royal Canin חנויות</t>
        </is>
      </c>
      <c r="B253" t="inlineStr">
        <is>
          <t>קיטן פאוץ' ג'לי 85X12 גר'</t>
        </is>
      </c>
      <c r="C253" t="inlineStr">
        <is>
          <t>מזון רטוב חתולים</t>
        </is>
      </c>
      <c r="D253" t="inlineStr">
        <is>
          <t>9003579311714</t>
        </is>
      </c>
      <c r="E253" t="inlineStr">
        <is>
          <t>2026-01</t>
        </is>
      </c>
      <c r="F253" t="n">
        <v>82</v>
      </c>
      <c r="G253" t="n">
        <v>96.76000000000001</v>
      </c>
      <c r="H253">
        <f>הגדרות!B3</f>
        <v/>
      </c>
      <c r="I253">
        <f>F253*(1-H253/100)*1.18</f>
        <v/>
      </c>
      <c r="J253">
        <f>הגדרות!C3</f>
        <v/>
      </c>
      <c r="K253">
        <f>הגדרות!D3</f>
        <v/>
      </c>
      <c r="L253">
        <f>I253*(1+J253/100)+K253</f>
        <v/>
      </c>
    </row>
    <row r="254">
      <c r="A254" t="inlineStr">
        <is>
          <t>Royal Canin חנויות</t>
        </is>
      </c>
      <c r="B254" t="inlineStr">
        <is>
          <t>קיטן פאוץ' פטה 85X12 גר'</t>
        </is>
      </c>
      <c r="C254" t="inlineStr">
        <is>
          <t>מזון רטוב חתולים</t>
        </is>
      </c>
      <c r="D254" t="inlineStr">
        <is>
          <t>9003579003848</t>
        </is>
      </c>
      <c r="E254" t="inlineStr">
        <is>
          <t>2026-01</t>
        </is>
      </c>
      <c r="F254" t="n">
        <v>82</v>
      </c>
      <c r="G254" t="n">
        <v>96.76000000000001</v>
      </c>
      <c r="H254">
        <f>הגדרות!B3</f>
        <v/>
      </c>
      <c r="I254">
        <f>F254*(1-H254/100)*1.18</f>
        <v/>
      </c>
      <c r="J254">
        <f>הגדרות!C3</f>
        <v/>
      </c>
      <c r="K254">
        <f>הגדרות!D3</f>
        <v/>
      </c>
      <c r="L254">
        <f>I254*(1+J254/100)+K254</f>
        <v/>
      </c>
    </row>
    <row r="255">
      <c r="A255" t="inlineStr">
        <is>
          <t>Royal Canin חנויות</t>
        </is>
      </c>
      <c r="B255" t="inlineStr">
        <is>
          <t>אינסטינקטיב פאוץ' ברוטב 85X12 גר'</t>
        </is>
      </c>
      <c r="C255" t="inlineStr">
        <is>
          <t>מזון רטוב חתולים</t>
        </is>
      </c>
      <c r="D255" t="inlineStr">
        <is>
          <t>9003579308936</t>
        </is>
      </c>
      <c r="E255" t="inlineStr">
        <is>
          <t>2026-01</t>
        </is>
      </c>
      <c r="F255" t="n">
        <v>82</v>
      </c>
      <c r="G255" t="n">
        <v>96.76000000000001</v>
      </c>
      <c r="H255">
        <f>הגדרות!B3</f>
        <v/>
      </c>
      <c r="I255">
        <f>F255*(1-H255/100)*1.18</f>
        <v/>
      </c>
      <c r="J255">
        <f>הגדרות!C3</f>
        <v/>
      </c>
      <c r="K255">
        <f>הגדרות!D3</f>
        <v/>
      </c>
      <c r="L255">
        <f>I255*(1+J255/100)+K255</f>
        <v/>
      </c>
    </row>
    <row r="256">
      <c r="A256" t="inlineStr">
        <is>
          <t>Royal Canin חנויות</t>
        </is>
      </c>
      <c r="B256" t="inlineStr">
        <is>
          <t>אינסטינקטיב פאוץ' ג'לי 85X12 גר'</t>
        </is>
      </c>
      <c r="C256" t="inlineStr">
        <is>
          <t>מזון רטוב חתולים</t>
        </is>
      </c>
      <c r="D256" t="inlineStr">
        <is>
          <t>9003579309513</t>
        </is>
      </c>
      <c r="E256" t="inlineStr">
        <is>
          <t>2026-01</t>
        </is>
      </c>
      <c r="F256" t="n">
        <v>82</v>
      </c>
      <c r="G256" t="n">
        <v>96.76000000000001</v>
      </c>
      <c r="H256">
        <f>הגדרות!B3</f>
        <v/>
      </c>
      <c r="I256">
        <f>F256*(1-H256/100)*1.18</f>
        <v/>
      </c>
      <c r="J256">
        <f>הגדרות!C3</f>
        <v/>
      </c>
      <c r="K256">
        <f>הגדרות!D3</f>
        <v/>
      </c>
      <c r="L256">
        <f>I256*(1+J256/100)+K256</f>
        <v/>
      </c>
    </row>
    <row r="257">
      <c r="A257" t="inlineStr">
        <is>
          <t>Royal Canin חנויות</t>
        </is>
      </c>
      <c r="B257" t="inlineStr">
        <is>
          <t>אינסטינקטיב פאוץ' פטה 85X12 גר'</t>
        </is>
      </c>
      <c r="C257" t="inlineStr">
        <is>
          <t>מזון רטוב חתולים</t>
        </is>
      </c>
      <c r="D257" t="inlineStr">
        <is>
          <t>9003579003886</t>
        </is>
      </c>
      <c r="E257" t="inlineStr">
        <is>
          <t>2026-01</t>
        </is>
      </c>
      <c r="F257" t="n">
        <v>82</v>
      </c>
      <c r="G257" t="n">
        <v>96.76000000000001</v>
      </c>
      <c r="H257">
        <f>הגדרות!B3</f>
        <v/>
      </c>
      <c r="I257">
        <f>F257*(1-H257/100)*1.18</f>
        <v/>
      </c>
      <c r="J257">
        <f>הגדרות!C3</f>
        <v/>
      </c>
      <c r="K257">
        <f>הגדרות!D3</f>
        <v/>
      </c>
      <c r="L257">
        <f>I257*(1+J257/100)+K257</f>
        <v/>
      </c>
    </row>
    <row r="258">
      <c r="A258" t="inlineStr">
        <is>
          <t>Royal Canin חנויות</t>
        </is>
      </c>
      <c r="B258" t="inlineStr">
        <is>
          <t>אינדור פאוץ' ברוטב 85X12 גר'</t>
        </is>
      </c>
      <c r="C258" t="inlineStr">
        <is>
          <t>מזון רטוב חתולים</t>
        </is>
      </c>
      <c r="D258" t="inlineStr">
        <is>
          <t>9003579013809</t>
        </is>
      </c>
      <c r="E258" t="inlineStr">
        <is>
          <t>2026-01</t>
        </is>
      </c>
      <c r="F258" t="n">
        <v>82</v>
      </c>
      <c r="G258" t="n">
        <v>96.76000000000001</v>
      </c>
      <c r="H258">
        <f>הגדרות!B3</f>
        <v/>
      </c>
      <c r="I258">
        <f>F258*(1-H258/100)*1.18</f>
        <v/>
      </c>
      <c r="J258">
        <f>הגדרות!C3</f>
        <v/>
      </c>
      <c r="K258">
        <f>הגדרות!D3</f>
        <v/>
      </c>
      <c r="L258">
        <f>I258*(1+J258/100)+K258</f>
        <v/>
      </c>
    </row>
    <row r="259">
      <c r="A259" t="inlineStr">
        <is>
          <t>Royal Canin חנויות</t>
        </is>
      </c>
      <c r="B259" t="inlineStr">
        <is>
          <t>סטרילייז פאוץ' ברוטב 85X12 גר'</t>
        </is>
      </c>
      <c r="C259" t="inlineStr">
        <is>
          <t>מזון רטוב חתולים</t>
        </is>
      </c>
      <c r="D259" t="inlineStr">
        <is>
          <t>9003579311301</t>
        </is>
      </c>
      <c r="E259" t="inlineStr">
        <is>
          <t>2026-01</t>
        </is>
      </c>
      <c r="F259" t="n">
        <v>82</v>
      </c>
      <c r="G259" t="n">
        <v>96.76000000000001</v>
      </c>
      <c r="H259">
        <f>הגדרות!B3</f>
        <v/>
      </c>
      <c r="I259">
        <f>F259*(1-H259/100)*1.18</f>
        <v/>
      </c>
      <c r="J259">
        <f>הגדרות!C3</f>
        <v/>
      </c>
      <c r="K259">
        <f>הגדרות!D3</f>
        <v/>
      </c>
      <c r="L259">
        <f>I259*(1+J259/100)+K259</f>
        <v/>
      </c>
    </row>
    <row r="260">
      <c r="A260" t="inlineStr">
        <is>
          <t>Royal Canin חנויות</t>
        </is>
      </c>
      <c r="B260" t="inlineStr">
        <is>
          <t>סטרילייז פאוץ' ג'לי 85X12 גר'</t>
        </is>
      </c>
      <c r="C260" t="inlineStr">
        <is>
          <t>מזון רטוב חתולים</t>
        </is>
      </c>
      <c r="D260" t="inlineStr">
        <is>
          <t>9003579311776</t>
        </is>
      </c>
      <c r="E260" t="inlineStr">
        <is>
          <t>2026-01</t>
        </is>
      </c>
      <c r="F260" t="n">
        <v>82</v>
      </c>
      <c r="G260" t="n">
        <v>96.76000000000001</v>
      </c>
      <c r="H260">
        <f>הגדרות!B3</f>
        <v/>
      </c>
      <c r="I260">
        <f>F260*(1-H260/100)*1.18</f>
        <v/>
      </c>
      <c r="J260">
        <f>הגדרות!C3</f>
        <v/>
      </c>
      <c r="K260">
        <f>הגדרות!D3</f>
        <v/>
      </c>
      <c r="L260">
        <f>I260*(1+J260/100)+K260</f>
        <v/>
      </c>
    </row>
    <row r="261">
      <c r="A261" t="inlineStr">
        <is>
          <t>Royal Canin חנויות</t>
        </is>
      </c>
      <c r="B261" t="inlineStr">
        <is>
          <t>סטרילייז פאוץ' פטה 85X12 גר'</t>
        </is>
      </c>
      <c r="C261" t="inlineStr">
        <is>
          <t>מזון רטוב חתולים</t>
        </is>
      </c>
      <c r="D261" t="inlineStr">
        <is>
          <t>9003579003923</t>
        </is>
      </c>
      <c r="E261" t="inlineStr">
        <is>
          <t>2026-01</t>
        </is>
      </c>
      <c r="F261" t="n">
        <v>82</v>
      </c>
      <c r="G261" t="n">
        <v>96.76000000000001</v>
      </c>
      <c r="H261">
        <f>הגדרות!B3</f>
        <v/>
      </c>
      <c r="I261">
        <f>F261*(1-H261/100)*1.18</f>
        <v/>
      </c>
      <c r="J261">
        <f>הגדרות!C3</f>
        <v/>
      </c>
      <c r="K261">
        <f>הגדרות!D3</f>
        <v/>
      </c>
      <c r="L261">
        <f>I261*(1+J261/100)+K261</f>
        <v/>
      </c>
    </row>
    <row r="262">
      <c r="A262" t="inlineStr">
        <is>
          <t>Royal Canin חנויות</t>
        </is>
      </c>
      <c r="B262" t="inlineStr">
        <is>
          <t>אייג'ינג 11+ פאוץ' רוטב 85X12 גר'</t>
        </is>
      </c>
      <c r="C262" t="inlineStr">
        <is>
          <t>מזון רטוב חתולים</t>
        </is>
      </c>
      <c r="D262" t="inlineStr">
        <is>
          <t>9003579050095</t>
        </is>
      </c>
      <c r="E262" t="inlineStr">
        <is>
          <t>2026-01</t>
        </is>
      </c>
      <c r="F262" t="n">
        <v>82</v>
      </c>
      <c r="G262" t="n">
        <v>96.76000000000001</v>
      </c>
      <c r="H262">
        <f>הגדרות!B3</f>
        <v/>
      </c>
      <c r="I262">
        <f>F262*(1-H262/100)*1.18</f>
        <v/>
      </c>
      <c r="J262">
        <f>הגדרות!C3</f>
        <v/>
      </c>
      <c r="K262">
        <f>הגדרות!D3</f>
        <v/>
      </c>
      <c r="L262">
        <f>I262*(1+J262/100)+K262</f>
        <v/>
      </c>
    </row>
    <row r="263">
      <c r="A263" t="inlineStr">
        <is>
          <t>Royal Canin חנויות</t>
        </is>
      </c>
      <c r="B263" t="inlineStr">
        <is>
          <t>אייג'ינג 11+ פאוץ' ג'לי 85X12 גר'</t>
        </is>
      </c>
      <c r="C263" t="inlineStr">
        <is>
          <t>מזון רטוב חתולים</t>
        </is>
      </c>
      <c r="D263" t="inlineStr">
        <is>
          <t>9003579050057</t>
        </is>
      </c>
      <c r="E263" t="inlineStr">
        <is>
          <t>2026-01</t>
        </is>
      </c>
      <c r="F263" t="n">
        <v>82</v>
      </c>
      <c r="G263" t="n">
        <v>96.76000000000001</v>
      </c>
      <c r="H263">
        <f>הגדרות!B3</f>
        <v/>
      </c>
      <c r="I263">
        <f>F263*(1-H263/100)*1.18</f>
        <v/>
      </c>
      <c r="J263">
        <f>הגדרות!C3</f>
        <v/>
      </c>
      <c r="K263">
        <f>הגדרות!D3</f>
        <v/>
      </c>
      <c r="L263">
        <f>I263*(1+J263/100)+K263</f>
        <v/>
      </c>
    </row>
    <row r="264">
      <c r="A264" t="inlineStr">
        <is>
          <t>Royal Canin חנויות</t>
        </is>
      </c>
      <c r="B264" t="inlineStr">
        <is>
          <t>אייג'ינג 15+ פאוץ' ג'לי 85X12 גר'</t>
        </is>
      </c>
      <c r="C264" t="inlineStr">
        <is>
          <t>מזון רטוב חתולים</t>
        </is>
      </c>
      <c r="D264" t="inlineStr">
        <is>
          <t>9003579050170</t>
        </is>
      </c>
      <c r="E264" t="inlineStr">
        <is>
          <t>2026-01</t>
        </is>
      </c>
      <c r="F264" t="n">
        <v>82</v>
      </c>
      <c r="G264" t="n">
        <v>96.76000000000001</v>
      </c>
      <c r="H264">
        <f>הגדרות!B3</f>
        <v/>
      </c>
      <c r="I264">
        <f>F264*(1-H264/100)*1.18</f>
        <v/>
      </c>
      <c r="J264">
        <f>הגדרות!C3</f>
        <v/>
      </c>
      <c r="K264">
        <f>הגדרות!D3</f>
        <v/>
      </c>
      <c r="L264">
        <f>I264*(1+J264/100)+K264</f>
        <v/>
      </c>
    </row>
    <row r="265">
      <c r="A265" t="inlineStr">
        <is>
          <t>Royal Canin חנויות</t>
        </is>
      </c>
      <c r="B265" t="inlineStr">
        <is>
          <t>אייג'ינג 12+ פאוץ' ברוטב 85X12 גר'</t>
        </is>
      </c>
      <c r="C265" t="inlineStr">
        <is>
          <t>מזון רטוב חתולים</t>
        </is>
      </c>
      <c r="D265" t="inlineStr">
        <is>
          <t>9003579310151</t>
        </is>
      </c>
      <c r="E265" t="inlineStr">
        <is>
          <t>2026-01</t>
        </is>
      </c>
      <c r="F265" t="n">
        <v>82</v>
      </c>
      <c r="G265" t="n">
        <v>96.76000000000001</v>
      </c>
      <c r="H265">
        <f>הגדרות!B3</f>
        <v/>
      </c>
      <c r="I265">
        <f>F265*(1-H265/100)*1.18</f>
        <v/>
      </c>
      <c r="J265">
        <f>הגדרות!C3</f>
        <v/>
      </c>
      <c r="K265">
        <f>הגדרות!D3</f>
        <v/>
      </c>
      <c r="L265">
        <f>I265*(1+J265/100)+K265</f>
        <v/>
      </c>
    </row>
    <row r="266">
      <c r="A266" t="inlineStr">
        <is>
          <t>Royal Canin חנויות</t>
        </is>
      </c>
      <c r="B266" t="inlineStr">
        <is>
          <t>אייג'ינג 12+ פאוץ' ג'לי 85X12 גר'</t>
        </is>
      </c>
      <c r="C266" t="inlineStr">
        <is>
          <t>מזון רטוב חתולים</t>
        </is>
      </c>
      <c r="D266" t="inlineStr">
        <is>
          <t>9003579311745</t>
        </is>
      </c>
      <c r="E266" t="inlineStr">
        <is>
          <t>2026-01</t>
        </is>
      </c>
      <c r="F266" t="n">
        <v>82</v>
      </c>
      <c r="G266" t="n">
        <v>96.76000000000001</v>
      </c>
      <c r="H266">
        <f>הגדרות!B3</f>
        <v/>
      </c>
      <c r="I266">
        <f>F266*(1-H266/100)*1.18</f>
        <v/>
      </c>
      <c r="J266">
        <f>הגדרות!C3</f>
        <v/>
      </c>
      <c r="K266">
        <f>הגדרות!D3</f>
        <v/>
      </c>
      <c r="L266">
        <f>I266*(1+J266/100)+K266</f>
        <v/>
      </c>
    </row>
    <row r="267">
      <c r="A267" t="inlineStr">
        <is>
          <t>Royal Canin חנויות</t>
        </is>
      </c>
      <c r="B267" t="inlineStr">
        <is>
          <t>אולטרא קייר חתול פאוץ' 85X12 גר'</t>
        </is>
      </c>
      <c r="C267" t="inlineStr">
        <is>
          <t>מזון רטוב חתולים</t>
        </is>
      </c>
      <c r="D267" t="inlineStr">
        <is>
          <t>9003579308769</t>
        </is>
      </c>
      <c r="E267" t="inlineStr">
        <is>
          <t>2026-01</t>
        </is>
      </c>
      <c r="F267" t="n">
        <v>82</v>
      </c>
      <c r="G267" t="n">
        <v>96.76000000000001</v>
      </c>
      <c r="H267">
        <f>הגדרות!B3</f>
        <v/>
      </c>
      <c r="I267">
        <f>F267*(1-H267/100)*1.18</f>
        <v/>
      </c>
      <c r="J267">
        <f>הגדרות!C3</f>
        <v/>
      </c>
      <c r="K267">
        <f>הגדרות!D3</f>
        <v/>
      </c>
      <c r="L267">
        <f>I267*(1+J267/100)+K267</f>
        <v/>
      </c>
    </row>
    <row r="268">
      <c r="A268" t="inlineStr">
        <is>
          <t>Royal Canin חנויות</t>
        </is>
      </c>
      <c r="B268" t="inlineStr">
        <is>
          <t>אינטנס ביוטי פאוץ' 85X12 גר'</t>
        </is>
      </c>
      <c r="C268" t="inlineStr">
        <is>
          <t>מזון רטוב חתולים</t>
        </is>
      </c>
      <c r="D268" t="inlineStr">
        <is>
          <t>9003579308929</t>
        </is>
      </c>
      <c r="E268" t="inlineStr">
        <is>
          <t>2026-01</t>
        </is>
      </c>
      <c r="F268" t="n">
        <v>82</v>
      </c>
      <c r="G268" t="n">
        <v>96.76000000000001</v>
      </c>
      <c r="H268">
        <f>הגדרות!B3</f>
        <v/>
      </c>
      <c r="I268">
        <f>F268*(1-H268/100)*1.18</f>
        <v/>
      </c>
      <c r="J268">
        <f>הגדרות!C3</f>
        <v/>
      </c>
      <c r="K268">
        <f>הגדרות!D3</f>
        <v/>
      </c>
      <c r="L268">
        <f>I268*(1+J268/100)+K268</f>
        <v/>
      </c>
    </row>
    <row r="269">
      <c r="A269" t="inlineStr">
        <is>
          <t>Royal Canin חנויות</t>
        </is>
      </c>
      <c r="B269" t="inlineStr">
        <is>
          <t>דייג'סטיב סנסיטיב קייר חתול פאוץ' 85X12 גר'</t>
        </is>
      </c>
      <c r="C269" t="inlineStr">
        <is>
          <t>מזון רטוב חתולים</t>
        </is>
      </c>
      <c r="D269" t="inlineStr">
        <is>
          <t>9003579309537</t>
        </is>
      </c>
      <c r="E269" t="inlineStr">
        <is>
          <t>2026-01</t>
        </is>
      </c>
      <c r="F269" t="n">
        <v>82</v>
      </c>
      <c r="G269" t="n">
        <v>96.76000000000001</v>
      </c>
      <c r="H269">
        <f>הגדרות!B3</f>
        <v/>
      </c>
      <c r="I269">
        <f>F269*(1-H269/100)*1.18</f>
        <v/>
      </c>
      <c r="J269">
        <f>הגדרות!C3</f>
        <v/>
      </c>
      <c r="K269">
        <f>הגדרות!D3</f>
        <v/>
      </c>
      <c r="L269">
        <f>I269*(1+J269/100)+K269</f>
        <v/>
      </c>
    </row>
    <row r="270">
      <c r="A270" t="inlineStr">
        <is>
          <t>Royal Canin חנויות</t>
        </is>
      </c>
      <c r="B270" t="inlineStr">
        <is>
          <t>היירבול קייר חתול פאוץ' 85X12 גר'</t>
        </is>
      </c>
      <c r="C270" t="inlineStr">
        <is>
          <t>מזון רטוב חתולים</t>
        </is>
      </c>
      <c r="D270" t="inlineStr">
        <is>
          <t>9003579000410</t>
        </is>
      </c>
      <c r="E270" t="inlineStr">
        <is>
          <t>2026-01</t>
        </is>
      </c>
      <c r="F270" t="n">
        <v>82</v>
      </c>
      <c r="G270" t="n">
        <v>96.76000000000001</v>
      </c>
      <c r="H270">
        <f>הגדרות!B3</f>
        <v/>
      </c>
      <c r="I270">
        <f>F270*(1-H270/100)*1.18</f>
        <v/>
      </c>
      <c r="J270">
        <f>הגדרות!C3</f>
        <v/>
      </c>
      <c r="K270">
        <f>הגדרות!D3</f>
        <v/>
      </c>
      <c r="L270">
        <f>I270*(1+J270/100)+K270</f>
        <v/>
      </c>
    </row>
    <row r="271">
      <c r="A271" t="inlineStr">
        <is>
          <t>Royal Canin חנויות</t>
        </is>
      </c>
      <c r="B271" t="inlineStr">
        <is>
          <t>יורינארי קייר חתול פאוץ' 85X12 גר'</t>
        </is>
      </c>
      <c r="C271" t="inlineStr">
        <is>
          <t>מזון רטוב חתולים</t>
        </is>
      </c>
      <c r="D271" t="inlineStr">
        <is>
          <t>9003579000366</t>
        </is>
      </c>
      <c r="E271" t="inlineStr">
        <is>
          <t>2026-01</t>
        </is>
      </c>
      <c r="F271" t="n">
        <v>82</v>
      </c>
      <c r="G271" t="n">
        <v>96.76000000000001</v>
      </c>
      <c r="H271">
        <f>הגדרות!B3</f>
        <v/>
      </c>
      <c r="I271">
        <f>F271*(1-H271/100)*1.18</f>
        <v/>
      </c>
      <c r="J271">
        <f>הגדרות!C3</f>
        <v/>
      </c>
      <c r="K271">
        <f>הגדרות!D3</f>
        <v/>
      </c>
      <c r="L271">
        <f>I271*(1+J271/100)+K271</f>
        <v/>
      </c>
    </row>
    <row r="272">
      <c r="A272" t="inlineStr">
        <is>
          <t>Royal Canin חנויות</t>
        </is>
      </c>
      <c r="B272" t="inlineStr">
        <is>
          <t>9003579001172 חתול פרסי פאוץ' 85X12 גר'</t>
        </is>
      </c>
      <c r="C272" t="inlineStr">
        <is>
          <t>מזון רטוב חתולים</t>
        </is>
      </c>
      <c r="E272" t="inlineStr">
        <is>
          <t>2026-01</t>
        </is>
      </c>
      <c r="F272" t="n">
        <v>82</v>
      </c>
      <c r="G272" t="n">
        <v>96.76000000000001</v>
      </c>
      <c r="H272">
        <f>הגדרות!B3</f>
        <v/>
      </c>
      <c r="I272">
        <f>F272*(1-H272/100)*1.18</f>
        <v/>
      </c>
      <c r="J272">
        <f>הגדרות!C3</f>
        <v/>
      </c>
      <c r="K272">
        <f>הגדרות!D3</f>
        <v/>
      </c>
      <c r="L272">
        <f>I272*(1+J272/100)+K272</f>
        <v/>
      </c>
    </row>
    <row r="273">
      <c r="A273" t="inlineStr">
        <is>
          <t>Royal Canin חנויות</t>
        </is>
      </c>
      <c r="B273" t="inlineStr">
        <is>
          <t>9003579001219 חתול מיין קון פאוץ' 85X12 גר'</t>
        </is>
      </c>
      <c r="C273" t="inlineStr">
        <is>
          <t>מזון רטוב חתולים</t>
        </is>
      </c>
      <c r="E273" t="inlineStr">
        <is>
          <t>2026-01</t>
        </is>
      </c>
      <c r="F273" t="n">
        <v>82</v>
      </c>
      <c r="G273" t="n">
        <v>96.76000000000001</v>
      </c>
      <c r="H273">
        <f>הגדרות!B3</f>
        <v/>
      </c>
      <c r="I273">
        <f>F273*(1-H273/100)*1.18</f>
        <v/>
      </c>
      <c r="J273">
        <f>הגדרות!C3</f>
        <v/>
      </c>
      <c r="K273">
        <f>הגדרות!D3</f>
        <v/>
      </c>
      <c r="L273">
        <f>I273*(1+J273/100)+K273</f>
        <v/>
      </c>
    </row>
    <row r="274">
      <c r="A274" t="inlineStr">
        <is>
          <t>Royal Canin חנויות</t>
        </is>
      </c>
      <c r="B274" t="inlineStr">
        <is>
          <t>9003579001257 חתול בריטי פאוץ' 85X12 גר'</t>
        </is>
      </c>
      <c r="C274" t="inlineStr">
        <is>
          <t>מזון רטוב חתולים</t>
        </is>
      </c>
      <c r="E274" t="inlineStr">
        <is>
          <t>2026-01</t>
        </is>
      </c>
      <c r="F274" t="n">
        <v>82</v>
      </c>
      <c r="G274" t="n">
        <v>96.76000000000001</v>
      </c>
      <c r="H274">
        <f>הגדרות!B3</f>
        <v/>
      </c>
      <c r="I274">
        <f>F274*(1-H274/100)*1.18</f>
        <v/>
      </c>
      <c r="J274">
        <f>הגדרות!C3</f>
        <v/>
      </c>
      <c r="K274">
        <f>הגדרות!D3</f>
        <v/>
      </c>
      <c r="L274">
        <f>I274*(1+J274/100)+K274</f>
        <v/>
      </c>
    </row>
    <row r="275">
      <c r="A275" t="inlineStr">
        <is>
          <t>Royal Canin חנויות</t>
        </is>
      </c>
      <c r="B275" t="inlineStr">
        <is>
          <t>סנסורי סמל פאוץ' ברוטב 85X12 גר'</t>
        </is>
      </c>
      <c r="C275" t="inlineStr">
        <is>
          <t>מזון רטוב חתולים</t>
        </is>
      </c>
      <c r="D275" t="inlineStr">
        <is>
          <t>9003579018514</t>
        </is>
      </c>
      <c r="E275" t="inlineStr">
        <is>
          <t>2026-01</t>
        </is>
      </c>
      <c r="F275" t="n">
        <v>82</v>
      </c>
      <c r="G275" t="n">
        <v>96.76000000000001</v>
      </c>
      <c r="H275">
        <f>הגדרות!B3</f>
        <v/>
      </c>
      <c r="I275">
        <f>F275*(1-H275/100)*1.18</f>
        <v/>
      </c>
      <c r="J275">
        <f>הגדרות!C3</f>
        <v/>
      </c>
      <c r="K275">
        <f>הגדרות!D3</f>
        <v/>
      </c>
      <c r="L275">
        <f>I275*(1+J275/100)+K275</f>
        <v/>
      </c>
    </row>
    <row r="276">
      <c r="A276" t="inlineStr">
        <is>
          <t>Royal Canin חנויות</t>
        </is>
      </c>
      <c r="B276" t="inlineStr">
        <is>
          <t>סנסורי טייסט פאוץ' ברוטב 85X12 גר'</t>
        </is>
      </c>
      <c r="C276" t="inlineStr">
        <is>
          <t>מזון רטוב חתולים</t>
        </is>
      </c>
      <c r="D276" t="inlineStr">
        <is>
          <t>9003579018866</t>
        </is>
      </c>
      <c r="E276" t="inlineStr">
        <is>
          <t>2026-01</t>
        </is>
      </c>
      <c r="F276" t="n">
        <v>82</v>
      </c>
      <c r="G276" t="n">
        <v>96.76000000000001</v>
      </c>
      <c r="H276">
        <f>הגדרות!B3</f>
        <v/>
      </c>
      <c r="I276">
        <f>F276*(1-H276/100)*1.18</f>
        <v/>
      </c>
      <c r="J276">
        <f>הגדרות!C3</f>
        <v/>
      </c>
      <c r="K276">
        <f>הגדרות!D3</f>
        <v/>
      </c>
      <c r="L276">
        <f>I276*(1+J276/100)+K276</f>
        <v/>
      </c>
    </row>
    <row r="277">
      <c r="A277" t="inlineStr">
        <is>
          <t>Royal Canin חנויות</t>
        </is>
      </c>
      <c r="B277" t="inlineStr">
        <is>
          <t>סנסורי פיל פאוץ' ברוטב 85X12 גר'</t>
        </is>
      </c>
      <c r="C277" t="inlineStr">
        <is>
          <t>מזון רטוב חתולים</t>
        </is>
      </c>
      <c r="D277" t="inlineStr">
        <is>
          <t>9003579018941</t>
        </is>
      </c>
      <c r="E277" t="inlineStr">
        <is>
          <t>2026-01</t>
        </is>
      </c>
      <c r="F277" t="n">
        <v>82</v>
      </c>
      <c r="G277" t="n">
        <v>96.76000000000001</v>
      </c>
      <c r="H277">
        <f>הגדרות!B3</f>
        <v/>
      </c>
      <c r="I277">
        <f>F277*(1-H277/100)*1.18</f>
        <v/>
      </c>
      <c r="J277">
        <f>הגדרות!C3</f>
        <v/>
      </c>
      <c r="K277">
        <f>הגדרות!D3</f>
        <v/>
      </c>
      <c r="L277">
        <f>I277*(1+J277/100)+K277</f>
        <v/>
      </c>
    </row>
    <row r="278">
      <c r="A278" t="inlineStr">
        <is>
          <t>Hill's Prescription Diet</t>
        </is>
      </c>
      <c r="B278" t="inlineStr">
        <is>
          <t>c/d Multicare כלב 4 ק"ג</t>
        </is>
      </c>
      <c r="C278" t="inlineStr">
        <is>
          <t>דרכי שתן</t>
        </is>
      </c>
      <c r="D278" t="inlineStr">
        <is>
          <t>40607025</t>
        </is>
      </c>
      <c r="E278" t="inlineStr">
        <is>
          <t>2026-04</t>
        </is>
      </c>
      <c r="F278" t="n">
        <v>162</v>
      </c>
      <c r="G278" t="n">
        <v>191.16</v>
      </c>
      <c r="H278">
        <f>הגדרות!B4</f>
        <v/>
      </c>
      <c r="I278">
        <f>F278*(1-H278/100)*1.18</f>
        <v/>
      </c>
      <c r="J278">
        <f>הגדרות!C4</f>
        <v/>
      </c>
      <c r="K278">
        <f>הגדרות!D4</f>
        <v/>
      </c>
      <c r="L278">
        <f>I278*(1+J278/100)+K278</f>
        <v/>
      </c>
    </row>
    <row r="279">
      <c r="A279" t="inlineStr">
        <is>
          <t>Hill's Prescription Diet</t>
        </is>
      </c>
      <c r="B279" t="inlineStr">
        <is>
          <t>c/d Multicare כלב 12 ק"ג</t>
        </is>
      </c>
      <c r="C279" t="inlineStr">
        <is>
          <t>דרכי שתן</t>
        </is>
      </c>
      <c r="D279" t="inlineStr">
        <is>
          <t>40605887</t>
        </is>
      </c>
      <c r="E279" t="inlineStr">
        <is>
          <t>2026-04</t>
        </is>
      </c>
      <c r="F279" t="n">
        <v>379</v>
      </c>
      <c r="G279" t="n">
        <v>447.22</v>
      </c>
      <c r="H279">
        <f>הגדרות!B4</f>
        <v/>
      </c>
      <c r="I279">
        <f>F279*(1-H279/100)*1.18</f>
        <v/>
      </c>
      <c r="J279">
        <f>הגדרות!C4</f>
        <v/>
      </c>
      <c r="K279">
        <f>הגדרות!D4</f>
        <v/>
      </c>
      <c r="L279">
        <f>I279*(1+J279/100)+K279</f>
        <v/>
      </c>
    </row>
    <row r="280">
      <c r="A280" t="inlineStr">
        <is>
          <t>Hill's Prescription Diet</t>
        </is>
      </c>
      <c r="B280" t="inlineStr">
        <is>
          <t>c/d Multicare + Metabolic כלב 1.5 ק"ג</t>
        </is>
      </c>
      <c r="C280" t="inlineStr">
        <is>
          <t>דרכי שתן</t>
        </is>
      </c>
      <c r="D280" t="inlineStr">
        <is>
          <t>40605856</t>
        </is>
      </c>
      <c r="E280" t="inlineStr">
        <is>
          <t>2026-04</t>
        </is>
      </c>
      <c r="F280" t="n">
        <v>90</v>
      </c>
      <c r="G280" t="n">
        <v>106.2</v>
      </c>
      <c r="H280">
        <f>הגדרות!B4</f>
        <v/>
      </c>
      <c r="I280">
        <f>F280*(1-H280/100)*1.18</f>
        <v/>
      </c>
      <c r="J280">
        <f>הגדרות!C4</f>
        <v/>
      </c>
      <c r="K280">
        <f>הגדרות!D4</f>
        <v/>
      </c>
      <c r="L280">
        <f>I280*(1+J280/100)+K280</f>
        <v/>
      </c>
    </row>
    <row r="281">
      <c r="A281" t="inlineStr">
        <is>
          <t>Hill's Prescription Diet</t>
        </is>
      </c>
      <c r="B281" t="inlineStr">
        <is>
          <t>c/d Multicare + Metabolic כלב 12 ק"ג</t>
        </is>
      </c>
      <c r="C281" t="inlineStr">
        <is>
          <t>דרכי שתן</t>
        </is>
      </c>
      <c r="D281" t="inlineStr">
        <is>
          <t>40605852</t>
        </is>
      </c>
      <c r="E281" t="inlineStr">
        <is>
          <t>2026-04</t>
        </is>
      </c>
      <c r="F281" t="n">
        <v>485</v>
      </c>
      <c r="G281" t="n">
        <v>572.3</v>
      </c>
      <c r="H281">
        <f>הגדרות!B4</f>
        <v/>
      </c>
      <c r="I281">
        <f>F281*(1-H281/100)*1.18</f>
        <v/>
      </c>
      <c r="J281">
        <f>הגדרות!C4</f>
        <v/>
      </c>
      <c r="K281">
        <f>הגדרות!D4</f>
        <v/>
      </c>
      <c r="L281">
        <f>I281*(1+J281/100)+K281</f>
        <v/>
      </c>
    </row>
    <row r="282">
      <c r="A282" t="inlineStr">
        <is>
          <t>Hill's Prescription Diet</t>
        </is>
      </c>
      <c r="B282" t="inlineStr">
        <is>
          <t>d/d כלב - ברווז ואורז 4 ק"ג</t>
        </is>
      </c>
      <c r="C282" t="inlineStr">
        <is>
          <t>אלרגיה למזון</t>
        </is>
      </c>
      <c r="D282" t="inlineStr">
        <is>
          <t>40605841</t>
        </is>
      </c>
      <c r="E282" t="inlineStr">
        <is>
          <t>2026-04</t>
        </is>
      </c>
      <c r="F282" t="n">
        <v>179</v>
      </c>
      <c r="G282" t="n">
        <v>211.22</v>
      </c>
      <c r="H282">
        <f>הגדרות!B4</f>
        <v/>
      </c>
      <c r="I282">
        <f>F282*(1-H282/100)*1.18</f>
        <v/>
      </c>
      <c r="J282">
        <f>הגדרות!C4</f>
        <v/>
      </c>
      <c r="K282">
        <f>הגדרות!D4</f>
        <v/>
      </c>
      <c r="L282">
        <f>I282*(1+J282/100)+K282</f>
        <v/>
      </c>
    </row>
    <row r="283">
      <c r="A283" t="inlineStr">
        <is>
          <t>Hill's Prescription Diet</t>
        </is>
      </c>
      <c r="B283" t="inlineStr">
        <is>
          <t>d/d כלב - ברווז ואורז 12 ק"ג</t>
        </is>
      </c>
      <c r="C283" t="inlineStr">
        <is>
          <t>אלרגיה למזון</t>
        </is>
      </c>
      <c r="D283" t="inlineStr">
        <is>
          <t>40605855</t>
        </is>
      </c>
      <c r="E283" t="inlineStr">
        <is>
          <t>2026-04</t>
        </is>
      </c>
      <c r="F283" t="n">
        <v>423</v>
      </c>
      <c r="G283" t="n">
        <v>499.14</v>
      </c>
      <c r="H283">
        <f>הגדרות!B4</f>
        <v/>
      </c>
      <c r="I283">
        <f>F283*(1-H283/100)*1.18</f>
        <v/>
      </c>
      <c r="J283">
        <f>הגדרות!C4</f>
        <v/>
      </c>
      <c r="K283">
        <f>הגדרות!D4</f>
        <v/>
      </c>
      <c r="L283">
        <f>I283*(1+J283/100)+K283</f>
        <v/>
      </c>
    </row>
    <row r="284">
      <c r="A284" t="inlineStr">
        <is>
          <t>Hill's Prescription Diet</t>
        </is>
      </c>
      <c r="B284" t="inlineStr">
        <is>
          <t>Derm Complete Puppy גור כלב* 4 ק"ג</t>
        </is>
      </c>
      <c r="D284" t="inlineStr">
        <is>
          <t>40607780</t>
        </is>
      </c>
      <c r="E284" t="inlineStr">
        <is>
          <t>2026-04</t>
        </is>
      </c>
      <c r="F284" t="n">
        <v>175</v>
      </c>
      <c r="G284" t="n">
        <v>206.5</v>
      </c>
      <c r="H284">
        <f>הגדרות!B4</f>
        <v/>
      </c>
      <c r="I284">
        <f>F284*(1-H284/100)*1.18</f>
        <v/>
      </c>
      <c r="J284">
        <f>הגדרות!C4</f>
        <v/>
      </c>
      <c r="K284">
        <f>הגדרות!D4</f>
        <v/>
      </c>
      <c r="L284">
        <f>I284*(1+J284/100)+K284</f>
        <v/>
      </c>
    </row>
    <row r="285">
      <c r="A285" t="inlineStr">
        <is>
          <t>Hill's Prescription Diet</t>
        </is>
      </c>
      <c r="B285" t="inlineStr">
        <is>
          <t>Derm Complete כלב 4 ק"ג</t>
        </is>
      </c>
      <c r="C285" t="inlineStr">
        <is>
          <t>עור ופרווה</t>
        </is>
      </c>
      <c r="D285" t="inlineStr">
        <is>
          <t>40606167</t>
        </is>
      </c>
      <c r="E285" t="inlineStr">
        <is>
          <t>2026-04</t>
        </is>
      </c>
      <c r="F285" t="n">
        <v>203</v>
      </c>
      <c r="G285" t="n">
        <v>239.54</v>
      </c>
      <c r="H285">
        <f>הגדרות!B4</f>
        <v/>
      </c>
      <c r="I285">
        <f>F285*(1-H285/100)*1.18</f>
        <v/>
      </c>
      <c r="J285">
        <f>הגדרות!C4</f>
        <v/>
      </c>
      <c r="K285">
        <f>הגדרות!D4</f>
        <v/>
      </c>
      <c r="L285">
        <f>I285*(1+J285/100)+K285</f>
        <v/>
      </c>
    </row>
    <row r="286">
      <c r="A286" t="inlineStr">
        <is>
          <t>Hill's Prescription Diet</t>
        </is>
      </c>
      <c r="B286" t="inlineStr">
        <is>
          <t>Derm Complete כלב 12 ק"ג</t>
        </is>
      </c>
      <c r="C286" t="inlineStr">
        <is>
          <t>עור ופרווה</t>
        </is>
      </c>
      <c r="D286" t="inlineStr">
        <is>
          <t>40605870</t>
        </is>
      </c>
      <c r="E286" t="inlineStr">
        <is>
          <t>2026-04</t>
        </is>
      </c>
      <c r="F286" t="n">
        <v>500</v>
      </c>
      <c r="G286" t="n">
        <v>590</v>
      </c>
      <c r="H286">
        <f>הגדרות!B4</f>
        <v/>
      </c>
      <c r="I286">
        <f>F286*(1-H286/100)*1.18</f>
        <v/>
      </c>
      <c r="J286">
        <f>הגדרות!C4</f>
        <v/>
      </c>
      <c r="K286">
        <f>הגדרות!D4</f>
        <v/>
      </c>
      <c r="L286">
        <f>I286*(1+J286/100)+K286</f>
        <v/>
      </c>
    </row>
    <row r="287">
      <c r="A287" t="inlineStr">
        <is>
          <t>Hill's Prescription Diet</t>
        </is>
      </c>
      <c r="B287" t="inlineStr">
        <is>
          <t>Derm Complete מיני כלב 1 ק"ג</t>
        </is>
      </c>
      <c r="C287" t="inlineStr">
        <is>
          <t>עור ופרווה</t>
        </is>
      </c>
      <c r="D287" t="inlineStr">
        <is>
          <t>40606429</t>
        </is>
      </c>
      <c r="E287" t="inlineStr">
        <is>
          <t>2026-04</t>
        </is>
      </c>
      <c r="F287" t="n">
        <v>66</v>
      </c>
      <c r="G287" t="n">
        <v>77.88</v>
      </c>
      <c r="H287">
        <f>הגדרות!B4</f>
        <v/>
      </c>
      <c r="I287">
        <f>F287*(1-H287/100)*1.18</f>
        <v/>
      </c>
      <c r="J287">
        <f>הגדרות!C4</f>
        <v/>
      </c>
      <c r="K287">
        <f>הגדרות!D4</f>
        <v/>
      </c>
      <c r="L287">
        <f>I287*(1+J287/100)+K287</f>
        <v/>
      </c>
    </row>
    <row r="288">
      <c r="A288" t="inlineStr">
        <is>
          <t>Hill's Prescription Diet</t>
        </is>
      </c>
      <c r="B288" t="inlineStr">
        <is>
          <t>i/d גור כלב 1.5 ק"ג</t>
        </is>
      </c>
      <c r="D288" t="inlineStr">
        <is>
          <t>40609596</t>
        </is>
      </c>
      <c r="E288" t="inlineStr">
        <is>
          <t>2026-04</t>
        </is>
      </c>
      <c r="F288" t="n">
        <v>86</v>
      </c>
      <c r="G288" t="n">
        <v>101.48</v>
      </c>
      <c r="H288">
        <f>הגדרות!B4</f>
        <v/>
      </c>
      <c r="I288">
        <f>F288*(1-H288/100)*1.18</f>
        <v/>
      </c>
      <c r="J288">
        <f>הגדרות!C4</f>
        <v/>
      </c>
      <c r="K288">
        <f>הגדרות!D4</f>
        <v/>
      </c>
      <c r="L288">
        <f>I288*(1+J288/100)+K288</f>
        <v/>
      </c>
    </row>
    <row r="289">
      <c r="A289" t="inlineStr">
        <is>
          <t>Hill's Prescription Diet</t>
        </is>
      </c>
      <c r="B289" t="inlineStr">
        <is>
          <t>i/d גור כלב 4 ק"ג</t>
        </is>
      </c>
      <c r="D289" t="inlineStr">
        <is>
          <t>40609597</t>
        </is>
      </c>
      <c r="E289" t="inlineStr">
        <is>
          <t>2026-04</t>
        </is>
      </c>
      <c r="F289" t="n">
        <v>189</v>
      </c>
      <c r="G289" t="n">
        <v>223.02</v>
      </c>
      <c r="H289">
        <f>הגדרות!B4</f>
        <v/>
      </c>
      <c r="I289">
        <f>F289*(1-H289/100)*1.18</f>
        <v/>
      </c>
      <c r="J289">
        <f>הגדרות!C4</f>
        <v/>
      </c>
      <c r="K289">
        <f>הגדרות!D4</f>
        <v/>
      </c>
      <c r="L289">
        <f>I289*(1+J289/100)+K289</f>
        <v/>
      </c>
    </row>
    <row r="290">
      <c r="A290" t="inlineStr">
        <is>
          <t>Hill's Prescription Diet</t>
        </is>
      </c>
      <c r="B290" t="inlineStr">
        <is>
          <t>i/d כלב בוגר 1.5 ק"ג</t>
        </is>
      </c>
      <c r="D290" t="inlineStr">
        <is>
          <t>40606276</t>
        </is>
      </c>
      <c r="E290" t="inlineStr">
        <is>
          <t>2026-04</t>
        </is>
      </c>
      <c r="F290" t="n">
        <v>83</v>
      </c>
      <c r="G290" t="n">
        <v>97.94</v>
      </c>
      <c r="H290">
        <f>הגדרות!B4</f>
        <v/>
      </c>
      <c r="I290">
        <f>F290*(1-H290/100)*1.18</f>
        <v/>
      </c>
      <c r="J290">
        <f>הגדרות!C4</f>
        <v/>
      </c>
      <c r="K290">
        <f>הגדרות!D4</f>
        <v/>
      </c>
      <c r="L290">
        <f>I290*(1+J290/100)+K290</f>
        <v/>
      </c>
    </row>
    <row r="291">
      <c r="A291" t="inlineStr">
        <is>
          <t>Hill's Prescription Diet</t>
        </is>
      </c>
      <c r="B291" t="inlineStr">
        <is>
          <t>i/d כלב בוגר 4 ק"ג</t>
        </is>
      </c>
      <c r="D291" t="inlineStr">
        <is>
          <t>40605845</t>
        </is>
      </c>
      <c r="E291" t="inlineStr">
        <is>
          <t>2026-04</t>
        </is>
      </c>
      <c r="F291" t="n">
        <v>179</v>
      </c>
      <c r="G291" t="n">
        <v>211.22</v>
      </c>
      <c r="H291">
        <f>הגדרות!B4</f>
        <v/>
      </c>
      <c r="I291">
        <f>F291*(1-H291/100)*1.18</f>
        <v/>
      </c>
      <c r="J291">
        <f>הגדרות!C4</f>
        <v/>
      </c>
      <c r="K291">
        <f>הגדרות!D4</f>
        <v/>
      </c>
      <c r="L291">
        <f>I291*(1+J291/100)+K291</f>
        <v/>
      </c>
    </row>
    <row r="292">
      <c r="A292" t="inlineStr">
        <is>
          <t>Hill's Prescription Diet</t>
        </is>
      </c>
      <c r="B292" t="inlineStr">
        <is>
          <t>i/d כלב בוגר 12 ק"ג</t>
        </is>
      </c>
      <c r="D292" t="inlineStr">
        <is>
          <t>40605862</t>
        </is>
      </c>
      <c r="E292" t="inlineStr">
        <is>
          <t>2026-04</t>
        </is>
      </c>
      <c r="F292" t="n">
        <v>450</v>
      </c>
      <c r="G292" t="n">
        <v>531</v>
      </c>
      <c r="H292">
        <f>הגדרות!B4</f>
        <v/>
      </c>
      <c r="I292">
        <f>F292*(1-H292/100)*1.18</f>
        <v/>
      </c>
      <c r="J292">
        <f>הגדרות!C4</f>
        <v/>
      </c>
      <c r="K292">
        <f>הגדרות!D4</f>
        <v/>
      </c>
      <c r="L292">
        <f>I292*(1+J292/100)+K292</f>
        <v/>
      </c>
    </row>
    <row r="293">
      <c r="A293" t="inlineStr">
        <is>
          <t>Hill's Prescription Diet</t>
        </is>
      </c>
      <c r="B293" t="inlineStr">
        <is>
          <t>i/d low fat כלב בוגר 1.5 ק"ג</t>
        </is>
      </c>
      <c r="D293" t="inlineStr">
        <is>
          <t>40605876</t>
        </is>
      </c>
      <c r="E293" t="inlineStr">
        <is>
          <t>2026-04</t>
        </is>
      </c>
      <c r="F293" t="n">
        <v>100</v>
      </c>
      <c r="G293" t="n">
        <v>118</v>
      </c>
      <c r="H293">
        <f>הגדרות!B4</f>
        <v/>
      </c>
      <c r="I293">
        <f>F293*(1-H293/100)*1.18</f>
        <v/>
      </c>
      <c r="J293">
        <f>הגדרות!C4</f>
        <v/>
      </c>
      <c r="K293">
        <f>הגדרות!D4</f>
        <v/>
      </c>
      <c r="L293">
        <f>I293*(1+J293/100)+K293</f>
        <v/>
      </c>
    </row>
    <row r="294">
      <c r="A294" t="inlineStr">
        <is>
          <t>Hill's Prescription Diet</t>
        </is>
      </c>
      <c r="B294" t="inlineStr">
        <is>
          <t>i/d low fat כלב בוגר 4 ק"ג</t>
        </is>
      </c>
      <c r="D294" t="inlineStr">
        <is>
          <t>40605872</t>
        </is>
      </c>
      <c r="E294" t="inlineStr">
        <is>
          <t>2026-04</t>
        </is>
      </c>
      <c r="F294" t="n">
        <v>185</v>
      </c>
      <c r="G294" t="n">
        <v>218.3</v>
      </c>
      <c r="H294">
        <f>הגדרות!B4</f>
        <v/>
      </c>
      <c r="I294">
        <f>F294*(1-H294/100)*1.18</f>
        <v/>
      </c>
      <c r="J294">
        <f>הגדרות!C4</f>
        <v/>
      </c>
      <c r="K294">
        <f>הגדרות!D4</f>
        <v/>
      </c>
      <c r="L294">
        <f>I294*(1+J294/100)+K294</f>
        <v/>
      </c>
    </row>
    <row r="295">
      <c r="A295" t="inlineStr">
        <is>
          <t>Hill's Prescription Diet</t>
        </is>
      </c>
      <c r="B295" t="inlineStr">
        <is>
          <t>i/d סנסטיב כלב בוגר 12 ק"ג</t>
        </is>
      </c>
      <c r="D295" t="inlineStr">
        <is>
          <t>40606430</t>
        </is>
      </c>
      <c r="E295" t="inlineStr">
        <is>
          <t>2026-04</t>
        </is>
      </c>
      <c r="F295" t="n">
        <v>474</v>
      </c>
      <c r="G295" t="n">
        <v>559.3200000000001</v>
      </c>
      <c r="H295">
        <f>הגדרות!B4</f>
        <v/>
      </c>
      <c r="I295">
        <f>F295*(1-H295/100)*1.18</f>
        <v/>
      </c>
      <c r="J295">
        <f>הגדרות!C4</f>
        <v/>
      </c>
      <c r="K295">
        <f>הגדרות!D4</f>
        <v/>
      </c>
      <c r="L295">
        <f>I295*(1+J295/100)+K295</f>
        <v/>
      </c>
    </row>
    <row r="296">
      <c r="A296" t="inlineStr">
        <is>
          <t>Hill's Prescription Diet</t>
        </is>
      </c>
      <c r="B296" t="inlineStr">
        <is>
          <t>i/d סנסטיב כלב בוגר 4 ק"ג</t>
        </is>
      </c>
      <c r="D296" t="inlineStr">
        <is>
          <t>40605998</t>
        </is>
      </c>
      <c r="E296" t="inlineStr">
        <is>
          <t>2026-04</t>
        </is>
      </c>
      <c r="F296" t="n">
        <v>208</v>
      </c>
      <c r="G296" t="n">
        <v>245.44</v>
      </c>
      <c r="H296">
        <f>הגדרות!B4</f>
        <v/>
      </c>
      <c r="I296">
        <f>F296*(1-H296/100)*1.18</f>
        <v/>
      </c>
      <c r="J296">
        <f>הגדרות!C4</f>
        <v/>
      </c>
      <c r="K296">
        <f>הגדרות!D4</f>
        <v/>
      </c>
      <c r="L296">
        <f>I296*(1+J296/100)+K296</f>
        <v/>
      </c>
    </row>
    <row r="297">
      <c r="A297" t="inlineStr">
        <is>
          <t>Hill's Prescription Diet</t>
        </is>
      </c>
      <c r="B297" t="inlineStr">
        <is>
          <t>GI Biome כלב בוגר 1.5 ק"ג</t>
        </is>
      </c>
      <c r="D297" t="inlineStr">
        <is>
          <t>40605843</t>
        </is>
      </c>
      <c r="E297" t="inlineStr">
        <is>
          <t>2026-04</t>
        </is>
      </c>
      <c r="F297" t="n">
        <v>96</v>
      </c>
      <c r="G297" t="n">
        <v>113.28</v>
      </c>
      <c r="H297">
        <f>הגדרות!B4</f>
        <v/>
      </c>
      <c r="I297">
        <f>F297*(1-H297/100)*1.18</f>
        <v/>
      </c>
      <c r="J297">
        <f>הגדרות!C4</f>
        <v/>
      </c>
      <c r="K297">
        <f>הגדרות!D4</f>
        <v/>
      </c>
      <c r="L297">
        <f>I297*(1+J297/100)+K297</f>
        <v/>
      </c>
    </row>
    <row r="298">
      <c r="A298" t="inlineStr">
        <is>
          <t>Hill's Prescription Diet</t>
        </is>
      </c>
      <c r="B298" t="inlineStr">
        <is>
          <t>GI Biome כלב בוגר 4 ק"ג</t>
        </is>
      </c>
      <c r="D298" t="inlineStr">
        <is>
          <t>40605847</t>
        </is>
      </c>
      <c r="E298" t="inlineStr">
        <is>
          <t>2026-04</t>
        </is>
      </c>
      <c r="F298" t="n">
        <v>219</v>
      </c>
      <c r="G298" t="n">
        <v>258.42</v>
      </c>
      <c r="H298">
        <f>הגדרות!B4</f>
        <v/>
      </c>
      <c r="I298">
        <f>F298*(1-H298/100)*1.18</f>
        <v/>
      </c>
      <c r="J298">
        <f>הגדרות!C4</f>
        <v/>
      </c>
      <c r="K298">
        <f>הגדרות!D4</f>
        <v/>
      </c>
      <c r="L298">
        <f>I298*(1+J298/100)+K298</f>
        <v/>
      </c>
    </row>
    <row r="299">
      <c r="A299" t="inlineStr">
        <is>
          <t>Hill's Prescription Diet</t>
        </is>
      </c>
      <c r="B299" t="inlineStr">
        <is>
          <t>GI Biome כלב בוגר 10 ק"ג</t>
        </is>
      </c>
      <c r="D299" t="inlineStr">
        <is>
          <t>40605996</t>
        </is>
      </c>
      <c r="E299" t="inlineStr">
        <is>
          <t>2026-04</t>
        </is>
      </c>
      <c r="F299" t="n">
        <v>409</v>
      </c>
      <c r="G299" t="n">
        <v>482.62</v>
      </c>
      <c r="H299">
        <f>הגדרות!B4</f>
        <v/>
      </c>
      <c r="I299">
        <f>F299*(1-H299/100)*1.18</f>
        <v/>
      </c>
      <c r="J299">
        <f>הגדרות!C4</f>
        <v/>
      </c>
      <c r="K299">
        <f>הגדרות!D4</f>
        <v/>
      </c>
      <c r="L299">
        <f>I299*(1+J299/100)+K299</f>
        <v/>
      </c>
    </row>
    <row r="300">
      <c r="A300" t="inlineStr">
        <is>
          <t>Hill's Prescription Diet</t>
        </is>
      </c>
      <c r="B300" t="inlineStr">
        <is>
          <t>j/d כלב 4 ק"ג</t>
        </is>
      </c>
      <c r="C300" t="inlineStr">
        <is>
          <t>מפרקים / ניידות</t>
        </is>
      </c>
      <c r="D300" t="inlineStr">
        <is>
          <t>40605854</t>
        </is>
      </c>
      <c r="E300" t="inlineStr">
        <is>
          <t>2026-04</t>
        </is>
      </c>
      <c r="F300" t="n">
        <v>179</v>
      </c>
      <c r="G300" t="n">
        <v>211.22</v>
      </c>
      <c r="H300">
        <f>הגדרות!B4</f>
        <v/>
      </c>
      <c r="I300">
        <f>F300*(1-H300/100)*1.18</f>
        <v/>
      </c>
      <c r="J300">
        <f>הגדרות!C4</f>
        <v/>
      </c>
      <c r="K300">
        <f>הגדרות!D4</f>
        <v/>
      </c>
      <c r="L300">
        <f>I300*(1+J300/100)+K300</f>
        <v/>
      </c>
    </row>
    <row r="301">
      <c r="A301" t="inlineStr">
        <is>
          <t>Hill's Prescription Diet</t>
        </is>
      </c>
      <c r="B301" t="inlineStr">
        <is>
          <t>j/d כלב 12 ק"ג</t>
        </is>
      </c>
      <c r="C301" t="inlineStr">
        <is>
          <t>מפרקים / ניידות</t>
        </is>
      </c>
      <c r="D301" t="inlineStr">
        <is>
          <t>40606275</t>
        </is>
      </c>
      <c r="E301" t="inlineStr">
        <is>
          <t>2026-04</t>
        </is>
      </c>
      <c r="F301" t="n">
        <v>447</v>
      </c>
      <c r="G301" t="n">
        <v>527.46</v>
      </c>
      <c r="H301">
        <f>הגדרות!B4</f>
        <v/>
      </c>
      <c r="I301">
        <f>F301*(1-H301/100)*1.18</f>
        <v/>
      </c>
      <c r="J301">
        <f>הגדרות!C4</f>
        <v/>
      </c>
      <c r="K301">
        <f>הגדרות!D4</f>
        <v/>
      </c>
      <c r="L301">
        <f>I301*(1+J301/100)+K301</f>
        <v/>
      </c>
    </row>
    <row r="302">
      <c r="A302" t="inlineStr">
        <is>
          <t>Hill's Prescription Diet</t>
        </is>
      </c>
      <c r="B302" t="inlineStr">
        <is>
          <t>)Metabolic Mobility (j/d כלב 4 ק"ג</t>
        </is>
      </c>
      <c r="C302" t="inlineStr">
        <is>
          <t>מפרקים / ניידות</t>
        </is>
      </c>
      <c r="D302" t="inlineStr">
        <is>
          <t>40606150</t>
        </is>
      </c>
      <c r="E302" t="inlineStr">
        <is>
          <t>2026-04</t>
        </is>
      </c>
      <c r="F302" t="n">
        <v>214</v>
      </c>
      <c r="G302" t="n">
        <v>252.52</v>
      </c>
      <c r="H302">
        <f>הגדרות!B4</f>
        <v/>
      </c>
      <c r="I302">
        <f>F302*(1-H302/100)*1.18</f>
        <v/>
      </c>
      <c r="J302">
        <f>הגדרות!C4</f>
        <v/>
      </c>
      <c r="K302">
        <f>הגדרות!D4</f>
        <v/>
      </c>
      <c r="L302">
        <f>I302*(1+J302/100)+K302</f>
        <v/>
      </c>
    </row>
    <row r="303">
      <c r="A303" t="inlineStr">
        <is>
          <t>Hill's Prescription Diet</t>
        </is>
      </c>
      <c r="B303" t="inlineStr">
        <is>
          <t>)Metabolic Mobility (j/d כלב 12 ק"ג</t>
        </is>
      </c>
      <c r="C303" t="inlineStr">
        <is>
          <t>מפרקים / ניידות</t>
        </is>
      </c>
      <c r="D303" t="inlineStr">
        <is>
          <t>40605884</t>
        </is>
      </c>
      <c r="E303" t="inlineStr">
        <is>
          <t>2026-04</t>
        </is>
      </c>
      <c r="F303" t="n">
        <v>490</v>
      </c>
      <c r="G303" t="n">
        <v>578.2</v>
      </c>
      <c r="H303">
        <f>הגדרות!B4</f>
        <v/>
      </c>
      <c r="I303">
        <f>F303*(1-H303/100)*1.18</f>
        <v/>
      </c>
      <c r="J303">
        <f>הגדרות!C4</f>
        <v/>
      </c>
      <c r="K303">
        <f>הגדרות!D4</f>
        <v/>
      </c>
      <c r="L303">
        <f>I303*(1+J303/100)+K303</f>
        <v/>
      </c>
    </row>
    <row r="304">
      <c r="A304" t="inlineStr">
        <is>
          <t>Hill's Prescription Diet</t>
        </is>
      </c>
      <c r="B304" t="inlineStr">
        <is>
          <t>)Metabolic Mobility (j/d כלב מיני 3 ק"ג</t>
        </is>
      </c>
      <c r="C304" t="inlineStr">
        <is>
          <t>מפרקים / ניידות</t>
        </is>
      </c>
      <c r="D304" t="inlineStr">
        <is>
          <t>40606179</t>
        </is>
      </c>
      <c r="E304" t="inlineStr">
        <is>
          <t>2026-04</t>
        </is>
      </c>
      <c r="F304" t="n">
        <v>198</v>
      </c>
      <c r="G304" t="n">
        <v>233.64</v>
      </c>
      <c r="H304">
        <f>הגדרות!B4</f>
        <v/>
      </c>
      <c r="I304">
        <f>F304*(1-H304/100)*1.18</f>
        <v/>
      </c>
      <c r="J304">
        <f>הגדרות!C4</f>
        <v/>
      </c>
      <c r="K304">
        <f>הגדרות!D4</f>
        <v/>
      </c>
      <c r="L304">
        <f>I304*(1+J304/100)+K304</f>
        <v/>
      </c>
    </row>
    <row r="305">
      <c r="A305" t="inlineStr">
        <is>
          <t>Hill's Prescription Diet</t>
        </is>
      </c>
      <c r="B305" t="inlineStr">
        <is>
          <t>k/d כלב 4 ק"ג</t>
        </is>
      </c>
      <c r="C305" t="inlineStr">
        <is>
          <t>מחלות כליה</t>
        </is>
      </c>
      <c r="D305" t="inlineStr">
        <is>
          <t>40606153</t>
        </is>
      </c>
      <c r="E305" t="inlineStr">
        <is>
          <t>2026-04</t>
        </is>
      </c>
      <c r="F305" t="n">
        <v>179</v>
      </c>
      <c r="G305" t="n">
        <v>211.22</v>
      </c>
      <c r="H305">
        <f>הגדרות!B4</f>
        <v/>
      </c>
      <c r="I305">
        <f>F305*(1-H305/100)*1.18</f>
        <v/>
      </c>
      <c r="J305">
        <f>הגדרות!C4</f>
        <v/>
      </c>
      <c r="K305">
        <f>הגדרות!D4</f>
        <v/>
      </c>
      <c r="L305">
        <f>I305*(1+J305/100)+K305</f>
        <v/>
      </c>
    </row>
    <row r="306">
      <c r="A306" t="inlineStr">
        <is>
          <t>Hill's Prescription Diet</t>
        </is>
      </c>
      <c r="B306" t="inlineStr">
        <is>
          <t>k/d כלב 12 ק"ג</t>
        </is>
      </c>
      <c r="C306" t="inlineStr">
        <is>
          <t>מחלות כליה</t>
        </is>
      </c>
      <c r="D306" t="inlineStr">
        <is>
          <t>40605995</t>
        </is>
      </c>
      <c r="E306" t="inlineStr">
        <is>
          <t>2026-04</t>
        </is>
      </c>
      <c r="F306" t="n">
        <v>434</v>
      </c>
      <c r="G306" t="n">
        <v>512.12</v>
      </c>
      <c r="H306">
        <f>הגדרות!B4</f>
        <v/>
      </c>
      <c r="I306">
        <f>F306*(1-H306/100)*1.18</f>
        <v/>
      </c>
      <c r="J306">
        <f>הגדרות!C4</f>
        <v/>
      </c>
      <c r="K306">
        <f>הגדרות!D4</f>
        <v/>
      </c>
      <c r="L306">
        <f>I306*(1+J306/100)+K306</f>
        <v/>
      </c>
    </row>
    <row r="307">
      <c r="A307" t="inlineStr">
        <is>
          <t>Hill's Prescription Diet</t>
        </is>
      </c>
      <c r="B307" t="inlineStr">
        <is>
          <t>k/d Mobility כלב 4 ק"ג</t>
        </is>
      </c>
      <c r="C307" t="inlineStr">
        <is>
          <t>מחלות כליה</t>
        </is>
      </c>
      <c r="D307" t="inlineStr">
        <is>
          <t>40606385</t>
        </is>
      </c>
      <c r="E307" t="inlineStr">
        <is>
          <t>2026-04</t>
        </is>
      </c>
      <c r="F307" t="n">
        <v>200</v>
      </c>
      <c r="G307" t="n">
        <v>236</v>
      </c>
      <c r="H307">
        <f>הגדרות!B4</f>
        <v/>
      </c>
      <c r="I307">
        <f>F307*(1-H307/100)*1.18</f>
        <v/>
      </c>
      <c r="J307">
        <f>הגדרות!C4</f>
        <v/>
      </c>
      <c r="K307">
        <f>הגדרות!D4</f>
        <v/>
      </c>
      <c r="L307">
        <f>I307*(1+J307/100)+K307</f>
        <v/>
      </c>
    </row>
    <row r="308">
      <c r="A308" t="inlineStr">
        <is>
          <t>Hill's Prescription Diet</t>
        </is>
      </c>
      <c r="B308" t="inlineStr">
        <is>
          <t>k/d Mobility כלב 12 ק"ג</t>
        </is>
      </c>
      <c r="C308" t="inlineStr">
        <is>
          <t>מחלות כליה</t>
        </is>
      </c>
      <c r="D308" t="inlineStr">
        <is>
          <t>40605882</t>
        </is>
      </c>
      <c r="E308" t="inlineStr">
        <is>
          <t>2026-04</t>
        </is>
      </c>
      <c r="F308" t="n">
        <v>485</v>
      </c>
      <c r="G308" t="n">
        <v>572.3</v>
      </c>
      <c r="H308">
        <f>הגדרות!B4</f>
        <v/>
      </c>
      <c r="I308">
        <f>F308*(1-H308/100)*1.18</f>
        <v/>
      </c>
      <c r="J308">
        <f>הגדרות!C4</f>
        <v/>
      </c>
      <c r="K308">
        <f>הגדרות!D4</f>
        <v/>
      </c>
      <c r="L308">
        <f>I308*(1+J308/100)+K308</f>
        <v/>
      </c>
    </row>
    <row r="309">
      <c r="A309" t="inlineStr">
        <is>
          <t>Hill's Prescription Diet</t>
        </is>
      </c>
      <c r="B309" t="inlineStr">
        <is>
          <t>L/d כלב 4 ק"ג</t>
        </is>
      </c>
      <c r="C309" t="inlineStr">
        <is>
          <t>מחלות כבד</t>
        </is>
      </c>
      <c r="D309" t="inlineStr">
        <is>
          <t>40605844</t>
        </is>
      </c>
      <c r="E309" t="inlineStr">
        <is>
          <t>2026-04</t>
        </is>
      </c>
      <c r="F309" t="n">
        <v>179</v>
      </c>
      <c r="G309" t="n">
        <v>211.22</v>
      </c>
      <c r="H309">
        <f>הגדרות!B4</f>
        <v/>
      </c>
      <c r="I309">
        <f>F309*(1-H309/100)*1.18</f>
        <v/>
      </c>
      <c r="J309">
        <f>הגדרות!C4</f>
        <v/>
      </c>
      <c r="K309">
        <f>הגדרות!D4</f>
        <v/>
      </c>
      <c r="L309">
        <f>I309*(1+J309/100)+K309</f>
        <v/>
      </c>
    </row>
    <row r="310">
      <c r="A310" t="inlineStr">
        <is>
          <t>Hill's Prescription Diet</t>
        </is>
      </c>
      <c r="B310" t="inlineStr">
        <is>
          <t>L/d כלב 10 ק"ג</t>
        </is>
      </c>
      <c r="C310" t="inlineStr">
        <is>
          <t>מחלות כבד</t>
        </is>
      </c>
      <c r="D310" t="inlineStr">
        <is>
          <t>40605901</t>
        </is>
      </c>
      <c r="E310" t="inlineStr">
        <is>
          <t>2026-04</t>
        </is>
      </c>
      <c r="F310" t="n">
        <v>355</v>
      </c>
      <c r="G310" t="n">
        <v>418.9</v>
      </c>
      <c r="H310">
        <f>הגדרות!B4</f>
        <v/>
      </c>
      <c r="I310">
        <f>F310*(1-H310/100)*1.18</f>
        <v/>
      </c>
      <c r="J310">
        <f>הגדרות!C4</f>
        <v/>
      </c>
      <c r="K310">
        <f>הגדרות!D4</f>
        <v/>
      </c>
      <c r="L310">
        <f>I310*(1+J310/100)+K310</f>
        <v/>
      </c>
    </row>
    <row r="311">
      <c r="A311" t="inlineStr">
        <is>
          <t>Hill's Prescription Diet</t>
        </is>
      </c>
      <c r="B311" t="inlineStr">
        <is>
          <t>r/d כלב 4 ק"ג</t>
        </is>
      </c>
      <c r="C311" t="inlineStr">
        <is>
          <t>השמנה / ירידה במשקל</t>
        </is>
      </c>
      <c r="D311" t="inlineStr">
        <is>
          <t>40605938</t>
        </is>
      </c>
      <c r="E311" t="inlineStr">
        <is>
          <t>2026-04</t>
        </is>
      </c>
      <c r="F311" t="n">
        <v>179</v>
      </c>
      <c r="G311" t="n">
        <v>211.22</v>
      </c>
      <c r="H311">
        <f>הגדרות!B4</f>
        <v/>
      </c>
      <c r="I311">
        <f>F311*(1-H311/100)*1.18</f>
        <v/>
      </c>
      <c r="J311">
        <f>הגדרות!C4</f>
        <v/>
      </c>
      <c r="K311">
        <f>הגדרות!D4</f>
        <v/>
      </c>
      <c r="L311">
        <f>I311*(1+J311/100)+K311</f>
        <v/>
      </c>
    </row>
    <row r="312">
      <c r="A312" t="inlineStr">
        <is>
          <t>Hill's Prescription Diet</t>
        </is>
      </c>
      <c r="B312" t="inlineStr">
        <is>
          <t>r/d כלב 10 ק"ג</t>
        </is>
      </c>
      <c r="C312" t="inlineStr">
        <is>
          <t>השמנה / ירידה במשקל</t>
        </is>
      </c>
      <c r="D312" t="inlineStr">
        <is>
          <t>40606401</t>
        </is>
      </c>
      <c r="E312" t="inlineStr">
        <is>
          <t>2026-04</t>
        </is>
      </c>
      <c r="F312" t="n">
        <v>341</v>
      </c>
      <c r="G312" t="n">
        <v>402.38</v>
      </c>
      <c r="H312">
        <f>הגדרות!B4</f>
        <v/>
      </c>
      <c r="I312">
        <f>F312*(1-H312/100)*1.18</f>
        <v/>
      </c>
      <c r="J312">
        <f>הגדרות!C4</f>
        <v/>
      </c>
      <c r="K312">
        <f>הגדרות!D4</f>
        <v/>
      </c>
      <c r="L312">
        <f>I312*(1+J312/100)+K312</f>
        <v/>
      </c>
    </row>
    <row r="313">
      <c r="A313" t="inlineStr">
        <is>
          <t>Hill's Prescription Diet</t>
        </is>
      </c>
      <c r="B313" t="inlineStr">
        <is>
          <t>Metabolic כלב - עוף 4 ק"ג</t>
        </is>
      </c>
      <c r="C313" t="inlineStr">
        <is>
          <t>השמנה / ירידה במשקל</t>
        </is>
      </c>
      <c r="D313" t="inlineStr">
        <is>
          <t>40605944</t>
        </is>
      </c>
      <c r="E313" t="inlineStr">
        <is>
          <t>2026-04</t>
        </is>
      </c>
      <c r="F313" t="n">
        <v>185</v>
      </c>
      <c r="G313" t="n">
        <v>218.3</v>
      </c>
      <c r="H313">
        <f>הגדרות!B4</f>
        <v/>
      </c>
      <c r="I313">
        <f>F313*(1-H313/100)*1.18</f>
        <v/>
      </c>
      <c r="J313">
        <f>הגדרות!C4</f>
        <v/>
      </c>
      <c r="K313">
        <f>הגדרות!D4</f>
        <v/>
      </c>
      <c r="L313">
        <f>I313*(1+J313/100)+K313</f>
        <v/>
      </c>
    </row>
    <row r="314">
      <c r="A314" t="inlineStr">
        <is>
          <t>Hill's Prescription Diet</t>
        </is>
      </c>
      <c r="B314" t="inlineStr">
        <is>
          <t>Metabolic כלב - עוף 12 ק"ג</t>
        </is>
      </c>
      <c r="C314" t="inlineStr">
        <is>
          <t>השמנה / ירידה במשקל</t>
        </is>
      </c>
      <c r="D314" t="inlineStr">
        <is>
          <t>40605942</t>
        </is>
      </c>
      <c r="E314" t="inlineStr">
        <is>
          <t>2026-04</t>
        </is>
      </c>
      <c r="F314" t="n">
        <v>450</v>
      </c>
      <c r="G314" t="n">
        <v>531</v>
      </c>
      <c r="H314">
        <f>הגדרות!B4</f>
        <v/>
      </c>
      <c r="I314">
        <f>F314*(1-H314/100)*1.18</f>
        <v/>
      </c>
      <c r="J314">
        <f>הגדרות!C4</f>
        <v/>
      </c>
      <c r="K314">
        <f>הגדרות!D4</f>
        <v/>
      </c>
      <c r="L314">
        <f>I314*(1+J314/100)+K314</f>
        <v/>
      </c>
    </row>
    <row r="315">
      <c r="A315" t="inlineStr">
        <is>
          <t>Hill's Prescription Diet</t>
        </is>
      </c>
      <c r="B315" t="inlineStr">
        <is>
          <t>Metabolic כלב - כבש ואורז 12 ק"ג</t>
        </is>
      </c>
      <c r="C315" t="inlineStr">
        <is>
          <t>השמנה / ירידה במשקל</t>
        </is>
      </c>
      <c r="D315" t="inlineStr">
        <is>
          <t>40606148</t>
        </is>
      </c>
      <c r="E315" t="inlineStr">
        <is>
          <t>2026-04</t>
        </is>
      </c>
      <c r="F315" t="n">
        <v>455</v>
      </c>
      <c r="G315" t="n">
        <v>536.9</v>
      </c>
      <c r="H315">
        <f>הגדרות!B4</f>
        <v/>
      </c>
      <c r="I315">
        <f>F315*(1-H315/100)*1.18</f>
        <v/>
      </c>
      <c r="J315">
        <f>הגדרות!C4</f>
        <v/>
      </c>
      <c r="K315">
        <f>הגדרות!D4</f>
        <v/>
      </c>
      <c r="L315">
        <f>I315*(1+J315/100)+K315</f>
        <v/>
      </c>
    </row>
    <row r="316">
      <c r="A316" t="inlineStr">
        <is>
          <t>Hill's Prescription Diet</t>
        </is>
      </c>
      <c r="B316" t="inlineStr">
        <is>
          <t>Metabolic כלב מיני 6 ק"ג</t>
        </is>
      </c>
      <c r="C316" t="inlineStr">
        <is>
          <t>השמנה / ירידה במשקל</t>
        </is>
      </c>
      <c r="D316" t="inlineStr">
        <is>
          <t>40605946</t>
        </is>
      </c>
      <c r="E316" t="inlineStr">
        <is>
          <t>2026-04</t>
        </is>
      </c>
      <c r="F316" t="n">
        <v>269</v>
      </c>
      <c r="G316" t="n">
        <v>317.42</v>
      </c>
      <c r="H316">
        <f>הגדרות!B4</f>
        <v/>
      </c>
      <c r="I316">
        <f>F316*(1-H316/100)*1.18</f>
        <v/>
      </c>
      <c r="J316">
        <f>הגדרות!C4</f>
        <v/>
      </c>
      <c r="K316">
        <f>הגדרות!D4</f>
        <v/>
      </c>
      <c r="L316">
        <f>I316*(1+J316/100)+K316</f>
        <v/>
      </c>
    </row>
    <row r="317">
      <c r="A317" t="inlineStr">
        <is>
          <t>Hill's Prescription Diet</t>
        </is>
      </c>
      <c r="B317" t="inlineStr">
        <is>
          <t>t/d כלב 4 ק"ג</t>
        </is>
      </c>
      <c r="C317" t="inlineStr">
        <is>
          <t>שיניים</t>
        </is>
      </c>
      <c r="D317" t="inlineStr">
        <is>
          <t>40606383</t>
        </is>
      </c>
      <c r="E317" t="inlineStr">
        <is>
          <t>2026-04</t>
        </is>
      </c>
      <c r="F317" t="n">
        <v>208</v>
      </c>
      <c r="G317" t="n">
        <v>245.44</v>
      </c>
      <c r="H317">
        <f>הגדרות!B4</f>
        <v/>
      </c>
      <c r="I317">
        <f>F317*(1-H317/100)*1.18</f>
        <v/>
      </c>
      <c r="J317">
        <f>הגדרות!C4</f>
        <v/>
      </c>
      <c r="K317">
        <f>הגדרות!D4</f>
        <v/>
      </c>
      <c r="L317">
        <f>I317*(1+J317/100)+K317</f>
        <v/>
      </c>
    </row>
    <row r="318">
      <c r="A318" t="inlineStr">
        <is>
          <t>Hill's Prescription Diet</t>
        </is>
      </c>
      <c r="B318" t="inlineStr">
        <is>
          <t>t/d כלב - מיני 3 ק"ג</t>
        </is>
      </c>
      <c r="C318" t="inlineStr">
        <is>
          <t>שיניים</t>
        </is>
      </c>
      <c r="D318" t="inlineStr">
        <is>
          <t>40606381</t>
        </is>
      </c>
      <c r="E318" t="inlineStr">
        <is>
          <t>2026-04</t>
        </is>
      </c>
      <c r="F318" t="n">
        <v>159</v>
      </c>
      <c r="G318" t="n">
        <v>187.62</v>
      </c>
      <c r="H318">
        <f>הגדרות!B4</f>
        <v/>
      </c>
      <c r="I318">
        <f>F318*(1-H318/100)*1.18</f>
        <v/>
      </c>
      <c r="J318">
        <f>הגדרות!C4</f>
        <v/>
      </c>
      <c r="K318">
        <f>הגדרות!D4</f>
        <v/>
      </c>
      <c r="L318">
        <f>I318*(1+J318/100)+K318</f>
        <v/>
      </c>
    </row>
    <row r="319">
      <c r="A319" t="inlineStr">
        <is>
          <t>Hill's Prescription Diet</t>
        </is>
      </c>
      <c r="B319" t="inlineStr">
        <is>
          <t>u/d כלב 4 ק"ג</t>
        </is>
      </c>
      <c r="C319" t="inlineStr">
        <is>
          <t>דרכי שתן</t>
        </is>
      </c>
      <c r="D319" t="inlineStr">
        <is>
          <t>40606270</t>
        </is>
      </c>
      <c r="E319" t="inlineStr">
        <is>
          <t>2026-04</t>
        </is>
      </c>
      <c r="F319" t="n">
        <v>179</v>
      </c>
      <c r="G319" t="n">
        <v>211.22</v>
      </c>
      <c r="H319">
        <f>הגדרות!B4</f>
        <v/>
      </c>
      <c r="I319">
        <f>F319*(1-H319/100)*1.18</f>
        <v/>
      </c>
      <c r="J319">
        <f>הגדרות!C4</f>
        <v/>
      </c>
      <c r="K319">
        <f>הגדרות!D4</f>
        <v/>
      </c>
      <c r="L319">
        <f>I319*(1+J319/100)+K319</f>
        <v/>
      </c>
    </row>
    <row r="320">
      <c r="A320" t="inlineStr">
        <is>
          <t>Hill's Prescription Diet</t>
        </is>
      </c>
      <c r="B320" t="inlineStr">
        <is>
          <t>u/d כלב 10 ק"ג</t>
        </is>
      </c>
      <c r="D320" t="inlineStr">
        <is>
          <t>40605840</t>
        </is>
      </c>
      <c r="E320" t="inlineStr">
        <is>
          <t>2026-04</t>
        </is>
      </c>
      <c r="F320" t="n">
        <v>375</v>
      </c>
      <c r="G320" t="n">
        <v>442.5</v>
      </c>
      <c r="H320">
        <f>הגדרות!B4</f>
        <v/>
      </c>
      <c r="I320">
        <f>F320*(1-H320/100)*1.18</f>
        <v/>
      </c>
      <c r="J320">
        <f>הגדרות!C4</f>
        <v/>
      </c>
      <c r="K320">
        <f>הגדרות!D4</f>
        <v/>
      </c>
      <c r="L320">
        <f>I320*(1+J320/100)+K320</f>
        <v/>
      </c>
    </row>
    <row r="321">
      <c r="A321" t="inlineStr">
        <is>
          <t>Hill's Prescription Diet</t>
        </is>
      </c>
      <c r="B321" t="inlineStr">
        <is>
          <t>w/d כלב 4 ק"ג</t>
        </is>
      </c>
      <c r="C321" t="inlineStr">
        <is>
          <t>סוכרת</t>
        </is>
      </c>
      <c r="D321" t="inlineStr">
        <is>
          <t>40605861</t>
        </is>
      </c>
      <c r="E321" t="inlineStr">
        <is>
          <t>2026-04</t>
        </is>
      </c>
      <c r="F321" t="n">
        <v>181</v>
      </c>
      <c r="G321" t="n">
        <v>213.58</v>
      </c>
      <c r="H321">
        <f>הגדרות!B4</f>
        <v/>
      </c>
      <c r="I321">
        <f>F321*(1-H321/100)*1.18</f>
        <v/>
      </c>
      <c r="J321">
        <f>הגדרות!C4</f>
        <v/>
      </c>
      <c r="K321">
        <f>הגדרות!D4</f>
        <v/>
      </c>
      <c r="L321">
        <f>I321*(1+J321/100)+K321</f>
        <v/>
      </c>
    </row>
    <row r="322">
      <c r="A322" t="inlineStr">
        <is>
          <t>Hill's Prescription Diet</t>
        </is>
      </c>
      <c r="B322" t="inlineStr">
        <is>
          <t>w/d כלב 10 ק"ג</t>
        </is>
      </c>
      <c r="C322" t="inlineStr">
        <is>
          <t>סוכרת</t>
        </is>
      </c>
      <c r="D322" t="inlineStr">
        <is>
          <t>40605859</t>
        </is>
      </c>
      <c r="E322" t="inlineStr">
        <is>
          <t>2026-04</t>
        </is>
      </c>
      <c r="F322" t="n">
        <v>355</v>
      </c>
      <c r="G322" t="n">
        <v>418.9</v>
      </c>
      <c r="H322">
        <f>הגדרות!B4</f>
        <v/>
      </c>
      <c r="I322">
        <f>F322*(1-H322/100)*1.18</f>
        <v/>
      </c>
      <c r="J322">
        <f>הגדרות!C4</f>
        <v/>
      </c>
      <c r="K322">
        <f>הגדרות!D4</f>
        <v/>
      </c>
      <c r="L322">
        <f>I322*(1+J322/100)+K322</f>
        <v/>
      </c>
    </row>
    <row r="323">
      <c r="A323" t="inlineStr">
        <is>
          <t>Hill's Prescription Diet</t>
        </is>
      </c>
      <c r="B323" t="inlineStr">
        <is>
          <t>z/d כלב 3 ק"ג</t>
        </is>
      </c>
      <c r="C323" t="inlineStr">
        <is>
          <t>אלרגיה למזון</t>
        </is>
      </c>
      <c r="D323" t="inlineStr">
        <is>
          <t>40605911</t>
        </is>
      </c>
      <c r="E323" t="inlineStr">
        <is>
          <t>2026-04</t>
        </is>
      </c>
      <c r="F323" t="n">
        <v>183</v>
      </c>
      <c r="G323" t="n">
        <v>215.94</v>
      </c>
      <c r="H323">
        <f>הגדרות!B4</f>
        <v/>
      </c>
      <c r="I323">
        <f>F323*(1-H323/100)*1.18</f>
        <v/>
      </c>
      <c r="J323">
        <f>הגדרות!C4</f>
        <v/>
      </c>
      <c r="K323">
        <f>הגדרות!D4</f>
        <v/>
      </c>
      <c r="L323">
        <f>I323*(1+J323/100)+K323</f>
        <v/>
      </c>
    </row>
    <row r="324">
      <c r="A324" t="inlineStr">
        <is>
          <t>Hill's Prescription Diet</t>
        </is>
      </c>
      <c r="B324" t="inlineStr">
        <is>
          <t>z/d כלב 10 ק"ג</t>
        </is>
      </c>
      <c r="C324" t="inlineStr">
        <is>
          <t>אלרגיה למזון</t>
        </is>
      </c>
      <c r="D324" t="inlineStr">
        <is>
          <t>40606418</t>
        </is>
      </c>
      <c r="E324" t="inlineStr">
        <is>
          <t>2026-04</t>
        </is>
      </c>
      <c r="F324" t="n">
        <v>490</v>
      </c>
      <c r="G324" t="n">
        <v>578.2</v>
      </c>
      <c r="H324">
        <f>הגדרות!B4</f>
        <v/>
      </c>
      <c r="I324">
        <f>F324*(1-H324/100)*1.18</f>
        <v/>
      </c>
      <c r="J324">
        <f>הגדרות!C4</f>
        <v/>
      </c>
      <c r="K324">
        <f>הגדרות!D4</f>
        <v/>
      </c>
      <c r="L324">
        <f>I324*(1+J324/100)+K324</f>
        <v/>
      </c>
    </row>
    <row r="325">
      <c r="A325" t="inlineStr">
        <is>
          <t>Hill's Prescription Diet</t>
        </is>
      </c>
      <c r="B325" t="inlineStr">
        <is>
          <t>z/d מיני כלב 1 ק"ג</t>
        </is>
      </c>
      <c r="C325" t="inlineStr">
        <is>
          <t>אלרגיה למזון</t>
        </is>
      </c>
      <c r="D325" t="inlineStr">
        <is>
          <t>40606206</t>
        </is>
      </c>
      <c r="E325" t="inlineStr">
        <is>
          <t>2026-04</t>
        </is>
      </c>
      <c r="F325" t="n">
        <v>69</v>
      </c>
      <c r="G325" t="n">
        <v>81.42</v>
      </c>
      <c r="H325">
        <f>הגדרות!B4</f>
        <v/>
      </c>
      <c r="I325">
        <f>F325*(1-H325/100)*1.18</f>
        <v/>
      </c>
      <c r="J325">
        <f>הגדרות!C4</f>
        <v/>
      </c>
      <c r="K325">
        <f>הגדרות!D4</f>
        <v/>
      </c>
      <c r="L325">
        <f>I325*(1+J325/100)+K325</f>
        <v/>
      </c>
    </row>
    <row r="326">
      <c r="A326" t="inlineStr">
        <is>
          <t>Hill's Prescription Diet</t>
        </is>
      </c>
      <c r="B326" t="inlineStr">
        <is>
          <t>z/d מיני כלב 6 ק"ג</t>
        </is>
      </c>
      <c r="C326" t="inlineStr">
        <is>
          <t>אלרגיה למזון</t>
        </is>
      </c>
      <c r="D326" t="inlineStr">
        <is>
          <t>40605966</t>
        </is>
      </c>
      <c r="E326" t="inlineStr">
        <is>
          <t>2026-04</t>
        </is>
      </c>
      <c r="F326" t="n">
        <v>317</v>
      </c>
      <c r="G326" t="n">
        <v>374.06</v>
      </c>
      <c r="H326">
        <f>הגדרות!B4</f>
        <v/>
      </c>
      <c r="I326">
        <f>F326*(1-H326/100)*1.18</f>
        <v/>
      </c>
      <c r="J326">
        <f>הגדרות!C4</f>
        <v/>
      </c>
      <c r="K326">
        <f>הגדרות!D4</f>
        <v/>
      </c>
      <c r="L326">
        <f>I326*(1+J326/100)+K326</f>
        <v/>
      </c>
    </row>
    <row r="327">
      <c r="A327" t="inlineStr">
        <is>
          <t>Hill's Prescription Diet</t>
        </is>
      </c>
      <c r="B327" t="inlineStr">
        <is>
          <t>z/d low fat כלב 3 ק"ג</t>
        </is>
      </c>
      <c r="C327" t="inlineStr">
        <is>
          <t>אלרגיה למזון</t>
        </is>
      </c>
      <c r="D327" t="inlineStr">
        <is>
          <t>40608036</t>
        </is>
      </c>
      <c r="E327" t="inlineStr">
        <is>
          <t>2026-04</t>
        </is>
      </c>
      <c r="F327" t="n">
        <v>187</v>
      </c>
      <c r="G327" t="n">
        <v>220.66</v>
      </c>
      <c r="H327">
        <f>הגדרות!B4</f>
        <v/>
      </c>
      <c r="I327">
        <f>F327*(1-H327/100)*1.18</f>
        <v/>
      </c>
      <c r="J327">
        <f>הגדרות!C4</f>
        <v/>
      </c>
      <c r="K327">
        <f>הגדרות!D4</f>
        <v/>
      </c>
      <c r="L327">
        <f>I327*(1+J327/100)+K327</f>
        <v/>
      </c>
    </row>
    <row r="328">
      <c r="A328" t="inlineStr">
        <is>
          <t>Hill's Prescription Diet</t>
        </is>
      </c>
      <c r="B328" t="inlineStr">
        <is>
          <t>a/d - כלב וחתול 200 ג'</t>
        </is>
      </c>
      <c r="D328" t="inlineStr">
        <is>
          <t>40608306</t>
        </is>
      </c>
      <c r="E328" t="inlineStr">
        <is>
          <t>2026-04</t>
        </is>
      </c>
      <c r="F328" t="n">
        <v>14.9</v>
      </c>
      <c r="G328" t="n">
        <v>17.58</v>
      </c>
      <c r="H328">
        <f>הגדרות!B4</f>
        <v/>
      </c>
      <c r="I328">
        <f>F328*(1-H328/100)*1.18</f>
        <v/>
      </c>
      <c r="J328">
        <f>הגדרות!C4</f>
        <v/>
      </c>
      <c r="K328">
        <f>הגדרות!D4</f>
        <v/>
      </c>
      <c r="L328">
        <f>I328*(1+J328/100)+K328</f>
        <v/>
      </c>
    </row>
    <row r="329">
      <c r="A329" t="inlineStr">
        <is>
          <t>Hill's Prescription Diet</t>
        </is>
      </c>
      <c r="B329" t="inlineStr">
        <is>
          <t>c/d Multicare כלב 370 ג'</t>
        </is>
      </c>
      <c r="D329" t="inlineStr">
        <is>
          <t>40607449</t>
        </is>
      </c>
      <c r="E329" t="inlineStr">
        <is>
          <t>2026-04</t>
        </is>
      </c>
      <c r="F329" t="n">
        <v>14.4</v>
      </c>
      <c r="G329" t="n">
        <v>16.99</v>
      </c>
      <c r="H329">
        <f>הגדרות!B4</f>
        <v/>
      </c>
      <c r="I329">
        <f>F329*(1-H329/100)*1.18</f>
        <v/>
      </c>
      <c r="J329">
        <f>הגדרות!C4</f>
        <v/>
      </c>
      <c r="K329">
        <f>הגדרות!D4</f>
        <v/>
      </c>
      <c r="L329">
        <f>I329*(1+J329/100)+K329</f>
        <v/>
      </c>
    </row>
    <row r="330">
      <c r="A330" t="inlineStr">
        <is>
          <t>Hill's Prescription Diet</t>
        </is>
      </c>
      <c r="B330" t="inlineStr">
        <is>
          <t>c/d שימורי נזיד גורמה Stew כלב )עם עוף וירקות( 354 ג'</t>
        </is>
      </c>
      <c r="D330" t="inlineStr">
        <is>
          <t>40605640</t>
        </is>
      </c>
      <c r="E330" t="inlineStr">
        <is>
          <t>2026-04</t>
        </is>
      </c>
      <c r="F330" t="n">
        <v>17.8</v>
      </c>
      <c r="G330" t="n">
        <v>21</v>
      </c>
      <c r="H330">
        <f>הגדרות!B4</f>
        <v/>
      </c>
      <c r="I330">
        <f>F330*(1-H330/100)*1.18</f>
        <v/>
      </c>
      <c r="J330">
        <f>הגדרות!C4</f>
        <v/>
      </c>
      <c r="K330">
        <f>הגדרות!D4</f>
        <v/>
      </c>
      <c r="L330">
        <f>I330*(1+J330/100)+K330</f>
        <v/>
      </c>
    </row>
    <row r="331">
      <c r="A331" t="inlineStr">
        <is>
          <t>Hill's Prescription Diet</t>
        </is>
      </c>
      <c r="B331" t="inlineStr">
        <is>
          <t>d/d כלב - ברווז 370 ג'</t>
        </is>
      </c>
      <c r="D331" t="inlineStr">
        <is>
          <t>40607710</t>
        </is>
      </c>
      <c r="E331" t="inlineStr">
        <is>
          <t>2026-04</t>
        </is>
      </c>
      <c r="F331" t="n">
        <v>14.9</v>
      </c>
      <c r="G331" t="n">
        <v>17.58</v>
      </c>
      <c r="H331">
        <f>הגדרות!B4</f>
        <v/>
      </c>
      <c r="I331">
        <f>F331*(1-H331/100)*1.18</f>
        <v/>
      </c>
      <c r="J331">
        <f>הגדרות!C4</f>
        <v/>
      </c>
      <c r="K331">
        <f>הגדרות!D4</f>
        <v/>
      </c>
      <c r="L331">
        <f>I331*(1+J331/100)+K331</f>
        <v/>
      </c>
    </row>
    <row r="332">
      <c r="A332" t="inlineStr">
        <is>
          <t>Hill's Prescription Diet</t>
        </is>
      </c>
      <c r="B332" t="inlineStr">
        <is>
          <t>דרם קומפליט כלב 370 ג'</t>
        </is>
      </c>
      <c r="D332" t="inlineStr">
        <is>
          <t>40607709</t>
        </is>
      </c>
      <c r="E332" t="inlineStr">
        <is>
          <t>2026-04</t>
        </is>
      </c>
      <c r="F332" t="n">
        <v>16</v>
      </c>
      <c r="G332" t="n">
        <v>18.88</v>
      </c>
      <c r="H332">
        <f>הגדרות!B4</f>
        <v/>
      </c>
      <c r="I332">
        <f>F332*(1-H332/100)*1.18</f>
        <v/>
      </c>
      <c r="J332">
        <f>הגדרות!C4</f>
        <v/>
      </c>
      <c r="K332">
        <f>הגדרות!D4</f>
        <v/>
      </c>
      <c r="L332">
        <f>I332*(1+J332/100)+K332</f>
        <v/>
      </c>
    </row>
    <row r="333">
      <c r="A333" t="inlineStr">
        <is>
          <t>Hill's Prescription Diet</t>
        </is>
      </c>
      <c r="B333" t="inlineStr">
        <is>
          <t>i/d גור כלב 360 ג'</t>
        </is>
      </c>
      <c r="D333" t="inlineStr">
        <is>
          <t>40609592</t>
        </is>
      </c>
      <c r="E333" t="inlineStr">
        <is>
          <t>2026-04</t>
        </is>
      </c>
      <c r="F333" t="n">
        <v>14.9</v>
      </c>
      <c r="G333" t="n">
        <v>17.58</v>
      </c>
      <c r="H333">
        <f>הגדרות!B4</f>
        <v/>
      </c>
      <c r="I333">
        <f>F333*(1-H333/100)*1.18</f>
        <v/>
      </c>
      <c r="J333">
        <f>הגדרות!C4</f>
        <v/>
      </c>
      <c r="K333">
        <f>הגדרות!D4</f>
        <v/>
      </c>
      <c r="L333">
        <f>I333*(1+J333/100)+K333</f>
        <v/>
      </c>
    </row>
    <row r="334">
      <c r="A334" t="inlineStr">
        <is>
          <t>Hill's Prescription Diet</t>
        </is>
      </c>
      <c r="B334" t="inlineStr">
        <is>
          <t>i/d כלב בוגר 360 ג'</t>
        </is>
      </c>
      <c r="D334" t="inlineStr">
        <is>
          <t>40607215</t>
        </is>
      </c>
      <c r="E334" t="inlineStr">
        <is>
          <t>2026-04</t>
        </is>
      </c>
      <c r="F334" t="n">
        <v>14.3</v>
      </c>
      <c r="G334" t="n">
        <v>16.87</v>
      </c>
      <c r="H334">
        <f>הגדרות!B4</f>
        <v/>
      </c>
      <c r="I334">
        <f>F334*(1-H334/100)*1.18</f>
        <v/>
      </c>
      <c r="J334">
        <f>הגדרות!C4</f>
        <v/>
      </c>
      <c r="K334">
        <f>הגדרות!D4</f>
        <v/>
      </c>
      <c r="L334">
        <f>I334*(1+J334/100)+K334</f>
        <v/>
      </c>
    </row>
    <row r="335">
      <c r="A335" t="inlineStr">
        <is>
          <t>Hill's Prescription Diet</t>
        </is>
      </c>
      <c r="B335" t="inlineStr">
        <is>
          <t>i/d שימורי נזיד גורמה Stew כלב בוגר )עם עוף וירקות( 354 ג'</t>
        </is>
      </c>
      <c r="D335" t="inlineStr">
        <is>
          <t>40606448</t>
        </is>
      </c>
      <c r="E335" t="inlineStr">
        <is>
          <t>2026-04</t>
        </is>
      </c>
      <c r="F335" t="n">
        <v>18.3</v>
      </c>
      <c r="G335" t="n">
        <v>21.59</v>
      </c>
      <c r="H335">
        <f>הגדרות!B4</f>
        <v/>
      </c>
      <c r="I335">
        <f>F335*(1-H335/100)*1.18</f>
        <v/>
      </c>
      <c r="J335">
        <f>הגדרות!C4</f>
        <v/>
      </c>
      <c r="K335">
        <f>הגדרות!D4</f>
        <v/>
      </c>
      <c r="L335">
        <f>I335*(1+J335/100)+K335</f>
        <v/>
      </c>
    </row>
    <row r="336">
      <c r="A336" t="inlineStr">
        <is>
          <t>Hill's Prescription Diet</t>
        </is>
      </c>
      <c r="B336" t="inlineStr">
        <is>
          <t>i/d low fat כלב בוגר 360 ג'</t>
        </is>
      </c>
      <c r="D336" t="inlineStr">
        <is>
          <t>40607447</t>
        </is>
      </c>
      <c r="E336" t="inlineStr">
        <is>
          <t>2026-04</t>
        </is>
      </c>
      <c r="F336" t="n">
        <v>14.9</v>
      </c>
      <c r="G336" t="n">
        <v>17.58</v>
      </c>
      <c r="H336">
        <f>הגדרות!B4</f>
        <v/>
      </c>
      <c r="I336">
        <f>F336*(1-H336/100)*1.18</f>
        <v/>
      </c>
      <c r="J336">
        <f>הגדרות!C4</f>
        <v/>
      </c>
      <c r="K336">
        <f>הגדרות!D4</f>
        <v/>
      </c>
      <c r="L336">
        <f>I336*(1+J336/100)+K336</f>
        <v/>
      </c>
    </row>
    <row r="337">
      <c r="A337" t="inlineStr">
        <is>
          <t>Hill's Prescription Diet</t>
        </is>
      </c>
      <c r="B337" t="inlineStr">
        <is>
          <t>GI BIOME כלב בוגר 370 ג'</t>
        </is>
      </c>
      <c r="D337" t="inlineStr">
        <is>
          <t>40607719</t>
        </is>
      </c>
      <c r="E337" t="inlineStr">
        <is>
          <t>2026-04</t>
        </is>
      </c>
      <c r="F337" t="n">
        <v>16</v>
      </c>
      <c r="G337" t="n">
        <v>18.88</v>
      </c>
      <c r="H337">
        <f>הגדרות!B4</f>
        <v/>
      </c>
      <c r="I337">
        <f>F337*(1-H337/100)*1.18</f>
        <v/>
      </c>
      <c r="J337">
        <f>הגדרות!C4</f>
        <v/>
      </c>
      <c r="K337">
        <f>הגדרות!D4</f>
        <v/>
      </c>
      <c r="L337">
        <f>I337*(1+J337/100)+K337</f>
        <v/>
      </c>
    </row>
    <row r="338">
      <c r="A338" t="inlineStr">
        <is>
          <t>Hill's Prescription Diet</t>
        </is>
      </c>
      <c r="B338" t="inlineStr">
        <is>
          <t>j/d כלב 370 ג'</t>
        </is>
      </c>
      <c r="D338" t="inlineStr">
        <is>
          <t>40607448</t>
        </is>
      </c>
      <c r="E338" t="inlineStr">
        <is>
          <t>2026-04</t>
        </is>
      </c>
      <c r="F338" t="n">
        <v>16.8</v>
      </c>
      <c r="G338" t="n">
        <v>19.82</v>
      </c>
      <c r="H338">
        <f>הגדרות!B4</f>
        <v/>
      </c>
      <c r="I338">
        <f>F338*(1-H338/100)*1.18</f>
        <v/>
      </c>
      <c r="J338">
        <f>הגדרות!C4</f>
        <v/>
      </c>
      <c r="K338">
        <f>הגדרות!D4</f>
        <v/>
      </c>
      <c r="L338">
        <f>I338*(1+J338/100)+K338</f>
        <v/>
      </c>
    </row>
    <row r="339">
      <c r="A339" t="inlineStr">
        <is>
          <t>Hill's Prescription Diet</t>
        </is>
      </c>
      <c r="B339" t="inlineStr">
        <is>
          <t>k/d כלב 350 ג'</t>
        </is>
      </c>
      <c r="D339" t="inlineStr">
        <is>
          <t>40608880</t>
        </is>
      </c>
      <c r="E339" t="inlineStr">
        <is>
          <t>2026-04</t>
        </is>
      </c>
      <c r="F339" t="n">
        <v>13.7</v>
      </c>
      <c r="G339" t="n">
        <v>16.17</v>
      </c>
      <c r="H339">
        <f>הגדרות!B4</f>
        <v/>
      </c>
      <c r="I339">
        <f>F339*(1-H339/100)*1.18</f>
        <v/>
      </c>
      <c r="J339">
        <f>הגדרות!C4</f>
        <v/>
      </c>
      <c r="K339">
        <f>הגדרות!D4</f>
        <v/>
      </c>
      <c r="L339">
        <f>I339*(1+J339/100)+K339</f>
        <v/>
      </c>
    </row>
    <row r="340">
      <c r="A340" t="inlineStr">
        <is>
          <t>Hill's Prescription Diet</t>
        </is>
      </c>
      <c r="B340" t="inlineStr">
        <is>
          <t>k/d שימורי נזיד גורמה Stew כלב )עם עוף וירקות( 354 ג'</t>
        </is>
      </c>
      <c r="D340" t="inlineStr">
        <is>
          <t>40605675</t>
        </is>
      </c>
      <c r="E340" t="inlineStr">
        <is>
          <t>2026-04</t>
        </is>
      </c>
      <c r="F340" t="n">
        <v>17.8</v>
      </c>
      <c r="G340" t="n">
        <v>21</v>
      </c>
      <c r="H340">
        <f>הגדרות!B4</f>
        <v/>
      </c>
      <c r="I340">
        <f>F340*(1-H340/100)*1.18</f>
        <v/>
      </c>
      <c r="J340">
        <f>הגדרות!C4</f>
        <v/>
      </c>
      <c r="K340">
        <f>הגדרות!D4</f>
        <v/>
      </c>
      <c r="L340">
        <f>I340*(1+J340/100)+K340</f>
        <v/>
      </c>
    </row>
    <row r="341">
      <c r="A341" t="inlineStr">
        <is>
          <t>Hill's Prescription Diet</t>
        </is>
      </c>
      <c r="B341" t="inlineStr">
        <is>
          <t>L/d כלב 370 ג'</t>
        </is>
      </c>
      <c r="D341" t="inlineStr">
        <is>
          <t>40607218</t>
        </is>
      </c>
      <c r="E341" t="inlineStr">
        <is>
          <t>2026-04</t>
        </is>
      </c>
      <c r="F341" t="n">
        <v>16</v>
      </c>
      <c r="G341" t="n">
        <v>18.88</v>
      </c>
      <c r="H341">
        <f>הגדרות!B4</f>
        <v/>
      </c>
      <c r="I341">
        <f>F341*(1-H341/100)*1.18</f>
        <v/>
      </c>
      <c r="J341">
        <f>הגדרות!C4</f>
        <v/>
      </c>
      <c r="K341">
        <f>הגדרות!D4</f>
        <v/>
      </c>
      <c r="L341">
        <f>I341*(1+J341/100)+K341</f>
        <v/>
      </c>
    </row>
    <row r="342">
      <c r="A342" t="inlineStr">
        <is>
          <t>Hill's Prescription Diet</t>
        </is>
      </c>
      <c r="B342" t="inlineStr">
        <is>
          <t>r/d כלב 350 ג'</t>
        </is>
      </c>
      <c r="D342" t="inlineStr">
        <is>
          <t>40607711</t>
        </is>
      </c>
      <c r="E342" t="inlineStr">
        <is>
          <t>2026-04</t>
        </is>
      </c>
      <c r="F342" t="n">
        <v>14.3</v>
      </c>
      <c r="G342" t="n">
        <v>16.87</v>
      </c>
      <c r="H342">
        <f>הגדרות!B4</f>
        <v/>
      </c>
      <c r="I342">
        <f>F342*(1-H342/100)*1.18</f>
        <v/>
      </c>
      <c r="J342">
        <f>הגדרות!C4</f>
        <v/>
      </c>
      <c r="K342">
        <f>הגדרות!D4</f>
        <v/>
      </c>
      <c r="L342">
        <f>I342*(1+J342/100)+K342</f>
        <v/>
      </c>
    </row>
    <row r="343">
      <c r="A343" t="inlineStr">
        <is>
          <t>Hill's Prescription Diet</t>
        </is>
      </c>
      <c r="B343" t="inlineStr">
        <is>
          <t>Metabolic כלב 370 ג'</t>
        </is>
      </c>
      <c r="D343" t="inlineStr">
        <is>
          <t>40607219</t>
        </is>
      </c>
      <c r="E343" t="inlineStr">
        <is>
          <t>2026-04</t>
        </is>
      </c>
      <c r="F343" t="n">
        <v>14.9</v>
      </c>
      <c r="G343" t="n">
        <v>17.58</v>
      </c>
      <c r="H343">
        <f>הגדרות!B4</f>
        <v/>
      </c>
      <c r="I343">
        <f>F343*(1-H343/100)*1.18</f>
        <v/>
      </c>
      <c r="J343">
        <f>הגדרות!C4</f>
        <v/>
      </c>
      <c r="K343">
        <f>הגדרות!D4</f>
        <v/>
      </c>
      <c r="L343">
        <f>I343*(1+J343/100)+K343</f>
        <v/>
      </c>
    </row>
    <row r="344">
      <c r="A344" t="inlineStr">
        <is>
          <t>Hill's Prescription Diet</t>
        </is>
      </c>
      <c r="B344" t="inlineStr">
        <is>
          <t>u/d כלב 370 ג'</t>
        </is>
      </c>
      <c r="D344" t="inlineStr">
        <is>
          <t>40607712</t>
        </is>
      </c>
      <c r="E344" t="inlineStr">
        <is>
          <t>2026-04</t>
        </is>
      </c>
      <c r="F344" t="n">
        <v>16</v>
      </c>
      <c r="G344" t="n">
        <v>18.88</v>
      </c>
      <c r="H344">
        <f>הגדרות!B4</f>
        <v/>
      </c>
      <c r="I344">
        <f>F344*(1-H344/100)*1.18</f>
        <v/>
      </c>
      <c r="J344">
        <f>הגדרות!C4</f>
        <v/>
      </c>
      <c r="K344">
        <f>הגדרות!D4</f>
        <v/>
      </c>
      <c r="L344">
        <f>I344*(1+J344/100)+K344</f>
        <v/>
      </c>
    </row>
    <row r="345">
      <c r="A345" t="inlineStr">
        <is>
          <t>Hill's Prescription Diet</t>
        </is>
      </c>
      <c r="B345" t="inlineStr">
        <is>
          <t>w/d כלב 370 ג'</t>
        </is>
      </c>
      <c r="D345" t="inlineStr">
        <is>
          <t>40607220</t>
        </is>
      </c>
      <c r="E345" t="inlineStr">
        <is>
          <t>2026-04</t>
        </is>
      </c>
      <c r="F345" t="n">
        <v>14.3</v>
      </c>
      <c r="G345" t="n">
        <v>16.87</v>
      </c>
      <c r="H345">
        <f>הגדרות!B4</f>
        <v/>
      </c>
      <c r="I345">
        <f>F345*(1-H345/100)*1.18</f>
        <v/>
      </c>
      <c r="J345">
        <f>הגדרות!C4</f>
        <v/>
      </c>
      <c r="K345">
        <f>הגדרות!D4</f>
        <v/>
      </c>
      <c r="L345">
        <f>I345*(1+J345/100)+K345</f>
        <v/>
      </c>
    </row>
    <row r="346">
      <c r="A346" t="inlineStr">
        <is>
          <t>Hill's Prescription Diet</t>
        </is>
      </c>
      <c r="B346" t="inlineStr">
        <is>
          <t>z/d כלב 370 ג'</t>
        </is>
      </c>
      <c r="D346" t="inlineStr">
        <is>
          <t>40608397</t>
        </is>
      </c>
      <c r="E346" t="inlineStr">
        <is>
          <t>2026-04</t>
        </is>
      </c>
      <c r="F346" t="n">
        <v>19.2</v>
      </c>
      <c r="G346" t="n">
        <v>22.66</v>
      </c>
      <c r="H346">
        <f>הגדרות!B4</f>
        <v/>
      </c>
      <c r="I346">
        <f>F346*(1-H346/100)*1.18</f>
        <v/>
      </c>
      <c r="J346">
        <f>הגדרות!C4</f>
        <v/>
      </c>
      <c r="K346">
        <f>הגדרות!D4</f>
        <v/>
      </c>
      <c r="L346">
        <f>I346*(1+J346/100)+K346</f>
        <v/>
      </c>
    </row>
    <row r="347">
      <c r="A347" t="inlineStr">
        <is>
          <t>Hill's Prescription Diet</t>
        </is>
      </c>
      <c r="B347" t="inlineStr">
        <is>
          <t>On Care Stew כלב 354 ג'</t>
        </is>
      </c>
      <c r="D347" t="inlineStr">
        <is>
          <t>40607584</t>
        </is>
      </c>
      <c r="E347" t="inlineStr">
        <is>
          <t>2026-04</t>
        </is>
      </c>
      <c r="F347" t="n">
        <v>19</v>
      </c>
      <c r="G347" t="n">
        <v>22.42</v>
      </c>
      <c r="H347">
        <f>הגדרות!B4</f>
        <v/>
      </c>
      <c r="I347">
        <f>F347*(1-H347/100)*1.18</f>
        <v/>
      </c>
      <c r="J347">
        <f>הגדרות!C4</f>
        <v/>
      </c>
      <c r="K347">
        <f>הגדרות!D4</f>
        <v/>
      </c>
      <c r="L347">
        <f>I347*(1+J347/100)+K347</f>
        <v/>
      </c>
    </row>
    <row r="348">
      <c r="A348" t="inlineStr">
        <is>
          <t>Hill's Prescription Diet</t>
        </is>
      </c>
      <c r="B348" t="inlineStr">
        <is>
          <t>c/d Multicare חתול 3 ק"ג</t>
        </is>
      </c>
      <c r="C348" t="inlineStr">
        <is>
          <t>דרכי שתן</t>
        </is>
      </c>
      <c r="D348" t="inlineStr">
        <is>
          <t>40605890</t>
        </is>
      </c>
      <c r="E348" t="inlineStr">
        <is>
          <t>2026-04</t>
        </is>
      </c>
      <c r="F348" t="n">
        <v>149</v>
      </c>
      <c r="G348" t="n">
        <v>175.82</v>
      </c>
      <c r="H348">
        <f>הגדרות!B4</f>
        <v/>
      </c>
      <c r="I348">
        <f>F348*(1-H348/100)*1.18</f>
        <v/>
      </c>
      <c r="J348">
        <f>הגדרות!C4</f>
        <v/>
      </c>
      <c r="K348">
        <f>הגדרות!D4</f>
        <v/>
      </c>
      <c r="L348">
        <f>I348*(1+J348/100)+K348</f>
        <v/>
      </c>
    </row>
    <row r="349">
      <c r="A349" t="inlineStr">
        <is>
          <t>Hill's Prescription Diet</t>
        </is>
      </c>
      <c r="B349" t="inlineStr">
        <is>
          <t>c/d Multicare חתול 8 ק"ג</t>
        </is>
      </c>
      <c r="C349" t="inlineStr">
        <is>
          <t>דרכי שתן</t>
        </is>
      </c>
      <c r="D349" t="inlineStr">
        <is>
          <t>40605889</t>
        </is>
      </c>
      <c r="E349" t="inlineStr">
        <is>
          <t>2026-04</t>
        </is>
      </c>
      <c r="F349" t="n">
        <v>334</v>
      </c>
      <c r="G349" t="n">
        <v>394.12</v>
      </c>
      <c r="H349">
        <f>הגדרות!B4</f>
        <v/>
      </c>
      <c r="I349">
        <f>F349*(1-H349/100)*1.18</f>
        <v/>
      </c>
      <c r="J349">
        <f>הגדרות!C4</f>
        <v/>
      </c>
      <c r="K349">
        <f>הגדרות!D4</f>
        <v/>
      </c>
      <c r="L349">
        <f>I349*(1+J349/100)+K349</f>
        <v/>
      </c>
    </row>
    <row r="350">
      <c r="A350" t="inlineStr">
        <is>
          <t>Hill's Prescription Diet</t>
        </is>
      </c>
      <c r="B350" t="inlineStr">
        <is>
          <t>c/d Stress חתול - דגי ים 3 ק"ג</t>
        </is>
      </c>
      <c r="C350" t="inlineStr">
        <is>
          <t>דרכי שתן</t>
        </is>
      </c>
      <c r="D350" t="inlineStr">
        <is>
          <t>40606772</t>
        </is>
      </c>
      <c r="E350" t="inlineStr">
        <is>
          <t>2026-04</t>
        </is>
      </c>
      <c r="F350" t="n">
        <v>177</v>
      </c>
      <c r="G350" t="n">
        <v>208.86</v>
      </c>
      <c r="H350">
        <f>הגדרות!B4</f>
        <v/>
      </c>
      <c r="I350">
        <f>F350*(1-H350/100)*1.18</f>
        <v/>
      </c>
      <c r="J350">
        <f>הגדרות!C4</f>
        <v/>
      </c>
      <c r="K350">
        <f>הגדרות!D4</f>
        <v/>
      </c>
      <c r="L350">
        <f>I350*(1+J350/100)+K350</f>
        <v/>
      </c>
    </row>
    <row r="351">
      <c r="A351" t="inlineStr">
        <is>
          <t>Hill's Prescription Diet</t>
        </is>
      </c>
      <c r="B351" t="inlineStr">
        <is>
          <t>c/d Stress חתול - דגי ים 8 ק"ג</t>
        </is>
      </c>
      <c r="C351" t="inlineStr">
        <is>
          <t>דרכי שתן</t>
        </is>
      </c>
      <c r="D351" t="inlineStr">
        <is>
          <t>40606773</t>
        </is>
      </c>
      <c r="E351" t="inlineStr">
        <is>
          <t>2026-04</t>
        </is>
      </c>
      <c r="F351" t="n">
        <v>420</v>
      </c>
      <c r="G351" t="n">
        <v>495.6</v>
      </c>
      <c r="H351">
        <f>הגדרות!B4</f>
        <v/>
      </c>
      <c r="I351">
        <f>F351*(1-H351/100)*1.18</f>
        <v/>
      </c>
      <c r="J351">
        <f>הגדרות!C4</f>
        <v/>
      </c>
      <c r="K351">
        <f>הגדרות!D4</f>
        <v/>
      </c>
      <c r="L351">
        <f>I351*(1+J351/100)+K351</f>
        <v/>
      </c>
    </row>
    <row r="352">
      <c r="A352" t="inlineStr">
        <is>
          <t>Hill's Prescription Diet</t>
        </is>
      </c>
      <c r="B352" t="inlineStr">
        <is>
          <t>c/d Urinary Stress + Metabolic חתול 3 ק"ג</t>
        </is>
      </c>
      <c r="C352" t="inlineStr">
        <is>
          <t>דרכי שתן</t>
        </is>
      </c>
      <c r="D352" t="inlineStr">
        <is>
          <t>40605983</t>
        </is>
      </c>
      <c r="E352" t="inlineStr">
        <is>
          <t>2026-04</t>
        </is>
      </c>
      <c r="F352" t="n">
        <v>185</v>
      </c>
      <c r="G352" t="n">
        <v>218.3</v>
      </c>
      <c r="H352">
        <f>הגדרות!B4</f>
        <v/>
      </c>
      <c r="I352">
        <f>F352*(1-H352/100)*1.18</f>
        <v/>
      </c>
      <c r="J352">
        <f>הגדרות!C4</f>
        <v/>
      </c>
      <c r="K352">
        <f>הגדרות!D4</f>
        <v/>
      </c>
      <c r="L352">
        <f>I352*(1+J352/100)+K352</f>
        <v/>
      </c>
    </row>
    <row r="353">
      <c r="A353" t="inlineStr">
        <is>
          <t>Hill's Prescription Diet</t>
        </is>
      </c>
      <c r="B353" t="inlineStr">
        <is>
          <t>c/d Urinary Stress + Metabolic חתול 8 ק"ג</t>
        </is>
      </c>
      <c r="C353" t="inlineStr">
        <is>
          <t>דרכי שתן</t>
        </is>
      </c>
      <c r="D353" t="inlineStr">
        <is>
          <t>40606152</t>
        </is>
      </c>
      <c r="E353" t="inlineStr">
        <is>
          <t>2026-04</t>
        </is>
      </c>
      <c r="F353" t="n">
        <v>395</v>
      </c>
      <c r="G353" t="n">
        <v>466.1</v>
      </c>
      <c r="H353">
        <f>הגדרות!B4</f>
        <v/>
      </c>
      <c r="I353">
        <f>F353*(1-H353/100)*1.18</f>
        <v/>
      </c>
      <c r="J353">
        <f>הגדרות!C4</f>
        <v/>
      </c>
      <c r="K353">
        <f>הגדרות!D4</f>
        <v/>
      </c>
      <c r="L353">
        <f>I353*(1+J353/100)+K353</f>
        <v/>
      </c>
    </row>
    <row r="354">
      <c r="A354" t="inlineStr">
        <is>
          <t>Hill's Prescription Diet</t>
        </is>
      </c>
      <c r="B354" t="inlineStr">
        <is>
          <t>i/d גור חתול 1.5 ק"ג</t>
        </is>
      </c>
      <c r="D354" t="inlineStr">
        <is>
          <t>40609601</t>
        </is>
      </c>
      <c r="E354" t="inlineStr">
        <is>
          <t>2026-04</t>
        </is>
      </c>
      <c r="F354" t="n">
        <v>109</v>
      </c>
      <c r="G354" t="n">
        <v>128.62</v>
      </c>
      <c r="H354">
        <f>הגדרות!B4</f>
        <v/>
      </c>
      <c r="I354">
        <f>F354*(1-H354/100)*1.18</f>
        <v/>
      </c>
      <c r="J354">
        <f>הגדרות!C4</f>
        <v/>
      </c>
      <c r="K354">
        <f>הגדרות!D4</f>
        <v/>
      </c>
      <c r="L354">
        <f>I354*(1+J354/100)+K354</f>
        <v/>
      </c>
    </row>
    <row r="355">
      <c r="A355" t="inlineStr">
        <is>
          <t>Hill's Prescription Diet</t>
        </is>
      </c>
      <c r="B355" t="inlineStr">
        <is>
          <t>i/d גור חתול 400 ג'</t>
        </is>
      </c>
      <c r="D355" t="inlineStr">
        <is>
          <t>40606178</t>
        </is>
      </c>
      <c r="E355" t="inlineStr">
        <is>
          <t>2026-04</t>
        </is>
      </c>
      <c r="F355" t="n">
        <v>41</v>
      </c>
      <c r="G355" t="n">
        <v>48.38</v>
      </c>
      <c r="H355">
        <f>הגדרות!B4</f>
        <v/>
      </c>
      <c r="I355">
        <f>F355*(1-H355/100)*1.18</f>
        <v/>
      </c>
      <c r="J355">
        <f>הגדרות!C4</f>
        <v/>
      </c>
      <c r="K355">
        <f>הגדרות!D4</f>
        <v/>
      </c>
      <c r="L355">
        <f>I355*(1+J355/100)+K355</f>
        <v/>
      </c>
    </row>
    <row r="356">
      <c r="A356" t="inlineStr">
        <is>
          <t>Hill's Prescription Diet</t>
        </is>
      </c>
      <c r="B356" t="inlineStr">
        <is>
          <t>i/d חתול בוגר 1.5 ק"ג</t>
        </is>
      </c>
      <c r="D356" t="inlineStr">
        <is>
          <t>40605883</t>
        </is>
      </c>
      <c r="E356" t="inlineStr">
        <is>
          <t>2026-04</t>
        </is>
      </c>
      <c r="F356" t="n">
        <v>100</v>
      </c>
      <c r="G356" t="n">
        <v>118</v>
      </c>
      <c r="H356">
        <f>הגדרות!B4</f>
        <v/>
      </c>
      <c r="I356">
        <f>F356*(1-H356/100)*1.18</f>
        <v/>
      </c>
      <c r="J356">
        <f>הגדרות!C4</f>
        <v/>
      </c>
      <c r="K356">
        <f>הגדרות!D4</f>
        <v/>
      </c>
      <c r="L356">
        <f>I356*(1+J356/100)+K356</f>
        <v/>
      </c>
    </row>
    <row r="357">
      <c r="A357" t="inlineStr">
        <is>
          <t>Hill's Prescription Diet</t>
        </is>
      </c>
      <c r="B357" t="inlineStr">
        <is>
          <t>i/d חתול בוגר 3 ק"ג</t>
        </is>
      </c>
      <c r="D357" t="inlineStr">
        <is>
          <t>40605877</t>
        </is>
      </c>
      <c r="E357" t="inlineStr">
        <is>
          <t>2026-04</t>
        </is>
      </c>
      <c r="F357" t="n">
        <v>168</v>
      </c>
      <c r="G357" t="n">
        <v>198.24</v>
      </c>
      <c r="H357">
        <f>הגדרות!B4</f>
        <v/>
      </c>
      <c r="I357">
        <f>F357*(1-H357/100)*1.18</f>
        <v/>
      </c>
      <c r="J357">
        <f>הגדרות!C4</f>
        <v/>
      </c>
      <c r="K357">
        <f>הגדרות!D4</f>
        <v/>
      </c>
      <c r="L357">
        <f>I357*(1+J357/100)+K357</f>
        <v/>
      </c>
    </row>
    <row r="358">
      <c r="A358" t="inlineStr">
        <is>
          <t>Hill's Prescription Diet</t>
        </is>
      </c>
      <c r="B358" t="inlineStr">
        <is>
          <t>i/d חתול בוגר 8 ק"ג</t>
        </is>
      </c>
      <c r="D358" t="inlineStr">
        <is>
          <t>40606451</t>
        </is>
      </c>
      <c r="E358" t="inlineStr">
        <is>
          <t>2026-04</t>
        </is>
      </c>
      <c r="F358" t="n">
        <v>412</v>
      </c>
      <c r="G358" t="n">
        <v>486.16</v>
      </c>
      <c r="H358">
        <f>הגדרות!B4</f>
        <v/>
      </c>
      <c r="I358">
        <f>F358*(1-H358/100)*1.18</f>
        <v/>
      </c>
      <c r="J358">
        <f>הגדרות!C4</f>
        <v/>
      </c>
      <c r="K358">
        <f>הגדרות!D4</f>
        <v/>
      </c>
      <c r="L358">
        <f>I358*(1+J358/100)+K358</f>
        <v/>
      </c>
    </row>
    <row r="359">
      <c r="A359" t="inlineStr">
        <is>
          <t>Hill's Prescription Diet</t>
        </is>
      </c>
      <c r="B359" t="inlineStr">
        <is>
          <t>GI Biome חתול בוגר 1.5 ק"ג</t>
        </is>
      </c>
      <c r="D359" t="inlineStr">
        <is>
          <t>40605850</t>
        </is>
      </c>
      <c r="E359" t="inlineStr">
        <is>
          <t>2026-04</t>
        </is>
      </c>
      <c r="F359" t="n">
        <v>113</v>
      </c>
      <c r="G359" t="n">
        <v>133.34</v>
      </c>
      <c r="H359">
        <f>הגדרות!B4</f>
        <v/>
      </c>
      <c r="I359">
        <f>F359*(1-H359/100)*1.18</f>
        <v/>
      </c>
      <c r="J359">
        <f>הגדרות!C4</f>
        <v/>
      </c>
      <c r="K359">
        <f>הגדרות!D4</f>
        <v/>
      </c>
      <c r="L359">
        <f>I359*(1+J359/100)+K359</f>
        <v/>
      </c>
    </row>
    <row r="360">
      <c r="A360" t="inlineStr">
        <is>
          <t>Hill's Prescription Diet</t>
        </is>
      </c>
      <c r="B360" t="inlineStr">
        <is>
          <t>GI Biome חתול בוגר 3 ק"ג</t>
        </is>
      </c>
      <c r="D360" t="inlineStr">
        <is>
          <t>40605851</t>
        </is>
      </c>
      <c r="E360" t="inlineStr">
        <is>
          <t>2026-04</t>
        </is>
      </c>
      <c r="F360" t="n">
        <v>187</v>
      </c>
      <c r="G360" t="n">
        <v>220.66</v>
      </c>
      <c r="H360">
        <f>הגדרות!B4</f>
        <v/>
      </c>
      <c r="I360">
        <f>F360*(1-H360/100)*1.18</f>
        <v/>
      </c>
      <c r="J360">
        <f>הגדרות!C4</f>
        <v/>
      </c>
      <c r="K360">
        <f>הגדרות!D4</f>
        <v/>
      </c>
      <c r="L360">
        <f>I360*(1+J360/100)+K360</f>
        <v/>
      </c>
    </row>
    <row r="361">
      <c r="A361" t="inlineStr">
        <is>
          <t>Hill's Prescription Diet</t>
        </is>
      </c>
      <c r="B361" t="inlineStr">
        <is>
          <t>GI Biome חתול בוגר 8 ק"ג</t>
        </is>
      </c>
      <c r="D361" t="inlineStr">
        <is>
          <t>40608165</t>
        </is>
      </c>
      <c r="E361" t="inlineStr">
        <is>
          <t>2026-04</t>
        </is>
      </c>
      <c r="F361" t="n">
        <v>437</v>
      </c>
      <c r="G361" t="n">
        <v>515.66</v>
      </c>
      <c r="H361">
        <f>הגדרות!B4</f>
        <v/>
      </c>
      <c r="I361">
        <f>F361*(1-H361/100)*1.18</f>
        <v/>
      </c>
      <c r="J361">
        <f>הגדרות!C4</f>
        <v/>
      </c>
      <c r="K361">
        <f>הגדרות!D4</f>
        <v/>
      </c>
      <c r="L361">
        <f>I361*(1+J361/100)+K361</f>
        <v/>
      </c>
    </row>
    <row r="362">
      <c r="A362" t="inlineStr">
        <is>
          <t>Hill's Prescription Diet</t>
        </is>
      </c>
      <c r="B362" t="inlineStr">
        <is>
          <t>GI Biome STRESS חתול בוגר 3 ק"ג</t>
        </is>
      </c>
      <c r="D362" t="inlineStr">
        <is>
          <t>40608945</t>
        </is>
      </c>
      <c r="E362" t="inlineStr">
        <is>
          <t>2026-04</t>
        </is>
      </c>
      <c r="F362" t="n">
        <v>208</v>
      </c>
      <c r="G362" t="n">
        <v>245.44</v>
      </c>
      <c r="H362">
        <f>הגדרות!B4</f>
        <v/>
      </c>
      <c r="I362">
        <f>F362*(1-H362/100)*1.18</f>
        <v/>
      </c>
      <c r="J362">
        <f>הגדרות!C4</f>
        <v/>
      </c>
      <c r="K362">
        <f>הגדרות!D4</f>
        <v/>
      </c>
      <c r="L362">
        <f>I362*(1+J362/100)+K362</f>
        <v/>
      </c>
    </row>
    <row r="363">
      <c r="A363" t="inlineStr">
        <is>
          <t>Hill's Prescription Diet</t>
        </is>
      </c>
      <c r="B363" t="inlineStr">
        <is>
          <t>j/d חתול 3 ק"ג</t>
        </is>
      </c>
      <c r="C363" t="inlineStr">
        <is>
          <t>מפרקים / ניידות</t>
        </is>
      </c>
      <c r="D363" t="inlineStr">
        <is>
          <t>40606156</t>
        </is>
      </c>
      <c r="E363" t="inlineStr">
        <is>
          <t>2026-04</t>
        </is>
      </c>
      <c r="F363" t="n">
        <v>168</v>
      </c>
      <c r="G363" t="n">
        <v>198.24</v>
      </c>
      <c r="H363">
        <f>הגדרות!B4</f>
        <v/>
      </c>
      <c r="I363">
        <f>F363*(1-H363/100)*1.18</f>
        <v/>
      </c>
      <c r="J363">
        <f>הגדרות!C4</f>
        <v/>
      </c>
      <c r="K363">
        <f>הגדרות!D4</f>
        <v/>
      </c>
      <c r="L363">
        <f>I363*(1+J363/100)+K363</f>
        <v/>
      </c>
    </row>
    <row r="364">
      <c r="A364" t="inlineStr">
        <is>
          <t>Hill's Prescription Diet</t>
        </is>
      </c>
      <c r="B364" t="inlineStr">
        <is>
          <t>k/d חתול - עוף 1.5 ק"ג</t>
        </is>
      </c>
      <c r="C364" t="inlineStr">
        <is>
          <t>מחלות כליה</t>
        </is>
      </c>
      <c r="D364" t="inlineStr">
        <is>
          <t>40609841</t>
        </is>
      </c>
      <c r="E364" t="inlineStr">
        <is>
          <t>2026-04</t>
        </is>
      </c>
      <c r="F364" t="n">
        <v>100</v>
      </c>
      <c r="G364" t="n">
        <v>118</v>
      </c>
      <c r="H364">
        <f>הגדרות!B4</f>
        <v/>
      </c>
      <c r="I364">
        <f>F364*(1-H364/100)*1.18</f>
        <v/>
      </c>
      <c r="J364">
        <f>הגדרות!C4</f>
        <v/>
      </c>
      <c r="K364">
        <f>הגדרות!D4</f>
        <v/>
      </c>
      <c r="L364">
        <f>I364*(1+J364/100)+K364</f>
        <v/>
      </c>
    </row>
    <row r="365">
      <c r="A365" t="inlineStr">
        <is>
          <t>Hill's Prescription Diet</t>
        </is>
      </c>
      <c r="B365" t="inlineStr">
        <is>
          <t>k/d חתול - עוף 3 ק"ג</t>
        </is>
      </c>
      <c r="C365" t="inlineStr">
        <is>
          <t>מחלות כליה</t>
        </is>
      </c>
      <c r="D365" t="inlineStr">
        <is>
          <t>40605986</t>
        </is>
      </c>
      <c r="E365" t="inlineStr">
        <is>
          <t>2026-04</t>
        </is>
      </c>
      <c r="F365" t="n">
        <v>161</v>
      </c>
      <c r="G365" t="n">
        <v>189.98</v>
      </c>
      <c r="H365">
        <f>הגדרות!B4</f>
        <v/>
      </c>
      <c r="I365">
        <f>F365*(1-H365/100)*1.18</f>
        <v/>
      </c>
      <c r="J365">
        <f>הגדרות!C4</f>
        <v/>
      </c>
      <c r="K365">
        <f>הגדרות!D4</f>
        <v/>
      </c>
      <c r="L365">
        <f>I365*(1+J365/100)+K365</f>
        <v/>
      </c>
    </row>
    <row r="366">
      <c r="A366" t="inlineStr">
        <is>
          <t>Hill's Prescription Diet</t>
        </is>
      </c>
      <c r="B366" t="inlineStr">
        <is>
          <t>k/d חתול - עוף 8 ק"ג</t>
        </is>
      </c>
      <c r="C366" t="inlineStr">
        <is>
          <t>מחלות כליה</t>
        </is>
      </c>
      <c r="D366" t="inlineStr">
        <is>
          <t>40605992</t>
        </is>
      </c>
      <c r="E366" t="inlineStr">
        <is>
          <t>2026-04</t>
        </is>
      </c>
      <c r="F366" t="n">
        <v>412</v>
      </c>
      <c r="G366" t="n">
        <v>486.16</v>
      </c>
      <c r="H366">
        <f>הגדרות!B4</f>
        <v/>
      </c>
      <c r="I366">
        <f>F366*(1-H366/100)*1.18</f>
        <v/>
      </c>
      <c r="J366">
        <f>הגדרות!C4</f>
        <v/>
      </c>
      <c r="K366">
        <f>הגדרות!D4</f>
        <v/>
      </c>
      <c r="L366">
        <f>I366*(1+J366/100)+K366</f>
        <v/>
      </c>
    </row>
    <row r="367">
      <c r="A367" t="inlineStr">
        <is>
          <t>Hill's Prescription Diet</t>
        </is>
      </c>
      <c r="B367" t="inlineStr">
        <is>
          <t>k/d חתול - סלמון 3 ק"ג</t>
        </is>
      </c>
      <c r="D367" t="inlineStr">
        <is>
          <t>40609901</t>
        </is>
      </c>
      <c r="E367" t="inlineStr">
        <is>
          <t>2026-04</t>
        </is>
      </c>
      <c r="F367" t="n">
        <v>168</v>
      </c>
      <c r="G367" t="n">
        <v>198.24</v>
      </c>
      <c r="H367">
        <f>הגדרות!B4</f>
        <v/>
      </c>
      <c r="I367">
        <f>F367*(1-H367/100)*1.18</f>
        <v/>
      </c>
      <c r="J367">
        <f>הגדרות!C4</f>
        <v/>
      </c>
      <c r="K367">
        <f>הגדרות!D4</f>
        <v/>
      </c>
      <c r="L367">
        <f>I367*(1+J367/100)+K367</f>
        <v/>
      </c>
    </row>
    <row r="368">
      <c r="A368" t="inlineStr">
        <is>
          <t>Hill's Prescription Diet</t>
        </is>
      </c>
      <c r="B368" t="inlineStr">
        <is>
          <t>k/d Early Stage חתול 3 ק"ג</t>
        </is>
      </c>
      <c r="C368" t="inlineStr">
        <is>
          <t>מחלות כליה</t>
        </is>
      </c>
      <c r="D368" t="inlineStr">
        <is>
          <t>40605993</t>
        </is>
      </c>
      <c r="E368" t="inlineStr">
        <is>
          <t>2026-04</t>
        </is>
      </c>
      <c r="F368" t="n">
        <v>168</v>
      </c>
      <c r="G368" t="n">
        <v>198.24</v>
      </c>
      <c r="H368">
        <f>הגדרות!B4</f>
        <v/>
      </c>
      <c r="I368">
        <f>F368*(1-H368/100)*1.18</f>
        <v/>
      </c>
      <c r="J368">
        <f>הגדרות!C4</f>
        <v/>
      </c>
      <c r="K368">
        <f>הגדרות!D4</f>
        <v/>
      </c>
      <c r="L368">
        <f>I368*(1+J368/100)+K368</f>
        <v/>
      </c>
    </row>
    <row r="369">
      <c r="A369" t="inlineStr">
        <is>
          <t>Hill's Prescription Diet</t>
        </is>
      </c>
      <c r="B369" t="inlineStr">
        <is>
          <t>k/d Mobility חתול 3 ק"ג</t>
        </is>
      </c>
      <c r="C369" t="inlineStr">
        <is>
          <t>מחלות כליה</t>
        </is>
      </c>
      <c r="D369" t="inlineStr">
        <is>
          <t>40606142</t>
        </is>
      </c>
      <c r="E369" t="inlineStr">
        <is>
          <t>2026-04</t>
        </is>
      </c>
      <c r="F369" t="n">
        <v>179</v>
      </c>
      <c r="G369" t="n">
        <v>211.22</v>
      </c>
      <c r="H369">
        <f>הגדרות!B4</f>
        <v/>
      </c>
      <c r="I369">
        <f>F369*(1-H369/100)*1.18</f>
        <v/>
      </c>
      <c r="J369">
        <f>הגדרות!C4</f>
        <v/>
      </c>
      <c r="K369">
        <f>הגדרות!D4</f>
        <v/>
      </c>
      <c r="L369">
        <f>I369*(1+J369/100)+K369</f>
        <v/>
      </c>
    </row>
    <row r="370">
      <c r="A370" t="inlineStr">
        <is>
          <t>Hill's Prescription Diet</t>
        </is>
      </c>
      <c r="B370" t="inlineStr">
        <is>
          <t>L/d חתול 1.5 ק"ג</t>
        </is>
      </c>
      <c r="C370" t="inlineStr">
        <is>
          <t>מחלות כבד</t>
        </is>
      </c>
      <c r="D370" t="inlineStr">
        <is>
          <t>40605968</t>
        </is>
      </c>
      <c r="E370" t="inlineStr">
        <is>
          <t>2026-04</t>
        </is>
      </c>
      <c r="F370" t="n">
        <v>100</v>
      </c>
      <c r="G370" t="n">
        <v>118</v>
      </c>
      <c r="H370">
        <f>הגדרות!B4</f>
        <v/>
      </c>
      <c r="I370">
        <f>F370*(1-H370/100)*1.18</f>
        <v/>
      </c>
      <c r="J370">
        <f>הגדרות!C4</f>
        <v/>
      </c>
      <c r="K370">
        <f>הגדרות!D4</f>
        <v/>
      </c>
      <c r="L370">
        <f>I370*(1+J370/100)+K370</f>
        <v/>
      </c>
    </row>
    <row r="371">
      <c r="A371" t="inlineStr">
        <is>
          <t>Hill's Prescription Diet</t>
        </is>
      </c>
      <c r="B371" t="inlineStr">
        <is>
          <t>m/d חתול 3 ק"ג</t>
        </is>
      </c>
      <c r="C371" t="inlineStr">
        <is>
          <t>סוכרת</t>
        </is>
      </c>
      <c r="D371" t="inlineStr">
        <is>
          <t>40606522</t>
        </is>
      </c>
      <c r="E371" t="inlineStr">
        <is>
          <t>2026-04</t>
        </is>
      </c>
      <c r="F371" t="n">
        <v>161</v>
      </c>
      <c r="G371" t="n">
        <v>189.98</v>
      </c>
      <c r="H371">
        <f>הגדרות!B4</f>
        <v/>
      </c>
      <c r="I371">
        <f>F371*(1-H371/100)*1.18</f>
        <v/>
      </c>
      <c r="J371">
        <f>הגדרות!C4</f>
        <v/>
      </c>
      <c r="K371">
        <f>הגדרות!D4</f>
        <v/>
      </c>
      <c r="L371">
        <f>I371*(1+J371/100)+K371</f>
        <v/>
      </c>
    </row>
    <row r="372">
      <c r="A372" t="inlineStr">
        <is>
          <t>Hill's Prescription Diet</t>
        </is>
      </c>
      <c r="B372" t="inlineStr">
        <is>
          <t>r/d חתול 3 ק"ג</t>
        </is>
      </c>
      <c r="C372" t="inlineStr">
        <is>
          <t>השמנה / ירידה במשקל</t>
        </is>
      </c>
      <c r="D372" t="inlineStr">
        <is>
          <t>40606524</t>
        </is>
      </c>
      <c r="E372" t="inlineStr">
        <is>
          <t>2026-04</t>
        </is>
      </c>
      <c r="F372" t="n">
        <v>159</v>
      </c>
      <c r="G372" t="n">
        <v>187.62</v>
      </c>
      <c r="H372">
        <f>הגדרות!B4</f>
        <v/>
      </c>
      <c r="I372">
        <f>F372*(1-H372/100)*1.18</f>
        <v/>
      </c>
      <c r="J372">
        <f>הגדרות!C4</f>
        <v/>
      </c>
      <c r="K372">
        <f>הגדרות!D4</f>
        <v/>
      </c>
      <c r="L372">
        <f>I372*(1+J372/100)+K372</f>
        <v/>
      </c>
    </row>
    <row r="373">
      <c r="A373" t="inlineStr">
        <is>
          <t>Hill's Prescription Diet</t>
        </is>
      </c>
      <c r="B373" t="inlineStr">
        <is>
          <t>Metabolic חתול 3 ק"ג</t>
        </is>
      </c>
      <c r="C373" t="inlineStr">
        <is>
          <t>השמנה / ירידה במשקל</t>
        </is>
      </c>
      <c r="D373" t="inlineStr">
        <is>
          <t>40605940</t>
        </is>
      </c>
      <c r="E373" t="inlineStr">
        <is>
          <t>2026-04</t>
        </is>
      </c>
      <c r="F373" t="n">
        <v>168</v>
      </c>
      <c r="G373" t="n">
        <v>198.24</v>
      </c>
      <c r="H373">
        <f>הגדרות!B4</f>
        <v/>
      </c>
      <c r="I373">
        <f>F373*(1-H373/100)*1.18</f>
        <v/>
      </c>
      <c r="J373">
        <f>הגדרות!C4</f>
        <v/>
      </c>
      <c r="K373">
        <f>הגדרות!D4</f>
        <v/>
      </c>
      <c r="L373">
        <f>I373*(1+J373/100)+K373</f>
        <v/>
      </c>
    </row>
    <row r="374">
      <c r="A374" t="inlineStr">
        <is>
          <t>Hill's Prescription Diet</t>
        </is>
      </c>
      <c r="B374" t="inlineStr">
        <is>
          <t>Metabolic חתול 8 ק"ג</t>
        </is>
      </c>
      <c r="C374" t="inlineStr">
        <is>
          <t>השמנה / ירידה במשקל</t>
        </is>
      </c>
      <c r="D374" t="inlineStr">
        <is>
          <t>40606189</t>
        </is>
      </c>
      <c r="E374" t="inlineStr">
        <is>
          <t>2026-04</t>
        </is>
      </c>
      <c r="F374" t="n">
        <v>426</v>
      </c>
      <c r="G374" t="n">
        <v>502.68</v>
      </c>
      <c r="H374">
        <f>הגדרות!B4</f>
        <v/>
      </c>
      <c r="I374">
        <f>F374*(1-H374/100)*1.18</f>
        <v/>
      </c>
      <c r="J374">
        <f>הגדרות!C4</f>
        <v/>
      </c>
      <c r="K374">
        <f>הגדרות!D4</f>
        <v/>
      </c>
      <c r="L374">
        <f>I374*(1+J374/100)+K374</f>
        <v/>
      </c>
    </row>
    <row r="375">
      <c r="A375" t="inlineStr">
        <is>
          <t>Hill's Prescription Diet</t>
        </is>
      </c>
      <c r="B375" t="inlineStr">
        <is>
          <t>Metabolic חתול סלמון 3 ק"ג</t>
        </is>
      </c>
      <c r="D375" t="inlineStr">
        <is>
          <t>40609912</t>
        </is>
      </c>
      <c r="E375" t="inlineStr">
        <is>
          <t>2026-04</t>
        </is>
      </c>
      <c r="F375" t="n">
        <v>168</v>
      </c>
      <c r="G375" t="n">
        <v>198.24</v>
      </c>
      <c r="H375">
        <f>הגדרות!B4</f>
        <v/>
      </c>
      <c r="I375">
        <f>F375*(1-H375/100)*1.18</f>
        <v/>
      </c>
      <c r="J375">
        <f>הגדרות!C4</f>
        <v/>
      </c>
      <c r="K375">
        <f>הגדרות!D4</f>
        <v/>
      </c>
      <c r="L375">
        <f>I375*(1+J375/100)+K375</f>
        <v/>
      </c>
    </row>
    <row r="376">
      <c r="A376" t="inlineStr">
        <is>
          <t>Hill's Prescription Diet</t>
        </is>
      </c>
      <c r="B376" t="inlineStr">
        <is>
          <t>Metabolic Mobility חתול 3 ק"ג</t>
        </is>
      </c>
      <c r="D376" t="inlineStr">
        <is>
          <t>40609954</t>
        </is>
      </c>
      <c r="E376" t="inlineStr">
        <is>
          <t>2026-04</t>
        </is>
      </c>
      <c r="F376" t="n">
        <v>189</v>
      </c>
      <c r="G376" t="n">
        <v>223.02</v>
      </c>
      <c r="H376">
        <f>הגדרות!B4</f>
        <v/>
      </c>
      <c r="I376">
        <f>F376*(1-H376/100)*1.18</f>
        <v/>
      </c>
      <c r="J376">
        <f>הגדרות!C4</f>
        <v/>
      </c>
      <c r="K376">
        <f>הגדרות!D4</f>
        <v/>
      </c>
      <c r="L376">
        <f>I376*(1+J376/100)+K376</f>
        <v/>
      </c>
    </row>
    <row r="377">
      <c r="A377" t="inlineStr">
        <is>
          <t>Hill's Prescription Diet</t>
        </is>
      </c>
      <c r="B377" t="inlineStr">
        <is>
          <t>s/d חתול 1.5 ק"ג</t>
        </is>
      </c>
      <c r="C377" t="inlineStr">
        <is>
          <t>דרכי שתן</t>
        </is>
      </c>
      <c r="D377" t="inlineStr">
        <is>
          <t>40605894</t>
        </is>
      </c>
      <c r="E377" t="inlineStr">
        <is>
          <t>2026-04</t>
        </is>
      </c>
      <c r="F377" t="n">
        <v>115</v>
      </c>
      <c r="G377" t="n">
        <v>135.7</v>
      </c>
      <c r="H377">
        <f>הגדרות!B4</f>
        <v/>
      </c>
      <c r="I377">
        <f>F377*(1-H377/100)*1.18</f>
        <v/>
      </c>
      <c r="J377">
        <f>הגדרות!C4</f>
        <v/>
      </c>
      <c r="K377">
        <f>הגדרות!D4</f>
        <v/>
      </c>
      <c r="L377">
        <f>I377*(1+J377/100)+K377</f>
        <v/>
      </c>
    </row>
    <row r="378">
      <c r="A378" t="inlineStr">
        <is>
          <t>Hill's Prescription Diet</t>
        </is>
      </c>
      <c r="B378" t="inlineStr">
        <is>
          <t>t/d חתול 1.5 ק"ג</t>
        </is>
      </c>
      <c r="C378" t="inlineStr">
        <is>
          <t>שיניים</t>
        </is>
      </c>
      <c r="D378" t="inlineStr">
        <is>
          <t>40606273</t>
        </is>
      </c>
      <c r="E378" t="inlineStr">
        <is>
          <t>2026-04</t>
        </is>
      </c>
      <c r="F378" t="n">
        <v>100</v>
      </c>
      <c r="G378" t="n">
        <v>118</v>
      </c>
      <c r="H378">
        <f>הגדרות!B4</f>
        <v/>
      </c>
      <c r="I378">
        <f>F378*(1-H378/100)*1.18</f>
        <v/>
      </c>
      <c r="J378">
        <f>הגדרות!C4</f>
        <v/>
      </c>
      <c r="K378">
        <f>הגדרות!D4</f>
        <v/>
      </c>
      <c r="L378">
        <f>I378*(1+J378/100)+K378</f>
        <v/>
      </c>
    </row>
    <row r="379">
      <c r="A379" t="inlineStr">
        <is>
          <t>Hill's Prescription Diet</t>
        </is>
      </c>
      <c r="B379" t="inlineStr">
        <is>
          <t>w/d חתול 3 ק"ג</t>
        </is>
      </c>
      <c r="C379" t="inlineStr">
        <is>
          <t>סוכרת</t>
        </is>
      </c>
      <c r="D379" t="inlineStr">
        <is>
          <t>40605849</t>
        </is>
      </c>
      <c r="E379" t="inlineStr">
        <is>
          <t>2026-04</t>
        </is>
      </c>
      <c r="F379" t="n">
        <v>154</v>
      </c>
      <c r="G379" t="n">
        <v>181.72</v>
      </c>
      <c r="H379">
        <f>הגדרות!B4</f>
        <v/>
      </c>
      <c r="I379">
        <f>F379*(1-H379/100)*1.18</f>
        <v/>
      </c>
      <c r="J379">
        <f>הגדרות!C4</f>
        <v/>
      </c>
      <c r="K379">
        <f>הגדרות!D4</f>
        <v/>
      </c>
      <c r="L379">
        <f>I379*(1+J379/100)+K379</f>
        <v/>
      </c>
    </row>
    <row r="380">
      <c r="A380" t="inlineStr">
        <is>
          <t>Hill's Prescription Diet</t>
        </is>
      </c>
      <c r="B380" t="inlineStr">
        <is>
          <t>y/d חתול 3 ק"ג</t>
        </is>
      </c>
      <c r="C380" t="inlineStr">
        <is>
          <t>בלוטת התריס</t>
        </is>
      </c>
      <c r="D380" t="inlineStr">
        <is>
          <t>40605926</t>
        </is>
      </c>
      <c r="E380" t="inlineStr">
        <is>
          <t>2026-04</t>
        </is>
      </c>
      <c r="F380" t="n">
        <v>179</v>
      </c>
      <c r="G380" t="n">
        <v>211.22</v>
      </c>
      <c r="H380">
        <f>הגדרות!B4</f>
        <v/>
      </c>
      <c r="I380">
        <f>F380*(1-H380/100)*1.18</f>
        <v/>
      </c>
      <c r="J380">
        <f>הגדרות!C4</f>
        <v/>
      </c>
      <c r="K380">
        <f>הגדרות!D4</f>
        <v/>
      </c>
      <c r="L380">
        <f>I380*(1+J380/100)+K380</f>
        <v/>
      </c>
    </row>
    <row r="381">
      <c r="A381" t="inlineStr">
        <is>
          <t>Hill's Prescription Diet</t>
        </is>
      </c>
      <c r="B381" t="inlineStr">
        <is>
          <t>y/d חתול 3 ק"ג</t>
        </is>
      </c>
      <c r="C381" t="inlineStr">
        <is>
          <t>בלוטת התריס</t>
        </is>
      </c>
      <c r="D381" t="inlineStr">
        <is>
          <t>40606420</t>
        </is>
      </c>
      <c r="E381" t="inlineStr">
        <is>
          <t>2026-04</t>
        </is>
      </c>
      <c r="F381" t="n">
        <v>179</v>
      </c>
      <c r="G381" t="n">
        <v>211.22</v>
      </c>
      <c r="H381">
        <f>הגדרות!B4</f>
        <v/>
      </c>
      <c r="I381">
        <f>F381*(1-H381/100)*1.18</f>
        <v/>
      </c>
      <c r="J381">
        <f>הגדרות!C4</f>
        <v/>
      </c>
      <c r="K381">
        <f>הגדרות!D4</f>
        <v/>
      </c>
      <c r="L381">
        <f>I381*(1+J381/100)+K381</f>
        <v/>
      </c>
    </row>
    <row r="382">
      <c r="A382" t="inlineStr">
        <is>
          <t>Hill's Prescription Diet</t>
        </is>
      </c>
      <c r="B382" t="inlineStr">
        <is>
          <t>c/d Multicare חתול 156 ג'</t>
        </is>
      </c>
      <c r="D382" t="inlineStr">
        <is>
          <t>40605643</t>
        </is>
      </c>
      <c r="E382" t="inlineStr">
        <is>
          <t>2026-04</t>
        </is>
      </c>
      <c r="F382" t="n">
        <v>10</v>
      </c>
      <c r="G382" t="n">
        <v>11.8</v>
      </c>
      <c r="H382">
        <f>הגדרות!B4</f>
        <v/>
      </c>
      <c r="I382">
        <f>F382*(1-H382/100)*1.18</f>
        <v/>
      </c>
      <c r="J382">
        <f>הגדרות!C4</f>
        <v/>
      </c>
      <c r="K382">
        <f>הגדרות!D4</f>
        <v/>
      </c>
      <c r="L382">
        <f>I382*(1+J382/100)+K382</f>
        <v/>
      </c>
    </row>
    <row r="383">
      <c r="A383" t="inlineStr">
        <is>
          <t>Hill's Prescription Diet</t>
        </is>
      </c>
      <c r="B383" t="inlineStr">
        <is>
          <t>c/d שימורי נזיד גורמה Stew חתול )עם עוף וירקות( 82 ג'</t>
        </is>
      </c>
      <c r="D383" t="inlineStr">
        <is>
          <t>40605644</t>
        </is>
      </c>
      <c r="E383" t="inlineStr">
        <is>
          <t>2026-04</t>
        </is>
      </c>
      <c r="F383" t="n">
        <v>6.9</v>
      </c>
      <c r="G383" t="n">
        <v>8.140000000000001</v>
      </c>
      <c r="H383">
        <f>הגדרות!B4</f>
        <v/>
      </c>
      <c r="I383">
        <f>F383*(1-H383/100)*1.18</f>
        <v/>
      </c>
      <c r="J383">
        <f>הגדרות!C4</f>
        <v/>
      </c>
      <c r="K383">
        <f>הגדרות!D4</f>
        <v/>
      </c>
      <c r="L383">
        <f>I383*(1+J383/100)+K383</f>
        <v/>
      </c>
    </row>
    <row r="384">
      <c r="A384" t="inlineStr">
        <is>
          <t>Hill's Prescription Diet</t>
        </is>
      </c>
      <c r="B384" t="inlineStr">
        <is>
          <t>c/d stress פאוץ׳ עוף )12 יח׳ במארז( 85 ג'</t>
        </is>
      </c>
      <c r="D384" t="inlineStr">
        <is>
          <t>40607560</t>
        </is>
      </c>
      <c r="E384" t="inlineStr">
        <is>
          <t>2026-04</t>
        </is>
      </c>
      <c r="F384" t="n">
        <v>74</v>
      </c>
      <c r="G384" t="n">
        <v>87.31999999999999</v>
      </c>
      <c r="H384">
        <f>הגדרות!B4</f>
        <v/>
      </c>
      <c r="I384">
        <f>F384*(1-H384/100)*1.18</f>
        <v/>
      </c>
      <c r="J384">
        <f>הגדרות!C4</f>
        <v/>
      </c>
      <c r="K384">
        <f>הגדרות!D4</f>
        <v/>
      </c>
      <c r="L384">
        <f>I384*(1+J384/100)+K384</f>
        <v/>
      </c>
    </row>
    <row r="385">
      <c r="A385" t="inlineStr">
        <is>
          <t>Hill's Prescription Diet</t>
        </is>
      </c>
      <c r="B385" t="inlineStr">
        <is>
          <t>i/d גור חתול פאוץ׳ )12 יח׳ במארז( 85 ג'</t>
        </is>
      </c>
      <c r="D385" t="inlineStr">
        <is>
          <t>40609419</t>
        </is>
      </c>
      <c r="E385" t="inlineStr">
        <is>
          <t>2026-04</t>
        </is>
      </c>
      <c r="F385" t="n">
        <v>76</v>
      </c>
      <c r="G385" t="n">
        <v>89.68000000000001</v>
      </c>
      <c r="H385">
        <f>הגדרות!B4</f>
        <v/>
      </c>
      <c r="I385">
        <f>F385*(1-H385/100)*1.18</f>
        <v/>
      </c>
      <c r="J385">
        <f>הגדרות!C4</f>
        <v/>
      </c>
      <c r="K385">
        <f>הגדרות!D4</f>
        <v/>
      </c>
      <c r="L385">
        <f>I385*(1+J385/100)+K385</f>
        <v/>
      </c>
    </row>
    <row r="386">
      <c r="A386" t="inlineStr">
        <is>
          <t>Hill's Prescription Diet</t>
        </is>
      </c>
      <c r="B386" t="inlineStr">
        <is>
          <t>i/d חתול בוגר 156 ג'</t>
        </is>
      </c>
      <c r="D386" t="inlineStr">
        <is>
          <t>40606345</t>
        </is>
      </c>
      <c r="E386" t="inlineStr">
        <is>
          <t>2026-04</t>
        </is>
      </c>
      <c r="F386" t="n">
        <v>10.3</v>
      </c>
      <c r="G386" t="n">
        <v>12.15</v>
      </c>
      <c r="H386">
        <f>הגדרות!B4</f>
        <v/>
      </c>
      <c r="I386">
        <f>F386*(1-H386/100)*1.18</f>
        <v/>
      </c>
      <c r="J386">
        <f>הגדרות!C4</f>
        <v/>
      </c>
      <c r="K386">
        <f>הגדרות!D4</f>
        <v/>
      </c>
      <c r="L386">
        <f>I386*(1+J386/100)+K386</f>
        <v/>
      </c>
    </row>
    <row r="387">
      <c r="A387" t="inlineStr">
        <is>
          <t>Hill's Prescription Diet</t>
        </is>
      </c>
      <c r="B387" t="inlineStr">
        <is>
          <t>i/d שימורי נזיד גורמה Stew חתול בוגר )עם עוף וירקות( 82 ג'</t>
        </is>
      </c>
      <c r="D387" t="inlineStr">
        <is>
          <t>40606350</t>
        </is>
      </c>
      <c r="E387" t="inlineStr">
        <is>
          <t>2026-04</t>
        </is>
      </c>
      <c r="F387" t="n">
        <v>7</v>
      </c>
      <c r="G387" t="n">
        <v>8.26</v>
      </c>
      <c r="H387">
        <f>הגדרות!B4</f>
        <v/>
      </c>
      <c r="I387">
        <f>F387*(1-H387/100)*1.18</f>
        <v/>
      </c>
      <c r="J387">
        <f>הגדרות!C4</f>
        <v/>
      </c>
      <c r="K387">
        <f>הגדרות!D4</f>
        <v/>
      </c>
      <c r="L387">
        <f>I387*(1+J387/100)+K387</f>
        <v/>
      </c>
    </row>
    <row r="388">
      <c r="A388" t="inlineStr">
        <is>
          <t>Hill's Prescription Diet</t>
        </is>
      </c>
      <c r="B388" t="inlineStr">
        <is>
          <t>GI BIOM E חתול בוגר פאוץ )12 יח׳ במארז( 85 ג'</t>
        </is>
      </c>
      <c r="D388" t="inlineStr">
        <is>
          <t>40607212</t>
        </is>
      </c>
      <c r="E388" t="inlineStr">
        <is>
          <t>2026-04</t>
        </is>
      </c>
      <c r="F388" t="n">
        <v>84</v>
      </c>
      <c r="G388" t="n">
        <v>99.12</v>
      </c>
      <c r="H388">
        <f>הגדרות!B4</f>
        <v/>
      </c>
      <c r="I388">
        <f>F388*(1-H388/100)*1.18</f>
        <v/>
      </c>
      <c r="J388">
        <f>הגדרות!C4</f>
        <v/>
      </c>
      <c r="K388">
        <f>הגדרות!D4</f>
        <v/>
      </c>
      <c r="L388">
        <f>I388*(1+J388/100)+K388</f>
        <v/>
      </c>
    </row>
    <row r="389">
      <c r="A389" t="inlineStr">
        <is>
          <t>Hill's Prescription Diet</t>
        </is>
      </c>
      <c r="B389" t="inlineStr">
        <is>
          <t>k/d חתול 156 ג'</t>
        </is>
      </c>
      <c r="D389" t="inlineStr">
        <is>
          <t>40605663</t>
        </is>
      </c>
      <c r="E389" t="inlineStr">
        <is>
          <t>2026-04</t>
        </is>
      </c>
      <c r="F389" t="n">
        <v>10</v>
      </c>
      <c r="G389" t="n">
        <v>11.8</v>
      </c>
      <c r="H389">
        <f>הגדרות!B4</f>
        <v/>
      </c>
      <c r="I389">
        <f>F389*(1-H389/100)*1.18</f>
        <v/>
      </c>
      <c r="J389">
        <f>הגדרות!C4</f>
        <v/>
      </c>
      <c r="K389">
        <f>הגדרות!D4</f>
        <v/>
      </c>
      <c r="L389">
        <f>I389*(1+J389/100)+K389</f>
        <v/>
      </c>
    </row>
    <row r="390">
      <c r="A390" t="inlineStr">
        <is>
          <t>Hill's Prescription Diet</t>
        </is>
      </c>
      <c r="B390" t="inlineStr">
        <is>
          <t>k/d שימורי נזיד גורמה Stew חתול )עם עוף וירקות( 82 ג'</t>
        </is>
      </c>
      <c r="D390" t="inlineStr">
        <is>
          <t>40605671</t>
        </is>
      </c>
      <c r="E390" t="inlineStr">
        <is>
          <t>2026-04</t>
        </is>
      </c>
      <c r="F390" t="n">
        <v>6.9</v>
      </c>
      <c r="G390" t="n">
        <v>8.140000000000001</v>
      </c>
      <c r="H390">
        <f>הגדרות!B4</f>
        <v/>
      </c>
      <c r="I390">
        <f>F390*(1-H390/100)*1.18</f>
        <v/>
      </c>
      <c r="J390">
        <f>הגדרות!C4</f>
        <v/>
      </c>
      <c r="K390">
        <f>הגדרות!D4</f>
        <v/>
      </c>
      <c r="L390">
        <f>I390*(1+J390/100)+K390</f>
        <v/>
      </c>
    </row>
    <row r="391">
      <c r="A391" t="inlineStr">
        <is>
          <t>Hill's Prescription Diet</t>
        </is>
      </c>
      <c r="B391" t="inlineStr">
        <is>
          <t>k/d חתול פאוץ עוף )12 יח׳ במארז( 85 ג'</t>
        </is>
      </c>
      <c r="D391" t="inlineStr">
        <is>
          <t>40605664</t>
        </is>
      </c>
      <c r="E391" t="inlineStr">
        <is>
          <t>2026-04</t>
        </is>
      </c>
      <c r="F391" t="n">
        <v>74</v>
      </c>
      <c r="G391" t="n">
        <v>87.31999999999999</v>
      </c>
      <c r="H391">
        <f>הגדרות!B4</f>
        <v/>
      </c>
      <c r="I391">
        <f>F391*(1-H391/100)*1.18</f>
        <v/>
      </c>
      <c r="J391">
        <f>הגדרות!C4</f>
        <v/>
      </c>
      <c r="K391">
        <f>הגדרות!D4</f>
        <v/>
      </c>
      <c r="L391">
        <f>I391*(1+J391/100)+K391</f>
        <v/>
      </c>
    </row>
    <row r="392">
      <c r="A392" t="inlineStr">
        <is>
          <t>Hill's Prescription Diet</t>
        </is>
      </c>
      <c r="B392" t="inlineStr">
        <is>
          <t>k/d חתול פאוץ סלמון )12 יח׳ במארז( 85 ג'</t>
        </is>
      </c>
      <c r="D392" t="inlineStr">
        <is>
          <t>40605665</t>
        </is>
      </c>
      <c r="E392" t="inlineStr">
        <is>
          <t>2026-04</t>
        </is>
      </c>
      <c r="F392" t="n">
        <v>74</v>
      </c>
      <c r="G392" t="n">
        <v>87.31999999999999</v>
      </c>
      <c r="H392">
        <f>הגדרות!B4</f>
        <v/>
      </c>
      <c r="I392">
        <f>F392*(1-H392/100)*1.18</f>
        <v/>
      </c>
      <c r="J392">
        <f>הגדרות!C4</f>
        <v/>
      </c>
      <c r="K392">
        <f>הגדרות!D4</f>
        <v/>
      </c>
      <c r="L392">
        <f>I392*(1+J392/100)+K392</f>
        <v/>
      </c>
    </row>
    <row r="393">
      <c r="A393" t="inlineStr">
        <is>
          <t>Hill's Prescription Diet</t>
        </is>
      </c>
      <c r="B393" t="inlineStr">
        <is>
          <t>m/d חתול פאוץ )12 יח׳ במארז( 85 ג'</t>
        </is>
      </c>
      <c r="D393" t="inlineStr">
        <is>
          <t>40607210</t>
        </is>
      </c>
      <c r="E393" t="inlineStr">
        <is>
          <t>2026-04</t>
        </is>
      </c>
      <c r="F393" t="n">
        <v>74</v>
      </c>
      <c r="G393" t="n">
        <v>87.31999999999999</v>
      </c>
      <c r="H393">
        <f>הגדרות!B4</f>
        <v/>
      </c>
      <c r="I393">
        <f>F393*(1-H393/100)*1.18</f>
        <v/>
      </c>
      <c r="J393">
        <f>הגדרות!C4</f>
        <v/>
      </c>
      <c r="K393">
        <f>הגדרות!D4</f>
        <v/>
      </c>
      <c r="L393">
        <f>I393*(1+J393/100)+K393</f>
        <v/>
      </c>
    </row>
    <row r="394">
      <c r="A394" t="inlineStr">
        <is>
          <t>Hill's Prescription Diet</t>
        </is>
      </c>
      <c r="B394" t="inlineStr">
        <is>
          <t>s/d חתול פאוץ )12 יח' במארז( 85 ג'</t>
        </is>
      </c>
      <c r="D394" t="inlineStr">
        <is>
          <t>40607213</t>
        </is>
      </c>
      <c r="E394" t="inlineStr">
        <is>
          <t>2026-04</t>
        </is>
      </c>
      <c r="F394" t="n">
        <v>74</v>
      </c>
      <c r="G394" t="n">
        <v>87.31999999999999</v>
      </c>
      <c r="H394">
        <f>הגדרות!B4</f>
        <v/>
      </c>
      <c r="I394">
        <f>F394*(1-H394/100)*1.18</f>
        <v/>
      </c>
      <c r="J394">
        <f>הגדרות!C4</f>
        <v/>
      </c>
      <c r="K394">
        <f>הגדרות!D4</f>
        <v/>
      </c>
      <c r="L394">
        <f>I394*(1+J394/100)+K394</f>
        <v/>
      </c>
    </row>
    <row r="395">
      <c r="A395" t="inlineStr">
        <is>
          <t>Hill's Prescription Diet</t>
        </is>
      </c>
      <c r="B395" t="inlineStr">
        <is>
          <t>Metabolic חתול פאוץ )12 יח' במארז( 85 ג'</t>
        </is>
      </c>
      <c r="D395" t="inlineStr">
        <is>
          <t>40607555</t>
        </is>
      </c>
      <c r="E395" t="inlineStr">
        <is>
          <t>2026-04</t>
        </is>
      </c>
      <c r="F395" t="n">
        <v>74</v>
      </c>
      <c r="G395" t="n">
        <v>87.31999999999999</v>
      </c>
      <c r="H395">
        <f>הגדרות!B4</f>
        <v/>
      </c>
      <c r="I395">
        <f>F395*(1-H395/100)*1.18</f>
        <v/>
      </c>
      <c r="J395">
        <f>הגדרות!C4</f>
        <v/>
      </c>
      <c r="K395">
        <f>הגדרות!D4</f>
        <v/>
      </c>
      <c r="L395">
        <f>I395*(1+J395/100)+K395</f>
        <v/>
      </c>
    </row>
    <row r="396">
      <c r="A396" t="inlineStr">
        <is>
          <t>Hill's Prescription Diet</t>
        </is>
      </c>
      <c r="B396" t="inlineStr">
        <is>
          <t>y/d חתול 156 ג'</t>
        </is>
      </c>
      <c r="D396" t="inlineStr">
        <is>
          <t>40605628</t>
        </is>
      </c>
      <c r="E396" t="inlineStr">
        <is>
          <t>2026-04</t>
        </is>
      </c>
      <c r="F396" t="n">
        <v>10</v>
      </c>
      <c r="G396" t="n">
        <v>11.8</v>
      </c>
      <c r="H396">
        <f>הגדרות!B4</f>
        <v/>
      </c>
      <c r="I396">
        <f>F396*(1-H396/100)*1.18</f>
        <v/>
      </c>
      <c r="J396">
        <f>הגדרות!C4</f>
        <v/>
      </c>
      <c r="K396">
        <f>הגדרות!D4</f>
        <v/>
      </c>
      <c r="L396">
        <f>I396*(1+J396/100)+K396</f>
        <v/>
      </c>
    </row>
    <row r="397">
      <c r="A397" t="inlineStr">
        <is>
          <t>Hill's Prescription Diet</t>
        </is>
      </c>
      <c r="B397" t="inlineStr">
        <is>
          <t>w/d חתול פאוץ )12 יח׳ במארז( 85 ג'</t>
        </is>
      </c>
      <c r="D397" t="inlineStr">
        <is>
          <t>40607211</t>
        </is>
      </c>
      <c r="E397" t="inlineStr">
        <is>
          <t>2026-04</t>
        </is>
      </c>
      <c r="F397" t="n">
        <v>74</v>
      </c>
      <c r="G397" t="n">
        <v>87.31999999999999</v>
      </c>
      <c r="H397">
        <f>הגדרות!B4</f>
        <v/>
      </c>
      <c r="I397">
        <f>F397*(1-H397/100)*1.18</f>
        <v/>
      </c>
      <c r="J397">
        <f>הגדרות!C4</f>
        <v/>
      </c>
      <c r="K397">
        <f>הגדרות!D4</f>
        <v/>
      </c>
      <c r="L397">
        <f>I397*(1+J397/100)+K397</f>
        <v/>
      </c>
    </row>
    <row r="398">
      <c r="A398" t="inlineStr">
        <is>
          <t>Hill's Prescription Diet</t>
        </is>
      </c>
      <c r="B398" t="inlineStr">
        <is>
          <t>z/d חתול 156 ג'</t>
        </is>
      </c>
      <c r="D398" t="inlineStr">
        <is>
          <t>40606374</t>
        </is>
      </c>
      <c r="E398" t="inlineStr">
        <is>
          <t>2026-04</t>
        </is>
      </c>
      <c r="F398" t="n">
        <v>11</v>
      </c>
      <c r="G398" t="n">
        <v>12.98</v>
      </c>
      <c r="H398">
        <f>הגדרות!B4</f>
        <v/>
      </c>
      <c r="I398">
        <f>F398*(1-H398/100)*1.18</f>
        <v/>
      </c>
      <c r="J398">
        <f>הגדרות!C4</f>
        <v/>
      </c>
      <c r="K398">
        <f>הגדרות!D4</f>
        <v/>
      </c>
      <c r="L398">
        <f>I398*(1+J398/100)+K398</f>
        <v/>
      </c>
    </row>
    <row r="399">
      <c r="A399" t="inlineStr">
        <is>
          <t>Hill's Prescription Diet</t>
        </is>
      </c>
      <c r="B399" t="inlineStr">
        <is>
          <t>On Care Stew חתול 82 ג'</t>
        </is>
      </c>
      <c r="D399" t="inlineStr">
        <is>
          <t>40607634</t>
        </is>
      </c>
      <c r="E399" t="inlineStr">
        <is>
          <t>2026-04</t>
        </is>
      </c>
      <c r="F399" t="n">
        <v>8.4</v>
      </c>
      <c r="G399" t="n">
        <v>9.91</v>
      </c>
      <c r="H399">
        <f>הגדרות!B4</f>
        <v/>
      </c>
      <c r="I399">
        <f>F399*(1-H399/100)*1.18</f>
        <v/>
      </c>
      <c r="J399">
        <f>הגדרות!C4</f>
        <v/>
      </c>
      <c r="K399">
        <f>הגדרות!D4</f>
        <v/>
      </c>
      <c r="L399">
        <f>I399*(1+J399/100)+K399</f>
        <v/>
      </c>
    </row>
    <row r="400">
      <c r="A400" t="inlineStr">
        <is>
          <t>Hill's Prescription Diet</t>
        </is>
      </c>
      <c r="B400" t="inlineStr">
        <is>
          <t>חטיף היפואלרגני 200 ג'</t>
        </is>
      </c>
      <c r="C400" t="inlineStr">
        <is>
          <t>חטיפים</t>
        </is>
      </c>
      <c r="D400" t="inlineStr">
        <is>
          <t>40608557</t>
        </is>
      </c>
      <c r="E400" t="inlineStr">
        <is>
          <t>2026-04</t>
        </is>
      </c>
      <c r="F400" t="n">
        <v>24</v>
      </c>
      <c r="G400" t="n">
        <v>28.32</v>
      </c>
      <c r="H400">
        <f>הגדרות!B4</f>
        <v/>
      </c>
      <c r="I400">
        <f>F400*(1-H400/100)*1.18</f>
        <v/>
      </c>
      <c r="J400">
        <f>הגדרות!C4</f>
        <v/>
      </c>
      <c r="K400">
        <f>הגדרות!D4</f>
        <v/>
      </c>
      <c r="L400">
        <f>I400*(1+J400/100)+K400</f>
        <v/>
      </c>
    </row>
    <row r="401">
      <c r="A401" t="inlineStr">
        <is>
          <t>Hill's Science Plan</t>
        </is>
      </c>
      <c r="B401" t="inlineStr">
        <is>
          <t>גור כלב Mini &amp; Small - עוף 1.5 ק"ג</t>
        </is>
      </c>
      <c r="D401" t="inlineStr">
        <is>
          <t>41604230</t>
        </is>
      </c>
      <c r="E401" t="inlineStr">
        <is>
          <t>2026-04</t>
        </is>
      </c>
      <c r="F401" t="n">
        <v>68</v>
      </c>
      <c r="G401" t="n">
        <v>80.23999999999999</v>
      </c>
      <c r="H401">
        <f>הגדרות!B5</f>
        <v/>
      </c>
      <c r="I401">
        <f>F401*(1-H401/100)*1.18</f>
        <v/>
      </c>
      <c r="J401">
        <f>הגדרות!C5</f>
        <v/>
      </c>
      <c r="K401">
        <f>הגדרות!D5</f>
        <v/>
      </c>
      <c r="L401">
        <f>I401*(1+J401/100)+K401</f>
        <v/>
      </c>
    </row>
    <row r="402">
      <c r="A402" t="inlineStr">
        <is>
          <t>Hill's Science Plan</t>
        </is>
      </c>
      <c r="B402" t="inlineStr">
        <is>
          <t>גור כלב Mini &amp; Small - עוף 3 ק"ג</t>
        </is>
      </c>
      <c r="D402" t="inlineStr">
        <is>
          <t>41604345</t>
        </is>
      </c>
      <c r="E402" t="inlineStr">
        <is>
          <t>2026-04</t>
        </is>
      </c>
      <c r="F402" t="n">
        <v>115</v>
      </c>
      <c r="G402" t="n">
        <v>135.7</v>
      </c>
      <c r="H402">
        <f>הגדרות!B5</f>
        <v/>
      </c>
      <c r="I402">
        <f>F402*(1-H402/100)*1.18</f>
        <v/>
      </c>
      <c r="J402">
        <f>הגדרות!C5</f>
        <v/>
      </c>
      <c r="K402">
        <f>הגדרות!D5</f>
        <v/>
      </c>
      <c r="L402">
        <f>I402*(1+J402/100)+K402</f>
        <v/>
      </c>
    </row>
    <row r="403">
      <c r="A403" t="inlineStr">
        <is>
          <t>Hill's Science Plan</t>
        </is>
      </c>
      <c r="B403" t="inlineStr">
        <is>
          <t>גור כלב Mini &amp; Small - עוף 6 ק"ג</t>
        </is>
      </c>
      <c r="D403" t="inlineStr">
        <is>
          <t>41608101</t>
        </is>
      </c>
      <c r="E403" t="inlineStr">
        <is>
          <t>2026-04</t>
        </is>
      </c>
      <c r="F403" t="n">
        <v>188</v>
      </c>
      <c r="G403" t="n">
        <v>221.84</v>
      </c>
      <c r="H403">
        <f>הגדרות!B5</f>
        <v/>
      </c>
      <c r="I403">
        <f>F403*(1-H403/100)*1.18</f>
        <v/>
      </c>
      <c r="J403">
        <f>הגדרות!C5</f>
        <v/>
      </c>
      <c r="K403">
        <f>הגדרות!D5</f>
        <v/>
      </c>
      <c r="L403">
        <f>I403*(1+J403/100)+K403</f>
        <v/>
      </c>
    </row>
    <row r="404">
      <c r="A404" t="inlineStr">
        <is>
          <t>Hill's Science Plan</t>
        </is>
      </c>
      <c r="B404" t="inlineStr">
        <is>
          <t>גור כלב Mini &amp; Small - כבש ואורז 3 ק"ג</t>
        </is>
      </c>
      <c r="D404" t="inlineStr">
        <is>
          <t>41606590</t>
        </is>
      </c>
      <c r="E404" t="inlineStr">
        <is>
          <t>2026-04</t>
        </is>
      </c>
      <c r="F404" t="n">
        <v>125</v>
      </c>
      <c r="G404" t="n">
        <v>147.5</v>
      </c>
      <c r="H404">
        <f>הגדרות!B5</f>
        <v/>
      </c>
      <c r="I404">
        <f>F404*(1-H404/100)*1.18</f>
        <v/>
      </c>
      <c r="J404">
        <f>הגדרות!C5</f>
        <v/>
      </c>
      <c r="K404">
        <f>הגדרות!D5</f>
        <v/>
      </c>
      <c r="L404">
        <f>I404*(1+J404/100)+K404</f>
        <v/>
      </c>
    </row>
    <row r="405">
      <c r="A405" t="inlineStr">
        <is>
          <t>Hill's Science Plan</t>
        </is>
      </c>
      <c r="B405" t="inlineStr">
        <is>
          <t>גור כלב Mini &amp; Small - כבש ואורז 6 ק"ג</t>
        </is>
      </c>
      <c r="D405" t="inlineStr">
        <is>
          <t>41608097</t>
        </is>
      </c>
      <c r="E405" t="inlineStr">
        <is>
          <t>2026-04</t>
        </is>
      </c>
      <c r="F405" t="n">
        <v>196</v>
      </c>
      <c r="G405" t="n">
        <v>231.28</v>
      </c>
      <c r="H405">
        <f>הגדרות!B5</f>
        <v/>
      </c>
      <c r="I405">
        <f>F405*(1-H405/100)*1.18</f>
        <v/>
      </c>
      <c r="J405">
        <f>הגדרות!C5</f>
        <v/>
      </c>
      <c r="K405">
        <f>הגדרות!D5</f>
        <v/>
      </c>
      <c r="L405">
        <f>I405*(1+J405/100)+K405</f>
        <v/>
      </c>
    </row>
    <row r="406">
      <c r="A406" t="inlineStr">
        <is>
          <t>Hill's Science Plan</t>
        </is>
      </c>
      <c r="B406" t="inlineStr">
        <is>
          <t>גור כלב - עוף 2.5 ק"ג</t>
        </is>
      </c>
      <c r="D406" t="inlineStr">
        <is>
          <t>41604267</t>
        </is>
      </c>
      <c r="E406" t="inlineStr">
        <is>
          <t>2026-04</t>
        </is>
      </c>
      <c r="F406" t="n">
        <v>94</v>
      </c>
      <c r="G406" t="n">
        <v>110.92</v>
      </c>
      <c r="H406">
        <f>הגדרות!B5</f>
        <v/>
      </c>
      <c r="I406">
        <f>F406*(1-H406/100)*1.18</f>
        <v/>
      </c>
      <c r="J406">
        <f>הגדרות!C5</f>
        <v/>
      </c>
      <c r="K406">
        <f>הגדרות!D5</f>
        <v/>
      </c>
      <c r="L406">
        <f>I406*(1+J406/100)+K406</f>
        <v/>
      </c>
    </row>
    <row r="407">
      <c r="A407" t="inlineStr">
        <is>
          <t>Hill's Science Plan</t>
        </is>
      </c>
      <c r="B407" t="inlineStr">
        <is>
          <t>גור כלב - עוף 14 ק"ג</t>
        </is>
      </c>
      <c r="D407" t="inlineStr">
        <is>
          <t>41604352</t>
        </is>
      </c>
      <c r="E407" t="inlineStr">
        <is>
          <t>2026-04</t>
        </is>
      </c>
      <c r="F407" t="n">
        <v>337</v>
      </c>
      <c r="G407" t="n">
        <v>397.66</v>
      </c>
      <c r="H407">
        <f>הגדרות!B5</f>
        <v/>
      </c>
      <c r="I407">
        <f>F407*(1-H407/100)*1.18</f>
        <v/>
      </c>
      <c r="J407">
        <f>הגדרות!C5</f>
        <v/>
      </c>
      <c r="K407">
        <f>הגדרות!D5</f>
        <v/>
      </c>
      <c r="L407">
        <f>I407*(1+J407/100)+K407</f>
        <v/>
      </c>
    </row>
    <row r="408">
      <c r="A408" t="inlineStr">
        <is>
          <t>Hill's Science Plan</t>
        </is>
      </c>
      <c r="B408" t="inlineStr">
        <is>
          <t>גור כלב - כבש ואורז 2.5 ק"ג</t>
        </is>
      </c>
      <c r="D408" t="inlineStr">
        <is>
          <t>41604270</t>
        </is>
      </c>
      <c r="E408" t="inlineStr">
        <is>
          <t>2026-04</t>
        </is>
      </c>
      <c r="F408" t="n">
        <v>103</v>
      </c>
      <c r="G408" t="n">
        <v>121.54</v>
      </c>
      <c r="H408">
        <f>הגדרות!B5</f>
        <v/>
      </c>
      <c r="I408">
        <f>F408*(1-H408/100)*1.18</f>
        <v/>
      </c>
      <c r="J408">
        <f>הגדרות!C5</f>
        <v/>
      </c>
      <c r="K408">
        <f>הגדרות!D5</f>
        <v/>
      </c>
      <c r="L408">
        <f>I408*(1+J408/100)+K408</f>
        <v/>
      </c>
    </row>
    <row r="409">
      <c r="A409" t="inlineStr">
        <is>
          <t>Hill's Science Plan</t>
        </is>
      </c>
      <c r="B409" t="inlineStr">
        <is>
          <t>גור כלב - כבש ואורז 14 ק"ג</t>
        </is>
      </c>
      <c r="D409" t="inlineStr">
        <is>
          <t>41604353</t>
        </is>
      </c>
      <c r="E409" t="inlineStr">
        <is>
          <t>2026-04</t>
        </is>
      </c>
      <c r="F409" t="n">
        <v>363</v>
      </c>
      <c r="G409" t="n">
        <v>428.34</v>
      </c>
      <c r="H409">
        <f>הגדרות!B5</f>
        <v/>
      </c>
      <c r="I409">
        <f>F409*(1-H409/100)*1.18</f>
        <v/>
      </c>
      <c r="J409">
        <f>הגדרות!C5</f>
        <v/>
      </c>
      <c r="K409">
        <f>הגדרות!D5</f>
        <v/>
      </c>
      <c r="L409">
        <f>I409*(1+J409/100)+K409</f>
        <v/>
      </c>
    </row>
    <row r="410">
      <c r="A410" t="inlineStr">
        <is>
          <t>Hill's Science Plan</t>
        </is>
      </c>
      <c r="B410" t="inlineStr">
        <is>
          <t>גור כלב גזע גדול - עוף 14.5 ק"ג</t>
        </is>
      </c>
      <c r="D410" t="inlineStr">
        <is>
          <t>41604386</t>
        </is>
      </c>
      <c r="E410" t="inlineStr">
        <is>
          <t>2026-04</t>
        </is>
      </c>
      <c r="F410" t="n">
        <v>349</v>
      </c>
      <c r="G410" t="n">
        <v>411.82</v>
      </c>
      <c r="H410">
        <f>הגדרות!B5</f>
        <v/>
      </c>
      <c r="I410">
        <f>F410*(1-H410/100)*1.18</f>
        <v/>
      </c>
      <c r="J410">
        <f>הגדרות!C5</f>
        <v/>
      </c>
      <c r="K410">
        <f>הגדרות!D5</f>
        <v/>
      </c>
      <c r="L410">
        <f>I410*(1+J410/100)+K410</f>
        <v/>
      </c>
    </row>
    <row r="411">
      <c r="A411" t="inlineStr">
        <is>
          <t>Hill's Science Plan</t>
        </is>
      </c>
      <c r="B411" t="inlineStr">
        <is>
          <t>בוגר כלב Mini &amp; Small - עוף 3 ק"ג</t>
        </is>
      </c>
      <c r="D411" t="inlineStr">
        <is>
          <t>41609531</t>
        </is>
      </c>
      <c r="E411" t="inlineStr">
        <is>
          <t>2026-04</t>
        </is>
      </c>
      <c r="F411" t="n">
        <v>106</v>
      </c>
      <c r="G411" t="n">
        <v>125.08</v>
      </c>
      <c r="H411">
        <f>הגדרות!B5</f>
        <v/>
      </c>
      <c r="I411">
        <f>F411*(1-H411/100)*1.18</f>
        <v/>
      </c>
      <c r="J411">
        <f>הגדרות!C5</f>
        <v/>
      </c>
      <c r="K411">
        <f>הגדרות!D5</f>
        <v/>
      </c>
      <c r="L411">
        <f>I411*(1+J411/100)+K411</f>
        <v/>
      </c>
    </row>
    <row r="412">
      <c r="A412" t="inlineStr">
        <is>
          <t>Hill's Science Plan</t>
        </is>
      </c>
      <c r="B412" t="inlineStr">
        <is>
          <t>בוגר כלב Mini &amp; Small - עוף 6 ק"ג</t>
        </is>
      </c>
      <c r="D412" t="inlineStr">
        <is>
          <t>41608103</t>
        </is>
      </c>
      <c r="E412" t="inlineStr">
        <is>
          <t>2026-04</t>
        </is>
      </c>
      <c r="F412" t="n">
        <v>185</v>
      </c>
      <c r="G412" t="n">
        <v>218.3</v>
      </c>
      <c r="H412">
        <f>הגדרות!B5</f>
        <v/>
      </c>
      <c r="I412">
        <f>F412*(1-H412/100)*1.18</f>
        <v/>
      </c>
      <c r="J412">
        <f>הגדרות!C5</f>
        <v/>
      </c>
      <c r="K412">
        <f>הגדרות!D5</f>
        <v/>
      </c>
      <c r="L412">
        <f>I412*(1+J412/100)+K412</f>
        <v/>
      </c>
    </row>
    <row r="413">
      <c r="A413" t="inlineStr">
        <is>
          <t>Hill's Science Plan</t>
        </is>
      </c>
      <c r="B413" t="inlineStr">
        <is>
          <t>בוגר כלב Mini &amp; Small - עוף 10 ק"ג</t>
        </is>
      </c>
      <c r="D413" t="inlineStr">
        <is>
          <t>41606881</t>
        </is>
      </c>
      <c r="E413" t="inlineStr">
        <is>
          <t>2026-04</t>
        </is>
      </c>
      <c r="F413" t="n">
        <v>279</v>
      </c>
      <c r="G413" t="n">
        <v>329.22</v>
      </c>
      <c r="H413">
        <f>הגדרות!B5</f>
        <v/>
      </c>
      <c r="I413">
        <f>F413*(1-H413/100)*1.18</f>
        <v/>
      </c>
      <c r="J413">
        <f>הגדרות!C5</f>
        <v/>
      </c>
      <c r="K413">
        <f>הגדרות!D5</f>
        <v/>
      </c>
      <c r="L413">
        <f>I413*(1+J413/100)+K413</f>
        <v/>
      </c>
    </row>
    <row r="414">
      <c r="A414" t="inlineStr">
        <is>
          <t>Hill's Science Plan</t>
        </is>
      </c>
      <c r="B414" t="inlineStr">
        <is>
          <t>בוגר כלב Mini &amp; Small - כבש ואורז 1.5 ק"ג</t>
        </is>
      </c>
      <c r="D414" t="inlineStr">
        <is>
          <t>41609674</t>
        </is>
      </c>
      <c r="E414" t="inlineStr">
        <is>
          <t>2026-04</t>
        </is>
      </c>
      <c r="F414" t="n">
        <v>78</v>
      </c>
      <c r="G414" t="n">
        <v>92.04000000000001</v>
      </c>
      <c r="H414">
        <f>הגדרות!B5</f>
        <v/>
      </c>
      <c r="I414">
        <f>F414*(1-H414/100)*1.18</f>
        <v/>
      </c>
      <c r="J414">
        <f>הגדרות!C5</f>
        <v/>
      </c>
      <c r="K414">
        <f>הגדרות!D5</f>
        <v/>
      </c>
      <c r="L414">
        <f>I414*(1+J414/100)+K414</f>
        <v/>
      </c>
    </row>
    <row r="415">
      <c r="A415" t="inlineStr">
        <is>
          <t>Hill's Science Plan</t>
        </is>
      </c>
      <c r="B415" t="inlineStr">
        <is>
          <t>בוגר כלב Mini &amp; Small - כבש ואורז 6 ק"ג</t>
        </is>
      </c>
      <c r="D415" t="inlineStr">
        <is>
          <t>41608092</t>
        </is>
      </c>
      <c r="E415" t="inlineStr">
        <is>
          <t>2026-04</t>
        </is>
      </c>
      <c r="F415" t="n">
        <v>205</v>
      </c>
      <c r="G415" t="n">
        <v>241.9</v>
      </c>
      <c r="H415">
        <f>הגדרות!B5</f>
        <v/>
      </c>
      <c r="I415">
        <f>F415*(1-H415/100)*1.18</f>
        <v/>
      </c>
      <c r="J415">
        <f>הגדרות!C5</f>
        <v/>
      </c>
      <c r="K415">
        <f>הגדרות!D5</f>
        <v/>
      </c>
      <c r="L415">
        <f>I415*(1+J415/100)+K415</f>
        <v/>
      </c>
    </row>
    <row r="416">
      <c r="A416" t="inlineStr">
        <is>
          <t>Hill's Science Plan</t>
        </is>
      </c>
      <c r="B416" t="inlineStr">
        <is>
          <t>בוגר כלב - עוף 2.5 ק"ג</t>
        </is>
      </c>
      <c r="D416" t="inlineStr">
        <is>
          <t>41604274</t>
        </is>
      </c>
      <c r="E416" t="inlineStr">
        <is>
          <t>2026-04</t>
        </is>
      </c>
      <c r="F416" t="n">
        <v>89</v>
      </c>
      <c r="G416" t="n">
        <v>105.02</v>
      </c>
      <c r="H416">
        <f>הגדרות!B5</f>
        <v/>
      </c>
      <c r="I416">
        <f>F416*(1-H416/100)*1.18</f>
        <v/>
      </c>
      <c r="J416">
        <f>הגדרות!C5</f>
        <v/>
      </c>
      <c r="K416">
        <f>הגדרות!D5</f>
        <v/>
      </c>
      <c r="L416">
        <f>I416*(1+J416/100)+K416</f>
        <v/>
      </c>
    </row>
    <row r="417">
      <c r="A417" t="inlineStr">
        <is>
          <t>Hill's Science Plan</t>
        </is>
      </c>
      <c r="B417" t="inlineStr">
        <is>
          <t>בוגר כלב - עוף 14 ק"ג</t>
        </is>
      </c>
      <c r="D417" t="inlineStr">
        <is>
          <t>41604354</t>
        </is>
      </c>
      <c r="E417" t="inlineStr">
        <is>
          <t>2026-04</t>
        </is>
      </c>
      <c r="F417" t="n">
        <v>327</v>
      </c>
      <c r="G417" t="n">
        <v>385.86</v>
      </c>
      <c r="H417">
        <f>הגדרות!B5</f>
        <v/>
      </c>
      <c r="I417">
        <f>F417*(1-H417/100)*1.18</f>
        <v/>
      </c>
      <c r="J417">
        <f>הגדרות!C5</f>
        <v/>
      </c>
      <c r="K417">
        <f>הגדרות!D5</f>
        <v/>
      </c>
      <c r="L417">
        <f>I417*(1+J417/100)+K417</f>
        <v/>
      </c>
    </row>
    <row r="418">
      <c r="A418" t="inlineStr">
        <is>
          <t>Hill's Science Plan</t>
        </is>
      </c>
      <c r="B418" t="inlineStr">
        <is>
          <t>בוגר כלב - כבש ואורז 2.5 ק"ג</t>
        </is>
      </c>
      <c r="D418" t="inlineStr">
        <is>
          <t>41604276</t>
        </is>
      </c>
      <c r="E418" t="inlineStr">
        <is>
          <t>2026-04</t>
        </is>
      </c>
      <c r="F418" t="n">
        <v>98</v>
      </c>
      <c r="G418" t="n">
        <v>115.64</v>
      </c>
      <c r="H418">
        <f>הגדרות!B5</f>
        <v/>
      </c>
      <c r="I418">
        <f>F418*(1-H418/100)*1.18</f>
        <v/>
      </c>
      <c r="J418">
        <f>הגדרות!C5</f>
        <v/>
      </c>
      <c r="K418">
        <f>הגדרות!D5</f>
        <v/>
      </c>
      <c r="L418">
        <f>I418*(1+J418/100)+K418</f>
        <v/>
      </c>
    </row>
    <row r="419">
      <c r="A419" t="inlineStr">
        <is>
          <t>Hill's Science Plan</t>
        </is>
      </c>
      <c r="B419" t="inlineStr">
        <is>
          <t>בוגר כלב - כבש ואורז 14 ק"ג</t>
        </is>
      </c>
      <c r="D419" t="inlineStr">
        <is>
          <t>41604357</t>
        </is>
      </c>
      <c r="E419" t="inlineStr">
        <is>
          <t>2026-04</t>
        </is>
      </c>
      <c r="F419" t="n">
        <v>353</v>
      </c>
      <c r="G419" t="n">
        <v>416.54</v>
      </c>
      <c r="H419">
        <f>הגדרות!B5</f>
        <v/>
      </c>
      <c r="I419">
        <f>F419*(1-H419/100)*1.18</f>
        <v/>
      </c>
      <c r="J419">
        <f>הגדרות!C5</f>
        <v/>
      </c>
      <c r="K419">
        <f>הגדרות!D5</f>
        <v/>
      </c>
      <c r="L419">
        <f>I419*(1+J419/100)+K419</f>
        <v/>
      </c>
    </row>
    <row r="420">
      <c r="A420" t="inlineStr">
        <is>
          <t>Hill's Science Plan</t>
        </is>
      </c>
      <c r="B420" t="inlineStr">
        <is>
          <t>בוגר כלב גזע גדול - עוף 14 ק"ג</t>
        </is>
      </c>
      <c r="D420" t="inlineStr">
        <is>
          <t>41604387</t>
        </is>
      </c>
      <c r="E420" t="inlineStr">
        <is>
          <t>2026-04</t>
        </is>
      </c>
      <c r="F420" t="n">
        <v>327</v>
      </c>
      <c r="G420" t="n">
        <v>385.86</v>
      </c>
      <c r="H420">
        <f>הגדרות!B5</f>
        <v/>
      </c>
      <c r="I420">
        <f>F420*(1-H420/100)*1.18</f>
        <v/>
      </c>
      <c r="J420">
        <f>הגדרות!C5</f>
        <v/>
      </c>
      <c r="K420">
        <f>הגדרות!D5</f>
        <v/>
      </c>
      <c r="L420">
        <f>I420*(1+J420/100)+K420</f>
        <v/>
      </c>
    </row>
    <row r="421">
      <c r="A421" t="inlineStr">
        <is>
          <t>Hill's Science Plan</t>
        </is>
      </c>
      <c r="B421" t="inlineStr">
        <is>
          <t>בוגר כלב גזע גדול - כבש ואורז 14 ק"ג</t>
        </is>
      </c>
      <c r="D421" t="inlineStr">
        <is>
          <t>41604373</t>
        </is>
      </c>
      <c r="E421" t="inlineStr">
        <is>
          <t>2026-04</t>
        </is>
      </c>
      <c r="F421" t="n">
        <v>353</v>
      </c>
      <c r="G421" t="n">
        <v>416.54</v>
      </c>
      <c r="H421">
        <f>הגדרות!B5</f>
        <v/>
      </c>
      <c r="I421">
        <f>F421*(1-H421/100)*1.18</f>
        <v/>
      </c>
      <c r="J421">
        <f>הגדרות!C5</f>
        <v/>
      </c>
      <c r="K421">
        <f>הגדרות!D5</f>
        <v/>
      </c>
      <c r="L421">
        <f>I421*(1+J421/100)+K421</f>
        <v/>
      </c>
    </row>
    <row r="422">
      <c r="A422" t="inlineStr">
        <is>
          <t>Hill's Science Plan</t>
        </is>
      </c>
      <c r="B422" t="inlineStr">
        <is>
          <t>לייט כלב - עוף 14 ק"ג</t>
        </is>
      </c>
      <c r="D422" t="inlineStr">
        <is>
          <t>41604359</t>
        </is>
      </c>
      <c r="E422" t="inlineStr">
        <is>
          <t>2026-04</t>
        </is>
      </c>
      <c r="F422" t="n">
        <v>344</v>
      </c>
      <c r="G422" t="n">
        <v>405.92</v>
      </c>
      <c r="H422">
        <f>הגדרות!B5</f>
        <v/>
      </c>
      <c r="I422">
        <f>F422*(1-H422/100)*1.18</f>
        <v/>
      </c>
      <c r="J422">
        <f>הגדרות!C5</f>
        <v/>
      </c>
      <c r="K422">
        <f>הגדרות!D5</f>
        <v/>
      </c>
      <c r="L422">
        <f>I422*(1+J422/100)+K422</f>
        <v/>
      </c>
    </row>
    <row r="423">
      <c r="A423" t="inlineStr">
        <is>
          <t>Hill's Science Plan</t>
        </is>
      </c>
      <c r="B423" t="inlineStr">
        <is>
          <t>לייט כלב גזע גדול - עוף 14 ק"ג</t>
        </is>
      </c>
      <c r="D423" t="inlineStr">
        <is>
          <t>41604372</t>
        </is>
      </c>
      <c r="E423" t="inlineStr">
        <is>
          <t>2026-04</t>
        </is>
      </c>
      <c r="F423" t="n">
        <v>344</v>
      </c>
      <c r="G423" t="n">
        <v>405.92</v>
      </c>
      <c r="H423">
        <f>הגדרות!B5</f>
        <v/>
      </c>
      <c r="I423">
        <f>F423*(1-H423/100)*1.18</f>
        <v/>
      </c>
      <c r="J423">
        <f>הגדרות!C5</f>
        <v/>
      </c>
      <c r="K423">
        <f>הגדרות!D5</f>
        <v/>
      </c>
      <c r="L423">
        <f>I423*(1+J423/100)+K423</f>
        <v/>
      </c>
    </row>
    <row r="424">
      <c r="A424" t="inlineStr">
        <is>
          <t>Hill's Science Plan</t>
        </is>
      </c>
      <c r="B424" t="inlineStr">
        <is>
          <t>סניור כלב Mini &amp; Small - עוף 3 ק"ג</t>
        </is>
      </c>
      <c r="D424" t="inlineStr">
        <is>
          <t>41609532</t>
        </is>
      </c>
      <c r="E424" t="inlineStr">
        <is>
          <t>2026-04</t>
        </is>
      </c>
      <c r="F424" t="n">
        <v>115</v>
      </c>
      <c r="G424" t="n">
        <v>135.7</v>
      </c>
      <c r="H424">
        <f>הגדרות!B5</f>
        <v/>
      </c>
      <c r="I424">
        <f>F424*(1-H424/100)*1.18</f>
        <v/>
      </c>
      <c r="J424">
        <f>הגדרות!C5</f>
        <v/>
      </c>
      <c r="K424">
        <f>הגדרות!D5</f>
        <v/>
      </c>
      <c r="L424">
        <f>I424*(1+J424/100)+K424</f>
        <v/>
      </c>
    </row>
    <row r="425">
      <c r="A425" t="inlineStr">
        <is>
          <t>Hill's Science Plan</t>
        </is>
      </c>
      <c r="B425" t="inlineStr">
        <is>
          <t>סניור כלב Mini &amp; Small - עוף 6 ק"ג</t>
        </is>
      </c>
      <c r="D425" t="inlineStr">
        <is>
          <t>41608127</t>
        </is>
      </c>
      <c r="E425" t="inlineStr">
        <is>
          <t>2026-04</t>
        </is>
      </c>
      <c r="F425" t="n">
        <v>188</v>
      </c>
      <c r="G425" t="n">
        <v>221.84</v>
      </c>
      <c r="H425">
        <f>הגדרות!B5</f>
        <v/>
      </c>
      <c r="I425">
        <f>F425*(1-H425/100)*1.18</f>
        <v/>
      </c>
      <c r="J425">
        <f>הגדרות!C5</f>
        <v/>
      </c>
      <c r="K425">
        <f>הגדרות!D5</f>
        <v/>
      </c>
      <c r="L425">
        <f>I425*(1+J425/100)+K425</f>
        <v/>
      </c>
    </row>
    <row r="426">
      <c r="A426" t="inlineStr">
        <is>
          <t>Hill's Science Plan</t>
        </is>
      </c>
      <c r="B426" t="inlineStr">
        <is>
          <t>סניור כלב - עוף 14 ק"ג</t>
        </is>
      </c>
      <c r="D426" t="inlineStr">
        <is>
          <t>41604378</t>
        </is>
      </c>
      <c r="E426" t="inlineStr">
        <is>
          <t>2026-04</t>
        </is>
      </c>
      <c r="F426" t="n">
        <v>337</v>
      </c>
      <c r="G426" t="n">
        <v>397.66</v>
      </c>
      <c r="H426">
        <f>הגדרות!B5</f>
        <v/>
      </c>
      <c r="I426">
        <f>F426*(1-H426/100)*1.18</f>
        <v/>
      </c>
      <c r="J426">
        <f>הגדרות!C5</f>
        <v/>
      </c>
      <c r="K426">
        <f>הגדרות!D5</f>
        <v/>
      </c>
      <c r="L426">
        <f>I426*(1+J426/100)+K426</f>
        <v/>
      </c>
    </row>
    <row r="427">
      <c r="A427" t="inlineStr">
        <is>
          <t>Hill's Science Plan</t>
        </is>
      </c>
      <c r="B427" t="inlineStr">
        <is>
          <t>סניור כלב - כבש ואורז 14 ק"ג</t>
        </is>
      </c>
      <c r="D427" t="inlineStr">
        <is>
          <t>41604379</t>
        </is>
      </c>
      <c r="E427" t="inlineStr">
        <is>
          <t>2026-04</t>
        </is>
      </c>
      <c r="F427" t="n">
        <v>363</v>
      </c>
      <c r="G427" t="n">
        <v>428.34</v>
      </c>
      <c r="H427">
        <f>הגדרות!B5</f>
        <v/>
      </c>
      <c r="I427">
        <f>F427*(1-H427/100)*1.18</f>
        <v/>
      </c>
      <c r="J427">
        <f>הגדרות!C5</f>
        <v/>
      </c>
      <c r="K427">
        <f>הגדרות!D5</f>
        <v/>
      </c>
      <c r="L427">
        <f>I427*(1+J427/100)+K427</f>
        <v/>
      </c>
    </row>
    <row r="428">
      <c r="A428" t="inlineStr">
        <is>
          <t>Hill's Science Plan</t>
        </is>
      </c>
      <c r="B428" t="inlineStr">
        <is>
          <t>סניור כלב גזע גדול - עוף 14 ק"ג</t>
        </is>
      </c>
      <c r="D428" t="inlineStr">
        <is>
          <t>41604371</t>
        </is>
      </c>
      <c r="E428" t="inlineStr">
        <is>
          <t>2026-04</t>
        </is>
      </c>
      <c r="F428" t="n">
        <v>337</v>
      </c>
      <c r="G428" t="n">
        <v>397.66</v>
      </c>
      <c r="H428">
        <f>הגדרות!B5</f>
        <v/>
      </c>
      <c r="I428">
        <f>F428*(1-H428/100)*1.18</f>
        <v/>
      </c>
      <c r="J428">
        <f>הגדרות!C5</f>
        <v/>
      </c>
      <c r="K428">
        <f>הגדרות!D5</f>
        <v/>
      </c>
      <c r="L428">
        <f>I428*(1+J428/100)+K428</f>
        <v/>
      </c>
    </row>
    <row r="429">
      <c r="A429" t="inlineStr">
        <is>
          <t>Hill's Science Plan</t>
        </is>
      </c>
      <c r="B429" t="inlineStr">
        <is>
          <t>פרפקט ווייט - בוגר כלב Mini &amp; Small 1.5 ק"ג</t>
        </is>
      </c>
      <c r="D429" t="inlineStr">
        <is>
          <t>41604255</t>
        </is>
      </c>
      <c r="E429" t="inlineStr">
        <is>
          <t>2026-04</t>
        </is>
      </c>
      <c r="F429" t="n">
        <v>77</v>
      </c>
      <c r="G429" t="n">
        <v>90.86</v>
      </c>
      <c r="H429">
        <f>הגדרות!B5</f>
        <v/>
      </c>
      <c r="I429">
        <f>F429*(1-H429/100)*1.18</f>
        <v/>
      </c>
      <c r="J429">
        <f>הגדרות!C5</f>
        <v/>
      </c>
      <c r="K429">
        <f>הגדרות!D5</f>
        <v/>
      </c>
      <c r="L429">
        <f>I429*(1+J429/100)+K429</f>
        <v/>
      </c>
    </row>
    <row r="430">
      <c r="A430" t="inlineStr">
        <is>
          <t>Hill's Science Plan</t>
        </is>
      </c>
      <c r="B430" t="inlineStr">
        <is>
          <t>פרפקט ווייט - בוגר כלב בינוני 12 ק"ג</t>
        </is>
      </c>
      <c r="D430" t="inlineStr">
        <is>
          <t>41604297</t>
        </is>
      </c>
      <c r="E430" t="inlineStr">
        <is>
          <t>2026-04</t>
        </is>
      </c>
      <c r="F430" t="n">
        <v>339</v>
      </c>
      <c r="G430" t="n">
        <v>400.02</v>
      </c>
      <c r="H430">
        <f>הגדרות!B5</f>
        <v/>
      </c>
      <c r="I430">
        <f>F430*(1-H430/100)*1.18</f>
        <v/>
      </c>
      <c r="J430">
        <f>הגדרות!C5</f>
        <v/>
      </c>
      <c r="K430">
        <f>הגדרות!D5</f>
        <v/>
      </c>
      <c r="L430">
        <f>I430*(1+J430/100)+K430</f>
        <v/>
      </c>
    </row>
    <row r="431">
      <c r="A431" t="inlineStr">
        <is>
          <t>Hill's Science Plan</t>
        </is>
      </c>
      <c r="B431" t="inlineStr">
        <is>
          <t>פרפקט ווייט - בוגר כלב גזע גדול 12 ק"ג</t>
        </is>
      </c>
      <c r="D431" t="inlineStr">
        <is>
          <t>41604316</t>
        </is>
      </c>
      <c r="E431" t="inlineStr">
        <is>
          <t>2026-04</t>
        </is>
      </c>
      <c r="F431" t="n">
        <v>339</v>
      </c>
      <c r="G431" t="n">
        <v>400.02</v>
      </c>
      <c r="H431">
        <f>הגדרות!B5</f>
        <v/>
      </c>
      <c r="I431">
        <f>F431*(1-H431/100)*1.18</f>
        <v/>
      </c>
      <c r="J431">
        <f>הגדרות!C5</f>
        <v/>
      </c>
      <c r="K431">
        <f>הגדרות!D5</f>
        <v/>
      </c>
      <c r="L431">
        <f>I431*(1+J431/100)+K431</f>
        <v/>
      </c>
    </row>
    <row r="432">
      <c r="A432" t="inlineStr">
        <is>
          <t>Hill's Science Plan</t>
        </is>
      </c>
      <c r="B432" t="inlineStr">
        <is>
          <t>מוביליטי - בוגר כלב גזע בינוני 14 ק"ג</t>
        </is>
      </c>
      <c r="D432" t="inlineStr">
        <is>
          <t>41604381</t>
        </is>
      </c>
      <c r="E432" t="inlineStr">
        <is>
          <t>2026-04</t>
        </is>
      </c>
      <c r="F432" t="n">
        <v>376</v>
      </c>
      <c r="G432" t="n">
        <v>443.68</v>
      </c>
      <c r="H432">
        <f>הגדרות!B5</f>
        <v/>
      </c>
      <c r="I432">
        <f>F432*(1-H432/100)*1.18</f>
        <v/>
      </c>
      <c r="J432">
        <f>הגדרות!C5</f>
        <v/>
      </c>
      <c r="K432">
        <f>הגדרות!D5</f>
        <v/>
      </c>
      <c r="L432">
        <f>I432*(1+J432/100)+K432</f>
        <v/>
      </c>
    </row>
    <row r="433">
      <c r="A433" t="inlineStr">
        <is>
          <t>Hill's Science Plan</t>
        </is>
      </c>
      <c r="B433" t="inlineStr">
        <is>
          <t>מוביליטי - בוגר כלב גזע גדול 14 ק"ג</t>
        </is>
      </c>
      <c r="D433" t="inlineStr">
        <is>
          <t>41604370</t>
        </is>
      </c>
      <c r="E433" t="inlineStr">
        <is>
          <t>2026-04</t>
        </is>
      </c>
      <c r="F433" t="n">
        <v>376</v>
      </c>
      <c r="G433" t="n">
        <v>443.68</v>
      </c>
      <c r="H433">
        <f>הגדרות!B5</f>
        <v/>
      </c>
      <c r="I433">
        <f>F433*(1-H433/100)*1.18</f>
        <v/>
      </c>
      <c r="J433">
        <f>הגדרות!C5</f>
        <v/>
      </c>
      <c r="K433">
        <f>הגדרות!D5</f>
        <v/>
      </c>
      <c r="L433">
        <f>I433*(1+J433/100)+K433</f>
        <v/>
      </c>
    </row>
    <row r="434">
      <c r="A434" t="inlineStr">
        <is>
          <t>Hill's Science Plan</t>
        </is>
      </c>
      <c r="B434" t="inlineStr">
        <is>
          <t>עור רגיש, קיבה רגישה - Mini &amp; Small 1.5 ק"ג</t>
        </is>
      </c>
      <c r="D434" t="inlineStr">
        <is>
          <t>41604247</t>
        </is>
      </c>
      <c r="E434" t="inlineStr">
        <is>
          <t>2026-04</t>
        </is>
      </c>
      <c r="F434" t="n">
        <v>80</v>
      </c>
      <c r="G434" t="n">
        <v>94.40000000000001</v>
      </c>
      <c r="H434">
        <f>הגדרות!B5</f>
        <v/>
      </c>
      <c r="I434">
        <f>F434*(1-H434/100)*1.18</f>
        <v/>
      </c>
      <c r="J434">
        <f>הגדרות!C5</f>
        <v/>
      </c>
      <c r="K434">
        <f>הגדרות!D5</f>
        <v/>
      </c>
      <c r="L434">
        <f>I434*(1+J434/100)+K434</f>
        <v/>
      </c>
    </row>
    <row r="435">
      <c r="A435" t="inlineStr">
        <is>
          <t>Hill's Science Plan</t>
        </is>
      </c>
      <c r="B435" t="inlineStr">
        <is>
          <t>עור רגיש, קיבה רגישה 14 ק"ג</t>
        </is>
      </c>
      <c r="D435" t="inlineStr">
        <is>
          <t>41604385</t>
        </is>
      </c>
      <c r="E435" t="inlineStr">
        <is>
          <t>2026-04</t>
        </is>
      </c>
      <c r="F435" t="n">
        <v>376</v>
      </c>
      <c r="G435" t="n">
        <v>443.68</v>
      </c>
      <c r="H435">
        <f>הגדרות!B5</f>
        <v/>
      </c>
      <c r="I435">
        <f>F435*(1-H435/100)*1.18</f>
        <v/>
      </c>
      <c r="J435">
        <f>הגדרות!C5</f>
        <v/>
      </c>
      <c r="K435">
        <f>הגדרות!D5</f>
        <v/>
      </c>
      <c r="L435">
        <f>I435*(1+J435/100)+K435</f>
        <v/>
      </c>
    </row>
    <row r="436">
      <c r="A436" t="inlineStr">
        <is>
          <t>Hill's Science Plan</t>
        </is>
      </c>
      <c r="B436" t="inlineStr">
        <is>
          <t>פרפקט דיג'סט - בוגר כלב mini &amp; small 3 ק"ג</t>
        </is>
      </c>
      <c r="D436" t="inlineStr">
        <is>
          <t>41609533</t>
        </is>
      </c>
      <c r="E436" t="inlineStr">
        <is>
          <t>2026-04</t>
        </is>
      </c>
      <c r="F436" t="n">
        <v>130</v>
      </c>
      <c r="G436" t="n">
        <v>153.4</v>
      </c>
      <c r="H436">
        <f>הגדרות!B5</f>
        <v/>
      </c>
      <c r="I436">
        <f>F436*(1-H436/100)*1.18</f>
        <v/>
      </c>
      <c r="J436">
        <f>הגדרות!C5</f>
        <v/>
      </c>
      <c r="K436">
        <f>הגדרות!D5</f>
        <v/>
      </c>
      <c r="L436">
        <f>I436*(1+J436/100)+K436</f>
        <v/>
      </c>
    </row>
    <row r="437">
      <c r="A437" t="inlineStr">
        <is>
          <t>Hill's Science Plan</t>
        </is>
      </c>
      <c r="B437" t="inlineStr">
        <is>
          <t>פרפקט דיג'סט - בוגר כלב 14 ק"ג</t>
        </is>
      </c>
      <c r="D437" t="inlineStr">
        <is>
          <t>41605970</t>
        </is>
      </c>
      <c r="E437" t="inlineStr">
        <is>
          <t>2026-04</t>
        </is>
      </c>
      <c r="F437" t="n">
        <v>376</v>
      </c>
      <c r="G437" t="n">
        <v>443.68</v>
      </c>
      <c r="H437">
        <f>הגדרות!B5</f>
        <v/>
      </c>
      <c r="I437">
        <f>F437*(1-H437/100)*1.18</f>
        <v/>
      </c>
      <c r="J437">
        <f>הגדרות!C5</f>
        <v/>
      </c>
      <c r="K437">
        <f>הגדרות!D5</f>
        <v/>
      </c>
      <c r="L437">
        <f>I437*(1+J437/100)+K437</f>
        <v/>
      </c>
    </row>
    <row r="438">
      <c r="A438" t="inlineStr">
        <is>
          <t>Hill's Science Plan</t>
        </is>
      </c>
      <c r="B438" t="inlineStr">
        <is>
          <t>פרפקט דיג'סט - בוגר כלב גזע גדול 14 ק"ג</t>
        </is>
      </c>
      <c r="D438" t="inlineStr">
        <is>
          <t>41605978</t>
        </is>
      </c>
      <c r="E438" t="inlineStr">
        <is>
          <t>2026-04</t>
        </is>
      </c>
      <c r="F438" t="n">
        <v>376</v>
      </c>
      <c r="G438" t="n">
        <v>443.68</v>
      </c>
      <c r="H438">
        <f>הגדרות!B5</f>
        <v/>
      </c>
      <c r="I438">
        <f>F438*(1-H438/100)*1.18</f>
        <v/>
      </c>
      <c r="J438">
        <f>הגדרות!C5</f>
        <v/>
      </c>
      <c r="K438">
        <f>הגדרות!D5</f>
        <v/>
      </c>
      <c r="L438">
        <f>I438*(1+J438/100)+K438</f>
        <v/>
      </c>
    </row>
    <row r="439">
      <c r="A439" t="inlineStr">
        <is>
          <t>Hill's Science Plan</t>
        </is>
      </c>
      <c r="B439" t="inlineStr">
        <is>
          <t>היפואלרגניק עם סלמון ללא דגנים - בוגר כלב מגזע קטן 1.5 ק"ג</t>
        </is>
      </c>
      <c r="D439" t="inlineStr">
        <is>
          <t>41607840</t>
        </is>
      </c>
      <c r="E439" t="inlineStr">
        <is>
          <t>2026-04</t>
        </is>
      </c>
      <c r="F439" t="n">
        <v>94</v>
      </c>
      <c r="G439" t="n">
        <v>110.92</v>
      </c>
      <c r="H439">
        <f>הגדרות!B5</f>
        <v/>
      </c>
      <c r="I439">
        <f>F439*(1-H439/100)*1.18</f>
        <v/>
      </c>
      <c r="J439">
        <f>הגדרות!C5</f>
        <v/>
      </c>
      <c r="K439">
        <f>הגדרות!D5</f>
        <v/>
      </c>
      <c r="L439">
        <f>I439*(1+J439/100)+K439</f>
        <v/>
      </c>
    </row>
    <row r="440">
      <c r="A440" t="inlineStr">
        <is>
          <t>Hill's Science Plan</t>
        </is>
      </c>
      <c r="B440" t="inlineStr">
        <is>
          <t>היפואלרגניק עם סלמון ללא דגנים - בוגר כלב מגזע קטן 6 ק"ג</t>
        </is>
      </c>
      <c r="D440" t="inlineStr">
        <is>
          <t>41607841</t>
        </is>
      </c>
      <c r="E440" t="inlineStr">
        <is>
          <t>2026-04</t>
        </is>
      </c>
      <c r="F440" t="n">
        <v>275</v>
      </c>
      <c r="G440" t="n">
        <v>324.5</v>
      </c>
      <c r="H440">
        <f>הגדרות!B5</f>
        <v/>
      </c>
      <c r="I440">
        <f>F440*(1-H440/100)*1.18</f>
        <v/>
      </c>
      <c r="J440">
        <f>הגדרות!C5</f>
        <v/>
      </c>
      <c r="K440">
        <f>הגדרות!D5</f>
        <v/>
      </c>
      <c r="L440">
        <f>I440*(1+J440/100)+K440</f>
        <v/>
      </c>
    </row>
    <row r="441">
      <c r="A441" t="inlineStr">
        <is>
          <t>Hill's Science Plan</t>
        </is>
      </c>
      <c r="B441" t="inlineStr">
        <is>
          <t>גור כלב עוף 370 ג'</t>
        </is>
      </c>
      <c r="D441" t="inlineStr">
        <is>
          <t>41607100</t>
        </is>
      </c>
      <c r="E441" t="inlineStr">
        <is>
          <t>2026-04</t>
        </is>
      </c>
      <c r="F441" t="n">
        <v>10.8</v>
      </c>
      <c r="G441" t="n">
        <v>12.74</v>
      </c>
      <c r="H441">
        <f>הגדרות!B5</f>
        <v/>
      </c>
      <c r="I441">
        <f>F441*(1-H441/100)*1.18</f>
        <v/>
      </c>
      <c r="J441">
        <f>הגדרות!C5</f>
        <v/>
      </c>
      <c r="K441">
        <f>הגדרות!D5</f>
        <v/>
      </c>
      <c r="L441">
        <f>I441*(1+J441/100)+K441</f>
        <v/>
      </c>
    </row>
    <row r="442">
      <c r="A442" t="inlineStr">
        <is>
          <t>Hill's Science Plan</t>
        </is>
      </c>
      <c r="B442" t="inlineStr">
        <is>
          <t>גור כלב בקר 370 ג'</t>
        </is>
      </c>
      <c r="D442" t="inlineStr">
        <is>
          <t>41608602</t>
        </is>
      </c>
      <c r="E442" t="inlineStr">
        <is>
          <t>2026-04</t>
        </is>
      </c>
      <c r="F442" t="n">
        <v>10.8</v>
      </c>
      <c r="G442" t="n">
        <v>12.74</v>
      </c>
      <c r="H442">
        <f>הגדרות!B5</f>
        <v/>
      </c>
      <c r="I442">
        <f>F442*(1-H442/100)*1.18</f>
        <v/>
      </c>
      <c r="J442">
        <f>הגדרות!C5</f>
        <v/>
      </c>
      <c r="K442">
        <f>הגדרות!D5</f>
        <v/>
      </c>
      <c r="L442">
        <f>I442*(1+J442/100)+K442</f>
        <v/>
      </c>
    </row>
    <row r="443">
      <c r="A443" t="inlineStr">
        <is>
          <t>Hill's Science Plan</t>
        </is>
      </c>
      <c r="B443" t="inlineStr">
        <is>
          <t>מוס גורים ואמהות 200 ג'</t>
        </is>
      </c>
      <c r="D443" t="inlineStr">
        <is>
          <t>41608333</t>
        </is>
      </c>
      <c r="E443" t="inlineStr">
        <is>
          <t>2026-04</t>
        </is>
      </c>
      <c r="F443" t="n">
        <v>8.699999999999999</v>
      </c>
      <c r="G443" t="n">
        <v>10.27</v>
      </c>
      <c r="H443">
        <f>הגדרות!B5</f>
        <v/>
      </c>
      <c r="I443">
        <f>F443*(1-H443/100)*1.18</f>
        <v/>
      </c>
      <c r="J443">
        <f>הגדרות!C5</f>
        <v/>
      </c>
      <c r="K443">
        <f>הגדרות!D5</f>
        <v/>
      </c>
      <c r="L443">
        <f>I443*(1+J443/100)+K443</f>
        <v/>
      </c>
    </row>
    <row r="444">
      <c r="A444" t="inlineStr">
        <is>
          <t>Hill's Science Plan</t>
        </is>
      </c>
      <c r="B444" t="inlineStr">
        <is>
          <t>בוגר כלב מוס Mini &amp; Small עוף 200 ג'</t>
        </is>
      </c>
      <c r="D444" t="inlineStr">
        <is>
          <t>41608329</t>
        </is>
      </c>
      <c r="E444" t="inlineStr">
        <is>
          <t>2026-04</t>
        </is>
      </c>
      <c r="F444" t="n">
        <v>8.699999999999999</v>
      </c>
      <c r="G444" t="n">
        <v>10.27</v>
      </c>
      <c r="H444">
        <f>הגדרות!B5</f>
        <v/>
      </c>
      <c r="I444">
        <f>F444*(1-H444/100)*1.18</f>
        <v/>
      </c>
      <c r="J444">
        <f>הגדרות!C5</f>
        <v/>
      </c>
      <c r="K444">
        <f>הגדרות!D5</f>
        <v/>
      </c>
      <c r="L444">
        <f>I444*(1+J444/100)+K444</f>
        <v/>
      </c>
    </row>
    <row r="445">
      <c r="A445" t="inlineStr">
        <is>
          <t>Hill's Science Plan</t>
        </is>
      </c>
      <c r="B445" t="inlineStr">
        <is>
          <t>בוגר כלב עוף 370 ג'</t>
        </is>
      </c>
      <c r="D445" t="inlineStr">
        <is>
          <t>41607098</t>
        </is>
      </c>
      <c r="E445" t="inlineStr">
        <is>
          <t>2026-04</t>
        </is>
      </c>
      <c r="F445" t="n">
        <v>10.8</v>
      </c>
      <c r="G445" t="n">
        <v>12.74</v>
      </c>
      <c r="H445">
        <f>הגדרות!B5</f>
        <v/>
      </c>
      <c r="I445">
        <f>F445*(1-H445/100)*1.18</f>
        <v/>
      </c>
      <c r="J445">
        <f>הגדרות!C5</f>
        <v/>
      </c>
      <c r="K445">
        <f>הגדרות!D5</f>
        <v/>
      </c>
      <c r="L445">
        <f>I445*(1+J445/100)+K445</f>
        <v/>
      </c>
    </row>
    <row r="446">
      <c r="A446" t="inlineStr">
        <is>
          <t>Hill's Science Plan</t>
        </is>
      </c>
      <c r="B446" t="inlineStr">
        <is>
          <t>בוגר כלב הודו 370 ג'</t>
        </is>
      </c>
      <c r="D446" t="inlineStr">
        <is>
          <t>41607097</t>
        </is>
      </c>
      <c r="E446" t="inlineStr">
        <is>
          <t>2026-04</t>
        </is>
      </c>
      <c r="F446" t="n">
        <v>10.8</v>
      </c>
      <c r="G446" t="n">
        <v>12.74</v>
      </c>
      <c r="H446">
        <f>הגדרות!B5</f>
        <v/>
      </c>
      <c r="I446">
        <f>F446*(1-H446/100)*1.18</f>
        <v/>
      </c>
      <c r="J446">
        <f>הגדרות!C5</f>
        <v/>
      </c>
      <c r="K446">
        <f>הגדרות!D5</f>
        <v/>
      </c>
      <c r="L446">
        <f>I446*(1+J446/100)+K446</f>
        <v/>
      </c>
    </row>
    <row r="447">
      <c r="A447" t="inlineStr">
        <is>
          <t>Hill's Science Plan</t>
        </is>
      </c>
      <c r="B447" t="inlineStr">
        <is>
          <t>בוגר כלב בקר 370 ג'</t>
        </is>
      </c>
      <c r="D447" t="inlineStr">
        <is>
          <t>41607096</t>
        </is>
      </c>
      <c r="E447" t="inlineStr">
        <is>
          <t>2026-04</t>
        </is>
      </c>
      <c r="F447" t="n">
        <v>10.8</v>
      </c>
      <c r="G447" t="n">
        <v>12.74</v>
      </c>
      <c r="H447">
        <f>הגדרות!B5</f>
        <v/>
      </c>
      <c r="I447">
        <f>F447*(1-H447/100)*1.18</f>
        <v/>
      </c>
      <c r="J447">
        <f>הגדרות!C5</f>
        <v/>
      </c>
      <c r="K447">
        <f>הגדרות!D5</f>
        <v/>
      </c>
      <c r="L447">
        <f>I447*(1+J447/100)+K447</f>
        <v/>
      </c>
    </row>
    <row r="448">
      <c r="A448" t="inlineStr">
        <is>
          <t>Hill's Science Plan</t>
        </is>
      </c>
      <c r="B448" t="inlineStr">
        <is>
          <t>בוגר כלב נזיד עוף וירקות 363 ג'</t>
        </is>
      </c>
      <c r="D448" t="inlineStr">
        <is>
          <t>41610015</t>
        </is>
      </c>
      <c r="E448" t="inlineStr">
        <is>
          <t>2026-04</t>
        </is>
      </c>
      <c r="F448" t="n">
        <v>11</v>
      </c>
      <c r="G448" t="n">
        <v>12.98</v>
      </c>
      <c r="H448">
        <f>הגדרות!B5</f>
        <v/>
      </c>
      <c r="I448">
        <f>F448*(1-H448/100)*1.18</f>
        <v/>
      </c>
      <c r="J448">
        <f>הגדרות!C5</f>
        <v/>
      </c>
      <c r="K448">
        <f>הגדרות!D5</f>
        <v/>
      </c>
      <c r="L448">
        <f>I448*(1+J448/100)+K448</f>
        <v/>
      </c>
    </row>
    <row r="449">
      <c r="A449" t="inlineStr">
        <is>
          <t>Hill's Science Plan</t>
        </is>
      </c>
      <c r="B449" t="inlineStr">
        <is>
          <t>בוגר כלב נזיד בקר וירקות 363 ג'</t>
        </is>
      </c>
      <c r="D449" t="inlineStr">
        <is>
          <t>41610016</t>
        </is>
      </c>
      <c r="E449" t="inlineStr">
        <is>
          <t>2026-04</t>
        </is>
      </c>
      <c r="F449" t="n">
        <v>11</v>
      </c>
      <c r="G449" t="n">
        <v>12.98</v>
      </c>
      <c r="H449">
        <f>הגדרות!B5</f>
        <v/>
      </c>
      <c r="I449">
        <f>F449*(1-H449/100)*1.18</f>
        <v/>
      </c>
      <c r="J449">
        <f>הגדרות!C5</f>
        <v/>
      </c>
      <c r="K449">
        <f>הגדרות!D5</f>
        <v/>
      </c>
      <c r="L449">
        <f>I449*(1+J449/100)+K449</f>
        <v/>
      </c>
    </row>
    <row r="450">
      <c r="A450" t="inlineStr">
        <is>
          <t>Hill's Science Plan</t>
        </is>
      </c>
      <c r="B450" t="inlineStr">
        <is>
          <t>בוגר כלב היפואלרגני סלמון 363 ג'</t>
        </is>
      </c>
      <c r="D450" t="inlineStr">
        <is>
          <t>41607857</t>
        </is>
      </c>
      <c r="E450" t="inlineStr">
        <is>
          <t>2026-04</t>
        </is>
      </c>
      <c r="F450" t="n">
        <v>12.5</v>
      </c>
      <c r="G450" t="n">
        <v>14.75</v>
      </c>
      <c r="H450">
        <f>הגדרות!B5</f>
        <v/>
      </c>
      <c r="I450">
        <f>F450*(1-H450/100)*1.18</f>
        <v/>
      </c>
      <c r="J450">
        <f>הגדרות!C5</f>
        <v/>
      </c>
      <c r="K450">
        <f>הגדרות!D5</f>
        <v/>
      </c>
      <c r="L450">
        <f>I450*(1+J450/100)+K450</f>
        <v/>
      </c>
    </row>
    <row r="451">
      <c r="A451" t="inlineStr">
        <is>
          <t>Hill's Science Plan</t>
        </is>
      </c>
      <c r="B451" t="inlineStr">
        <is>
          <t>סניור כלב עוף 370 ג'</t>
        </is>
      </c>
      <c r="D451" t="inlineStr">
        <is>
          <t>41607095</t>
        </is>
      </c>
      <c r="E451" t="inlineStr">
        <is>
          <t>2026-04</t>
        </is>
      </c>
      <c r="F451" t="n">
        <v>10.8</v>
      </c>
      <c r="G451" t="n">
        <v>12.74</v>
      </c>
      <c r="H451">
        <f>הגדרות!B5</f>
        <v/>
      </c>
      <c r="I451">
        <f>F451*(1-H451/100)*1.18</f>
        <v/>
      </c>
      <c r="J451">
        <f>הגדרות!C5</f>
        <v/>
      </c>
      <c r="K451">
        <f>הגדרות!D5</f>
        <v/>
      </c>
      <c r="L451">
        <f>I451*(1+J451/100)+K451</f>
        <v/>
      </c>
    </row>
    <row r="452">
      <c r="A452" t="inlineStr">
        <is>
          <t>Hill's Science Plan</t>
        </is>
      </c>
      <c r="B452" t="inlineStr">
        <is>
          <t>גור חתול - עוף 1.5 ק"ג</t>
        </is>
      </c>
      <c r="C452" t="inlineStr">
        <is>
          <t>גורים</t>
        </is>
      </c>
      <c r="D452" t="inlineStr">
        <is>
          <t>41604048</t>
        </is>
      </c>
      <c r="E452" t="inlineStr">
        <is>
          <t>2026-04</t>
        </is>
      </c>
      <c r="F452" t="n">
        <v>84</v>
      </c>
      <c r="G452" t="n">
        <v>99.12</v>
      </c>
      <c r="H452">
        <f>הגדרות!B5</f>
        <v/>
      </c>
      <c r="I452">
        <f>F452*(1-H452/100)*1.18</f>
        <v/>
      </c>
      <c r="J452">
        <f>הגדרות!C5</f>
        <v/>
      </c>
      <c r="K452">
        <f>הגדרות!D5</f>
        <v/>
      </c>
      <c r="L452">
        <f>I452*(1+J452/100)+K452</f>
        <v/>
      </c>
    </row>
    <row r="453">
      <c r="A453" t="inlineStr">
        <is>
          <t>Hill's Science Plan</t>
        </is>
      </c>
      <c r="B453" t="inlineStr">
        <is>
          <t>גור חתול - עוף 3 ק"ג</t>
        </is>
      </c>
      <c r="C453" t="inlineStr">
        <is>
          <t>גורים</t>
        </is>
      </c>
      <c r="D453" t="inlineStr">
        <is>
          <t>41604049</t>
        </is>
      </c>
      <c r="E453" t="inlineStr">
        <is>
          <t>2026-04</t>
        </is>
      </c>
      <c r="F453" t="n">
        <v>138</v>
      </c>
      <c r="G453" t="n">
        <v>162.84</v>
      </c>
      <c r="H453">
        <f>הגדרות!B5</f>
        <v/>
      </c>
      <c r="I453">
        <f>F453*(1-H453/100)*1.18</f>
        <v/>
      </c>
      <c r="J453">
        <f>הגדרות!C5</f>
        <v/>
      </c>
      <c r="K453">
        <f>הגדרות!D5</f>
        <v/>
      </c>
      <c r="L453">
        <f>I453*(1+J453/100)+K453</f>
        <v/>
      </c>
    </row>
    <row r="454">
      <c r="A454" t="inlineStr">
        <is>
          <t>Hill's Science Plan</t>
        </is>
      </c>
      <c r="B454" t="inlineStr">
        <is>
          <t>גור חתול - עוף 7 ק"ג</t>
        </is>
      </c>
      <c r="D454" t="inlineStr">
        <is>
          <t>41604050</t>
        </is>
      </c>
      <c r="E454" t="inlineStr">
        <is>
          <t>2026-04</t>
        </is>
      </c>
      <c r="F454" t="n">
        <v>277</v>
      </c>
      <c r="G454" t="n">
        <v>326.86</v>
      </c>
      <c r="H454">
        <f>הגדרות!B5</f>
        <v/>
      </c>
      <c r="I454">
        <f>F454*(1-H454/100)*1.18</f>
        <v/>
      </c>
      <c r="J454">
        <f>הגדרות!C5</f>
        <v/>
      </c>
      <c r="K454">
        <f>הגדרות!D5</f>
        <v/>
      </c>
      <c r="L454">
        <f>I454*(1+J454/100)+K454</f>
        <v/>
      </c>
    </row>
    <row r="455">
      <c r="A455" t="inlineStr">
        <is>
          <t>Hill's Science Plan</t>
        </is>
      </c>
      <c r="B455" t="inlineStr">
        <is>
          <t>גור חתול - סלמון 1.5 ק"ג</t>
        </is>
      </c>
      <c r="D455" t="inlineStr">
        <is>
          <t>41609371</t>
        </is>
      </c>
      <c r="E455" t="inlineStr">
        <is>
          <t>2026-04</t>
        </is>
      </c>
      <c r="F455" t="n">
        <v>84</v>
      </c>
      <c r="G455" t="n">
        <v>99.12</v>
      </c>
      <c r="H455">
        <f>הגדרות!B5</f>
        <v/>
      </c>
      <c r="I455">
        <f>F455*(1-H455/100)*1.18</f>
        <v/>
      </c>
      <c r="J455">
        <f>הגדרות!C5</f>
        <v/>
      </c>
      <c r="K455">
        <f>הגדרות!D5</f>
        <v/>
      </c>
      <c r="L455">
        <f>I455*(1+J455/100)+K455</f>
        <v/>
      </c>
    </row>
    <row r="456">
      <c r="A456" t="inlineStr">
        <is>
          <t>Hill's Science Plan</t>
        </is>
      </c>
      <c r="B456" t="inlineStr">
        <is>
          <t>גור חתול - סלמון 7 ק"ג</t>
        </is>
      </c>
      <c r="D456" t="inlineStr">
        <is>
          <t>41609370</t>
        </is>
      </c>
      <c r="E456" t="inlineStr">
        <is>
          <t>2026-04</t>
        </is>
      </c>
      <c r="F456" t="n">
        <v>277</v>
      </c>
      <c r="G456" t="n">
        <v>326.86</v>
      </c>
      <c r="H456">
        <f>הגדרות!B5</f>
        <v/>
      </c>
      <c r="I456">
        <f>F456*(1-H456/100)*1.18</f>
        <v/>
      </c>
      <c r="J456">
        <f>הגדרות!C5</f>
        <v/>
      </c>
      <c r="K456">
        <f>הגדרות!D5</f>
        <v/>
      </c>
      <c r="L456">
        <f>I456*(1+J456/100)+K456</f>
        <v/>
      </c>
    </row>
    <row r="457">
      <c r="A457" t="inlineStr">
        <is>
          <t>Hill's Science Plan</t>
        </is>
      </c>
      <c r="B457" t="inlineStr">
        <is>
          <t>גור חתול - סלמון 1.5 ק"ג</t>
        </is>
      </c>
      <c r="D457" t="inlineStr">
        <is>
          <t>41604057</t>
        </is>
      </c>
      <c r="E457" t="inlineStr">
        <is>
          <t>2026-04</t>
        </is>
      </c>
      <c r="F457" t="n">
        <v>80</v>
      </c>
      <c r="G457" t="n">
        <v>94.40000000000001</v>
      </c>
      <c r="H457">
        <f>הגדרות!B5</f>
        <v/>
      </c>
      <c r="I457">
        <f>F457*(1-H457/100)*1.18</f>
        <v/>
      </c>
      <c r="J457">
        <f>הגדרות!C5</f>
        <v/>
      </c>
      <c r="K457">
        <f>הגדרות!D5</f>
        <v/>
      </c>
      <c r="L457">
        <f>I457*(1+J457/100)+K457</f>
        <v/>
      </c>
    </row>
    <row r="458">
      <c r="A458" t="inlineStr">
        <is>
          <t>Hill's Science Plan</t>
        </is>
      </c>
      <c r="B458" t="inlineStr">
        <is>
          <t>בוגר חתול - עוף 3 ק"ג</t>
        </is>
      </c>
      <c r="D458" t="inlineStr">
        <is>
          <t>41604058</t>
        </is>
      </c>
      <c r="E458" t="inlineStr">
        <is>
          <t>2026-04</t>
        </is>
      </c>
      <c r="F458" t="n">
        <v>131</v>
      </c>
      <c r="G458" t="n">
        <v>154.58</v>
      </c>
      <c r="H458">
        <f>הגדרות!B5</f>
        <v/>
      </c>
      <c r="I458">
        <f>F458*(1-H458/100)*1.18</f>
        <v/>
      </c>
      <c r="J458">
        <f>הגדרות!C5</f>
        <v/>
      </c>
      <c r="K458">
        <f>הגדרות!D5</f>
        <v/>
      </c>
      <c r="L458">
        <f>I458*(1+J458/100)+K458</f>
        <v/>
      </c>
    </row>
    <row r="459">
      <c r="A459" t="inlineStr">
        <is>
          <t>Hill's Science Plan</t>
        </is>
      </c>
      <c r="B459" t="inlineStr">
        <is>
          <t>בוגר חתול - עוף 10 ק"ג</t>
        </is>
      </c>
      <c r="D459" t="inlineStr">
        <is>
          <t>41604174</t>
        </is>
      </c>
      <c r="E459" t="inlineStr">
        <is>
          <t>2026-04</t>
        </is>
      </c>
      <c r="F459" t="n">
        <v>334</v>
      </c>
      <c r="G459" t="n">
        <v>394.12</v>
      </c>
      <c r="H459">
        <f>הגדרות!B5</f>
        <v/>
      </c>
      <c r="I459">
        <f>F459*(1-H459/100)*1.18</f>
        <v/>
      </c>
      <c r="J459">
        <f>הגדרות!C5</f>
        <v/>
      </c>
      <c r="K459">
        <f>הגדרות!D5</f>
        <v/>
      </c>
      <c r="L459">
        <f>I459*(1+J459/100)+K459</f>
        <v/>
      </c>
    </row>
    <row r="460">
      <c r="A460" t="inlineStr">
        <is>
          <t>Hill's Science Plan</t>
        </is>
      </c>
      <c r="B460" t="inlineStr">
        <is>
          <t>בוגר חתול - עוף 15 ק"ג</t>
        </is>
      </c>
      <c r="D460" t="inlineStr">
        <is>
          <t>41604063</t>
        </is>
      </c>
      <c r="E460" t="inlineStr">
        <is>
          <t>2026-04</t>
        </is>
      </c>
      <c r="F460" t="n">
        <v>395</v>
      </c>
      <c r="G460" t="n">
        <v>466.1</v>
      </c>
      <c r="H460">
        <f>הגדרות!B5</f>
        <v/>
      </c>
      <c r="I460">
        <f>F460*(1-H460/100)*1.18</f>
        <v/>
      </c>
      <c r="J460">
        <f>הגדרות!C5</f>
        <v/>
      </c>
      <c r="K460">
        <f>הגדרות!D5</f>
        <v/>
      </c>
      <c r="L460">
        <f>I460*(1+J460/100)+K460</f>
        <v/>
      </c>
    </row>
    <row r="461">
      <c r="A461" t="inlineStr">
        <is>
          <t>Hill's Science Plan</t>
        </is>
      </c>
      <c r="B461" t="inlineStr">
        <is>
          <t>בוגר חתול - סלמון 3 ק"ג</t>
        </is>
      </c>
      <c r="D461" t="inlineStr">
        <is>
          <t>41609367</t>
        </is>
      </c>
      <c r="E461" t="inlineStr">
        <is>
          <t>2026-04</t>
        </is>
      </c>
      <c r="F461" t="n">
        <v>131</v>
      </c>
      <c r="G461" t="n">
        <v>154.58</v>
      </c>
      <c r="H461">
        <f>הגדרות!B5</f>
        <v/>
      </c>
      <c r="I461">
        <f>F461*(1-H461/100)*1.18</f>
        <v/>
      </c>
      <c r="J461">
        <f>הגדרות!C5</f>
        <v/>
      </c>
      <c r="K461">
        <f>הגדרות!D5</f>
        <v/>
      </c>
      <c r="L461">
        <f>I461*(1+J461/100)+K461</f>
        <v/>
      </c>
    </row>
    <row r="462">
      <c r="A462" t="inlineStr">
        <is>
          <t>Hill's Science Plan</t>
        </is>
      </c>
      <c r="B462" t="inlineStr">
        <is>
          <t>בוגר חתול - סלמון 10 ק"ג</t>
        </is>
      </c>
      <c r="D462" t="inlineStr">
        <is>
          <t>41609365</t>
        </is>
      </c>
      <c r="E462" t="inlineStr">
        <is>
          <t>2026-04</t>
        </is>
      </c>
      <c r="F462" t="n">
        <v>334</v>
      </c>
      <c r="G462" t="n">
        <v>394.12</v>
      </c>
      <c r="H462">
        <f>הגדרות!B5</f>
        <v/>
      </c>
      <c r="I462">
        <f>F462*(1-H462/100)*1.18</f>
        <v/>
      </c>
      <c r="J462">
        <f>הגדרות!C5</f>
        <v/>
      </c>
      <c r="K462">
        <f>הגדרות!D5</f>
        <v/>
      </c>
      <c r="L462">
        <f>I462*(1+J462/100)+K462</f>
        <v/>
      </c>
    </row>
    <row r="463">
      <c r="A463" t="inlineStr">
        <is>
          <t>Hill's Science Plan</t>
        </is>
      </c>
      <c r="B463" t="inlineStr">
        <is>
          <t>בוגר Sterilised - עוף 3 ק"ג</t>
        </is>
      </c>
      <c r="D463" t="inlineStr">
        <is>
          <t>41607272</t>
        </is>
      </c>
      <c r="E463" t="inlineStr">
        <is>
          <t>2026-04</t>
        </is>
      </c>
      <c r="F463" t="n">
        <v>154</v>
      </c>
      <c r="G463" t="n">
        <v>181.72</v>
      </c>
      <c r="H463">
        <f>הגדרות!B5</f>
        <v/>
      </c>
      <c r="I463">
        <f>F463*(1-H463/100)*1.18</f>
        <v/>
      </c>
      <c r="J463">
        <f>הגדרות!C5</f>
        <v/>
      </c>
      <c r="K463">
        <f>הגדרות!D5</f>
        <v/>
      </c>
      <c r="L463">
        <f>I463*(1+J463/100)+K463</f>
        <v/>
      </c>
    </row>
    <row r="464">
      <c r="A464" t="inlineStr">
        <is>
          <t>Hill's Science Plan</t>
        </is>
      </c>
      <c r="B464" t="inlineStr">
        <is>
          <t>בוגר Sterilised - עוף 10 ק"ג</t>
        </is>
      </c>
      <c r="D464" t="inlineStr">
        <is>
          <t>41607274</t>
        </is>
      </c>
      <c r="E464" t="inlineStr">
        <is>
          <t>2026-04</t>
        </is>
      </c>
      <c r="F464" t="n">
        <v>365</v>
      </c>
      <c r="G464" t="n">
        <v>430.7</v>
      </c>
      <c r="H464">
        <f>הגדרות!B5</f>
        <v/>
      </c>
      <c r="I464">
        <f>F464*(1-H464/100)*1.18</f>
        <v/>
      </c>
      <c r="J464">
        <f>הגדרות!C5</f>
        <v/>
      </c>
      <c r="K464">
        <f>הגדרות!D5</f>
        <v/>
      </c>
      <c r="L464">
        <f>I464*(1+J464/100)+K464</f>
        <v/>
      </c>
    </row>
    <row r="465">
      <c r="A465" t="inlineStr">
        <is>
          <t>Hill's Science Plan</t>
        </is>
      </c>
      <c r="B465" t="inlineStr">
        <is>
          <t>בוגר Sterilised - ברווז 3 ק"ג</t>
        </is>
      </c>
      <c r="D465" t="inlineStr">
        <is>
          <t>41607278</t>
        </is>
      </c>
      <c r="E465" t="inlineStr">
        <is>
          <t>2026-04</t>
        </is>
      </c>
      <c r="F465" t="n">
        <v>154</v>
      </c>
      <c r="G465" t="n">
        <v>181.72</v>
      </c>
      <c r="H465">
        <f>הגדרות!B5</f>
        <v/>
      </c>
      <c r="I465">
        <f>F465*(1-H465/100)*1.18</f>
        <v/>
      </c>
      <c r="J465">
        <f>הגדרות!C5</f>
        <v/>
      </c>
      <c r="K465">
        <f>הגדרות!D5</f>
        <v/>
      </c>
      <c r="L465">
        <f>I465*(1+J465/100)+K465</f>
        <v/>
      </c>
    </row>
    <row r="466">
      <c r="A466" t="inlineStr">
        <is>
          <t>Hill's Science Plan</t>
        </is>
      </c>
      <c r="B466" t="inlineStr">
        <is>
          <t>בוגר Sterilised - סלמון 3 ק"ג</t>
        </is>
      </c>
      <c r="D466" t="inlineStr">
        <is>
          <t>41608884</t>
        </is>
      </c>
      <c r="E466" t="inlineStr">
        <is>
          <t>2026-04</t>
        </is>
      </c>
      <c r="F466" t="n">
        <v>154</v>
      </c>
      <c r="G466" t="n">
        <v>181.72</v>
      </c>
      <c r="H466">
        <f>הגדרות!B5</f>
        <v/>
      </c>
      <c r="I466">
        <f>F466*(1-H466/100)*1.18</f>
        <v/>
      </c>
      <c r="J466">
        <f>הגדרות!C5</f>
        <v/>
      </c>
      <c r="K466">
        <f>הגדרות!D5</f>
        <v/>
      </c>
      <c r="L466">
        <f>I466*(1+J466/100)+K466</f>
        <v/>
      </c>
    </row>
    <row r="467">
      <c r="A467" t="inlineStr">
        <is>
          <t>Hill's Science Plan</t>
        </is>
      </c>
      <c r="B467" t="inlineStr">
        <is>
          <t>בוגר Sterilised - סלמון 10 ק"ג</t>
        </is>
      </c>
      <c r="D467" t="inlineStr">
        <is>
          <t>41608886</t>
        </is>
      </c>
      <c r="E467" t="inlineStr">
        <is>
          <t>2026-04</t>
        </is>
      </c>
      <c r="F467" t="n">
        <v>365</v>
      </c>
      <c r="G467" t="n">
        <v>430.7</v>
      </c>
      <c r="H467">
        <f>הגדרות!B5</f>
        <v/>
      </c>
      <c r="I467">
        <f>F467*(1-H467/100)*1.18</f>
        <v/>
      </c>
      <c r="J467">
        <f>הגדרות!C5</f>
        <v/>
      </c>
      <c r="K467">
        <f>הגדרות!D5</f>
        <v/>
      </c>
      <c r="L467">
        <f>I467*(1+J467/100)+K467</f>
        <v/>
      </c>
    </row>
    <row r="468">
      <c r="A468" t="inlineStr">
        <is>
          <t>Hill's Science Plan</t>
        </is>
      </c>
      <c r="B468" t="inlineStr">
        <is>
          <t>בוגר לייט חתול - עוף 3 ק"ג</t>
        </is>
      </c>
      <c r="D468" t="inlineStr">
        <is>
          <t>41604081</t>
        </is>
      </c>
      <c r="E468" t="inlineStr">
        <is>
          <t>2026-04</t>
        </is>
      </c>
      <c r="F468" t="n">
        <v>140</v>
      </c>
      <c r="G468" t="n">
        <v>165.2</v>
      </c>
      <c r="H468">
        <f>הגדרות!B5</f>
        <v/>
      </c>
      <c r="I468">
        <f>F468*(1-H468/100)*1.18</f>
        <v/>
      </c>
      <c r="J468">
        <f>הגדרות!C5</f>
        <v/>
      </c>
      <c r="K468">
        <f>הגדרות!D5</f>
        <v/>
      </c>
      <c r="L468">
        <f>I468*(1+J468/100)+K468</f>
        <v/>
      </c>
    </row>
    <row r="469">
      <c r="A469" t="inlineStr">
        <is>
          <t>Hill's Science Plan</t>
        </is>
      </c>
      <c r="B469" t="inlineStr">
        <is>
          <t>בוגר לייט חתול - עוף 10 ק"ג</t>
        </is>
      </c>
      <c r="D469" t="inlineStr">
        <is>
          <t>41604177</t>
        </is>
      </c>
      <c r="E469" t="inlineStr">
        <is>
          <t>2026-04</t>
        </is>
      </c>
      <c r="F469" t="n">
        <v>345</v>
      </c>
      <c r="G469" t="n">
        <v>407.1</v>
      </c>
      <c r="H469">
        <f>הגדרות!B5</f>
        <v/>
      </c>
      <c r="I469">
        <f>F469*(1-H469/100)*1.18</f>
        <v/>
      </c>
      <c r="J469">
        <f>הגדרות!C5</f>
        <v/>
      </c>
      <c r="K469">
        <f>הגדרות!D5</f>
        <v/>
      </c>
      <c r="L469">
        <f>I469*(1+J469/100)+K469</f>
        <v/>
      </c>
    </row>
    <row r="470">
      <c r="A470" t="inlineStr">
        <is>
          <t>Hill's Science Plan</t>
        </is>
      </c>
      <c r="B470" t="inlineStr">
        <is>
          <t>סניור חתול - עוף 3 ק"ג</t>
        </is>
      </c>
      <c r="D470" t="inlineStr">
        <is>
          <t>41604098</t>
        </is>
      </c>
      <c r="E470" t="inlineStr">
        <is>
          <t>2026-04</t>
        </is>
      </c>
      <c r="F470" t="n">
        <v>138</v>
      </c>
      <c r="G470" t="n">
        <v>162.84</v>
      </c>
      <c r="H470">
        <f>הגדרות!B5</f>
        <v/>
      </c>
      <c r="I470">
        <f>F470*(1-H470/100)*1.18</f>
        <v/>
      </c>
      <c r="J470">
        <f>הגדרות!C5</f>
        <v/>
      </c>
      <c r="K470">
        <f>הגדרות!D5</f>
        <v/>
      </c>
      <c r="L470">
        <f>I470*(1+J470/100)+K470</f>
        <v/>
      </c>
    </row>
    <row r="471">
      <c r="A471" t="inlineStr">
        <is>
          <t>Hill's Science Plan</t>
        </is>
      </c>
      <c r="B471" t="inlineStr">
        <is>
          <t>סניור חתול - עוף 10 ק"ג</t>
        </is>
      </c>
      <c r="D471" t="inlineStr">
        <is>
          <t>41604178</t>
        </is>
      </c>
      <c r="E471" t="inlineStr">
        <is>
          <t>2026-04</t>
        </is>
      </c>
      <c r="F471" t="n">
        <v>345</v>
      </c>
      <c r="G471" t="n">
        <v>407.1</v>
      </c>
      <c r="H471">
        <f>הגדרות!B5</f>
        <v/>
      </c>
      <c r="I471">
        <f>F471*(1-H471/100)*1.18</f>
        <v/>
      </c>
      <c r="J471">
        <f>הגדרות!C5</f>
        <v/>
      </c>
      <c r="K471">
        <f>הגדרות!D5</f>
        <v/>
      </c>
      <c r="L471">
        <f>I471*(1+J471/100)+K471</f>
        <v/>
      </c>
    </row>
    <row r="472">
      <c r="A472" t="inlineStr">
        <is>
          <t>Hill's Science Plan</t>
        </is>
      </c>
      <c r="B472" t="inlineStr">
        <is>
          <t>Perfect Coat &amp; Hairball - בוגר חתול 3 ק"ג</t>
        </is>
      </c>
      <c r="D472" t="inlineStr">
        <is>
          <t>41608548</t>
        </is>
      </c>
      <c r="E472" t="inlineStr">
        <is>
          <t>2026-04</t>
        </is>
      </c>
      <c r="F472" t="n">
        <v>146</v>
      </c>
      <c r="G472" t="n">
        <v>172.28</v>
      </c>
      <c r="H472">
        <f>הגדרות!B5</f>
        <v/>
      </c>
      <c r="I472">
        <f>F472*(1-H472/100)*1.18</f>
        <v/>
      </c>
      <c r="J472">
        <f>הגדרות!C5</f>
        <v/>
      </c>
      <c r="K472">
        <f>הגדרות!D5</f>
        <v/>
      </c>
      <c r="L472">
        <f>I472*(1+J472/100)+K472</f>
        <v/>
      </c>
    </row>
    <row r="473">
      <c r="A473" t="inlineStr">
        <is>
          <t>Hill's Science Plan</t>
        </is>
      </c>
      <c r="B473" t="inlineStr">
        <is>
          <t>פרפקט ווייט - בוגר חתול 2.5 ק"ג</t>
        </is>
      </c>
      <c r="D473" t="inlineStr">
        <is>
          <t>41604079</t>
        </is>
      </c>
      <c r="E473" t="inlineStr">
        <is>
          <t>2026-04</t>
        </is>
      </c>
      <c r="F473" t="n">
        <v>129</v>
      </c>
      <c r="G473" t="n">
        <v>152.22</v>
      </c>
      <c r="H473">
        <f>הגדרות!B5</f>
        <v/>
      </c>
      <c r="I473">
        <f>F473*(1-H473/100)*1.18</f>
        <v/>
      </c>
      <c r="J473">
        <f>הגדרות!C5</f>
        <v/>
      </c>
      <c r="K473">
        <f>הגדרות!D5</f>
        <v/>
      </c>
      <c r="L473">
        <f>I473*(1+J473/100)+K473</f>
        <v/>
      </c>
    </row>
    <row r="474">
      <c r="A474" t="inlineStr">
        <is>
          <t>Hill's Science Plan</t>
        </is>
      </c>
      <c r="B474" t="inlineStr">
        <is>
          <t>בריאות הפה - חתול 1.5 ק"ג</t>
        </is>
      </c>
      <c r="D474" t="inlineStr">
        <is>
          <t>41604142</t>
        </is>
      </c>
      <c r="E474" t="inlineStr">
        <is>
          <t>2026-04</t>
        </is>
      </c>
      <c r="F474" t="n">
        <v>99</v>
      </c>
      <c r="G474" t="n">
        <v>116.82</v>
      </c>
      <c r="H474">
        <f>הגדרות!B5</f>
        <v/>
      </c>
      <c r="I474">
        <f>F474*(1-H474/100)*1.18</f>
        <v/>
      </c>
      <c r="J474">
        <f>הגדרות!C5</f>
        <v/>
      </c>
      <c r="K474">
        <f>הגדרות!D5</f>
        <v/>
      </c>
      <c r="L474">
        <f>I474*(1+J474/100)+K474</f>
        <v/>
      </c>
    </row>
    <row r="475">
      <c r="A475" t="inlineStr">
        <is>
          <t>Hill's Science Plan</t>
        </is>
      </c>
      <c r="B475" t="inlineStr">
        <is>
          <t>עור רגיש, קיבה רגישה - חתול 1.5 ק"ג</t>
        </is>
      </c>
      <c r="D475" t="inlineStr">
        <is>
          <t>41604072</t>
        </is>
      </c>
      <c r="E475" t="inlineStr">
        <is>
          <t>2026-04</t>
        </is>
      </c>
      <c r="F475" t="n">
        <v>99</v>
      </c>
      <c r="G475" t="n">
        <v>116.82</v>
      </c>
      <c r="H475">
        <f>הגדרות!B5</f>
        <v/>
      </c>
      <c r="I475">
        <f>F475*(1-H475/100)*1.18</f>
        <v/>
      </c>
      <c r="J475">
        <f>הגדרות!C5</f>
        <v/>
      </c>
      <c r="K475">
        <f>הגדרות!D5</f>
        <v/>
      </c>
      <c r="L475">
        <f>I475*(1+J475/100)+K475</f>
        <v/>
      </c>
    </row>
    <row r="476">
      <c r="A476" t="inlineStr">
        <is>
          <t>Hill's Science Plan</t>
        </is>
      </c>
      <c r="B476" t="inlineStr">
        <is>
          <t>היפואלרגניק עם ביצה וחרקים 1.5 ק"ג</t>
        </is>
      </c>
      <c r="D476" t="inlineStr">
        <is>
          <t>41607869</t>
        </is>
      </c>
      <c r="E476" t="inlineStr">
        <is>
          <t>2026-04</t>
        </is>
      </c>
      <c r="F476" t="n">
        <v>99</v>
      </c>
      <c r="G476" t="n">
        <v>116.82</v>
      </c>
      <c r="H476">
        <f>הגדרות!B5</f>
        <v/>
      </c>
      <c r="I476">
        <f>F476*(1-H476/100)*1.18</f>
        <v/>
      </c>
      <c r="J476">
        <f>הגדרות!C5</f>
        <v/>
      </c>
      <c r="K476">
        <f>הגדרות!D5</f>
        <v/>
      </c>
      <c r="L476">
        <f>I476*(1+J476/100)+K476</f>
        <v/>
      </c>
    </row>
    <row r="477">
      <c r="A477" t="inlineStr">
        <is>
          <t>Hill's Science Plan</t>
        </is>
      </c>
      <c r="B477" t="inlineStr">
        <is>
          <t>פאוץ גור חתול עוף 12 יח 85 ג'</t>
        </is>
      </c>
      <c r="D477" t="inlineStr">
        <is>
          <t>41609859</t>
        </is>
      </c>
      <c r="E477" t="inlineStr">
        <is>
          <t>2026-04</t>
        </is>
      </c>
      <c r="F477" t="n">
        <v>62</v>
      </c>
      <c r="G477" t="n">
        <v>73.16</v>
      </c>
      <c r="H477">
        <f>הגדרות!B5</f>
        <v/>
      </c>
      <c r="I477">
        <f>F477*(1-H477/100)*1.18</f>
        <v/>
      </c>
      <c r="J477">
        <f>הגדרות!C5</f>
        <v/>
      </c>
      <c r="K477">
        <f>הגדרות!D5</f>
        <v/>
      </c>
      <c r="L477">
        <f>I477*(1+J477/100)+K477</f>
        <v/>
      </c>
    </row>
    <row r="478">
      <c r="A478" t="inlineStr">
        <is>
          <t>Hill's Science Plan</t>
        </is>
      </c>
      <c r="B478" t="inlineStr">
        <is>
          <t>פאוץ גור חתול דגי ים 12 יח 85 ג'</t>
        </is>
      </c>
      <c r="D478" t="inlineStr">
        <is>
          <t>41609860</t>
        </is>
      </c>
      <c r="E478" t="inlineStr">
        <is>
          <t>2026-04</t>
        </is>
      </c>
      <c r="F478" t="n">
        <v>62</v>
      </c>
      <c r="G478" t="n">
        <v>73.16</v>
      </c>
      <c r="H478">
        <f>הגדרות!B5</f>
        <v/>
      </c>
      <c r="I478">
        <f>F478*(1-H478/100)*1.18</f>
        <v/>
      </c>
      <c r="J478">
        <f>הגדרות!C5</f>
        <v/>
      </c>
      <c r="K478">
        <f>הגדרות!D5</f>
        <v/>
      </c>
      <c r="L478">
        <f>I478*(1+J478/100)+K478</f>
        <v/>
      </c>
    </row>
    <row r="479">
      <c r="A479" t="inlineStr">
        <is>
          <t>Hill's Science Plan</t>
        </is>
      </c>
      <c r="B479" t="inlineStr">
        <is>
          <t>פאוץ גור חתול הודו 12 יח 85 ג'</t>
        </is>
      </c>
      <c r="D479" t="inlineStr">
        <is>
          <t>41609745</t>
        </is>
      </c>
      <c r="E479" t="inlineStr">
        <is>
          <t>2026-04</t>
        </is>
      </c>
      <c r="F479" t="n">
        <v>62</v>
      </c>
      <c r="G479" t="n">
        <v>73.16</v>
      </c>
      <c r="H479">
        <f>הגדרות!B5</f>
        <v/>
      </c>
      <c r="I479">
        <f>F479*(1-H479/100)*1.18</f>
        <v/>
      </c>
      <c r="J479">
        <f>הגדרות!C5</f>
        <v/>
      </c>
      <c r="K479">
        <f>הגדרות!D5</f>
        <v/>
      </c>
      <c r="L479">
        <f>I479*(1+J479/100)+K479</f>
        <v/>
      </c>
    </row>
    <row r="480">
      <c r="A480" t="inlineStr">
        <is>
          <t>Hill's Science Plan</t>
        </is>
      </c>
      <c r="B480" t="inlineStr">
        <is>
          <t>פאוץ בוגר חתול עוף 12 יח 85 ג'</t>
        </is>
      </c>
      <c r="D480" t="inlineStr">
        <is>
          <t>41609861</t>
        </is>
      </c>
      <c r="E480" t="inlineStr">
        <is>
          <t>2026-04</t>
        </is>
      </c>
      <c r="F480" t="n">
        <v>62</v>
      </c>
      <c r="G480" t="n">
        <v>73.16</v>
      </c>
      <c r="H480">
        <f>הגדרות!B5</f>
        <v/>
      </c>
      <c r="I480">
        <f>F480*(1-H480/100)*1.18</f>
        <v/>
      </c>
      <c r="J480">
        <f>הגדרות!C5</f>
        <v/>
      </c>
      <c r="K480">
        <f>הגדרות!D5</f>
        <v/>
      </c>
      <c r="L480">
        <f>I480*(1+J480/100)+K480</f>
        <v/>
      </c>
    </row>
    <row r="481">
      <c r="A481" t="inlineStr">
        <is>
          <t>Hill's Science Plan</t>
        </is>
      </c>
      <c r="B481" t="inlineStr">
        <is>
          <t>פאוץ בוגר חתול בקר 12 יח 85 ג'</t>
        </is>
      </c>
      <c r="D481" t="inlineStr">
        <is>
          <t>41609417</t>
        </is>
      </c>
      <c r="E481" t="inlineStr">
        <is>
          <t>2026-04</t>
        </is>
      </c>
      <c r="F481" t="n">
        <v>62</v>
      </c>
      <c r="G481" t="n">
        <v>73.16</v>
      </c>
      <c r="H481">
        <f>הגדרות!B5</f>
        <v/>
      </c>
      <c r="I481">
        <f>F481*(1-H481/100)*1.18</f>
        <v/>
      </c>
      <c r="J481">
        <f>הגדרות!C5</f>
        <v/>
      </c>
      <c r="K481">
        <f>הגדרות!D5</f>
        <v/>
      </c>
      <c r="L481">
        <f>I481*(1+J481/100)+K481</f>
        <v/>
      </c>
    </row>
    <row r="482">
      <c r="A482" t="inlineStr">
        <is>
          <t>Hill's Science Plan</t>
        </is>
      </c>
      <c r="B482" t="inlineStr">
        <is>
          <t>פאוץ בוגר חתול דגי ים 12 יח 85 ג'</t>
        </is>
      </c>
      <c r="D482" t="inlineStr">
        <is>
          <t>41609718</t>
        </is>
      </c>
      <c r="E482" t="inlineStr">
        <is>
          <t>2026-04</t>
        </is>
      </c>
      <c r="F482" t="n">
        <v>62</v>
      </c>
      <c r="G482" t="n">
        <v>73.16</v>
      </c>
      <c r="H482">
        <f>הגדרות!B5</f>
        <v/>
      </c>
      <c r="I482">
        <f>F482*(1-H482/100)*1.18</f>
        <v/>
      </c>
      <c r="J482">
        <f>הגדרות!C5</f>
        <v/>
      </c>
      <c r="K482">
        <f>הגדרות!D5</f>
        <v/>
      </c>
      <c r="L482">
        <f>I482*(1+J482/100)+K482</f>
        <v/>
      </c>
    </row>
    <row r="483">
      <c r="A483" t="inlineStr">
        <is>
          <t>Hill's Science Plan</t>
        </is>
      </c>
      <c r="B483" t="inlineStr">
        <is>
          <t>פאוץ חתול STERILISED עוף 12 יח 85 ג'</t>
        </is>
      </c>
      <c r="D483" t="inlineStr">
        <is>
          <t>41609730</t>
        </is>
      </c>
      <c r="E483" t="inlineStr">
        <is>
          <t>2026-04</t>
        </is>
      </c>
      <c r="F483" t="n">
        <v>62</v>
      </c>
      <c r="G483" t="n">
        <v>73.16</v>
      </c>
      <c r="H483">
        <f>הגדרות!B5</f>
        <v/>
      </c>
      <c r="I483">
        <f>F483*(1-H483/100)*1.18</f>
        <v/>
      </c>
      <c r="J483">
        <f>הגדרות!C5</f>
        <v/>
      </c>
      <c r="K483">
        <f>הגדרות!D5</f>
        <v/>
      </c>
      <c r="L483">
        <f>I483*(1+J483/100)+K483</f>
        <v/>
      </c>
    </row>
    <row r="484">
      <c r="A484" t="inlineStr">
        <is>
          <t>Hill's Science Plan</t>
        </is>
      </c>
      <c r="B484" t="inlineStr">
        <is>
          <t>פאוץ חתול STERILISED סלמון 12 יח 85 ג'</t>
        </is>
      </c>
      <c r="D484" t="inlineStr">
        <is>
          <t>41609726</t>
        </is>
      </c>
      <c r="E484" t="inlineStr">
        <is>
          <t>2026-04</t>
        </is>
      </c>
      <c r="F484" t="n">
        <v>62</v>
      </c>
      <c r="G484" t="n">
        <v>73.16</v>
      </c>
      <c r="H484">
        <f>הגדרות!B5</f>
        <v/>
      </c>
      <c r="I484">
        <f>F484*(1-H484/100)*1.18</f>
        <v/>
      </c>
      <c r="J484">
        <f>הגדרות!C5</f>
        <v/>
      </c>
      <c r="K484">
        <f>הגדרות!D5</f>
        <v/>
      </c>
      <c r="L484">
        <f>I484*(1+J484/100)+K484</f>
        <v/>
      </c>
    </row>
    <row r="485">
      <c r="A485" t="inlineStr">
        <is>
          <t>Hill's Science Plan</t>
        </is>
      </c>
      <c r="B485" t="inlineStr">
        <is>
          <t>פאוץ חתול STERILISED הודו 12 יח 85 ג'</t>
        </is>
      </c>
      <c r="D485" t="inlineStr">
        <is>
          <t>41609739</t>
        </is>
      </c>
      <c r="E485" t="inlineStr">
        <is>
          <t>2026-04</t>
        </is>
      </c>
      <c r="F485" t="n">
        <v>62</v>
      </c>
      <c r="G485" t="n">
        <v>73.16</v>
      </c>
      <c r="H485">
        <f>הגדרות!B5</f>
        <v/>
      </c>
      <c r="I485">
        <f>F485*(1-H485/100)*1.18</f>
        <v/>
      </c>
      <c r="J485">
        <f>הגדרות!C5</f>
        <v/>
      </c>
      <c r="K485">
        <f>הגדרות!D5</f>
        <v/>
      </c>
      <c r="L485">
        <f>I485*(1+J485/100)+K485</f>
        <v/>
      </c>
    </row>
    <row r="486">
      <c r="A486" t="inlineStr">
        <is>
          <t>Hill's Science Plan</t>
        </is>
      </c>
      <c r="B486" t="inlineStr">
        <is>
          <t>חטיף שמירה על המשקל 200 ג'</t>
        </is>
      </c>
      <c r="C486" t="inlineStr">
        <is>
          <t>חטיפים</t>
        </is>
      </c>
      <c r="D486" t="inlineStr">
        <is>
          <t>41608558</t>
        </is>
      </c>
      <c r="E486" t="inlineStr">
        <is>
          <t>2026-04</t>
        </is>
      </c>
      <c r="F486" t="n">
        <v>22</v>
      </c>
      <c r="G486" t="n">
        <v>25.96</v>
      </c>
      <c r="H486">
        <f>הגדרות!B5</f>
        <v/>
      </c>
      <c r="I486">
        <f>F486*(1-H486/100)*1.18</f>
        <v/>
      </c>
      <c r="J486">
        <f>הגדרות!C5</f>
        <v/>
      </c>
      <c r="K486">
        <f>הגדרות!D5</f>
        <v/>
      </c>
      <c r="L486">
        <f>I486*(1+J486/100)+K486</f>
        <v/>
      </c>
    </row>
    <row r="487">
      <c r="A487" t="inlineStr">
        <is>
          <t>Hill's Vet Essentials</t>
        </is>
      </c>
      <c r="B487" t="inlineStr">
        <is>
          <t>גור כלב Small &amp; Mini - עוף</t>
        </is>
      </c>
      <c r="C487" t="inlineStr">
        <is>
          <t>גורים</t>
        </is>
      </c>
      <c r="E487" t="inlineStr">
        <is>
          <t>2026-04</t>
        </is>
      </c>
      <c r="F487" t="n">
        <v>86</v>
      </c>
      <c r="G487" t="n">
        <v>101.48</v>
      </c>
      <c r="H487">
        <f>הגדרות!B6</f>
        <v/>
      </c>
      <c r="I487">
        <f>F487*(1-H487/100)*1.18</f>
        <v/>
      </c>
      <c r="J487">
        <f>הגדרות!C6</f>
        <v/>
      </c>
      <c r="K487">
        <f>הגדרות!D6</f>
        <v/>
      </c>
      <c r="L487">
        <f>I487*(1+J487/100)+K487</f>
        <v/>
      </c>
    </row>
    <row r="488">
      <c r="A488" t="inlineStr">
        <is>
          <t>Hill's Vet Essentials</t>
        </is>
      </c>
      <c r="B488" t="inlineStr">
        <is>
          <t>גור כלב Small &amp; Mini - עוף</t>
        </is>
      </c>
      <c r="C488" t="inlineStr">
        <is>
          <t>גורים</t>
        </is>
      </c>
      <c r="E488" t="inlineStr">
        <is>
          <t>2026-04</t>
        </is>
      </c>
      <c r="F488" t="n">
        <v>215</v>
      </c>
      <c r="G488" t="n">
        <v>253.7</v>
      </c>
      <c r="H488">
        <f>הגדרות!B6</f>
        <v/>
      </c>
      <c r="I488">
        <f>F488*(1-H488/100)*1.18</f>
        <v/>
      </c>
      <c r="J488">
        <f>הגדרות!C6</f>
        <v/>
      </c>
      <c r="K488">
        <f>הגדרות!D6</f>
        <v/>
      </c>
      <c r="L488">
        <f>I488*(1+J488/100)+K488</f>
        <v/>
      </c>
    </row>
    <row r="489">
      <c r="A489" t="inlineStr">
        <is>
          <t>Hill's Vet Essentials</t>
        </is>
      </c>
      <c r="B489" t="inlineStr">
        <is>
          <t>גור כלב גזע בינוני - עוף</t>
        </is>
      </c>
      <c r="C489" t="inlineStr">
        <is>
          <t>גורים</t>
        </is>
      </c>
      <c r="E489" t="inlineStr">
        <is>
          <t>2026-04</t>
        </is>
      </c>
      <c r="F489" t="n">
        <v>86</v>
      </c>
      <c r="G489" t="n">
        <v>101.48</v>
      </c>
      <c r="H489">
        <f>הגדרות!B6</f>
        <v/>
      </c>
      <c r="I489">
        <f>F489*(1-H489/100)*1.18</f>
        <v/>
      </c>
      <c r="J489">
        <f>הגדרות!C6</f>
        <v/>
      </c>
      <c r="K489">
        <f>הגדרות!D6</f>
        <v/>
      </c>
      <c r="L489">
        <f>I489*(1+J489/100)+K489</f>
        <v/>
      </c>
    </row>
    <row r="490">
      <c r="A490" t="inlineStr">
        <is>
          <t>Hill's Vet Essentials</t>
        </is>
      </c>
      <c r="B490" t="inlineStr">
        <is>
          <t>גור כלב גזע בינוני - עוף</t>
        </is>
      </c>
      <c r="C490" t="inlineStr">
        <is>
          <t>גורים</t>
        </is>
      </c>
      <c r="E490" t="inlineStr">
        <is>
          <t>2026-04</t>
        </is>
      </c>
      <c r="F490" t="n">
        <v>230</v>
      </c>
      <c r="G490" t="n">
        <v>271.4</v>
      </c>
      <c r="H490">
        <f>הגדרות!B6</f>
        <v/>
      </c>
      <c r="I490">
        <f>F490*(1-H490/100)*1.18</f>
        <v/>
      </c>
      <c r="J490">
        <f>הגדרות!C6</f>
        <v/>
      </c>
      <c r="K490">
        <f>הגדרות!D6</f>
        <v/>
      </c>
      <c r="L490">
        <f>I490*(1+J490/100)+K490</f>
        <v/>
      </c>
    </row>
    <row r="491">
      <c r="A491" t="inlineStr">
        <is>
          <t>Hill's Vet Essentials</t>
        </is>
      </c>
      <c r="B491" t="inlineStr">
        <is>
          <t>גור כלב גזע גדול - עוף</t>
        </is>
      </c>
      <c r="C491" t="inlineStr">
        <is>
          <t>גורים</t>
        </is>
      </c>
      <c r="E491" t="inlineStr">
        <is>
          <t>2026-04</t>
        </is>
      </c>
      <c r="F491" t="n">
        <v>343</v>
      </c>
      <c r="G491" t="n">
        <v>404.74</v>
      </c>
      <c r="H491">
        <f>הגדרות!B6</f>
        <v/>
      </c>
      <c r="I491">
        <f>F491*(1-H491/100)*1.18</f>
        <v/>
      </c>
      <c r="J491">
        <f>הגדרות!C6</f>
        <v/>
      </c>
      <c r="K491">
        <f>הגדרות!D6</f>
        <v/>
      </c>
      <c r="L491">
        <f>I491*(1+J491/100)+K491</f>
        <v/>
      </c>
    </row>
    <row r="492">
      <c r="A492" t="inlineStr">
        <is>
          <t>Hill's Vet Essentials</t>
        </is>
      </c>
      <c r="B492" t="inlineStr">
        <is>
          <t>בוגר כלב גזע מיני לבריאות העיכול - עוף</t>
        </is>
      </c>
      <c r="C492" t="inlineStr">
        <is>
          <t>מערכת עיכול</t>
        </is>
      </c>
      <c r="E492" t="inlineStr">
        <is>
          <t>2026-04</t>
        </is>
      </c>
      <c r="F492" t="n">
        <v>88</v>
      </c>
      <c r="G492" t="n">
        <v>103.84</v>
      </c>
      <c r="H492">
        <f>הגדרות!B6</f>
        <v/>
      </c>
      <c r="I492">
        <f>F492*(1-H492/100)*1.18</f>
        <v/>
      </c>
      <c r="J492">
        <f>הגדרות!C6</f>
        <v/>
      </c>
      <c r="K492">
        <f>הגדרות!D6</f>
        <v/>
      </c>
      <c r="L492">
        <f>I492*(1+J492/100)+K492</f>
        <v/>
      </c>
    </row>
    <row r="493">
      <c r="A493" t="inlineStr">
        <is>
          <t>Hill's Vet Essentials</t>
        </is>
      </c>
      <c r="B493" t="inlineStr">
        <is>
          <t>בוגר כלב גזע בינוני לבריאות העיכול - עוף</t>
        </is>
      </c>
      <c r="C493" t="inlineStr">
        <is>
          <t>מערכת עיכול</t>
        </is>
      </c>
      <c r="E493" t="inlineStr">
        <is>
          <t>2026-04</t>
        </is>
      </c>
      <c r="F493" t="n">
        <v>292</v>
      </c>
      <c r="G493" t="n">
        <v>344.56</v>
      </c>
      <c r="H493">
        <f>הגדרות!B6</f>
        <v/>
      </c>
      <c r="I493">
        <f>F493*(1-H493/100)*1.18</f>
        <v/>
      </c>
      <c r="J493">
        <f>הגדרות!C6</f>
        <v/>
      </c>
      <c r="K493">
        <f>הגדרות!D6</f>
        <v/>
      </c>
      <c r="L493">
        <f>I493*(1+J493/100)+K493</f>
        <v/>
      </c>
    </row>
    <row r="494">
      <c r="A494" t="inlineStr">
        <is>
          <t>Hill's Vet Essentials</t>
        </is>
      </c>
      <c r="B494" t="inlineStr">
        <is>
          <t>בוגר ומבוגר כלב Small&amp;Mini Dental - עוף</t>
        </is>
      </c>
      <c r="C494" t="inlineStr">
        <is>
          <t>שיניים</t>
        </is>
      </c>
      <c r="E494" t="inlineStr">
        <is>
          <t>2026-04</t>
        </is>
      </c>
      <c r="F494" t="n">
        <v>88</v>
      </c>
      <c r="G494" t="n">
        <v>103.84</v>
      </c>
      <c r="H494">
        <f>הגדרות!B6</f>
        <v/>
      </c>
      <c r="I494">
        <f>F494*(1-H494/100)*1.18</f>
        <v/>
      </c>
      <c r="J494">
        <f>הגדרות!C6</f>
        <v/>
      </c>
      <c r="K494">
        <f>הגדרות!D6</f>
        <v/>
      </c>
      <c r="L494">
        <f>I494*(1+J494/100)+K494</f>
        <v/>
      </c>
    </row>
    <row r="495">
      <c r="A495" t="inlineStr">
        <is>
          <t>Hill's Vet Essentials</t>
        </is>
      </c>
      <c r="B495" t="inlineStr">
        <is>
          <t>בוגר ומבוגר כלב Small&amp;Mini Dental - עוף</t>
        </is>
      </c>
      <c r="C495" t="inlineStr">
        <is>
          <t>שיניים</t>
        </is>
      </c>
      <c r="E495" t="inlineStr">
        <is>
          <t>2026-04</t>
        </is>
      </c>
      <c r="F495" t="n">
        <v>225</v>
      </c>
      <c r="G495" t="n">
        <v>265.5</v>
      </c>
      <c r="H495">
        <f>הגדרות!B6</f>
        <v/>
      </c>
      <c r="I495">
        <f>F495*(1-H495/100)*1.18</f>
        <v/>
      </c>
      <c r="J495">
        <f>הגדרות!C6</f>
        <v/>
      </c>
      <c r="K495">
        <f>הגדרות!D6</f>
        <v/>
      </c>
      <c r="L495">
        <f>I495*(1+J495/100)+K495</f>
        <v/>
      </c>
    </row>
    <row r="496">
      <c r="A496" t="inlineStr">
        <is>
          <t>Hill's Vet Essentials</t>
        </is>
      </c>
      <c r="B496" t="inlineStr">
        <is>
          <t>בוגר ומבוגר כלב גזע בינוני וגדול Dental - עוף</t>
        </is>
      </c>
      <c r="C496" t="inlineStr">
        <is>
          <t>שיניים</t>
        </is>
      </c>
      <c r="E496" t="inlineStr">
        <is>
          <t>2026-04</t>
        </is>
      </c>
      <c r="F496" t="n">
        <v>266</v>
      </c>
      <c r="G496" t="n">
        <v>313.88</v>
      </c>
      <c r="H496">
        <f>הגדרות!B6</f>
        <v/>
      </c>
      <c r="I496">
        <f>F496*(1-H496/100)*1.18</f>
        <v/>
      </c>
      <c r="J496">
        <f>הגדרות!C6</f>
        <v/>
      </c>
      <c r="K496">
        <f>הגדרות!D6</f>
        <v/>
      </c>
      <c r="L496">
        <f>I496*(1+J496/100)+K496</f>
        <v/>
      </c>
    </row>
    <row r="497">
      <c r="A497" t="inlineStr">
        <is>
          <t>Hill's Vet Essentials</t>
        </is>
      </c>
      <c r="B497" t="inlineStr">
        <is>
          <t>בוגר כלב Small&amp;Mini לבקרת משקל - עוף</t>
        </is>
      </c>
      <c r="C497" t="inlineStr">
        <is>
          <t>השמנה / ירידה במשקל</t>
        </is>
      </c>
      <c r="E497" t="inlineStr">
        <is>
          <t>2026-04</t>
        </is>
      </c>
      <c r="F497" t="n">
        <v>90</v>
      </c>
      <c r="G497" t="n">
        <v>106.2</v>
      </c>
      <c r="H497">
        <f>הגדרות!B6</f>
        <v/>
      </c>
      <c r="I497">
        <f>F497*(1-H497/100)*1.18</f>
        <v/>
      </c>
      <c r="J497">
        <f>הגדרות!C6</f>
        <v/>
      </c>
      <c r="K497">
        <f>הגדרות!D6</f>
        <v/>
      </c>
      <c r="L497">
        <f>I497*(1+J497/100)+K497</f>
        <v/>
      </c>
    </row>
    <row r="498">
      <c r="A498" t="inlineStr">
        <is>
          <t>Hill's Vet Essentials</t>
        </is>
      </c>
      <c r="B498" t="inlineStr">
        <is>
          <t>בוגר כלב Small&amp;Mini לבקרת משקל - עוף</t>
        </is>
      </c>
      <c r="C498" t="inlineStr">
        <is>
          <t>השמנה / ירידה במשקל</t>
        </is>
      </c>
      <c r="E498" t="inlineStr">
        <is>
          <t>2026-04</t>
        </is>
      </c>
      <c r="F498" t="n">
        <v>220</v>
      </c>
      <c r="G498" t="n">
        <v>259.6</v>
      </c>
      <c r="H498">
        <f>הגדרות!B6</f>
        <v/>
      </c>
      <c r="I498">
        <f>F498*(1-H498/100)*1.18</f>
        <v/>
      </c>
      <c r="J498">
        <f>הגדרות!C6</f>
        <v/>
      </c>
      <c r="K498">
        <f>הגדרות!D6</f>
        <v/>
      </c>
      <c r="L498">
        <f>I498*(1+J498/100)+K498</f>
        <v/>
      </c>
    </row>
    <row r="499">
      <c r="A499" t="inlineStr">
        <is>
          <t>Hill's Vet Essentials</t>
        </is>
      </c>
      <c r="B499" t="inlineStr">
        <is>
          <t>בוגר כלב גזע בינוני לבקרת משקל - עוף</t>
        </is>
      </c>
      <c r="C499" t="inlineStr">
        <is>
          <t>השמנה / ירידה במשקל</t>
        </is>
      </c>
      <c r="E499" t="inlineStr">
        <is>
          <t>2026-04</t>
        </is>
      </c>
      <c r="F499" t="n">
        <v>292</v>
      </c>
      <c r="G499" t="n">
        <v>344.56</v>
      </c>
      <c r="H499">
        <f>הגדרות!B6</f>
        <v/>
      </c>
      <c r="I499">
        <f>F499*(1-H499/100)*1.18</f>
        <v/>
      </c>
      <c r="J499">
        <f>הגדרות!C6</f>
        <v/>
      </c>
      <c r="K499">
        <f>הגדרות!D6</f>
        <v/>
      </c>
      <c r="L499">
        <f>I499*(1+J499/100)+K499</f>
        <v/>
      </c>
    </row>
    <row r="500">
      <c r="A500" t="inlineStr">
        <is>
          <t>Hill's Vet Essentials</t>
        </is>
      </c>
      <c r="B500" t="inlineStr">
        <is>
          <t>בוגר כלב גזע גדול לבקרת משקל - עוף</t>
        </is>
      </c>
      <c r="C500" t="inlineStr">
        <is>
          <t>השמנה / ירידה במשקל</t>
        </is>
      </c>
      <c r="E500" t="inlineStr">
        <is>
          <t>2026-04</t>
        </is>
      </c>
      <c r="F500" t="n">
        <v>374</v>
      </c>
      <c r="G500" t="n">
        <v>441.32</v>
      </c>
      <c r="H500">
        <f>הגדרות!B6</f>
        <v/>
      </c>
      <c r="I500">
        <f>F500*(1-H500/100)*1.18</f>
        <v/>
      </c>
      <c r="J500">
        <f>הגדרות!C6</f>
        <v/>
      </c>
      <c r="K500">
        <f>הגדרות!D6</f>
        <v/>
      </c>
      <c r="L500">
        <f>I500*(1+J500/100)+K500</f>
        <v/>
      </c>
    </row>
    <row r="501">
      <c r="A501" t="inlineStr">
        <is>
          <t>Hill's Vet Essentials</t>
        </is>
      </c>
      <c r="B501" t="inlineStr">
        <is>
          <t>סניור כלב מיני עוף לתמיכה בהזדקנות</t>
        </is>
      </c>
      <c r="C501" t="inlineStr">
        <is>
          <t>מזון רגיל</t>
        </is>
      </c>
      <c r="E501" t="inlineStr">
        <is>
          <t>2026-04</t>
        </is>
      </c>
      <c r="F501" t="n">
        <v>88</v>
      </c>
      <c r="G501" t="n">
        <v>103.84</v>
      </c>
      <c r="H501">
        <f>הגדרות!B6</f>
        <v/>
      </c>
      <c r="I501">
        <f>F501*(1-H501/100)*1.18</f>
        <v/>
      </c>
      <c r="J501">
        <f>הגדרות!C6</f>
        <v/>
      </c>
      <c r="K501">
        <f>הגדרות!D6</f>
        <v/>
      </c>
      <c r="L501">
        <f>I501*(1+J501/100)+K501</f>
        <v/>
      </c>
    </row>
    <row r="502">
      <c r="A502" t="inlineStr">
        <is>
          <t>Hill's Vet Essentials</t>
        </is>
      </c>
      <c r="B502" t="inlineStr">
        <is>
          <t>גור חתול - עוף</t>
        </is>
      </c>
      <c r="C502" t="inlineStr">
        <is>
          <t>גורים</t>
        </is>
      </c>
      <c r="E502" t="inlineStr">
        <is>
          <t>2026-04</t>
        </is>
      </c>
      <c r="F502" t="n">
        <v>81</v>
      </c>
      <c r="G502" t="n">
        <v>95.58</v>
      </c>
      <c r="H502">
        <f>הגדרות!B6</f>
        <v/>
      </c>
      <c r="I502">
        <f>F502*(1-H502/100)*1.18</f>
        <v/>
      </c>
      <c r="J502">
        <f>הגדרות!C6</f>
        <v/>
      </c>
      <c r="K502">
        <f>הגדרות!D6</f>
        <v/>
      </c>
      <c r="L502">
        <f>I502*(1+J502/100)+K502</f>
        <v/>
      </c>
    </row>
    <row r="503">
      <c r="A503" t="inlineStr">
        <is>
          <t>Hill's Vet Essentials</t>
        </is>
      </c>
      <c r="B503" t="inlineStr">
        <is>
          <t>גור חתול - עוף</t>
        </is>
      </c>
      <c r="C503" t="inlineStr">
        <is>
          <t>גורים</t>
        </is>
      </c>
      <c r="E503" t="inlineStr">
        <is>
          <t>2026-04</t>
        </is>
      </c>
      <c r="F503" t="n">
        <v>142</v>
      </c>
      <c r="G503" t="n">
        <v>167.56</v>
      </c>
      <c r="H503">
        <f>הגדרות!B6</f>
        <v/>
      </c>
      <c r="I503">
        <f>F503*(1-H503/100)*1.18</f>
        <v/>
      </c>
      <c r="J503">
        <f>הגדרות!C6</f>
        <v/>
      </c>
      <c r="K503">
        <f>הגדרות!D6</f>
        <v/>
      </c>
      <c r="L503">
        <f>I503*(1+J503/100)+K503</f>
        <v/>
      </c>
    </row>
    <row r="504">
      <c r="A504" t="inlineStr">
        <is>
          <t>Hill's Vet Essentials</t>
        </is>
      </c>
      <c r="B504" t="inlineStr">
        <is>
          <t>בוגר ומבוגר חתול Dental - עוף</t>
        </is>
      </c>
      <c r="C504" t="inlineStr">
        <is>
          <t>שיניים</t>
        </is>
      </c>
      <c r="E504" t="inlineStr">
        <is>
          <t>2026-04</t>
        </is>
      </c>
      <c r="F504" t="n">
        <v>148</v>
      </c>
      <c r="G504" t="n">
        <v>174.64</v>
      </c>
      <c r="H504">
        <f>הגדרות!B6</f>
        <v/>
      </c>
      <c r="I504">
        <f>F504*(1-H504/100)*1.18</f>
        <v/>
      </c>
      <c r="J504">
        <f>הגדרות!C6</f>
        <v/>
      </c>
      <c r="K504">
        <f>הגדרות!D6</f>
        <v/>
      </c>
      <c r="L504">
        <f>I504*(1+J504/100)+K504</f>
        <v/>
      </c>
    </row>
    <row r="505">
      <c r="A505" t="inlineStr">
        <is>
          <t>Hill's Vet Essentials</t>
        </is>
      </c>
      <c r="B505" t="inlineStr">
        <is>
          <t>בוגר ומבוגר חתול Dental - עוף</t>
        </is>
      </c>
      <c r="C505" t="inlineStr">
        <is>
          <t>שיניים</t>
        </is>
      </c>
      <c r="E505" t="inlineStr">
        <is>
          <t>2026-04</t>
        </is>
      </c>
      <c r="F505" t="n">
        <v>261</v>
      </c>
      <c r="G505" t="n">
        <v>307.98</v>
      </c>
      <c r="H505">
        <f>הגדרות!B6</f>
        <v/>
      </c>
      <c r="I505">
        <f>F505*(1-H505/100)*1.18</f>
        <v/>
      </c>
      <c r="J505">
        <f>הגדרות!C6</f>
        <v/>
      </c>
      <c r="K505">
        <f>הגדרות!D6</f>
        <v/>
      </c>
      <c r="L505">
        <f>I505*(1+J505/100)+K505</f>
        <v/>
      </c>
    </row>
    <row r="506">
      <c r="A506" t="inlineStr">
        <is>
          <t>Hill's Vet Essentials</t>
        </is>
      </c>
      <c r="B506" t="inlineStr">
        <is>
          <t>בוגר חתול לבקרת משקל - טונה</t>
        </is>
      </c>
      <c r="C506" t="inlineStr">
        <is>
          <t>השמנה / ירידה במשקל</t>
        </is>
      </c>
      <c r="E506" t="inlineStr">
        <is>
          <t>2026-04</t>
        </is>
      </c>
      <c r="F506" t="n">
        <v>145</v>
      </c>
      <c r="G506" t="n">
        <v>171.1</v>
      </c>
      <c r="H506">
        <f>הגדרות!B6</f>
        <v/>
      </c>
      <c r="I506">
        <f>F506*(1-H506/100)*1.18</f>
        <v/>
      </c>
      <c r="J506">
        <f>הגדרות!C6</f>
        <v/>
      </c>
      <c r="K506">
        <f>הגדרות!D6</f>
        <v/>
      </c>
      <c r="L506">
        <f>I506*(1+J506/100)+K506</f>
        <v/>
      </c>
    </row>
    <row r="507">
      <c r="A507" t="inlineStr">
        <is>
          <t>Hill's Vet Essentials</t>
        </is>
      </c>
      <c r="B507" t="inlineStr">
        <is>
          <t>סניור חתול לתמיכה בהזדקנות - עוף</t>
        </is>
      </c>
      <c r="C507" t="inlineStr">
        <is>
          <t>מזון רגיל</t>
        </is>
      </c>
      <c r="E507" t="inlineStr">
        <is>
          <t>2026-04</t>
        </is>
      </c>
      <c r="F507" t="n">
        <v>146</v>
      </c>
      <c r="G507" t="n">
        <v>172.28</v>
      </c>
      <c r="H507">
        <f>הגדרות!B6</f>
        <v/>
      </c>
      <c r="I507">
        <f>F507*(1-H507/100)*1.18</f>
        <v/>
      </c>
      <c r="J507">
        <f>הגדרות!C6</f>
        <v/>
      </c>
      <c r="K507">
        <f>הגדרות!D6</f>
        <v/>
      </c>
      <c r="L507">
        <f>I507*(1+J507/100)+K507</f>
        <v/>
      </c>
    </row>
    <row r="508">
      <c r="A508" t="inlineStr">
        <is>
          <t>Hill's Vet Essentials</t>
        </is>
      </c>
      <c r="B508" t="inlineStr">
        <is>
          <t>גור כלב Small &amp; Mini - עוף</t>
        </is>
      </c>
      <c r="C508" t="inlineStr">
        <is>
          <t>גורים</t>
        </is>
      </c>
      <c r="E508" t="inlineStr">
        <is>
          <t>2026-04</t>
        </is>
      </c>
      <c r="F508" t="n">
        <v>86</v>
      </c>
      <c r="G508" t="n">
        <v>101.48</v>
      </c>
      <c r="H508">
        <f>הגדרות!B6</f>
        <v/>
      </c>
      <c r="I508">
        <f>F508*(1-H508/100)*1.18</f>
        <v/>
      </c>
      <c r="J508">
        <f>הגדרות!C6</f>
        <v/>
      </c>
      <c r="K508">
        <f>הגדרות!D6</f>
        <v/>
      </c>
      <c r="L508">
        <f>I508*(1+J508/100)+K508</f>
        <v/>
      </c>
    </row>
    <row r="509">
      <c r="A509" t="inlineStr">
        <is>
          <t>Hill's Vet Essentials</t>
        </is>
      </c>
      <c r="B509" t="inlineStr">
        <is>
          <t>גור כלב Small &amp; Mini - עוף</t>
        </is>
      </c>
      <c r="C509" t="inlineStr">
        <is>
          <t>גורים</t>
        </is>
      </c>
      <c r="E509" t="inlineStr">
        <is>
          <t>2026-04</t>
        </is>
      </c>
      <c r="F509" t="n">
        <v>215</v>
      </c>
      <c r="G509" t="n">
        <v>253.7</v>
      </c>
      <c r="H509">
        <f>הגדרות!B6</f>
        <v/>
      </c>
      <c r="I509">
        <f>F509*(1-H509/100)*1.18</f>
        <v/>
      </c>
      <c r="J509">
        <f>הגדרות!C6</f>
        <v/>
      </c>
      <c r="K509">
        <f>הגדרות!D6</f>
        <v/>
      </c>
      <c r="L509">
        <f>I509*(1+J509/100)+K509</f>
        <v/>
      </c>
    </row>
    <row r="510">
      <c r="A510" t="inlineStr">
        <is>
          <t>Hill's Vet Essentials</t>
        </is>
      </c>
      <c r="B510" t="inlineStr">
        <is>
          <t>גור כלב גזע בינוני - עוף</t>
        </is>
      </c>
      <c r="C510" t="inlineStr">
        <is>
          <t>גורים</t>
        </is>
      </c>
      <c r="E510" t="inlineStr">
        <is>
          <t>2026-04</t>
        </is>
      </c>
      <c r="F510" t="n">
        <v>86</v>
      </c>
      <c r="G510" t="n">
        <v>101.48</v>
      </c>
      <c r="H510">
        <f>הגדרות!B6</f>
        <v/>
      </c>
      <c r="I510">
        <f>F510*(1-H510/100)*1.18</f>
        <v/>
      </c>
      <c r="J510">
        <f>הגדרות!C6</f>
        <v/>
      </c>
      <c r="K510">
        <f>הגדרות!D6</f>
        <v/>
      </c>
      <c r="L510">
        <f>I510*(1+J510/100)+K510</f>
        <v/>
      </c>
    </row>
    <row r="511">
      <c r="A511" t="inlineStr">
        <is>
          <t>Hill's Vet Essentials</t>
        </is>
      </c>
      <c r="B511" t="inlineStr">
        <is>
          <t>גור כלב גזע בינוני - עוף</t>
        </is>
      </c>
      <c r="C511" t="inlineStr">
        <is>
          <t>גורים</t>
        </is>
      </c>
      <c r="E511" t="inlineStr">
        <is>
          <t>2026-04</t>
        </is>
      </c>
      <c r="F511" t="n">
        <v>230</v>
      </c>
      <c r="G511" t="n">
        <v>271.4</v>
      </c>
      <c r="H511">
        <f>הגדרות!B6</f>
        <v/>
      </c>
      <c r="I511">
        <f>F511*(1-H511/100)*1.18</f>
        <v/>
      </c>
      <c r="J511">
        <f>הגדרות!C6</f>
        <v/>
      </c>
      <c r="K511">
        <f>הגדרות!D6</f>
        <v/>
      </c>
      <c r="L511">
        <f>I511*(1+J511/100)+K511</f>
        <v/>
      </c>
    </row>
    <row r="512">
      <c r="A512" t="inlineStr">
        <is>
          <t>Hill's Vet Essentials</t>
        </is>
      </c>
      <c r="B512" t="inlineStr">
        <is>
          <t>גור כלב גזע גדול - עוף</t>
        </is>
      </c>
      <c r="C512" t="inlineStr">
        <is>
          <t>גורים</t>
        </is>
      </c>
      <c r="E512" t="inlineStr">
        <is>
          <t>2026-04</t>
        </is>
      </c>
      <c r="F512" t="n">
        <v>343</v>
      </c>
      <c r="G512" t="n">
        <v>404.74</v>
      </c>
      <c r="H512">
        <f>הגדרות!B6</f>
        <v/>
      </c>
      <c r="I512">
        <f>F512*(1-H512/100)*1.18</f>
        <v/>
      </c>
      <c r="J512">
        <f>הגדרות!C6</f>
        <v/>
      </c>
      <c r="K512">
        <f>הגדרות!D6</f>
        <v/>
      </c>
      <c r="L512">
        <f>I512*(1+J512/100)+K512</f>
        <v/>
      </c>
    </row>
    <row r="513">
      <c r="A513" t="inlineStr">
        <is>
          <t>Hill's Vet Essentials</t>
        </is>
      </c>
      <c r="B513" t="inlineStr">
        <is>
          <t>בוגר כלב גזע מיני לבריאות העיכול - עוף</t>
        </is>
      </c>
      <c r="C513" t="inlineStr">
        <is>
          <t>מערכת עיכול</t>
        </is>
      </c>
      <c r="E513" t="inlineStr">
        <is>
          <t>2026-04</t>
        </is>
      </c>
      <c r="F513" t="n">
        <v>88</v>
      </c>
      <c r="G513" t="n">
        <v>103.84</v>
      </c>
      <c r="H513">
        <f>הגדרות!B6</f>
        <v/>
      </c>
      <c r="I513">
        <f>F513*(1-H513/100)*1.18</f>
        <v/>
      </c>
      <c r="J513">
        <f>הגדרות!C6</f>
        <v/>
      </c>
      <c r="K513">
        <f>הגדרות!D6</f>
        <v/>
      </c>
      <c r="L513">
        <f>I513*(1+J513/100)+K513</f>
        <v/>
      </c>
    </row>
    <row r="514">
      <c r="A514" t="inlineStr">
        <is>
          <t>Hill's Vet Essentials</t>
        </is>
      </c>
      <c r="B514" t="inlineStr">
        <is>
          <t>בוגר כלב גזע בינוני לבריאות העיכול - עוף</t>
        </is>
      </c>
      <c r="C514" t="inlineStr">
        <is>
          <t>מערכת עיכול</t>
        </is>
      </c>
      <c r="E514" t="inlineStr">
        <is>
          <t>2026-04</t>
        </is>
      </c>
      <c r="F514" t="n">
        <v>292</v>
      </c>
      <c r="G514" t="n">
        <v>344.56</v>
      </c>
      <c r="H514">
        <f>הגדרות!B6</f>
        <v/>
      </c>
      <c r="I514">
        <f>F514*(1-H514/100)*1.18</f>
        <v/>
      </c>
      <c r="J514">
        <f>הגדרות!C6</f>
        <v/>
      </c>
      <c r="K514">
        <f>הגדרות!D6</f>
        <v/>
      </c>
      <c r="L514">
        <f>I514*(1+J514/100)+K514</f>
        <v/>
      </c>
    </row>
    <row r="515">
      <c r="A515" t="inlineStr">
        <is>
          <t>Hill's Vet Essentials</t>
        </is>
      </c>
      <c r="B515" t="inlineStr">
        <is>
          <t>בוגר ומבוגר כלב Small&amp;Mini Dental - עוף</t>
        </is>
      </c>
      <c r="C515" t="inlineStr">
        <is>
          <t>שיניים</t>
        </is>
      </c>
      <c r="E515" t="inlineStr">
        <is>
          <t>2026-04</t>
        </is>
      </c>
      <c r="F515" t="n">
        <v>88</v>
      </c>
      <c r="G515" t="n">
        <v>103.84</v>
      </c>
      <c r="H515">
        <f>הגדרות!B6</f>
        <v/>
      </c>
      <c r="I515">
        <f>F515*(1-H515/100)*1.18</f>
        <v/>
      </c>
      <c r="J515">
        <f>הגדרות!C6</f>
        <v/>
      </c>
      <c r="K515">
        <f>הגדרות!D6</f>
        <v/>
      </c>
      <c r="L515">
        <f>I515*(1+J515/100)+K515</f>
        <v/>
      </c>
    </row>
    <row r="516">
      <c r="A516" t="inlineStr">
        <is>
          <t>Hill's Vet Essentials</t>
        </is>
      </c>
      <c r="B516" t="inlineStr">
        <is>
          <t>בוגר ומבוגר כלב Small&amp;Mini Dental - עוף</t>
        </is>
      </c>
      <c r="C516" t="inlineStr">
        <is>
          <t>שיניים</t>
        </is>
      </c>
      <c r="E516" t="inlineStr">
        <is>
          <t>2026-04</t>
        </is>
      </c>
      <c r="F516" t="n">
        <v>225</v>
      </c>
      <c r="G516" t="n">
        <v>265.5</v>
      </c>
      <c r="H516">
        <f>הגדרות!B6</f>
        <v/>
      </c>
      <c r="I516">
        <f>F516*(1-H516/100)*1.18</f>
        <v/>
      </c>
      <c r="J516">
        <f>הגדרות!C6</f>
        <v/>
      </c>
      <c r="K516">
        <f>הגדרות!D6</f>
        <v/>
      </c>
      <c r="L516">
        <f>I516*(1+J516/100)+K516</f>
        <v/>
      </c>
    </row>
    <row r="517">
      <c r="A517" t="inlineStr">
        <is>
          <t>Hill's Vet Essentials</t>
        </is>
      </c>
      <c r="B517" t="inlineStr">
        <is>
          <t>בוגר ומבוגר כלב גזע בינוני וגדול Dental - עוף</t>
        </is>
      </c>
      <c r="C517" t="inlineStr">
        <is>
          <t>שיניים</t>
        </is>
      </c>
      <c r="E517" t="inlineStr">
        <is>
          <t>2026-04</t>
        </is>
      </c>
      <c r="F517" t="n">
        <v>266</v>
      </c>
      <c r="G517" t="n">
        <v>313.88</v>
      </c>
      <c r="H517">
        <f>הגדרות!B6</f>
        <v/>
      </c>
      <c r="I517">
        <f>F517*(1-H517/100)*1.18</f>
        <v/>
      </c>
      <c r="J517">
        <f>הגדרות!C6</f>
        <v/>
      </c>
      <c r="K517">
        <f>הגדרות!D6</f>
        <v/>
      </c>
      <c r="L517">
        <f>I517*(1+J517/100)+K517</f>
        <v/>
      </c>
    </row>
    <row r="518">
      <c r="A518" t="inlineStr">
        <is>
          <t>Hill's Vet Essentials</t>
        </is>
      </c>
      <c r="B518" t="inlineStr">
        <is>
          <t>בוגר כלב Small&amp;Mini לבקרת משקל - עוף</t>
        </is>
      </c>
      <c r="C518" t="inlineStr">
        <is>
          <t>השמנה / ירידה במשקל</t>
        </is>
      </c>
      <c r="E518" t="inlineStr">
        <is>
          <t>2026-04</t>
        </is>
      </c>
      <c r="F518" t="n">
        <v>90</v>
      </c>
      <c r="G518" t="n">
        <v>106.2</v>
      </c>
      <c r="H518">
        <f>הגדרות!B6</f>
        <v/>
      </c>
      <c r="I518">
        <f>F518*(1-H518/100)*1.18</f>
        <v/>
      </c>
      <c r="J518">
        <f>הגדרות!C6</f>
        <v/>
      </c>
      <c r="K518">
        <f>הגדרות!D6</f>
        <v/>
      </c>
      <c r="L518">
        <f>I518*(1+J518/100)+K518</f>
        <v/>
      </c>
    </row>
    <row r="519">
      <c r="A519" t="inlineStr">
        <is>
          <t>Hill's Vet Essentials</t>
        </is>
      </c>
      <c r="B519" t="inlineStr">
        <is>
          <t>בוגר כלב Small&amp;Mini לבקרת משקל - עוף</t>
        </is>
      </c>
      <c r="C519" t="inlineStr">
        <is>
          <t>השמנה / ירידה במשקל</t>
        </is>
      </c>
      <c r="E519" t="inlineStr">
        <is>
          <t>2026-04</t>
        </is>
      </c>
      <c r="F519" t="n">
        <v>220</v>
      </c>
      <c r="G519" t="n">
        <v>259.6</v>
      </c>
      <c r="H519">
        <f>הגדרות!B6</f>
        <v/>
      </c>
      <c r="I519">
        <f>F519*(1-H519/100)*1.18</f>
        <v/>
      </c>
      <c r="J519">
        <f>הגדרות!C6</f>
        <v/>
      </c>
      <c r="K519">
        <f>הגדרות!D6</f>
        <v/>
      </c>
      <c r="L519">
        <f>I519*(1+J519/100)+K519</f>
        <v/>
      </c>
    </row>
    <row r="520">
      <c r="A520" t="inlineStr">
        <is>
          <t>Hill's Vet Essentials</t>
        </is>
      </c>
      <c r="B520" t="inlineStr">
        <is>
          <t>בוגר כלב גזע בינוני לבקרת משקל - עוף</t>
        </is>
      </c>
      <c r="C520" t="inlineStr">
        <is>
          <t>השמנה / ירידה במשקל</t>
        </is>
      </c>
      <c r="E520" t="inlineStr">
        <is>
          <t>2026-04</t>
        </is>
      </c>
      <c r="F520" t="n">
        <v>292</v>
      </c>
      <c r="G520" t="n">
        <v>344.56</v>
      </c>
      <c r="H520">
        <f>הגדרות!B6</f>
        <v/>
      </c>
      <c r="I520">
        <f>F520*(1-H520/100)*1.18</f>
        <v/>
      </c>
      <c r="J520">
        <f>הגדרות!C6</f>
        <v/>
      </c>
      <c r="K520">
        <f>הגדרות!D6</f>
        <v/>
      </c>
      <c r="L520">
        <f>I520*(1+J520/100)+K520</f>
        <v/>
      </c>
    </row>
    <row r="521">
      <c r="A521" t="inlineStr">
        <is>
          <t>Hill's Vet Essentials</t>
        </is>
      </c>
      <c r="B521" t="inlineStr">
        <is>
          <t>בוגר כלב גזע גדול לבקרת משקל - עוף</t>
        </is>
      </c>
      <c r="C521" t="inlineStr">
        <is>
          <t>השמנה / ירידה במשקל</t>
        </is>
      </c>
      <c r="E521" t="inlineStr">
        <is>
          <t>2026-04</t>
        </is>
      </c>
      <c r="F521" t="n">
        <v>374</v>
      </c>
      <c r="G521" t="n">
        <v>441.32</v>
      </c>
      <c r="H521">
        <f>הגדרות!B6</f>
        <v/>
      </c>
      <c r="I521">
        <f>F521*(1-H521/100)*1.18</f>
        <v/>
      </c>
      <c r="J521">
        <f>הגדרות!C6</f>
        <v/>
      </c>
      <c r="K521">
        <f>הגדרות!D6</f>
        <v/>
      </c>
      <c r="L521">
        <f>I521*(1+J521/100)+K521</f>
        <v/>
      </c>
    </row>
    <row r="522">
      <c r="A522" t="inlineStr">
        <is>
          <t>Hill's Vet Essentials</t>
        </is>
      </c>
      <c r="B522" t="inlineStr">
        <is>
          <t>סניור כלב מיני עוף לתמיכה בהזדקנות</t>
        </is>
      </c>
      <c r="C522" t="inlineStr">
        <is>
          <t>מזון רגיל</t>
        </is>
      </c>
      <c r="E522" t="inlineStr">
        <is>
          <t>2026-04</t>
        </is>
      </c>
      <c r="F522" t="n">
        <v>88</v>
      </c>
      <c r="G522" t="n">
        <v>103.84</v>
      </c>
      <c r="H522">
        <f>הגדרות!B6</f>
        <v/>
      </c>
      <c r="I522">
        <f>F522*(1-H522/100)*1.18</f>
        <v/>
      </c>
      <c r="J522">
        <f>הגדרות!C6</f>
        <v/>
      </c>
      <c r="K522">
        <f>הגדרות!D6</f>
        <v/>
      </c>
      <c r="L522">
        <f>I522*(1+J522/100)+K522</f>
        <v/>
      </c>
    </row>
    <row r="523">
      <c r="A523" t="inlineStr">
        <is>
          <t>Hill's Vet Essentials</t>
        </is>
      </c>
      <c r="B523" t="inlineStr">
        <is>
          <t>גור חתול - עוף</t>
        </is>
      </c>
      <c r="C523" t="inlineStr">
        <is>
          <t>גורים</t>
        </is>
      </c>
      <c r="E523" t="inlineStr">
        <is>
          <t>2026-04</t>
        </is>
      </c>
      <c r="F523" t="n">
        <v>81</v>
      </c>
      <c r="G523" t="n">
        <v>95.58</v>
      </c>
      <c r="H523">
        <f>הגדרות!B6</f>
        <v/>
      </c>
      <c r="I523">
        <f>F523*(1-H523/100)*1.18</f>
        <v/>
      </c>
      <c r="J523">
        <f>הגדרות!C6</f>
        <v/>
      </c>
      <c r="K523">
        <f>הגדרות!D6</f>
        <v/>
      </c>
      <c r="L523">
        <f>I523*(1+J523/100)+K523</f>
        <v/>
      </c>
    </row>
    <row r="524">
      <c r="A524" t="inlineStr">
        <is>
          <t>Hill's Vet Essentials</t>
        </is>
      </c>
      <c r="B524" t="inlineStr">
        <is>
          <t>גור חתול - עוף</t>
        </is>
      </c>
      <c r="C524" t="inlineStr">
        <is>
          <t>גורים</t>
        </is>
      </c>
      <c r="E524" t="inlineStr">
        <is>
          <t>2026-04</t>
        </is>
      </c>
      <c r="F524" t="n">
        <v>142</v>
      </c>
      <c r="G524" t="n">
        <v>167.56</v>
      </c>
      <c r="H524">
        <f>הגדרות!B6</f>
        <v/>
      </c>
      <c r="I524">
        <f>F524*(1-H524/100)*1.18</f>
        <v/>
      </c>
      <c r="J524">
        <f>הגדרות!C6</f>
        <v/>
      </c>
      <c r="K524">
        <f>הגדרות!D6</f>
        <v/>
      </c>
      <c r="L524">
        <f>I524*(1+J524/100)+K524</f>
        <v/>
      </c>
    </row>
    <row r="525">
      <c r="A525" t="inlineStr">
        <is>
          <t>Hill's Vet Essentials</t>
        </is>
      </c>
      <c r="B525" t="inlineStr">
        <is>
          <t>בוגר ומבוגר חתול Dental - עוף</t>
        </is>
      </c>
      <c r="C525" t="inlineStr">
        <is>
          <t>שיניים</t>
        </is>
      </c>
      <c r="E525" t="inlineStr">
        <is>
          <t>2026-04</t>
        </is>
      </c>
      <c r="F525" t="n">
        <v>148</v>
      </c>
      <c r="G525" t="n">
        <v>174.64</v>
      </c>
      <c r="H525">
        <f>הגדרות!B6</f>
        <v/>
      </c>
      <c r="I525">
        <f>F525*(1-H525/100)*1.18</f>
        <v/>
      </c>
      <c r="J525">
        <f>הגדרות!C6</f>
        <v/>
      </c>
      <c r="K525">
        <f>הגדרות!D6</f>
        <v/>
      </c>
      <c r="L525">
        <f>I525*(1+J525/100)+K525</f>
        <v/>
      </c>
    </row>
    <row r="526">
      <c r="A526" t="inlineStr">
        <is>
          <t>Hill's Vet Essentials</t>
        </is>
      </c>
      <c r="B526" t="inlineStr">
        <is>
          <t>בוגר ומבוגר חתול Dental - עוף</t>
        </is>
      </c>
      <c r="C526" t="inlineStr">
        <is>
          <t>שיניים</t>
        </is>
      </c>
      <c r="E526" t="inlineStr">
        <is>
          <t>2026-04</t>
        </is>
      </c>
      <c r="F526" t="n">
        <v>261</v>
      </c>
      <c r="G526" t="n">
        <v>307.98</v>
      </c>
      <c r="H526">
        <f>הגדרות!B6</f>
        <v/>
      </c>
      <c r="I526">
        <f>F526*(1-H526/100)*1.18</f>
        <v/>
      </c>
      <c r="J526">
        <f>הגדרות!C6</f>
        <v/>
      </c>
      <c r="K526">
        <f>הגדרות!D6</f>
        <v/>
      </c>
      <c r="L526">
        <f>I526*(1+J526/100)+K526</f>
        <v/>
      </c>
    </row>
    <row r="527">
      <c r="A527" t="inlineStr">
        <is>
          <t>Hill's Vet Essentials</t>
        </is>
      </c>
      <c r="B527" t="inlineStr">
        <is>
          <t>בוגר חתול לבקרת משקל - טונה</t>
        </is>
      </c>
      <c r="C527" t="inlineStr">
        <is>
          <t>השמנה / ירידה במשקל</t>
        </is>
      </c>
      <c r="E527" t="inlineStr">
        <is>
          <t>2026-04</t>
        </is>
      </c>
      <c r="F527" t="n">
        <v>145</v>
      </c>
      <c r="G527" t="n">
        <v>171.1</v>
      </c>
      <c r="H527">
        <f>הגדרות!B6</f>
        <v/>
      </c>
      <c r="I527">
        <f>F527*(1-H527/100)*1.18</f>
        <v/>
      </c>
      <c r="J527">
        <f>הגדרות!C6</f>
        <v/>
      </c>
      <c r="K527">
        <f>הגדרות!D6</f>
        <v/>
      </c>
      <c r="L527">
        <f>I527*(1+J527/100)+K527</f>
        <v/>
      </c>
    </row>
    <row r="528">
      <c r="A528" t="inlineStr">
        <is>
          <t>Hill's Vet Essentials</t>
        </is>
      </c>
      <c r="B528" t="inlineStr">
        <is>
          <t>סניור חתול לתמיכה בהזדקנות - עוף</t>
        </is>
      </c>
      <c r="C528" t="inlineStr">
        <is>
          <t>מזון רגיל</t>
        </is>
      </c>
      <c r="E528" t="inlineStr">
        <is>
          <t>2026-04</t>
        </is>
      </c>
      <c r="F528" t="n">
        <v>146</v>
      </c>
      <c r="G528" t="n">
        <v>172.28</v>
      </c>
      <c r="H528">
        <f>הגדרות!B6</f>
        <v/>
      </c>
      <c r="I528">
        <f>F528*(1-H528/100)*1.18</f>
        <v/>
      </c>
      <c r="J528">
        <f>הגדרות!C6</f>
        <v/>
      </c>
      <c r="K528">
        <f>הגדרות!D6</f>
        <v/>
      </c>
      <c r="L528">
        <f>I528*(1+J528/100)+K528</f>
        <v/>
      </c>
    </row>
    <row r="529">
      <c r="A529" t="inlineStr">
        <is>
          <t>VetLife</t>
        </is>
      </c>
      <c r="B529" t="inlineStr">
        <is>
          <t>וטלייף היפואלרגני דג ותפו"א כלב 12 ק"ג</t>
        </is>
      </c>
      <c r="D529" t="inlineStr">
        <is>
          <t>5560189</t>
        </is>
      </c>
      <c r="E529" t="inlineStr">
        <is>
          <t>2025-02</t>
        </is>
      </c>
      <c r="F529" t="n">
        <v>539.74</v>
      </c>
      <c r="G529" t="n">
        <v>636.89</v>
      </c>
      <c r="H529">
        <f>הגדרות!B7</f>
        <v/>
      </c>
      <c r="I529">
        <f>F529*(1-H529/100)*1.18</f>
        <v/>
      </c>
      <c r="J529">
        <f>הגדרות!C7</f>
        <v/>
      </c>
      <c r="K529">
        <f>הגדרות!D7</f>
        <v/>
      </c>
      <c r="L529">
        <f>I529*(1+J529/100)+K529</f>
        <v/>
      </c>
    </row>
    <row r="530">
      <c r="A530" t="inlineStr">
        <is>
          <t>VetLife</t>
        </is>
      </c>
      <c r="B530" t="inlineStr">
        <is>
          <t>וטלייף היפואלרגני ביצה ואורז כלב 12 ק"ג</t>
        </is>
      </c>
      <c r="D530" t="inlineStr">
        <is>
          <t>5560190</t>
        </is>
      </c>
      <c r="E530" t="inlineStr">
        <is>
          <t>2025-02</t>
        </is>
      </c>
      <c r="F530" t="n">
        <v>539.74</v>
      </c>
      <c r="G530" t="n">
        <v>636.89</v>
      </c>
      <c r="H530">
        <f>הגדרות!B7</f>
        <v/>
      </c>
      <c r="I530">
        <f>F530*(1-H530/100)*1.18</f>
        <v/>
      </c>
      <c r="J530">
        <f>הגדרות!C7</f>
        <v/>
      </c>
      <c r="K530">
        <f>הגדרות!D7</f>
        <v/>
      </c>
      <c r="L530">
        <f>I530*(1+J530/100)+K530</f>
        <v/>
      </c>
    </row>
    <row r="531">
      <c r="A531" t="inlineStr">
        <is>
          <t>VetLife</t>
        </is>
      </c>
      <c r="B531" t="inlineStr">
        <is>
          <t>וטלייף אולטרהיפו כלב 12 ק"ג</t>
        </is>
      </c>
      <c r="D531" t="inlineStr">
        <is>
          <t>5560191</t>
        </is>
      </c>
      <c r="E531" t="inlineStr">
        <is>
          <t>2025-02</t>
        </is>
      </c>
      <c r="F531" t="n">
        <v>583.08</v>
      </c>
      <c r="G531" t="n">
        <v>688.03</v>
      </c>
      <c r="H531">
        <f>הגדרות!B7</f>
        <v/>
      </c>
      <c r="I531">
        <f>F531*(1-H531/100)*1.18</f>
        <v/>
      </c>
      <c r="J531">
        <f>הגדרות!C7</f>
        <v/>
      </c>
      <c r="K531">
        <f>הגדרות!D7</f>
        <v/>
      </c>
      <c r="L531">
        <f>I531*(1+J531/100)+K531</f>
        <v/>
      </c>
    </row>
    <row r="532">
      <c r="A532" t="inlineStr">
        <is>
          <t>VetLife</t>
        </is>
      </c>
      <c r="B532" t="inlineStr">
        <is>
          <t>וטלייף גסטרו אינטסטינל כלב 12 ק"ג</t>
        </is>
      </c>
      <c r="D532" t="inlineStr">
        <is>
          <t>5560192</t>
        </is>
      </c>
      <c r="E532" t="inlineStr">
        <is>
          <t>2025-02</t>
        </is>
      </c>
      <c r="F532" t="n">
        <v>539.74</v>
      </c>
      <c r="G532" t="n">
        <v>636.89</v>
      </c>
      <c r="H532">
        <f>הגדרות!B7</f>
        <v/>
      </c>
      <c r="I532">
        <f>F532*(1-H532/100)*1.18</f>
        <v/>
      </c>
      <c r="J532">
        <f>הגדרות!C7</f>
        <v/>
      </c>
      <c r="K532">
        <f>הגדרות!D7</f>
        <v/>
      </c>
      <c r="L532">
        <f>I532*(1+J532/100)+K532</f>
        <v/>
      </c>
    </row>
    <row r="533">
      <c r="A533" t="inlineStr">
        <is>
          <t>VetLife</t>
        </is>
      </c>
      <c r="B533" t="inlineStr">
        <is>
          <t>וטלייף גסטרו אינטסטינל כלב 2 ק"ג</t>
        </is>
      </c>
      <c r="D533" t="inlineStr">
        <is>
          <t>5560193</t>
        </is>
      </c>
      <c r="E533" t="inlineStr">
        <is>
          <t>2025-02</t>
        </is>
      </c>
      <c r="F533" t="n">
        <v>135.19</v>
      </c>
      <c r="G533" t="n">
        <v>159.52</v>
      </c>
      <c r="H533">
        <f>הגדרות!B7</f>
        <v/>
      </c>
      <c r="I533">
        <f>F533*(1-H533/100)*1.18</f>
        <v/>
      </c>
      <c r="J533">
        <f>הגדרות!C7</f>
        <v/>
      </c>
      <c r="K533">
        <f>הגדרות!D7</f>
        <v/>
      </c>
      <c r="L533">
        <f>I533*(1+J533/100)+K533</f>
        <v/>
      </c>
    </row>
    <row r="534">
      <c r="A534" t="inlineStr">
        <is>
          <t>VetLife</t>
        </is>
      </c>
      <c r="B534" t="inlineStr">
        <is>
          <t>וטלייף אובסיטי כלב 12 ק"ג</t>
        </is>
      </c>
      <c r="D534" t="inlineStr">
        <is>
          <t>5560194</t>
        </is>
      </c>
      <c r="E534" t="inlineStr">
        <is>
          <t>2025-02</t>
        </is>
      </c>
      <c r="F534" t="n">
        <v>518.0599999999999</v>
      </c>
      <c r="G534" t="n">
        <v>611.3099999999999</v>
      </c>
      <c r="H534">
        <f>הגדרות!B7</f>
        <v/>
      </c>
      <c r="I534">
        <f>F534*(1-H534/100)*1.18</f>
        <v/>
      </c>
      <c r="J534">
        <f>הגדרות!C7</f>
        <v/>
      </c>
      <c r="K534">
        <f>הגדרות!D7</f>
        <v/>
      </c>
      <c r="L534">
        <f>I534*(1+J534/100)+K534</f>
        <v/>
      </c>
    </row>
    <row r="535">
      <c r="A535" t="inlineStr">
        <is>
          <t>VetLife</t>
        </is>
      </c>
      <c r="B535" t="inlineStr">
        <is>
          <t>וטלייף רנאל כלב 12 ק"ג</t>
        </is>
      </c>
      <c r="D535" t="inlineStr">
        <is>
          <t>5560195</t>
        </is>
      </c>
      <c r="E535" t="inlineStr">
        <is>
          <t>2025-02</t>
        </is>
      </c>
      <c r="F535" t="n">
        <v>539.74</v>
      </c>
      <c r="G535" t="n">
        <v>636.89</v>
      </c>
      <c r="H535">
        <f>הגדרות!B7</f>
        <v/>
      </c>
      <c r="I535">
        <f>F535*(1-H535/100)*1.18</f>
        <v/>
      </c>
      <c r="J535">
        <f>הגדרות!C7</f>
        <v/>
      </c>
      <c r="K535">
        <f>הגדרות!D7</f>
        <v/>
      </c>
      <c r="L535">
        <f>I535*(1+J535/100)+K535</f>
        <v/>
      </c>
    </row>
    <row r="536">
      <c r="A536" t="inlineStr">
        <is>
          <t>VetLife</t>
        </is>
      </c>
      <c r="B536" t="inlineStr">
        <is>
          <t>וטלייף סטרוויט כלב 12 ק"ג</t>
        </is>
      </c>
      <c r="D536" t="inlineStr">
        <is>
          <t>5560196</t>
        </is>
      </c>
      <c r="E536" t="inlineStr">
        <is>
          <t>2025-02</t>
        </is>
      </c>
      <c r="F536" t="n">
        <v>539.74</v>
      </c>
      <c r="G536" t="n">
        <v>636.89</v>
      </c>
      <c r="H536">
        <f>הגדרות!B7</f>
        <v/>
      </c>
      <c r="I536">
        <f>F536*(1-H536/100)*1.18</f>
        <v/>
      </c>
      <c r="J536">
        <f>הגדרות!C7</f>
        <v/>
      </c>
      <c r="K536">
        <f>הגדרות!D7</f>
        <v/>
      </c>
      <c r="L536">
        <f>I536*(1+J536/100)+K536</f>
        <v/>
      </c>
    </row>
    <row r="537">
      <c r="A537" t="inlineStr">
        <is>
          <t>VetLife</t>
        </is>
      </c>
      <c r="B537" t="inlineStr">
        <is>
          <t>וטלייף סטרוויט כלב 2 ק"ג</t>
        </is>
      </c>
      <c r="D537" t="inlineStr">
        <is>
          <t>5560197</t>
        </is>
      </c>
      <c r="E537" t="inlineStr">
        <is>
          <t>2025-02</t>
        </is>
      </c>
      <c r="F537" t="n">
        <v>135.19</v>
      </c>
      <c r="G537" t="n">
        <v>159.52</v>
      </c>
      <c r="H537">
        <f>הגדרות!B7</f>
        <v/>
      </c>
      <c r="I537">
        <f>F537*(1-H537/100)*1.18</f>
        <v/>
      </c>
      <c r="J537">
        <f>הגדרות!C7</f>
        <v/>
      </c>
      <c r="K537">
        <f>הגדרות!D7</f>
        <v/>
      </c>
      <c r="L537">
        <f>I537*(1+J537/100)+K537</f>
        <v/>
      </c>
    </row>
    <row r="538">
      <c r="A538" t="inlineStr">
        <is>
          <t>VetLife</t>
        </is>
      </c>
      <c r="B538" t="inlineStr">
        <is>
          <t>וטלייף אולטרהיפו כלב 2 ק"ג</t>
        </is>
      </c>
      <c r="D538" t="inlineStr">
        <is>
          <t>5560198</t>
        </is>
      </c>
      <c r="E538" t="inlineStr">
        <is>
          <t>2025-02</t>
        </is>
      </c>
      <c r="F538" t="n">
        <v>160.99</v>
      </c>
      <c r="G538" t="n">
        <v>189.97</v>
      </c>
      <c r="H538">
        <f>הגדרות!B7</f>
        <v/>
      </c>
      <c r="I538">
        <f>F538*(1-H538/100)*1.18</f>
        <v/>
      </c>
      <c r="J538">
        <f>הגדרות!C7</f>
        <v/>
      </c>
      <c r="K538">
        <f>הגדרות!D7</f>
        <v/>
      </c>
      <c r="L538">
        <f>I538*(1+J538/100)+K538</f>
        <v/>
      </c>
    </row>
    <row r="539">
      <c r="A539" t="inlineStr">
        <is>
          <t>VetLife</t>
        </is>
      </c>
      <c r="B539" t="inlineStr">
        <is>
          <t>וטלייף היפואלרגני דג תפו"א כלב 2 ק"ג</t>
        </is>
      </c>
      <c r="D539" t="inlineStr">
        <is>
          <t>5560199</t>
        </is>
      </c>
      <c r="E539" t="inlineStr">
        <is>
          <t>2025-02</t>
        </is>
      </c>
      <c r="F539" t="n">
        <v>139.32</v>
      </c>
      <c r="G539" t="n">
        <v>164.4</v>
      </c>
      <c r="H539">
        <f>הגדרות!B7</f>
        <v/>
      </c>
      <c r="I539">
        <f>F539*(1-H539/100)*1.18</f>
        <v/>
      </c>
      <c r="J539">
        <f>הגדרות!C7</f>
        <v/>
      </c>
      <c r="K539">
        <f>הגדרות!D7</f>
        <v/>
      </c>
      <c r="L539">
        <f>I539*(1+J539/100)+K539</f>
        <v/>
      </c>
    </row>
    <row r="540">
      <c r="A540" t="inlineStr">
        <is>
          <t>VetLife</t>
        </is>
      </c>
      <c r="B540" t="inlineStr">
        <is>
          <t>וטלייף סטרוויט מנג'מנט חתול 5 ק"ג</t>
        </is>
      </c>
      <c r="D540" t="inlineStr">
        <is>
          <t>5560200</t>
        </is>
      </c>
      <c r="E540" t="inlineStr">
        <is>
          <t>2025-02</t>
        </is>
      </c>
      <c r="F540" t="n">
        <v>298.25</v>
      </c>
      <c r="G540" t="n">
        <v>351.94</v>
      </c>
      <c r="H540">
        <f>הגדרות!B7</f>
        <v/>
      </c>
      <c r="I540">
        <f>F540*(1-H540/100)*1.18</f>
        <v/>
      </c>
      <c r="J540">
        <f>הגדרות!C7</f>
        <v/>
      </c>
      <c r="K540">
        <f>הגדרות!D7</f>
        <v/>
      </c>
      <c r="L540">
        <f>I540*(1+J540/100)+K540</f>
        <v/>
      </c>
    </row>
    <row r="541">
      <c r="A541" t="inlineStr">
        <is>
          <t>VetLife</t>
        </is>
      </c>
      <c r="B541" t="inlineStr">
        <is>
          <t>וטלייף מנג'מנט סטרוויט כלב 12 ק"ג</t>
        </is>
      </c>
      <c r="D541" t="inlineStr">
        <is>
          <t>5560201</t>
        </is>
      </c>
      <c r="E541" t="inlineStr">
        <is>
          <t>2025-02</t>
        </is>
      </c>
      <c r="F541" t="n">
        <v>539.74</v>
      </c>
      <c r="G541" t="n">
        <v>636.89</v>
      </c>
      <c r="H541">
        <f>הגדרות!B7</f>
        <v/>
      </c>
      <c r="I541">
        <f>F541*(1-H541/100)*1.18</f>
        <v/>
      </c>
      <c r="J541">
        <f>הגדרות!C7</f>
        <v/>
      </c>
      <c r="K541">
        <f>הגדרות!D7</f>
        <v/>
      </c>
      <c r="L541">
        <f>I541*(1+J541/100)+K541</f>
        <v/>
      </c>
    </row>
    <row r="542">
      <c r="A542" t="inlineStr">
        <is>
          <t>VetLife</t>
        </is>
      </c>
      <c r="B542" t="inlineStr">
        <is>
          <t>וטלייף חתולה מעוקרת 5 ק"ג</t>
        </is>
      </c>
      <c r="D542" t="inlineStr">
        <is>
          <t>5560213</t>
        </is>
      </c>
      <c r="E542" t="inlineStr">
        <is>
          <t>2025-02</t>
        </is>
      </c>
      <c r="F542" t="n">
        <v>323.02</v>
      </c>
      <c r="G542" t="n">
        <v>381.16</v>
      </c>
      <c r="H542">
        <f>הגדרות!B7</f>
        <v/>
      </c>
      <c r="I542">
        <f>F542*(1-H542/100)*1.18</f>
        <v/>
      </c>
      <c r="J542">
        <f>הגדרות!C7</f>
        <v/>
      </c>
      <c r="K542">
        <f>הגדרות!D7</f>
        <v/>
      </c>
      <c r="L542">
        <f>I542*(1+J542/100)+K542</f>
        <v/>
      </c>
    </row>
    <row r="543">
      <c r="A543" t="inlineStr">
        <is>
          <t>VetLife</t>
        </is>
      </c>
      <c r="B543" t="inlineStr">
        <is>
          <t>וטלייף חתול מסורס 5 ק"ג</t>
        </is>
      </c>
      <c r="D543" t="inlineStr">
        <is>
          <t>5560214</t>
        </is>
      </c>
      <c r="E543" t="inlineStr">
        <is>
          <t>2025-02</t>
        </is>
      </c>
      <c r="F543" t="n">
        <v>323.02</v>
      </c>
      <c r="G543" t="n">
        <v>381.16</v>
      </c>
      <c r="H543">
        <f>הגדרות!B7</f>
        <v/>
      </c>
      <c r="I543">
        <f>F543*(1-H543/100)*1.18</f>
        <v/>
      </c>
      <c r="J543">
        <f>הגדרות!C7</f>
        <v/>
      </c>
      <c r="K543">
        <f>הגדרות!D7</f>
        <v/>
      </c>
      <c r="L543">
        <f>I543*(1+J543/100)+K543</f>
        <v/>
      </c>
    </row>
    <row r="544">
      <c r="A544" t="inlineStr">
        <is>
          <t>VetLife</t>
        </is>
      </c>
      <c r="B544" t="inlineStr">
        <is>
          <t>וטלייף רנאל חתול 5 ק"ג</t>
        </is>
      </c>
      <c r="D544" t="inlineStr">
        <is>
          <t>5560215</t>
        </is>
      </c>
      <c r="E544" t="inlineStr">
        <is>
          <t>2025-02</t>
        </is>
      </c>
      <c r="F544" t="n">
        <v>323.02</v>
      </c>
      <c r="G544" t="n">
        <v>381.16</v>
      </c>
      <c r="H544">
        <f>הגדרות!B7</f>
        <v/>
      </c>
      <c r="I544">
        <f>F544*(1-H544/100)*1.18</f>
        <v/>
      </c>
      <c r="J544">
        <f>הגדרות!C7</f>
        <v/>
      </c>
      <c r="K544">
        <f>הגדרות!D7</f>
        <v/>
      </c>
      <c r="L544">
        <f>I544*(1+J544/100)+K544</f>
        <v/>
      </c>
    </row>
    <row r="545">
      <c r="A545" t="inlineStr">
        <is>
          <t>VetLife</t>
        </is>
      </c>
      <c r="B545" t="inlineStr">
        <is>
          <t>וטלייף הפטיק כלב 12 ק"ג</t>
        </is>
      </c>
      <c r="D545" t="inlineStr">
        <is>
          <t>5560216</t>
        </is>
      </c>
      <c r="E545" t="inlineStr">
        <is>
          <t>2025-02</t>
        </is>
      </c>
      <c r="F545" t="n">
        <v>507.74</v>
      </c>
      <c r="G545" t="n">
        <v>599.13</v>
      </c>
      <c r="H545">
        <f>הגדרות!B7</f>
        <v/>
      </c>
      <c r="I545">
        <f>F545*(1-H545/100)*1.18</f>
        <v/>
      </c>
      <c r="J545">
        <f>הגדרות!C7</f>
        <v/>
      </c>
      <c r="K545">
        <f>הגדרות!D7</f>
        <v/>
      </c>
      <c r="L545">
        <f>I545*(1+J545/100)+K545</f>
        <v/>
      </c>
    </row>
    <row r="546">
      <c r="A546" t="inlineStr">
        <is>
          <t>VetLife</t>
        </is>
      </c>
      <c r="B546" t="inlineStr">
        <is>
          <t>וטלייף גסטרו אינטסטינל חתול 5 ק"ג</t>
        </is>
      </c>
      <c r="D546" t="inlineStr">
        <is>
          <t>5560217</t>
        </is>
      </c>
      <c r="E546" t="inlineStr">
        <is>
          <t>2025-02</t>
        </is>
      </c>
      <c r="F546" t="n">
        <v>323.02</v>
      </c>
      <c r="G546" t="n">
        <v>381.16</v>
      </c>
      <c r="H546">
        <f>הגדרות!B7</f>
        <v/>
      </c>
      <c r="I546">
        <f>F546*(1-H546/100)*1.18</f>
        <v/>
      </c>
      <c r="J546">
        <f>הגדרות!C7</f>
        <v/>
      </c>
      <c r="K546">
        <f>הגדרות!D7</f>
        <v/>
      </c>
      <c r="L546">
        <f>I546*(1+J546/100)+K546</f>
        <v/>
      </c>
    </row>
    <row r="547">
      <c r="A547" t="inlineStr">
        <is>
          <t>VetLife</t>
        </is>
      </c>
      <c r="B547" t="inlineStr">
        <is>
          <t>וטלייף ג'וינט מפרקים כלב 12 ק"ג</t>
        </is>
      </c>
      <c r="D547" t="inlineStr">
        <is>
          <t>5560218</t>
        </is>
      </c>
      <c r="E547" t="inlineStr">
        <is>
          <t>2025-02</t>
        </is>
      </c>
      <c r="F547" t="n">
        <v>539.74</v>
      </c>
      <c r="G547" t="n">
        <v>636.89</v>
      </c>
      <c r="H547">
        <f>הגדרות!B7</f>
        <v/>
      </c>
      <c r="I547">
        <f>F547*(1-H547/100)*1.18</f>
        <v/>
      </c>
      <c r="J547">
        <f>הגדרות!C7</f>
        <v/>
      </c>
      <c r="K547">
        <f>הגדרות!D7</f>
        <v/>
      </c>
      <c r="L547">
        <f>I547*(1+J547/100)+K547</f>
        <v/>
      </c>
    </row>
    <row r="548">
      <c r="A548" t="inlineStr">
        <is>
          <t>VetLife</t>
        </is>
      </c>
      <c r="B548" t="inlineStr">
        <is>
          <t>וטלייף אובסיטי חתול 5 ק"ג</t>
        </is>
      </c>
      <c r="D548" t="inlineStr">
        <is>
          <t>5560219</t>
        </is>
      </c>
      <c r="E548" t="inlineStr">
        <is>
          <t>2025-02</t>
        </is>
      </c>
      <c r="F548" t="n">
        <v>323.02</v>
      </c>
      <c r="G548" t="n">
        <v>381.16</v>
      </c>
      <c r="H548">
        <f>הגדרות!B7</f>
        <v/>
      </c>
      <c r="I548">
        <f>F548*(1-H548/100)*1.18</f>
        <v/>
      </c>
      <c r="J548">
        <f>הגדרות!C7</f>
        <v/>
      </c>
      <c r="K548">
        <f>הגדרות!D7</f>
        <v/>
      </c>
      <c r="L548">
        <f>I548*(1+J548/100)+K548</f>
        <v/>
      </c>
    </row>
    <row r="549">
      <c r="A549" t="inlineStr">
        <is>
          <t>VetLife</t>
        </is>
      </c>
      <c r="B549" t="inlineStr">
        <is>
          <t>וטלייף גסטרו אינטסטינל חתול 2 ק"ג</t>
        </is>
      </c>
      <c r="D549" t="inlineStr">
        <is>
          <t>5560220</t>
        </is>
      </c>
      <c r="E549" t="inlineStr">
        <is>
          <t>2025-02</t>
        </is>
      </c>
      <c r="F549" t="n">
        <v>146.54</v>
      </c>
      <c r="G549" t="n">
        <v>172.92</v>
      </c>
      <c r="H549">
        <f>הגדרות!B7</f>
        <v/>
      </c>
      <c r="I549">
        <f>F549*(1-H549/100)*1.18</f>
        <v/>
      </c>
      <c r="J549">
        <f>הגדרות!C7</f>
        <v/>
      </c>
      <c r="K549">
        <f>הגדרות!D7</f>
        <v/>
      </c>
      <c r="L549">
        <f>I549*(1+J549/100)+K549</f>
        <v/>
      </c>
    </row>
    <row r="550">
      <c r="A550" t="inlineStr">
        <is>
          <t>VetLife</t>
        </is>
      </c>
      <c r="B550" t="inlineStr">
        <is>
          <t>וטלייף אובסיטי חתול 2 ק"ג</t>
        </is>
      </c>
      <c r="D550" t="inlineStr">
        <is>
          <t>5560221</t>
        </is>
      </c>
      <c r="E550" t="inlineStr">
        <is>
          <t>2025-02</t>
        </is>
      </c>
      <c r="F550" t="n">
        <v>146.54</v>
      </c>
      <c r="G550" t="n">
        <v>172.92</v>
      </c>
      <c r="H550">
        <f>הגדרות!B7</f>
        <v/>
      </c>
      <c r="I550">
        <f>F550*(1-H550/100)*1.18</f>
        <v/>
      </c>
      <c r="J550">
        <f>הגדרות!C7</f>
        <v/>
      </c>
      <c r="K550">
        <f>הגדרות!D7</f>
        <v/>
      </c>
      <c r="L550">
        <f>I550*(1+J550/100)+K550</f>
        <v/>
      </c>
    </row>
    <row r="551">
      <c r="A551" t="inlineStr">
        <is>
          <t>VetLife</t>
        </is>
      </c>
      <c r="B551" t="inlineStr">
        <is>
          <t>וטלייף רנאל חתול 2 ק"ג</t>
        </is>
      </c>
      <c r="D551" t="inlineStr">
        <is>
          <t>5560222</t>
        </is>
      </c>
      <c r="E551" t="inlineStr">
        <is>
          <t>2025-02</t>
        </is>
      </c>
      <c r="F551" t="n">
        <v>146.54</v>
      </c>
      <c r="G551" t="n">
        <v>172.92</v>
      </c>
      <c r="H551">
        <f>הגדרות!B7</f>
        <v/>
      </c>
      <c r="I551">
        <f>F551*(1-H551/100)*1.18</f>
        <v/>
      </c>
      <c r="J551">
        <f>הגדרות!C7</f>
        <v/>
      </c>
      <c r="K551">
        <f>הגדרות!D7</f>
        <v/>
      </c>
      <c r="L551">
        <f>I551*(1+J551/100)+K551</f>
        <v/>
      </c>
    </row>
    <row r="552">
      <c r="A552" t="inlineStr">
        <is>
          <t>VetLife</t>
        </is>
      </c>
      <c r="B552" t="inlineStr">
        <is>
          <t>וטלייף סטרוויט חתול 2 ק"ג</t>
        </is>
      </c>
      <c r="D552" t="inlineStr">
        <is>
          <t>5560223</t>
        </is>
      </c>
      <c r="E552" t="inlineStr">
        <is>
          <t>2025-02</t>
        </is>
      </c>
      <c r="F552" t="n">
        <v>146.54</v>
      </c>
      <c r="G552" t="n">
        <v>172.92</v>
      </c>
      <c r="H552">
        <f>הגדרות!B7</f>
        <v/>
      </c>
      <c r="I552">
        <f>F552*(1-H552/100)*1.18</f>
        <v/>
      </c>
      <c r="J552">
        <f>הגדרות!C7</f>
        <v/>
      </c>
      <c r="K552">
        <f>הגדרות!D7</f>
        <v/>
      </c>
      <c r="L552">
        <f>I552*(1+J552/100)+K552</f>
        <v/>
      </c>
    </row>
    <row r="553">
      <c r="A553" t="inlineStr">
        <is>
          <t>VetLife</t>
        </is>
      </c>
      <c r="B553" t="inlineStr">
        <is>
          <t>וטלייף דיאבטיק (סוכרת) חתול 2 ק"ג</t>
        </is>
      </c>
      <c r="D553" t="inlineStr">
        <is>
          <t>5560224</t>
        </is>
      </c>
      <c r="E553" t="inlineStr">
        <is>
          <t>2025-02</t>
        </is>
      </c>
      <c r="F553" t="n">
        <v>146.54</v>
      </c>
      <c r="G553" t="n">
        <v>172.92</v>
      </c>
      <c r="H553">
        <f>הגדרות!B7</f>
        <v/>
      </c>
      <c r="I553">
        <f>F553*(1-H553/100)*1.18</f>
        <v/>
      </c>
      <c r="J553">
        <f>הגדרות!C7</f>
        <v/>
      </c>
      <c r="K553">
        <f>הגדרות!D7</f>
        <v/>
      </c>
      <c r="L553">
        <f>I553*(1+J553/100)+K553</f>
        <v/>
      </c>
    </row>
    <row r="554">
      <c r="A554" t="inlineStr">
        <is>
          <t>VetLife</t>
        </is>
      </c>
      <c r="B554" t="inlineStr">
        <is>
          <t>וטלייף מנג'מנט סטרוויט כלב 2 ק"ג</t>
        </is>
      </c>
      <c r="D554" t="inlineStr">
        <is>
          <t>5560225</t>
        </is>
      </c>
      <c r="E554" t="inlineStr">
        <is>
          <t>2025-02</t>
        </is>
      </c>
      <c r="F554" t="n">
        <v>135.19</v>
      </c>
      <c r="G554" t="n">
        <v>159.52</v>
      </c>
      <c r="H554">
        <f>הגדרות!B7</f>
        <v/>
      </c>
      <c r="I554">
        <f>F554*(1-H554/100)*1.18</f>
        <v/>
      </c>
      <c r="J554">
        <f>הגדרות!C7</f>
        <v/>
      </c>
      <c r="K554">
        <f>הגדרות!D7</f>
        <v/>
      </c>
      <c r="L554">
        <f>I554*(1+J554/100)+K554</f>
        <v/>
      </c>
    </row>
    <row r="555">
      <c r="A555" t="inlineStr">
        <is>
          <t>VetLife</t>
        </is>
      </c>
      <c r="B555" t="inlineStr">
        <is>
          <t>וטלייף ג'וינט מפרקים כלב 2 ק"ג</t>
        </is>
      </c>
      <c r="D555" t="inlineStr">
        <is>
          <t>5560226</t>
        </is>
      </c>
      <c r="E555" t="inlineStr">
        <is>
          <t>2025-02</t>
        </is>
      </c>
      <c r="F555" t="n">
        <v>135.19</v>
      </c>
      <c r="G555" t="n">
        <v>159.52</v>
      </c>
      <c r="H555">
        <f>הגדרות!B7</f>
        <v/>
      </c>
      <c r="I555">
        <f>F555*(1-H555/100)*1.18</f>
        <v/>
      </c>
      <c r="J555">
        <f>הגדרות!C7</f>
        <v/>
      </c>
      <c r="K555">
        <f>הגדרות!D7</f>
        <v/>
      </c>
      <c r="L555">
        <f>I555*(1+J555/100)+K555</f>
        <v/>
      </c>
    </row>
    <row r="556">
      <c r="A556" t="inlineStr">
        <is>
          <t>VetLife</t>
        </is>
      </c>
      <c r="B556" t="inlineStr">
        <is>
          <t>וטלייף אולטרהיפו חתול 2 ק"ג</t>
        </is>
      </c>
      <c r="D556" t="inlineStr">
        <is>
          <t>5560227</t>
        </is>
      </c>
      <c r="E556" t="inlineStr">
        <is>
          <t>2025-02</t>
        </is>
      </c>
      <c r="F556" t="n">
        <v>172.34</v>
      </c>
      <c r="G556" t="n">
        <v>203.36</v>
      </c>
      <c r="H556">
        <f>הגדרות!B7</f>
        <v/>
      </c>
      <c r="I556">
        <f>F556*(1-H556/100)*1.18</f>
        <v/>
      </c>
      <c r="J556">
        <f>הגדרות!C7</f>
        <v/>
      </c>
      <c r="K556">
        <f>הגדרות!D7</f>
        <v/>
      </c>
      <c r="L556">
        <f>I556*(1+J556/100)+K556</f>
        <v/>
      </c>
    </row>
    <row r="557">
      <c r="A557" t="inlineStr">
        <is>
          <t>VetLife</t>
        </is>
      </c>
      <c r="B557" t="inlineStr">
        <is>
          <t>וטלייף סטרוויט מנג'מנט חתול 2 ק"ג</t>
        </is>
      </c>
      <c r="D557" t="inlineStr">
        <is>
          <t>5560228</t>
        </is>
      </c>
      <c r="E557" t="inlineStr">
        <is>
          <t>2025-02</t>
        </is>
      </c>
      <c r="F557" t="n">
        <v>146.54</v>
      </c>
      <c r="G557" t="n">
        <v>172.92</v>
      </c>
      <c r="H557">
        <f>הגדרות!B7</f>
        <v/>
      </c>
      <c r="I557">
        <f>F557*(1-H557/100)*1.18</f>
        <v/>
      </c>
      <c r="J557">
        <f>הגדרות!C7</f>
        <v/>
      </c>
      <c r="K557">
        <f>הגדרות!D7</f>
        <v/>
      </c>
      <c r="L557">
        <f>I557*(1+J557/100)+K557</f>
        <v/>
      </c>
    </row>
    <row r="558">
      <c r="A558" t="inlineStr">
        <is>
          <t>VetLife</t>
        </is>
      </c>
      <c r="B558" t="inlineStr">
        <is>
          <t>וטלייף רנאל כלב 2 ק"ג</t>
        </is>
      </c>
      <c r="D558" t="inlineStr">
        <is>
          <t>5560229</t>
        </is>
      </c>
      <c r="E558" t="inlineStr">
        <is>
          <t>2025-02</t>
        </is>
      </c>
      <c r="F558" t="n">
        <v>135.19</v>
      </c>
      <c r="G558" t="n">
        <v>159.52</v>
      </c>
      <c r="H558">
        <f>הגדרות!B7</f>
        <v/>
      </c>
      <c r="I558">
        <f>F558*(1-H558/100)*1.18</f>
        <v/>
      </c>
      <c r="J558">
        <f>הגדרות!C7</f>
        <v/>
      </c>
      <c r="K558">
        <f>הגדרות!D7</f>
        <v/>
      </c>
      <c r="L558">
        <f>I558*(1+J558/100)+K558</f>
        <v/>
      </c>
    </row>
    <row r="559">
      <c r="A559" t="inlineStr">
        <is>
          <t>VetLife</t>
        </is>
      </c>
      <c r="B559" t="inlineStr">
        <is>
          <t>וטלייף הפטיק חתול 2 ק"ג</t>
        </is>
      </c>
      <c r="D559" t="inlineStr">
        <is>
          <t>5560230</t>
        </is>
      </c>
      <c r="E559" t="inlineStr">
        <is>
          <t>2025-02</t>
        </is>
      </c>
      <c r="F559" t="n">
        <v>135.19</v>
      </c>
      <c r="G559" t="n">
        <v>159.52</v>
      </c>
      <c r="H559">
        <f>הגדרות!B7</f>
        <v/>
      </c>
      <c r="I559">
        <f>F559*(1-H559/100)*1.18</f>
        <v/>
      </c>
      <c r="J559">
        <f>הגדרות!C7</f>
        <v/>
      </c>
      <c r="K559">
        <f>הגדרות!D7</f>
        <v/>
      </c>
      <c r="L559">
        <f>I559*(1+J559/100)+K559</f>
        <v/>
      </c>
    </row>
    <row r="560">
      <c r="A560" t="inlineStr">
        <is>
          <t>VetLife</t>
        </is>
      </c>
      <c r="B560" t="inlineStr">
        <is>
          <t>וטלייף סטרוויט מנג'מנט חתול 10 ק"ג</t>
        </is>
      </c>
      <c r="D560" t="inlineStr">
        <is>
          <t>5560231</t>
        </is>
      </c>
      <c r="E560" t="inlineStr">
        <is>
          <t>2025-02</t>
        </is>
      </c>
      <c r="F560" t="n">
        <v>535.61</v>
      </c>
      <c r="G560" t="n">
        <v>632.02</v>
      </c>
      <c r="H560">
        <f>הגדרות!B7</f>
        <v/>
      </c>
      <c r="I560">
        <f>F560*(1-H560/100)*1.18</f>
        <v/>
      </c>
      <c r="J560">
        <f>הגדרות!C7</f>
        <v/>
      </c>
      <c r="K560">
        <f>הגדרות!D7</f>
        <v/>
      </c>
      <c r="L560">
        <f>I560*(1+J560/100)+K560</f>
        <v/>
      </c>
    </row>
    <row r="561">
      <c r="A561" t="inlineStr">
        <is>
          <t>VetLife</t>
        </is>
      </c>
      <c r="B561" t="inlineStr">
        <is>
          <t>וטלייף דיאבטיק כלב 12 ק"ג</t>
        </is>
      </c>
      <c r="D561" t="inlineStr">
        <is>
          <t>5560232</t>
        </is>
      </c>
      <c r="E561" t="inlineStr">
        <is>
          <t>2025-02</t>
        </is>
      </c>
      <c r="F561" t="n">
        <v>539.74</v>
      </c>
      <c r="G561" t="n">
        <v>636.89</v>
      </c>
      <c r="H561">
        <f>הגדרות!B7</f>
        <v/>
      </c>
      <c r="I561">
        <f>F561*(1-H561/100)*1.18</f>
        <v/>
      </c>
      <c r="J561">
        <f>הגדרות!C7</f>
        <v/>
      </c>
      <c r="K561">
        <f>הגדרות!D7</f>
        <v/>
      </c>
      <c r="L561">
        <f>I561*(1+J561/100)+K561</f>
        <v/>
      </c>
    </row>
    <row r="562">
      <c r="A562" t="inlineStr">
        <is>
          <t>VetLife</t>
        </is>
      </c>
      <c r="B562" t="inlineStr">
        <is>
          <t>וטלייף דיאבטיק כלב 2 ק"ג</t>
        </is>
      </c>
      <c r="D562" t="inlineStr">
        <is>
          <t>5560233</t>
        </is>
      </c>
      <c r="E562" t="inlineStr">
        <is>
          <t>2025-02</t>
        </is>
      </c>
      <c r="F562" t="n">
        <v>135.19</v>
      </c>
      <c r="G562" t="n">
        <v>159.52</v>
      </c>
      <c r="H562">
        <f>הגדרות!B7</f>
        <v/>
      </c>
      <c r="I562">
        <f>F562*(1-H562/100)*1.18</f>
        <v/>
      </c>
      <c r="J562">
        <f>הגדרות!C7</f>
        <v/>
      </c>
      <c r="K562">
        <f>הגדרות!D7</f>
        <v/>
      </c>
      <c r="L562">
        <f>I562*(1+J562/100)+K562</f>
        <v/>
      </c>
    </row>
    <row r="563">
      <c r="A563" t="inlineStr">
        <is>
          <t>VetLife</t>
        </is>
      </c>
      <c r="B563" t="inlineStr">
        <is>
          <t>וטלייף אובסיטי דגים כלב 2 ק"ג</t>
        </is>
      </c>
      <c r="D563" t="inlineStr">
        <is>
          <t>5560234</t>
        </is>
      </c>
      <c r="E563" t="inlineStr">
        <is>
          <t>2025-02</t>
        </is>
      </c>
      <c r="F563" t="n">
        <v>146.54</v>
      </c>
      <c r="G563" t="n">
        <v>172.92</v>
      </c>
      <c r="H563">
        <f>הגדרות!B7</f>
        <v/>
      </c>
      <c r="I563">
        <f>F563*(1-H563/100)*1.18</f>
        <v/>
      </c>
      <c r="J563">
        <f>הגדרות!C7</f>
        <v/>
      </c>
      <c r="K563">
        <f>הגדרות!D7</f>
        <v/>
      </c>
      <c r="L563">
        <f>I563*(1+J563/100)+K563</f>
        <v/>
      </c>
    </row>
    <row r="564">
      <c r="A564" t="inlineStr">
        <is>
          <t>VetLife</t>
        </is>
      </c>
      <c r="B564" t="inlineStr">
        <is>
          <t>וטלייף היפואלרגני חזיר -תפו"א כלב 2 ק"ג</t>
        </is>
      </c>
      <c r="D564" t="inlineStr">
        <is>
          <t>5560235</t>
        </is>
      </c>
      <c r="E564" t="inlineStr">
        <is>
          <t>2025-02</t>
        </is>
      </c>
      <c r="F564" t="n">
        <v>139.32</v>
      </c>
      <c r="G564" t="n">
        <v>164.4</v>
      </c>
      <c r="H564">
        <f>הגדרות!B7</f>
        <v/>
      </c>
      <c r="I564">
        <f>F564*(1-H564/100)*1.18</f>
        <v/>
      </c>
      <c r="J564">
        <f>הגדרות!C7</f>
        <v/>
      </c>
      <c r="K564">
        <f>הגדרות!D7</f>
        <v/>
      </c>
      <c r="L564">
        <f>I564*(1+J564/100)+K564</f>
        <v/>
      </c>
    </row>
    <row r="565">
      <c r="A565" t="inlineStr">
        <is>
          <t>VetLife</t>
        </is>
      </c>
      <c r="B565" t="inlineStr">
        <is>
          <t>וטלייף אובסיטי כלב 2 ק"ג</t>
        </is>
      </c>
      <c r="D565" t="inlineStr">
        <is>
          <t>5560236</t>
        </is>
      </c>
      <c r="E565" t="inlineStr">
        <is>
          <t>2025-02</t>
        </is>
      </c>
      <c r="F565" t="n">
        <v>124.87</v>
      </c>
      <c r="G565" t="n">
        <v>147.35</v>
      </c>
      <c r="H565">
        <f>הגדרות!B7</f>
        <v/>
      </c>
      <c r="I565">
        <f>F565*(1-H565/100)*1.18</f>
        <v/>
      </c>
      <c r="J565">
        <f>הגדרות!C7</f>
        <v/>
      </c>
      <c r="K565">
        <f>הגדרות!D7</f>
        <v/>
      </c>
      <c r="L565">
        <f>I565*(1+J565/100)+K565</f>
        <v/>
      </c>
    </row>
    <row r="566">
      <c r="A566" t="inlineStr">
        <is>
          <t>VetLife</t>
        </is>
      </c>
      <c r="B566" t="inlineStr">
        <is>
          <t>וטלייף אובסיטי דג כלב 12 ק"ג</t>
        </is>
      </c>
      <c r="D566" t="inlineStr">
        <is>
          <t>5560399</t>
        </is>
      </c>
      <c r="E566" t="inlineStr">
        <is>
          <t>2025-02</t>
        </is>
      </c>
      <c r="F566" t="n">
        <v>539.74</v>
      </c>
      <c r="G566" t="n">
        <v>636.89</v>
      </c>
      <c r="H566">
        <f>הגדרות!B7</f>
        <v/>
      </c>
      <c r="I566">
        <f>F566*(1-H566/100)*1.18</f>
        <v/>
      </c>
      <c r="J566">
        <f>הגדרות!C7</f>
        <v/>
      </c>
      <c r="K566">
        <f>הגדרות!D7</f>
        <v/>
      </c>
      <c r="L566">
        <f>I566*(1+J566/100)+K566</f>
        <v/>
      </c>
    </row>
    <row r="567">
      <c r="A567" t="inlineStr">
        <is>
          <t>VetLife</t>
        </is>
      </c>
      <c r="B567" t="inlineStr">
        <is>
          <t>ווטלייף קרדיאק 2 ק"ג</t>
        </is>
      </c>
      <c r="D567" t="inlineStr">
        <is>
          <t>5560482</t>
        </is>
      </c>
      <c r="E567" t="inlineStr">
        <is>
          <t>2025-02</t>
        </is>
      </c>
      <c r="F567" t="n">
        <v>135.19</v>
      </c>
      <c r="G567" t="n">
        <v>159.52</v>
      </c>
      <c r="H567">
        <f>הגדרות!B7</f>
        <v/>
      </c>
      <c r="I567">
        <f>F567*(1-H567/100)*1.18</f>
        <v/>
      </c>
      <c r="J567">
        <f>הגדרות!C7</f>
        <v/>
      </c>
      <c r="K567">
        <f>הגדרות!D7</f>
        <v/>
      </c>
      <c r="L567">
        <f>I567*(1+J567/100)+K567</f>
        <v/>
      </c>
    </row>
    <row r="568">
      <c r="A568" t="inlineStr">
        <is>
          <t>VetLife</t>
        </is>
      </c>
      <c r="B568" t="inlineStr">
        <is>
          <t>ווטלייף גסטרואינטסטינל גורים 2 ק"ג</t>
        </is>
      </c>
      <c r="D568" t="inlineStr">
        <is>
          <t>5560483</t>
        </is>
      </c>
      <c r="E568" t="inlineStr">
        <is>
          <t>2025-02</t>
        </is>
      </c>
      <c r="F568" t="n">
        <v>135.19</v>
      </c>
      <c r="G568" t="n">
        <v>159.52</v>
      </c>
      <c r="H568">
        <f>הגדרות!B7</f>
        <v/>
      </c>
      <c r="I568">
        <f>F568*(1-H568/100)*1.18</f>
        <v/>
      </c>
      <c r="J568">
        <f>הגדרות!C7</f>
        <v/>
      </c>
      <c r="K568">
        <f>הגדרות!D7</f>
        <v/>
      </c>
      <c r="L568">
        <f>I568*(1+J568/100)+K568</f>
        <v/>
      </c>
    </row>
    <row r="569">
      <c r="A569" t="inlineStr">
        <is>
          <t>VetLife</t>
        </is>
      </c>
      <c r="B569" t="inlineStr">
        <is>
          <t>ווטלייף היפואלרגני חזיר תפוא חתול 1.5קג</t>
        </is>
      </c>
      <c r="D569" t="inlineStr">
        <is>
          <t>5560484</t>
        </is>
      </c>
      <c r="E569" t="inlineStr">
        <is>
          <t>2025-02</t>
        </is>
      </c>
      <c r="F569" t="n">
        <v>122.81</v>
      </c>
      <c r="G569" t="n">
        <v>144.92</v>
      </c>
      <c r="H569">
        <f>הגדרות!B7</f>
        <v/>
      </c>
      <c r="I569">
        <f>F569*(1-H569/100)*1.18</f>
        <v/>
      </c>
      <c r="J569">
        <f>הגדרות!C7</f>
        <v/>
      </c>
      <c r="K569">
        <f>הגדרות!D7</f>
        <v/>
      </c>
      <c r="L569">
        <f>I569*(1+J569/100)+K569</f>
        <v/>
      </c>
    </row>
    <row r="570">
      <c r="A570" t="inlineStr">
        <is>
          <t>VetLife</t>
        </is>
      </c>
      <c r="B570" t="inlineStr">
        <is>
          <t>ווטלייף אוקסלט 2 ק"ג</t>
        </is>
      </c>
      <c r="D570" t="inlineStr">
        <is>
          <t>5560490</t>
        </is>
      </c>
      <c r="E570" t="inlineStr">
        <is>
          <t>2025-02</t>
        </is>
      </c>
      <c r="F570" t="n">
        <v>135.19</v>
      </c>
      <c r="G570" t="n">
        <v>159.52</v>
      </c>
      <c r="H570">
        <f>הגדרות!B7</f>
        <v/>
      </c>
      <c r="I570">
        <f>F570*(1-H570/100)*1.18</f>
        <v/>
      </c>
      <c r="J570">
        <f>הגדרות!C7</f>
        <v/>
      </c>
      <c r="K570">
        <f>הגדרות!D7</f>
        <v/>
      </c>
      <c r="L570">
        <f>I570*(1+J570/100)+K570</f>
        <v/>
      </c>
    </row>
    <row r="571">
      <c r="A571" t="inlineStr">
        <is>
          <t>VetLife</t>
        </is>
      </c>
      <c r="B571" t="inlineStr">
        <is>
          <t>וטלייף שימור קונבלסנס(ריקברי) חתול 85 ג'</t>
        </is>
      </c>
      <c r="D571" t="inlineStr">
        <is>
          <t>5560204</t>
        </is>
      </c>
      <c r="E571" t="inlineStr">
        <is>
          <t>2025-02</t>
        </is>
      </c>
      <c r="F571" t="n">
        <v>9.289999999999999</v>
      </c>
      <c r="G571" t="n">
        <v>10.96</v>
      </c>
      <c r="H571">
        <f>הגדרות!B7</f>
        <v/>
      </c>
      <c r="I571">
        <f>F571*(1-H571/100)*1.18</f>
        <v/>
      </c>
      <c r="J571">
        <f>הגדרות!C7</f>
        <v/>
      </c>
      <c r="K571">
        <f>הגדרות!D7</f>
        <v/>
      </c>
      <c r="L571">
        <f>I571*(1+J571/100)+K571</f>
        <v/>
      </c>
    </row>
    <row r="572">
      <c r="A572" t="inlineStr">
        <is>
          <t>VetLife</t>
        </is>
      </c>
      <c r="B572" t="inlineStr">
        <is>
          <t>וטלייף שימורים גסטרו חתול 85ג'</t>
        </is>
      </c>
      <c r="D572" t="inlineStr">
        <is>
          <t>5560205</t>
        </is>
      </c>
      <c r="E572" t="inlineStr">
        <is>
          <t>2025-02</t>
        </is>
      </c>
      <c r="F572" t="n">
        <v>9.289999999999999</v>
      </c>
      <c r="G572" t="n">
        <v>10.96</v>
      </c>
      <c r="H572">
        <f>הגדרות!B7</f>
        <v/>
      </c>
      <c r="I572">
        <f>F572*(1-H572/100)*1.18</f>
        <v/>
      </c>
      <c r="J572">
        <f>הגדרות!C7</f>
        <v/>
      </c>
      <c r="K572">
        <f>הגדרות!D7</f>
        <v/>
      </c>
      <c r="L572">
        <f>I572*(1+J572/100)+K572</f>
        <v/>
      </c>
    </row>
    <row r="573">
      <c r="A573" t="inlineStr">
        <is>
          <t>VetLife</t>
        </is>
      </c>
      <c r="B573" t="inlineStr">
        <is>
          <t>וטלייף שימורים רנאל חתול 85ג'</t>
        </is>
      </c>
      <c r="D573" t="inlineStr">
        <is>
          <t>5560206</t>
        </is>
      </c>
      <c r="E573" t="inlineStr">
        <is>
          <t>2025-02</t>
        </is>
      </c>
      <c r="F573" t="n">
        <v>9.289999999999999</v>
      </c>
      <c r="G573" t="n">
        <v>10.96</v>
      </c>
      <c r="H573">
        <f>הגדרות!B7</f>
        <v/>
      </c>
      <c r="I573">
        <f>F573*(1-H573/100)*1.18</f>
        <v/>
      </c>
      <c r="J573">
        <f>הגדרות!C7</f>
        <v/>
      </c>
      <c r="K573">
        <f>הגדרות!D7</f>
        <v/>
      </c>
      <c r="L573">
        <f>I573*(1+J573/100)+K573</f>
        <v/>
      </c>
    </row>
    <row r="574">
      <c r="A574" t="inlineStr">
        <is>
          <t>VetLife</t>
        </is>
      </c>
      <c r="B574" t="inlineStr">
        <is>
          <t>וטלייף שימורים סטרוויט חתול 85ג'</t>
        </is>
      </c>
      <c r="D574" t="inlineStr">
        <is>
          <t>5560207</t>
        </is>
      </c>
      <c r="E574" t="inlineStr">
        <is>
          <t>2025-02</t>
        </is>
      </c>
      <c r="F574" t="n">
        <v>9.289999999999999</v>
      </c>
      <c r="G574" t="n">
        <v>10.96</v>
      </c>
      <c r="H574">
        <f>הגדרות!B7</f>
        <v/>
      </c>
      <c r="I574">
        <f>F574*(1-H574/100)*1.18</f>
        <v/>
      </c>
      <c r="J574">
        <f>הגדרות!C7</f>
        <v/>
      </c>
      <c r="K574">
        <f>הגדרות!D7</f>
        <v/>
      </c>
      <c r="L574">
        <f>I574*(1+J574/100)+K574</f>
        <v/>
      </c>
    </row>
    <row r="575">
      <c r="A575" t="inlineStr">
        <is>
          <t>VetLife</t>
        </is>
      </c>
      <c r="B575" t="inlineStr">
        <is>
          <t>וט לייף שימורים אובסיטי חתול 85 גרם</t>
        </is>
      </c>
      <c r="D575" t="inlineStr">
        <is>
          <t>5560393</t>
        </is>
      </c>
      <c r="E575" t="inlineStr">
        <is>
          <t>2025-02</t>
        </is>
      </c>
      <c r="F575" t="n">
        <v>9.289999999999999</v>
      </c>
      <c r="G575" t="n">
        <v>10.96</v>
      </c>
      <c r="H575">
        <f>הגדרות!B7</f>
        <v/>
      </c>
      <c r="I575">
        <f>F575*(1-H575/100)*1.18</f>
        <v/>
      </c>
      <c r="J575">
        <f>הגדרות!C7</f>
        <v/>
      </c>
      <c r="K575">
        <f>הגדרות!D7</f>
        <v/>
      </c>
      <c r="L575">
        <f>I575*(1+J575/100)+K575</f>
        <v/>
      </c>
    </row>
    <row r="576">
      <c r="A576" t="inlineStr">
        <is>
          <t>VetLife</t>
        </is>
      </c>
      <c r="B576" t="inlineStr">
        <is>
          <t>ווטלייף שימור היפואלרגניק חזיר חתול 85גר</t>
        </is>
      </c>
      <c r="D576" t="inlineStr">
        <is>
          <t>5560469</t>
        </is>
      </c>
      <c r="E576" t="inlineStr">
        <is>
          <t>2025-02</t>
        </is>
      </c>
      <c r="F576" t="n">
        <v>9.289999999999999</v>
      </c>
      <c r="G576" t="n">
        <v>10.96</v>
      </c>
      <c r="H576">
        <f>הגדרות!B7</f>
        <v/>
      </c>
      <c r="I576">
        <f>F576*(1-H576/100)*1.18</f>
        <v/>
      </c>
      <c r="J576">
        <f>הגדרות!C7</f>
        <v/>
      </c>
      <c r="K576">
        <f>הגדרות!D7</f>
        <v/>
      </c>
      <c r="L576">
        <f>I576*(1+J576/100)+K576</f>
        <v/>
      </c>
    </row>
    <row r="577">
      <c r="A577" t="inlineStr">
        <is>
          <t>VetLife</t>
        </is>
      </c>
      <c r="B577" t="inlineStr">
        <is>
          <t>ווטלייף שימור סטרוויט מנג'מנט חתול 85גר</t>
        </is>
      </c>
      <c r="D577" t="inlineStr">
        <is>
          <t>5560470</t>
        </is>
      </c>
      <c r="E577" t="inlineStr">
        <is>
          <t>2025-02</t>
        </is>
      </c>
      <c r="F577" t="n">
        <v>9.289999999999999</v>
      </c>
      <c r="G577" t="n">
        <v>10.96</v>
      </c>
      <c r="H577">
        <f>הגדרות!B7</f>
        <v/>
      </c>
      <c r="I577">
        <f>F577*(1-H577/100)*1.18</f>
        <v/>
      </c>
      <c r="J577">
        <f>הגדרות!C7</f>
        <v/>
      </c>
      <c r="K577">
        <f>הגדרות!D7</f>
        <v/>
      </c>
      <c r="L577">
        <f>I577*(1+J577/100)+K577</f>
        <v/>
      </c>
    </row>
    <row r="578">
      <c r="A578" t="inlineStr">
        <is>
          <t>VetLife</t>
        </is>
      </c>
      <c r="B578" t="inlineStr">
        <is>
          <t>וטלייף שימור קונבלסנס (ריקברי) כלב 300 ג</t>
        </is>
      </c>
      <c r="D578" t="inlineStr">
        <is>
          <t>5560208</t>
        </is>
      </c>
      <c r="E578" t="inlineStr">
        <is>
          <t>2025-02</t>
        </is>
      </c>
      <c r="F578" t="n">
        <v>17.54</v>
      </c>
      <c r="G578" t="n">
        <v>20.7</v>
      </c>
      <c r="H578">
        <f>הגדרות!B7</f>
        <v/>
      </c>
      <c r="I578">
        <f>F578*(1-H578/100)*1.18</f>
        <v/>
      </c>
      <c r="J578">
        <f>הגדרות!C7</f>
        <v/>
      </c>
      <c r="K578">
        <f>הגדרות!D7</f>
        <v/>
      </c>
      <c r="L578">
        <f>I578*(1+J578/100)+K578</f>
        <v/>
      </c>
    </row>
    <row r="579">
      <c r="A579" t="inlineStr">
        <is>
          <t>VetLife</t>
        </is>
      </c>
      <c r="B579" t="inlineStr">
        <is>
          <t>וטלייף שימורים גסטרו כלב 300ג'</t>
        </is>
      </c>
      <c r="D579" t="inlineStr">
        <is>
          <t>5560209</t>
        </is>
      </c>
      <c r="E579" t="inlineStr">
        <is>
          <t>2025-02</t>
        </is>
      </c>
      <c r="F579" t="n">
        <v>17.54</v>
      </c>
      <c r="G579" t="n">
        <v>20.7</v>
      </c>
      <c r="H579">
        <f>הגדרות!B7</f>
        <v/>
      </c>
      <c r="I579">
        <f>F579*(1-H579/100)*1.18</f>
        <v/>
      </c>
      <c r="J579">
        <f>הגדרות!C7</f>
        <v/>
      </c>
      <c r="K579">
        <f>הגדרות!D7</f>
        <v/>
      </c>
      <c r="L579">
        <f>I579*(1+J579/100)+K579</f>
        <v/>
      </c>
    </row>
    <row r="580">
      <c r="A580" t="inlineStr">
        <is>
          <t>VetLife</t>
        </is>
      </c>
      <c r="B580" t="inlineStr">
        <is>
          <t>וטלייף שימורים היפואלרגני דג תפו"א 300ג'</t>
        </is>
      </c>
      <c r="D580" t="inlineStr">
        <is>
          <t>5560210</t>
        </is>
      </c>
      <c r="E580" t="inlineStr">
        <is>
          <t>2025-02</t>
        </is>
      </c>
      <c r="F580" t="n">
        <v>17.54</v>
      </c>
      <c r="G580" t="n">
        <v>20.7</v>
      </c>
      <c r="H580">
        <f>הגדרות!B7</f>
        <v/>
      </c>
      <c r="I580">
        <f>F580*(1-H580/100)*1.18</f>
        <v/>
      </c>
      <c r="J580">
        <f>הגדרות!C7</f>
        <v/>
      </c>
      <c r="K580">
        <f>הגדרות!D7</f>
        <v/>
      </c>
      <c r="L580">
        <f>I580*(1+J580/100)+K580</f>
        <v/>
      </c>
    </row>
    <row r="581">
      <c r="A581" t="inlineStr">
        <is>
          <t>VetLife</t>
        </is>
      </c>
      <c r="B581" t="inlineStr">
        <is>
          <t>וטלייף שימורים רנאל כלב 300ג'</t>
        </is>
      </c>
      <c r="D581" t="inlineStr">
        <is>
          <t>5560211</t>
        </is>
      </c>
      <c r="E581" t="inlineStr">
        <is>
          <t>2025-02</t>
        </is>
      </c>
      <c r="F581" t="n">
        <v>17.54</v>
      </c>
      <c r="G581" t="n">
        <v>20.7</v>
      </c>
      <c r="H581">
        <f>הגדרות!B7</f>
        <v/>
      </c>
      <c r="I581">
        <f>F581*(1-H581/100)*1.18</f>
        <v/>
      </c>
      <c r="J581">
        <f>הגדרות!C7</f>
        <v/>
      </c>
      <c r="K581">
        <f>הגדרות!D7</f>
        <v/>
      </c>
      <c r="L581">
        <f>I581*(1+J581/100)+K581</f>
        <v/>
      </c>
    </row>
    <row r="582">
      <c r="A582" t="inlineStr">
        <is>
          <t>VetLife</t>
        </is>
      </c>
      <c r="B582" t="inlineStr">
        <is>
          <t>וטלייף שימורים סטרוויט כלב 300ג'</t>
        </is>
      </c>
      <c r="D582" t="inlineStr">
        <is>
          <t>5560212</t>
        </is>
      </c>
      <c r="E582" t="inlineStr">
        <is>
          <t>2025-02</t>
        </is>
      </c>
      <c r="F582" t="n">
        <v>17.54</v>
      </c>
      <c r="G582" t="n">
        <v>20.7</v>
      </c>
      <c r="H582">
        <f>הגדרות!B7</f>
        <v/>
      </c>
      <c r="I582">
        <f>F582*(1-H582/100)*1.18</f>
        <v/>
      </c>
      <c r="J582">
        <f>הגדרות!C7</f>
        <v/>
      </c>
      <c r="K582">
        <f>הגדרות!D7</f>
        <v/>
      </c>
      <c r="L582">
        <f>I582*(1+J582/100)+K582</f>
        <v/>
      </c>
    </row>
    <row r="583">
      <c r="A583" t="inlineStr">
        <is>
          <t>VetLife</t>
        </is>
      </c>
      <c r="B583" t="inlineStr">
        <is>
          <t>וט לייף שימורים אובסיטי כלב 300 גרם</t>
        </is>
      </c>
      <c r="D583" t="inlineStr">
        <is>
          <t>5560394</t>
        </is>
      </c>
      <c r="E583" t="inlineStr">
        <is>
          <t>2025-02</t>
        </is>
      </c>
      <c r="F583" t="n">
        <v>17.54</v>
      </c>
      <c r="G583" t="n">
        <v>20.7</v>
      </c>
      <c r="H583">
        <f>הגדרות!B7</f>
        <v/>
      </c>
      <c r="I583">
        <f>F583*(1-H583/100)*1.18</f>
        <v/>
      </c>
      <c r="J583">
        <f>הגדרות!C7</f>
        <v/>
      </c>
      <c r="K583">
        <f>הגדרות!D7</f>
        <v/>
      </c>
      <c r="L583">
        <f>I583*(1+J583/100)+K583</f>
        <v/>
      </c>
    </row>
    <row r="584">
      <c r="A584" t="inlineStr">
        <is>
          <t>VetLife</t>
        </is>
      </c>
      <c r="B584" t="inlineStr">
        <is>
          <t>ווטלייף שימור אולטרהיפו 300 גר</t>
        </is>
      </c>
      <c r="D584" t="inlineStr">
        <is>
          <t>5560467</t>
        </is>
      </c>
      <c r="E584" t="inlineStr">
        <is>
          <t>2025-02</t>
        </is>
      </c>
      <c r="F584" t="n">
        <v>17.54</v>
      </c>
      <c r="G584" t="n">
        <v>20.7</v>
      </c>
      <c r="H584">
        <f>הגדרות!B7</f>
        <v/>
      </c>
      <c r="I584">
        <f>F584*(1-H584/100)*1.18</f>
        <v/>
      </c>
      <c r="J584">
        <f>הגדרות!C7</f>
        <v/>
      </c>
      <c r="K584">
        <f>הגדרות!D7</f>
        <v/>
      </c>
      <c r="L584">
        <f>I584*(1+J584/100)+K584</f>
        <v/>
      </c>
    </row>
    <row r="585">
      <c r="A585" t="inlineStr">
        <is>
          <t>VetLife</t>
        </is>
      </c>
      <c r="B585" t="inlineStr">
        <is>
          <t>ווטלייף שימור סטרוויט מנג'מנט 300גר</t>
        </is>
      </c>
      <c r="D585" t="inlineStr">
        <is>
          <t>5560468</t>
        </is>
      </c>
      <c r="E585" t="inlineStr">
        <is>
          <t>2025-02</t>
        </is>
      </c>
      <c r="F585" t="n">
        <v>17.54</v>
      </c>
      <c r="G585" t="n">
        <v>20.7</v>
      </c>
      <c r="H585">
        <f>הגדרות!B7</f>
        <v/>
      </c>
      <c r="I585">
        <f>F585*(1-H585/100)*1.18</f>
        <v/>
      </c>
      <c r="J585">
        <f>הגדרות!C7</f>
        <v/>
      </c>
      <c r="K585">
        <f>הגדרות!D7</f>
        <v/>
      </c>
      <c r="L585">
        <f>I585*(1+J585/100)+K585</f>
        <v/>
      </c>
    </row>
    <row r="586">
      <c r="A586" t="inlineStr">
        <is>
          <t>Purina Pro Plan VET</t>
        </is>
      </c>
      <c r="B586" t="inlineStr">
        <is>
          <t>פרו פלאן פאוצ' HYDRA CARE לחתול 75*10 גרם</t>
        </is>
      </c>
      <c r="D586" t="inlineStr">
        <is>
          <t>12619091</t>
        </is>
      </c>
      <c r="E586" t="inlineStr">
        <is>
          <t>2026-06</t>
        </is>
      </c>
      <c r="F586" t="n">
        <v>5.92</v>
      </c>
      <c r="G586" t="n">
        <v>6.99</v>
      </c>
      <c r="H586">
        <f>הגדרות!B8</f>
        <v/>
      </c>
      <c r="I586">
        <f>F586*(1-H586/100)*1.18</f>
        <v/>
      </c>
      <c r="J586">
        <f>הגדרות!C8</f>
        <v/>
      </c>
      <c r="K586">
        <f>הגדרות!D8</f>
        <v/>
      </c>
      <c r="L586">
        <f>I586*(1+J586/100)+K586</f>
        <v/>
      </c>
    </row>
    <row r="587">
      <c r="A587" t="inlineStr">
        <is>
          <t>Purina Pro Plan VET</t>
        </is>
      </c>
      <c r="B587" t="inlineStr">
        <is>
          <t>פרו פלאן "מזון יעודי" לחתול DM - לסיוע בטיפול בסוכרת</t>
        </is>
      </c>
      <c r="D587" t="inlineStr">
        <is>
          <t>12483229</t>
        </is>
      </c>
      <c r="E587" t="inlineStr">
        <is>
          <t>2026-06</t>
        </is>
      </c>
      <c r="F587" t="n">
        <v>76.06999999999999</v>
      </c>
      <c r="G587" t="n">
        <v>89.76000000000001</v>
      </c>
      <c r="H587">
        <f>הגדרות!B8</f>
        <v/>
      </c>
      <c r="I587">
        <f>F587*(1-H587/100)*1.18</f>
        <v/>
      </c>
      <c r="J587">
        <f>הגדרות!C8</f>
        <v/>
      </c>
      <c r="K587">
        <f>הגדרות!D8</f>
        <v/>
      </c>
      <c r="L587">
        <f>I587*(1+J587/100)+K587</f>
        <v/>
      </c>
    </row>
    <row r="588">
      <c r="A588" t="inlineStr">
        <is>
          <t>Purina Pro Plan VET</t>
        </is>
      </c>
      <c r="B588" t="inlineStr">
        <is>
          <t>פרו פלאן "מזון יעודי" לחתול DM - לסיוע בטיפול בסוכרת</t>
        </is>
      </c>
      <c r="D588" t="inlineStr">
        <is>
          <t>12500438</t>
        </is>
      </c>
      <c r="E588" t="inlineStr">
        <is>
          <t>2026-06</t>
        </is>
      </c>
      <c r="F588" t="n">
        <v>241.53</v>
      </c>
      <c r="G588" t="n">
        <v>285.01</v>
      </c>
      <c r="H588">
        <f>הגדרות!B8</f>
        <v/>
      </c>
      <c r="I588">
        <f>F588*(1-H588/100)*1.18</f>
        <v/>
      </c>
      <c r="J588">
        <f>הגדרות!C8</f>
        <v/>
      </c>
      <c r="K588">
        <f>הגדרות!D8</f>
        <v/>
      </c>
      <c r="L588">
        <f>I588*(1+J588/100)+K588</f>
        <v/>
      </c>
    </row>
    <row r="589">
      <c r="A589" t="inlineStr">
        <is>
          <t>Purina Pro Plan VET</t>
        </is>
      </c>
      <c r="B589" t="inlineStr">
        <is>
          <t>פרו פלאן "מזון יעודי" לחתול NF לטיפול במחלות כליה</t>
        </is>
      </c>
      <c r="D589" t="inlineStr">
        <is>
          <t>12499695</t>
        </is>
      </c>
      <c r="E589" t="inlineStr">
        <is>
          <t>2026-06</t>
        </is>
      </c>
      <c r="F589" t="n">
        <v>89.95</v>
      </c>
      <c r="G589" t="n">
        <v>106.14</v>
      </c>
      <c r="H589">
        <f>הגדרות!B8</f>
        <v/>
      </c>
      <c r="I589">
        <f>F589*(1-H589/100)*1.18</f>
        <v/>
      </c>
      <c r="J589">
        <f>הגדרות!C8</f>
        <v/>
      </c>
      <c r="K589">
        <f>הגדרות!D8</f>
        <v/>
      </c>
      <c r="L589">
        <f>I589*(1+J589/100)+K589</f>
        <v/>
      </c>
    </row>
    <row r="590">
      <c r="A590" t="inlineStr">
        <is>
          <t>Purina Pro Plan VET</t>
        </is>
      </c>
      <c r="B590" t="inlineStr">
        <is>
          <t>פרו פלאן "מזון יעודי" לחתול NF - לטיפול במחלות כליה</t>
        </is>
      </c>
      <c r="D590" t="inlineStr">
        <is>
          <t>12499857</t>
        </is>
      </c>
      <c r="E590" t="inlineStr">
        <is>
          <t>2026-06</t>
        </is>
      </c>
      <c r="F590" t="n">
        <v>187.43</v>
      </c>
      <c r="G590" t="n">
        <v>221.17</v>
      </c>
      <c r="H590">
        <f>הגדרות!B8</f>
        <v/>
      </c>
      <c r="I590">
        <f>F590*(1-H590/100)*1.18</f>
        <v/>
      </c>
      <c r="J590">
        <f>הגדרות!C8</f>
        <v/>
      </c>
      <c r="K590">
        <f>הגדרות!D8</f>
        <v/>
      </c>
      <c r="L590">
        <f>I590*(1+J590/100)+K590</f>
        <v/>
      </c>
    </row>
    <row r="591">
      <c r="A591" t="inlineStr">
        <is>
          <t>Purina Pro Plan VET</t>
        </is>
      </c>
      <c r="B591" t="inlineStr">
        <is>
          <t>פרו פלאן "מזון יעודי" לחתול HA לסיוע במניעת אלרגיה למזון</t>
        </is>
      </c>
      <c r="D591" t="inlineStr">
        <is>
          <t>12485187</t>
        </is>
      </c>
      <c r="E591" t="inlineStr">
        <is>
          <t>2026-06</t>
        </is>
      </c>
      <c r="F591" t="n">
        <v>104.48</v>
      </c>
      <c r="G591" t="n">
        <v>123.29</v>
      </c>
      <c r="H591">
        <f>הגדרות!B8</f>
        <v/>
      </c>
      <c r="I591">
        <f>F591*(1-H591/100)*1.18</f>
        <v/>
      </c>
      <c r="J591">
        <f>הגדרות!C8</f>
        <v/>
      </c>
      <c r="K591">
        <f>הגדרות!D8</f>
        <v/>
      </c>
      <c r="L591">
        <f>I591*(1+J591/100)+K591</f>
        <v/>
      </c>
    </row>
    <row r="592">
      <c r="A592" t="inlineStr">
        <is>
          <t>Purina Pro Plan VET</t>
        </is>
      </c>
      <c r="B592" t="inlineStr">
        <is>
          <t>פרו פלאן "מזון יעודי" לחתול HA לסיוע במניעת אלרגיה למזון</t>
        </is>
      </c>
      <c r="D592" t="inlineStr">
        <is>
          <t>12619882</t>
        </is>
      </c>
      <c r="E592" t="inlineStr">
        <is>
          <t>2026-06</t>
        </is>
      </c>
      <c r="F592" t="n">
        <v>247.74</v>
      </c>
      <c r="G592" t="n">
        <v>292.33</v>
      </c>
      <c r="H592">
        <f>הגדרות!B8</f>
        <v/>
      </c>
      <c r="I592">
        <f>F592*(1-H592/100)*1.18</f>
        <v/>
      </c>
      <c r="J592">
        <f>הגדרות!C8</f>
        <v/>
      </c>
      <c r="K592">
        <f>הגדרות!D8</f>
        <v/>
      </c>
      <c r="L592">
        <f>I592*(1+J592/100)+K592</f>
        <v/>
      </c>
    </row>
    <row r="593">
      <c r="A593" t="inlineStr">
        <is>
          <t>Purina Pro Plan VET</t>
        </is>
      </c>
      <c r="B593" t="inlineStr">
        <is>
          <t>פרו פלאן "מזון יעודי" לחתול דגי ים UR למניעת היווצרות קריסטלים בדרכי השתן</t>
        </is>
      </c>
      <c r="D593" t="inlineStr">
        <is>
          <t>12483400</t>
        </is>
      </c>
      <c r="E593" t="inlineStr">
        <is>
          <t>2026-06</t>
        </is>
      </c>
      <c r="F593" t="n">
        <v>79.08</v>
      </c>
      <c r="G593" t="n">
        <v>93.31</v>
      </c>
      <c r="H593">
        <f>הגדרות!B8</f>
        <v/>
      </c>
      <c r="I593">
        <f>F593*(1-H593/100)*1.18</f>
        <v/>
      </c>
      <c r="J593">
        <f>הגדרות!C8</f>
        <v/>
      </c>
      <c r="K593">
        <f>הגדרות!D8</f>
        <v/>
      </c>
      <c r="L593">
        <f>I593*(1+J593/100)+K593</f>
        <v/>
      </c>
    </row>
    <row r="594">
      <c r="A594" t="inlineStr">
        <is>
          <t>Purina Pro Plan VET</t>
        </is>
      </c>
      <c r="B594" t="inlineStr">
        <is>
          <t>פרו פלאן "מזון יעודי" לחתול דגי ים UR - למניעת היווצרות קריסטלים בדרכי השתן</t>
        </is>
      </c>
      <c r="D594" t="inlineStr">
        <is>
          <t>12484139</t>
        </is>
      </c>
      <c r="E594" t="inlineStr">
        <is>
          <t>2026-06</t>
        </is>
      </c>
      <c r="F594" t="n">
        <v>187.43</v>
      </c>
      <c r="G594" t="n">
        <v>221.17</v>
      </c>
      <c r="H594">
        <f>הגדרות!B8</f>
        <v/>
      </c>
      <c r="I594">
        <f>F594*(1-H594/100)*1.18</f>
        <v/>
      </c>
      <c r="J594">
        <f>הגדרות!C8</f>
        <v/>
      </c>
      <c r="K594">
        <f>הגדרות!D8</f>
        <v/>
      </c>
      <c r="L594">
        <f>I594*(1+J594/100)+K594</f>
        <v/>
      </c>
    </row>
    <row r="595">
      <c r="A595" t="inlineStr">
        <is>
          <t>Purina Pro Plan VET</t>
        </is>
      </c>
      <c r="B595" t="inlineStr">
        <is>
          <t>פרו פלאן "מזון יעודי" לחתול OM - לירידה ושמירה על משקל תקין</t>
        </is>
      </c>
      <c r="D595" t="inlineStr">
        <is>
          <t>12484875</t>
        </is>
      </c>
      <c r="E595" t="inlineStr">
        <is>
          <t>2026-06</t>
        </is>
      </c>
      <c r="F595" t="n">
        <v>198.45</v>
      </c>
      <c r="G595" t="n">
        <v>234.17</v>
      </c>
      <c r="H595">
        <f>הגדרות!B8</f>
        <v/>
      </c>
      <c r="I595">
        <f>F595*(1-H595/100)*1.18</f>
        <v/>
      </c>
      <c r="J595">
        <f>הגדרות!C8</f>
        <v/>
      </c>
      <c r="K595">
        <f>הגדרות!D8</f>
        <v/>
      </c>
      <c r="L595">
        <f>I595*(1+J595/100)+K595</f>
        <v/>
      </c>
    </row>
    <row r="596">
      <c r="A596" t="inlineStr">
        <is>
          <t>Purina Pro Plan VET</t>
        </is>
      </c>
      <c r="B596" t="inlineStr">
        <is>
          <t>פרו פלאן "מזון יעודי" לחתול EN - לתמיכה במערכת העיכול</t>
        </is>
      </c>
      <c r="D596" t="inlineStr">
        <is>
          <t>12483237</t>
        </is>
      </c>
      <c r="E596" t="inlineStr">
        <is>
          <t>2026-06</t>
        </is>
      </c>
      <c r="F596" t="n">
        <v>76.06999999999999</v>
      </c>
      <c r="G596" t="n">
        <v>89.76000000000001</v>
      </c>
      <c r="H596">
        <f>הגדרות!B8</f>
        <v/>
      </c>
      <c r="I596">
        <f>F596*(1-H596/100)*1.18</f>
        <v/>
      </c>
      <c r="J596">
        <f>הגדרות!C8</f>
        <v/>
      </c>
      <c r="K596">
        <f>הגדרות!D8</f>
        <v/>
      </c>
      <c r="L596">
        <f>I596*(1+J596/100)+K596</f>
        <v/>
      </c>
    </row>
    <row r="597">
      <c r="A597" t="inlineStr">
        <is>
          <t>Purina Pro Plan VET</t>
        </is>
      </c>
      <c r="B597" t="inlineStr">
        <is>
          <t>פרו פלאן "מזון יעודי" לחתול EN - לתמיכה במערכת העיכול</t>
        </is>
      </c>
      <c r="D597" t="inlineStr">
        <is>
          <t>12620304</t>
        </is>
      </c>
      <c r="E597" t="inlineStr">
        <is>
          <t>2026-06</t>
        </is>
      </c>
      <c r="F597" t="n">
        <v>253.56</v>
      </c>
      <c r="G597" t="n">
        <v>299.2</v>
      </c>
      <c r="H597">
        <f>הגדרות!B8</f>
        <v/>
      </c>
      <c r="I597">
        <f>F597*(1-H597/100)*1.18</f>
        <v/>
      </c>
      <c r="J597">
        <f>הגדרות!C8</f>
        <v/>
      </c>
      <c r="K597">
        <f>הגדרות!D8</f>
        <v/>
      </c>
      <c r="L597">
        <f>I597*(1+J597/100)+K597</f>
        <v/>
      </c>
    </row>
    <row r="598">
      <c r="A598" t="inlineStr">
        <is>
          <t>Purina Pro Plan VET</t>
        </is>
      </c>
      <c r="B598" t="inlineStr">
        <is>
          <t>פרו פלאן "מזון יעודי" לכלב UR - למניעת היווצרות קריסטלים בדרכי השתן</t>
        </is>
      </c>
      <c r="D598" t="inlineStr">
        <is>
          <t>12500925</t>
        </is>
      </c>
      <c r="E598" t="inlineStr">
        <is>
          <t>2026-06</t>
        </is>
      </c>
      <c r="F598" t="n">
        <v>407.12</v>
      </c>
      <c r="G598" t="n">
        <v>480.4</v>
      </c>
      <c r="H598">
        <f>הגדרות!B8</f>
        <v/>
      </c>
      <c r="I598">
        <f>F598*(1-H598/100)*1.18</f>
        <v/>
      </c>
      <c r="J598">
        <f>הגדרות!C8</f>
        <v/>
      </c>
      <c r="K598">
        <f>הגדרות!D8</f>
        <v/>
      </c>
      <c r="L598">
        <f>I598*(1+J598/100)+K598</f>
        <v/>
      </c>
    </row>
    <row r="599">
      <c r="A599" t="inlineStr">
        <is>
          <t>Purina Pro Plan VET</t>
        </is>
      </c>
      <c r="B599" t="inlineStr">
        <is>
          <t>פרו פלאן "מזון יעודי" לכלב JM - לתמיכה בדלקות פרקים</t>
        </is>
      </c>
      <c r="D599" t="inlineStr">
        <is>
          <t>12620192</t>
        </is>
      </c>
      <c r="E599" t="inlineStr">
        <is>
          <t>2026-06</t>
        </is>
      </c>
      <c r="F599" t="n">
        <v>383.67</v>
      </c>
      <c r="G599" t="n">
        <v>452.73</v>
      </c>
      <c r="H599">
        <f>הגדרות!B8</f>
        <v/>
      </c>
      <c r="I599">
        <f>F599*(1-H599/100)*1.18</f>
        <v/>
      </c>
      <c r="J599">
        <f>הגדרות!C8</f>
        <v/>
      </c>
      <c r="K599">
        <f>הגדרות!D8</f>
        <v/>
      </c>
      <c r="L599">
        <f>I599*(1+J599/100)+K599</f>
        <v/>
      </c>
    </row>
    <row r="600">
      <c r="A600" t="inlineStr">
        <is>
          <t>Purina Pro Plan VET</t>
        </is>
      </c>
      <c r="B600" t="inlineStr">
        <is>
          <t>פרו פלאן "מזון יעודי" לכלב NC - לסיוע בהתקפי אפילפסיה ותמיכה במערכת העצבים</t>
        </is>
      </c>
      <c r="D600" t="inlineStr">
        <is>
          <t>12484885</t>
        </is>
      </c>
      <c r="E600" t="inlineStr">
        <is>
          <t>2026-06</t>
        </is>
      </c>
      <c r="F600" t="n">
        <v>407.12</v>
      </c>
      <c r="G600" t="n">
        <v>480.4</v>
      </c>
      <c r="H600">
        <f>הגדרות!B8</f>
        <v/>
      </c>
      <c r="I600">
        <f>F600*(1-H600/100)*1.18</f>
        <v/>
      </c>
      <c r="J600">
        <f>הגדרות!C8</f>
        <v/>
      </c>
      <c r="K600">
        <f>הגדרות!D8</f>
        <v/>
      </c>
      <c r="L600">
        <f>I600*(1+J600/100)+K600</f>
        <v/>
      </c>
    </row>
    <row r="601">
      <c r="A601" t="inlineStr">
        <is>
          <t>Purina Pro Plan VET</t>
        </is>
      </c>
      <c r="B601" t="inlineStr">
        <is>
          <t>פרו פלאן "מזון יעודי" לכלב OM - לירידה ושמירה על משקל תקין</t>
        </is>
      </c>
      <c r="D601" t="inlineStr">
        <is>
          <t>12483425</t>
        </is>
      </c>
      <c r="E601" t="inlineStr">
        <is>
          <t>2026-06</t>
        </is>
      </c>
      <c r="F601" t="n">
        <v>130.91</v>
      </c>
      <c r="G601" t="n">
        <v>154.47</v>
      </c>
      <c r="H601">
        <f>הגדרות!B8</f>
        <v/>
      </c>
      <c r="I601">
        <f>F601*(1-H601/100)*1.18</f>
        <v/>
      </c>
      <c r="J601">
        <f>הגדרות!C8</f>
        <v/>
      </c>
      <c r="K601">
        <f>הגדרות!D8</f>
        <v/>
      </c>
      <c r="L601">
        <f>I601*(1+J601/100)+K601</f>
        <v/>
      </c>
    </row>
    <row r="602">
      <c r="A602" t="inlineStr">
        <is>
          <t>Purina Pro Plan VET</t>
        </is>
      </c>
      <c r="B602" t="inlineStr">
        <is>
          <t>פרו פלאן "מזון יעודי" לכלב OM - לירידה ושמירה על משקל תקין</t>
        </is>
      </c>
      <c r="D602" t="inlineStr">
        <is>
          <t>12484887</t>
        </is>
      </c>
      <c r="E602" t="inlineStr">
        <is>
          <t>2026-06</t>
        </is>
      </c>
      <c r="F602" t="n">
        <v>361.62</v>
      </c>
      <c r="G602" t="n">
        <v>426.71</v>
      </c>
      <c r="H602">
        <f>הגדרות!B8</f>
        <v/>
      </c>
      <c r="I602">
        <f>F602*(1-H602/100)*1.18</f>
        <v/>
      </c>
      <c r="J602">
        <f>הגדרות!C8</f>
        <v/>
      </c>
      <c r="K602">
        <f>הגדרות!D8</f>
        <v/>
      </c>
      <c r="L602">
        <f>I602*(1+J602/100)+K602</f>
        <v/>
      </c>
    </row>
    <row r="603">
      <c r="A603" t="inlineStr">
        <is>
          <t>Purina Pro Plan VET</t>
        </is>
      </c>
      <c r="B603" t="inlineStr">
        <is>
          <t>פרו פלאן "מזון יעודי" לכלב HA - לסיוע במניעת אלרגיה למזון</t>
        </is>
      </c>
      <c r="D603" t="inlineStr">
        <is>
          <t>12484160</t>
        </is>
      </c>
      <c r="E603" t="inlineStr">
        <is>
          <t>2026-06</t>
        </is>
      </c>
      <c r="F603" t="n">
        <v>79.23</v>
      </c>
      <c r="G603" t="n">
        <v>93.48999999999999</v>
      </c>
      <c r="H603">
        <f>הגדרות!B8</f>
        <v/>
      </c>
      <c r="I603">
        <f>F603*(1-H603/100)*1.18</f>
        <v/>
      </c>
      <c r="J603">
        <f>הגדרות!C8</f>
        <v/>
      </c>
      <c r="K603">
        <f>הגדרות!D8</f>
        <v/>
      </c>
      <c r="L603">
        <f>I603*(1+J603/100)+K603</f>
        <v/>
      </c>
    </row>
    <row r="604">
      <c r="A604" t="inlineStr">
        <is>
          <t>Purina Pro Plan VET</t>
        </is>
      </c>
      <c r="B604" t="inlineStr">
        <is>
          <t>פרו פלאן "מזון יעודי" לכלב HA - לסיוע במניעת אלרגיה למזון</t>
        </is>
      </c>
      <c r="D604" t="inlineStr">
        <is>
          <t>12483245</t>
        </is>
      </c>
      <c r="E604" t="inlineStr">
        <is>
          <t>2026-06</t>
        </is>
      </c>
      <c r="F604" t="n">
        <v>152.25</v>
      </c>
      <c r="G604" t="n">
        <v>179.66</v>
      </c>
      <c r="H604">
        <f>הגדרות!B8</f>
        <v/>
      </c>
      <c r="I604">
        <f>F604*(1-H604/100)*1.18</f>
        <v/>
      </c>
      <c r="J604">
        <f>הגדרות!C8</f>
        <v/>
      </c>
      <c r="K604">
        <f>הגדרות!D8</f>
        <v/>
      </c>
      <c r="L604">
        <f>I604*(1+J604/100)+K604</f>
        <v/>
      </c>
    </row>
    <row r="605">
      <c r="A605" t="inlineStr">
        <is>
          <t>Purina Pro Plan VET</t>
        </is>
      </c>
      <c r="B605" t="inlineStr">
        <is>
          <t>פרו פלאן "מזון יעודי" לכלב HA - לסיוע במניעת אלרגיה למזון</t>
        </is>
      </c>
      <c r="D605" t="inlineStr">
        <is>
          <t>12484156</t>
        </is>
      </c>
      <c r="E605" t="inlineStr">
        <is>
          <t>2026-06</t>
        </is>
      </c>
      <c r="F605" t="n">
        <v>448.28</v>
      </c>
      <c r="G605" t="n">
        <v>528.97</v>
      </c>
      <c r="H605">
        <f>הגדרות!B8</f>
        <v/>
      </c>
      <c r="I605">
        <f>F605*(1-H605/100)*1.18</f>
        <v/>
      </c>
      <c r="J605">
        <f>הגדרות!C8</f>
        <v/>
      </c>
      <c r="K605">
        <f>הגדרות!D8</f>
        <v/>
      </c>
      <c r="L605">
        <f>I605*(1+J605/100)+K605</f>
        <v/>
      </c>
    </row>
    <row r="606">
      <c r="A606" t="inlineStr">
        <is>
          <t>Purina Pro Plan VET</t>
        </is>
      </c>
      <c r="B606" t="inlineStr">
        <is>
          <t>פרו פלאן "מזון יעודי" לכלב EN - לתמיכה במערכת העיכול</t>
        </is>
      </c>
      <c r="D606" t="inlineStr">
        <is>
          <t>12483402</t>
        </is>
      </c>
      <c r="E606" t="inlineStr">
        <is>
          <t>2026-06</t>
        </is>
      </c>
      <c r="F606" t="n">
        <v>81.89</v>
      </c>
      <c r="G606" t="n">
        <v>96.63</v>
      </c>
      <c r="H606">
        <f>הגדרות!B8</f>
        <v/>
      </c>
      <c r="I606">
        <f>F606*(1-H606/100)*1.18</f>
        <v/>
      </c>
      <c r="J606">
        <f>הגדרות!C8</f>
        <v/>
      </c>
      <c r="K606">
        <f>הגדרות!D8</f>
        <v/>
      </c>
      <c r="L606">
        <f>I606*(1+J606/100)+K606</f>
        <v/>
      </c>
    </row>
    <row r="607">
      <c r="A607" t="inlineStr">
        <is>
          <t>Purina Pro Plan VET</t>
        </is>
      </c>
      <c r="B607" t="inlineStr">
        <is>
          <t>פרו פלאן "מזון יעודי" לכלב EN - לתמיכה במערכת העיכול</t>
        </is>
      </c>
      <c r="D607" t="inlineStr">
        <is>
          <t>12484151</t>
        </is>
      </c>
      <c r="E607" t="inlineStr">
        <is>
          <t>2026-06</t>
        </is>
      </c>
      <c r="F607" t="n">
        <v>183.86</v>
      </c>
      <c r="G607" t="n">
        <v>216.95</v>
      </c>
      <c r="H607">
        <f>הגדרות!B8</f>
        <v/>
      </c>
      <c r="I607">
        <f>F607*(1-H607/100)*1.18</f>
        <v/>
      </c>
      <c r="J607">
        <f>הגדרות!C8</f>
        <v/>
      </c>
      <c r="K607">
        <f>הגדרות!D8</f>
        <v/>
      </c>
      <c r="L607">
        <f>I607*(1+J607/100)+K607</f>
        <v/>
      </c>
    </row>
    <row r="608">
      <c r="A608" t="inlineStr">
        <is>
          <t>Purina Pro Plan VET</t>
        </is>
      </c>
      <c r="B608" t="inlineStr">
        <is>
          <t>פרו פלאן "מזון יעודי" לכלב EN - לתמיכה במערכת העיכול</t>
        </is>
      </c>
      <c r="D608" t="inlineStr">
        <is>
          <t>12484218</t>
        </is>
      </c>
      <c r="E608" t="inlineStr">
        <is>
          <t>2026-06</t>
        </is>
      </c>
      <c r="F608" t="n">
        <v>383.67</v>
      </c>
      <c r="G608" t="n">
        <v>452.73</v>
      </c>
      <c r="H608">
        <f>הגדרות!B8</f>
        <v/>
      </c>
      <c r="I608">
        <f>F608*(1-H608/100)*1.18</f>
        <v/>
      </c>
      <c r="J608">
        <f>הגדרות!C8</f>
        <v/>
      </c>
      <c r="K608">
        <f>הגדרות!D8</f>
        <v/>
      </c>
      <c r="L608">
        <f>I608*(1+J608/100)+K608</f>
        <v/>
      </c>
    </row>
    <row r="609">
      <c r="A609" t="inlineStr">
        <is>
          <t>Purina Pro Plan VET</t>
        </is>
      </c>
      <c r="B609" t="inlineStr">
        <is>
          <t>פרו פלאן "מזון יעודי" לכלב DRM - לטיפול ברגישות / אלרגיה עורית</t>
        </is>
      </c>
      <c r="D609" t="inlineStr">
        <is>
          <t>12483405</t>
        </is>
      </c>
      <c r="E609" t="inlineStr">
        <is>
          <t>2026-06</t>
        </is>
      </c>
      <c r="F609" t="n">
        <v>115.1</v>
      </c>
      <c r="G609" t="n">
        <v>135.82</v>
      </c>
      <c r="H609">
        <f>הגדרות!B8</f>
        <v/>
      </c>
      <c r="I609">
        <f>F609*(1-H609/100)*1.18</f>
        <v/>
      </c>
      <c r="J609">
        <f>הגדרות!C8</f>
        <v/>
      </c>
      <c r="K609">
        <f>הגדרות!D8</f>
        <v/>
      </c>
      <c r="L609">
        <f>I609*(1+J609/100)+K609</f>
        <v/>
      </c>
    </row>
    <row r="610">
      <c r="A610" t="inlineStr">
        <is>
          <t>Purina Pro Plan VET</t>
        </is>
      </c>
      <c r="B610" t="inlineStr">
        <is>
          <t>פרו פלאן "מזון יעודי" לכלב DRM - לטיפול ברגישות / אלרגיה עורית</t>
        </is>
      </c>
      <c r="D610" t="inlineStr">
        <is>
          <t>12483541</t>
        </is>
      </c>
      <c r="E610" t="inlineStr">
        <is>
          <t>2026-06</t>
        </is>
      </c>
      <c r="F610" t="n">
        <v>383.67</v>
      </c>
      <c r="G610" t="n">
        <v>452.73</v>
      </c>
      <c r="H610">
        <f>הגדרות!B8</f>
        <v/>
      </c>
      <c r="I610">
        <f>F610*(1-H610/100)*1.18</f>
        <v/>
      </c>
      <c r="J610">
        <f>הגדרות!C8</f>
        <v/>
      </c>
      <c r="K610">
        <f>הגדרות!D8</f>
        <v/>
      </c>
      <c r="L610">
        <f>I610*(1+J610/100)+K610</f>
        <v/>
      </c>
    </row>
    <row r="611">
      <c r="A611" t="inlineStr">
        <is>
          <t>Purina Pro Plan VET</t>
        </is>
      </c>
      <c r="B611" t="inlineStr">
        <is>
          <t>פרו פלאן "מזון יעודי" לכלב NF - לטיפול במחלות כליה</t>
        </is>
      </c>
      <c r="D611" t="inlineStr">
        <is>
          <t>12484894</t>
        </is>
      </c>
      <c r="E611" t="inlineStr">
        <is>
          <t>2026-06</t>
        </is>
      </c>
      <c r="F611" t="n">
        <v>365.4</v>
      </c>
      <c r="G611" t="n">
        <v>431.17</v>
      </c>
      <c r="H611">
        <f>הגדרות!B8</f>
        <v/>
      </c>
      <c r="I611">
        <f>F611*(1-H611/100)*1.18</f>
        <v/>
      </c>
      <c r="J611">
        <f>הגדרות!C8</f>
        <v/>
      </c>
      <c r="K611">
        <f>הגדרות!D8</f>
        <v/>
      </c>
      <c r="L611">
        <f>I611*(1+J611/100)+K611</f>
        <v/>
      </c>
    </row>
    <row r="612">
      <c r="A612" t="inlineStr">
        <is>
          <t>Purina Pro Plan VET</t>
        </is>
      </c>
      <c r="B612" t="inlineStr">
        <is>
          <t>פרו פלאן "מזון יעודי" לכלב NF - לטיפול במחלות כליה</t>
        </is>
      </c>
      <c r="D612" t="inlineStr">
        <is>
          <t>12483420</t>
        </is>
      </c>
      <c r="E612" t="inlineStr">
        <is>
          <t>2026-06</t>
        </is>
      </c>
      <c r="F612" t="n">
        <v>118.89</v>
      </c>
      <c r="G612" t="n">
        <v>140.29</v>
      </c>
      <c r="H612">
        <f>הגדרות!B8</f>
        <v/>
      </c>
      <c r="I612">
        <f>F612*(1-H612/100)*1.18</f>
        <v/>
      </c>
      <c r="J612">
        <f>הגדרות!C8</f>
        <v/>
      </c>
      <c r="K612">
        <f>הגדרות!D8</f>
        <v/>
      </c>
      <c r="L612">
        <f>I612*(1+J612/100)+K612</f>
        <v/>
      </c>
    </row>
    <row r="613">
      <c r="A613" t="inlineStr">
        <is>
          <t>Purina Pro Plan VET</t>
        </is>
      </c>
      <c r="B613" t="inlineStr">
        <is>
          <t>פרו פלאן "מזון יעודי" לחתול ולכלב CN - לסיוע בהתאוששת לאחר ניתוח ומחלות</t>
        </is>
      </c>
      <c r="D613" t="inlineStr">
        <is>
          <t>12603084</t>
        </is>
      </c>
      <c r="E613" t="inlineStr">
        <is>
          <t>2026-06</t>
        </is>
      </c>
      <c r="F613" t="n">
        <v>9.130000000000001</v>
      </c>
      <c r="G613" t="n">
        <v>10.77</v>
      </c>
      <c r="H613">
        <f>הגדרות!B8</f>
        <v/>
      </c>
      <c r="I613">
        <f>F613*(1-H613/100)*1.18</f>
        <v/>
      </c>
      <c r="J613">
        <f>הגדרות!C8</f>
        <v/>
      </c>
      <c r="K613">
        <f>הגדרות!D8</f>
        <v/>
      </c>
      <c r="L613">
        <f>I613*(1+J613/100)+K613</f>
        <v/>
      </c>
    </row>
    <row r="614">
      <c r="A614" t="inlineStr">
        <is>
          <t>Purina Pro Plan VET</t>
        </is>
      </c>
      <c r="B614" t="inlineStr">
        <is>
          <t>פרו פלאן "מזון יעודי" לחתול UR - למניעת היווצרות קריסטלים בדרכי השתן</t>
        </is>
      </c>
      <c r="D614" t="inlineStr">
        <is>
          <t>13672647</t>
        </is>
      </c>
      <c r="E614" t="inlineStr">
        <is>
          <t>2026-06</t>
        </is>
      </c>
      <c r="F614" t="n">
        <v>8.039999999999999</v>
      </c>
      <c r="G614" t="n">
        <v>9.49</v>
      </c>
      <c r="H614">
        <f>הגדרות!B8</f>
        <v/>
      </c>
      <c r="I614">
        <f>F614*(1-H614/100)*1.18</f>
        <v/>
      </c>
      <c r="J614">
        <f>הגדרות!C8</f>
        <v/>
      </c>
      <c r="K614">
        <f>הגדרות!D8</f>
        <v/>
      </c>
      <c r="L614">
        <f>I614*(1+J614/100)+K614</f>
        <v/>
      </c>
    </row>
    <row r="615">
      <c r="A615" t="inlineStr">
        <is>
          <t>Purina Pro Plan VET</t>
        </is>
      </c>
      <c r="B615" t="inlineStr">
        <is>
          <t>פרו פלאן "מזון יעודי" לחתול UR - למניעת היווצרות קריסטלים בדרכי השתן</t>
        </is>
      </c>
      <c r="D615" t="inlineStr">
        <is>
          <t>12603144</t>
        </is>
      </c>
      <c r="E615" t="inlineStr">
        <is>
          <t>2026-06</t>
        </is>
      </c>
      <c r="F615" t="n">
        <v>9.130000000000001</v>
      </c>
      <c r="G615" t="n">
        <v>10.77</v>
      </c>
      <c r="H615">
        <f>הגדרות!B8</f>
        <v/>
      </c>
      <c r="I615">
        <f>F615*(1-H615/100)*1.18</f>
        <v/>
      </c>
      <c r="J615">
        <f>הגדרות!C8</f>
        <v/>
      </c>
      <c r="K615">
        <f>הגדרות!D8</f>
        <v/>
      </c>
      <c r="L615">
        <f>I615*(1+J615/100)+K615</f>
        <v/>
      </c>
    </row>
    <row r="616">
      <c r="A616" t="inlineStr">
        <is>
          <t>Purina Pro Plan VET</t>
        </is>
      </c>
      <c r="B616" t="inlineStr">
        <is>
          <t>פרו פלאן "מזון יעודי" לחתול NF - לטיפול במחלות כליה</t>
        </is>
      </c>
      <c r="D616" t="inlineStr">
        <is>
          <t>13670077</t>
        </is>
      </c>
      <c r="E616" t="inlineStr">
        <is>
          <t>2026-06</t>
        </is>
      </c>
      <c r="F616" t="n">
        <v>8.039999999999999</v>
      </c>
      <c r="G616" t="n">
        <v>9.49</v>
      </c>
      <c r="H616">
        <f>הגדרות!B8</f>
        <v/>
      </c>
      <c r="I616">
        <f>F616*(1-H616/100)*1.18</f>
        <v/>
      </c>
      <c r="J616">
        <f>הגדרות!C8</f>
        <v/>
      </c>
      <c r="K616">
        <f>הגדרות!D8</f>
        <v/>
      </c>
      <c r="L616">
        <f>I616*(1+J616/100)+K616</f>
        <v/>
      </c>
    </row>
    <row r="617">
      <c r="A617" t="inlineStr">
        <is>
          <t>Purina Pro Plan VET</t>
        </is>
      </c>
      <c r="B617" t="inlineStr">
        <is>
          <t>פרו פלאן "מזון יעודי" לחתול NF - לטיפול במחלות כליה</t>
        </is>
      </c>
      <c r="D617" t="inlineStr">
        <is>
          <t>12603137</t>
        </is>
      </c>
      <c r="E617" t="inlineStr">
        <is>
          <t>2026-06</t>
        </is>
      </c>
      <c r="F617" t="n">
        <v>9.130000000000001</v>
      </c>
      <c r="G617" t="n">
        <v>10.77</v>
      </c>
      <c r="H617">
        <f>הגדרות!B8</f>
        <v/>
      </c>
      <c r="I617">
        <f>F617*(1-H617/100)*1.18</f>
        <v/>
      </c>
      <c r="J617">
        <f>הגדרות!C8</f>
        <v/>
      </c>
      <c r="K617">
        <f>הגדרות!D8</f>
        <v/>
      </c>
      <c r="L617">
        <f>I617*(1+J617/100)+K617</f>
        <v/>
      </c>
    </row>
    <row r="618">
      <c r="A618" t="inlineStr">
        <is>
          <t>Purina Pro Plan VET</t>
        </is>
      </c>
      <c r="B618" t="inlineStr">
        <is>
          <t>פרו פלאן "מזון יעודי" לחתול EN - לתמיכה במערכת העיכול</t>
        </is>
      </c>
      <c r="D618" t="inlineStr">
        <is>
          <t>13669496</t>
        </is>
      </c>
      <c r="E618" t="inlineStr">
        <is>
          <t>2026-06</t>
        </is>
      </c>
      <c r="F618" t="n">
        <v>8.039999999999999</v>
      </c>
      <c r="G618" t="n">
        <v>9.49</v>
      </c>
      <c r="H618">
        <f>הגדרות!B8</f>
        <v/>
      </c>
      <c r="I618">
        <f>F618*(1-H618/100)*1.18</f>
        <v/>
      </c>
      <c r="J618">
        <f>הגדרות!C8</f>
        <v/>
      </c>
      <c r="K618">
        <f>הגדרות!D8</f>
        <v/>
      </c>
      <c r="L618">
        <f>I618*(1+J618/100)+K618</f>
        <v/>
      </c>
    </row>
    <row r="619">
      <c r="A619" t="inlineStr">
        <is>
          <t>Purina Pro Plan VET</t>
        </is>
      </c>
      <c r="B619" t="inlineStr">
        <is>
          <t>פרו פלאן "מזון יעודי" לחתול EN - לתמיכה במערכת העיכול</t>
        </is>
      </c>
      <c r="D619" t="inlineStr">
        <is>
          <t>12621842</t>
        </is>
      </c>
      <c r="E619" t="inlineStr">
        <is>
          <t>2026-06</t>
        </is>
      </c>
      <c r="F619" t="n">
        <v>10.92</v>
      </c>
      <c r="G619" t="n">
        <v>12.89</v>
      </c>
      <c r="H619">
        <f>הגדרות!B8</f>
        <v/>
      </c>
      <c r="I619">
        <f>F619*(1-H619/100)*1.18</f>
        <v/>
      </c>
      <c r="J619">
        <f>הגדרות!C8</f>
        <v/>
      </c>
      <c r="K619">
        <f>הגדרות!D8</f>
        <v/>
      </c>
      <c r="L619">
        <f>I619*(1+J619/100)+K619</f>
        <v/>
      </c>
    </row>
    <row r="620">
      <c r="A620" t="inlineStr">
        <is>
          <t>Purina Pro Plan VET</t>
        </is>
      </c>
      <c r="B620" t="inlineStr">
        <is>
          <t>פרו פלאן "מזון יעודי" לכלב EN - לתמיכה במערכת העיכול</t>
        </is>
      </c>
      <c r="D620" t="inlineStr">
        <is>
          <t>12617132</t>
        </is>
      </c>
      <c r="E620" t="inlineStr">
        <is>
          <t>2026-06</t>
        </is>
      </c>
      <c r="F620" t="n">
        <v>17.69</v>
      </c>
      <c r="G620" t="n">
        <v>20.87</v>
      </c>
      <c r="H620">
        <f>הגדרות!B8</f>
        <v/>
      </c>
      <c r="I620">
        <f>F620*(1-H620/100)*1.18</f>
        <v/>
      </c>
      <c r="J620">
        <f>הגדרות!C8</f>
        <v/>
      </c>
      <c r="K620">
        <f>הגדרות!D8</f>
        <v/>
      </c>
      <c r="L620">
        <f>I620*(1+J620/100)+K620</f>
        <v/>
      </c>
    </row>
    <row r="621">
      <c r="A621" t="inlineStr">
        <is>
          <t>Purina Pro Plan VET</t>
        </is>
      </c>
      <c r="B621" t="inlineStr">
        <is>
          <t>פרו פלאן "מזון יעודי" לכלב NF - לטיפול במחלות כליה</t>
        </is>
      </c>
      <c r="D621" t="inlineStr">
        <is>
          <t>12570828</t>
        </is>
      </c>
      <c r="E621" t="inlineStr">
        <is>
          <t>2026-06</t>
        </is>
      </c>
      <c r="F621" t="n">
        <v>17.69</v>
      </c>
      <c r="G621" t="n">
        <v>20.87</v>
      </c>
      <c r="H621">
        <f>הגדרות!B8</f>
        <v/>
      </c>
      <c r="I621">
        <f>F621*(1-H621/100)*1.18</f>
        <v/>
      </c>
      <c r="J621">
        <f>הגדרות!C8</f>
        <v/>
      </c>
      <c r="K621">
        <f>הגדרות!D8</f>
        <v/>
      </c>
      <c r="L621">
        <f>I621*(1+J621/100)+K621</f>
        <v/>
      </c>
    </row>
    <row r="622">
      <c r="A622" t="inlineStr">
        <is>
          <t>Purina Pro Plan VET</t>
        </is>
      </c>
      <c r="B622" t="inlineStr">
        <is>
          <t>פרו פלאן "מזון יעודי" לכלב HA - לסיוע במניעת אלרגיה למזון</t>
        </is>
      </c>
      <c r="D622" t="inlineStr">
        <is>
          <t>12603193</t>
        </is>
      </c>
      <c r="E622" t="inlineStr">
        <is>
          <t>2026-06</t>
        </is>
      </c>
      <c r="F622" t="n">
        <v>18.57</v>
      </c>
      <c r="G622" t="n">
        <v>21.91</v>
      </c>
      <c r="H622">
        <f>הגדרות!B8</f>
        <v/>
      </c>
      <c r="I622">
        <f>F622*(1-H622/100)*1.18</f>
        <v/>
      </c>
      <c r="J622">
        <f>הגדרות!C8</f>
        <v/>
      </c>
      <c r="K622">
        <f>הגדרות!D8</f>
        <v/>
      </c>
      <c r="L622">
        <f>I622*(1+J622/100)+K622</f>
        <v/>
      </c>
    </row>
    <row r="623">
      <c r="A623" t="inlineStr">
        <is>
          <t>פורינה (חנויות)</t>
        </is>
      </c>
      <c r="B623" t="inlineStr">
        <is>
          <t>פריסקיז מעדני החתול</t>
        </is>
      </c>
      <c r="C623" t="inlineStr">
        <is>
          <t>פריסקיז חתול יבש FRISKIES DRY</t>
        </is>
      </c>
      <c r="D623" t="inlineStr">
        <is>
          <t>12609763</t>
        </is>
      </c>
      <c r="E623" t="inlineStr">
        <is>
          <t>2026-06</t>
        </is>
      </c>
      <c r="F623" t="n">
        <v>28.68</v>
      </c>
      <c r="G623" t="n">
        <v>33.84</v>
      </c>
      <c r="H623">
        <f>הגדרות!B9</f>
        <v/>
      </c>
      <c r="I623">
        <f>F623*(1-H623/100)*1.18</f>
        <v/>
      </c>
      <c r="J623">
        <f>הגדרות!C9</f>
        <v/>
      </c>
      <c r="K623">
        <f>הגדרות!D9</f>
        <v/>
      </c>
      <c r="L623">
        <f>I623*(1+J623/100)+K623</f>
        <v/>
      </c>
    </row>
    <row r="624">
      <c r="A624" t="inlineStr">
        <is>
          <t>פורינה (חנויות)</t>
        </is>
      </c>
      <c r="B624" t="inlineStr">
        <is>
          <t>פריסקיז מעדני הים</t>
        </is>
      </c>
      <c r="C624" t="inlineStr">
        <is>
          <t>פריסקיז חתול יבש FRISKIES DRY</t>
        </is>
      </c>
      <c r="D624" t="inlineStr">
        <is>
          <t>12609755</t>
        </is>
      </c>
      <c r="E624" t="inlineStr">
        <is>
          <t>2026-06</t>
        </is>
      </c>
      <c r="F624" t="n">
        <v>28.68</v>
      </c>
      <c r="G624" t="n">
        <v>33.84</v>
      </c>
      <c r="H624">
        <f>הגדרות!B9</f>
        <v/>
      </c>
      <c r="I624">
        <f>F624*(1-H624/100)*1.18</f>
        <v/>
      </c>
      <c r="J624">
        <f>הגדרות!C9</f>
        <v/>
      </c>
      <c r="K624">
        <f>הגדרות!D9</f>
        <v/>
      </c>
      <c r="L624">
        <f>I624*(1+J624/100)+K624</f>
        <v/>
      </c>
    </row>
    <row r="625">
      <c r="A625" t="inlineStr">
        <is>
          <t>פורינה (חנויות)</t>
        </is>
      </c>
      <c r="B625" t="inlineStr">
        <is>
          <t>פריסקיז מעדני הבית</t>
        </is>
      </c>
      <c r="C625" t="inlineStr">
        <is>
          <t>פריסקיז חתול יבש FRISKIES DRY</t>
        </is>
      </c>
      <c r="D625" t="inlineStr">
        <is>
          <t>12624912</t>
        </is>
      </c>
      <c r="E625" t="inlineStr">
        <is>
          <t>2026-06</t>
        </is>
      </c>
      <c r="F625" t="n">
        <v>28.68</v>
      </c>
      <c r="G625" t="n">
        <v>33.84</v>
      </c>
      <c r="H625">
        <f>הגדרות!B9</f>
        <v/>
      </c>
      <c r="I625">
        <f>F625*(1-H625/100)*1.18</f>
        <v/>
      </c>
      <c r="J625">
        <f>הגדרות!C9</f>
        <v/>
      </c>
      <c r="K625">
        <f>הגדרות!D9</f>
        <v/>
      </c>
      <c r="L625">
        <f>I625*(1+J625/100)+K625</f>
        <v/>
      </c>
    </row>
    <row r="626">
      <c r="A626" t="inlineStr">
        <is>
          <t>פורינה (חנויות)</t>
        </is>
      </c>
      <c r="B626" t="inlineStr">
        <is>
          <t>פריסקיז אקסטרא קראנץ</t>
        </is>
      </c>
      <c r="C626" t="inlineStr">
        <is>
          <t>פריסקיז חתול יבש FRISKIES DRY</t>
        </is>
      </c>
      <c r="D626" t="inlineStr">
        <is>
          <t>13436805</t>
        </is>
      </c>
      <c r="E626" t="inlineStr">
        <is>
          <t>2026-06</t>
        </is>
      </c>
      <c r="F626" t="n">
        <v>28.68</v>
      </c>
      <c r="G626" t="n">
        <v>33.84</v>
      </c>
      <c r="H626">
        <f>הגדרות!B9</f>
        <v/>
      </c>
      <c r="I626">
        <f>F626*(1-H626/100)*1.18</f>
        <v/>
      </c>
      <c r="J626">
        <f>הגדרות!C9</f>
        <v/>
      </c>
      <c r="K626">
        <f>הגדרות!D9</f>
        <v/>
      </c>
      <c r="L626">
        <f>I626*(1+J626/100)+K626</f>
        <v/>
      </c>
    </row>
    <row r="627">
      <c r="A627" t="inlineStr">
        <is>
          <t>פורינה (חנויות)</t>
        </is>
      </c>
      <c r="B627" t="inlineStr">
        <is>
          <t>פריסקיז נתחי ברביקיו</t>
        </is>
      </c>
      <c r="C627" t="inlineStr">
        <is>
          <t>פריסקיז חתול יבש FRISKIES DRY</t>
        </is>
      </c>
      <c r="D627" t="inlineStr">
        <is>
          <t>13436860</t>
        </is>
      </c>
      <c r="E627" t="inlineStr">
        <is>
          <t>2026-06</t>
        </is>
      </c>
      <c r="F627" t="n">
        <v>28.68</v>
      </c>
      <c r="G627" t="n">
        <v>33.84</v>
      </c>
      <c r="H627">
        <f>הגדרות!B9</f>
        <v/>
      </c>
      <c r="I627">
        <f>F627*(1-H627/100)*1.18</f>
        <v/>
      </c>
      <c r="J627">
        <f>הגדרות!C9</f>
        <v/>
      </c>
      <c r="K627">
        <f>הגדרות!D9</f>
        <v/>
      </c>
      <c r="L627">
        <f>I627*(1+J627/100)+K627</f>
        <v/>
      </c>
    </row>
    <row r="628">
      <c r="A628" t="inlineStr">
        <is>
          <t>פורינה (חנויות)</t>
        </is>
      </c>
      <c r="B628" t="inlineStr">
        <is>
          <t>פריסקיז מעדני החתול</t>
        </is>
      </c>
      <c r="C628" t="inlineStr">
        <is>
          <t>פריסקיז חתול יבש FRISKIES DRY</t>
        </is>
      </c>
      <c r="D628" t="inlineStr">
        <is>
          <t>12624878</t>
        </is>
      </c>
      <c r="E628" t="inlineStr">
        <is>
          <t>2026-06</t>
        </is>
      </c>
      <c r="F628" t="n">
        <v>132.01</v>
      </c>
      <c r="G628" t="n">
        <v>155.77</v>
      </c>
      <c r="H628">
        <f>הגדרות!B9</f>
        <v/>
      </c>
      <c r="I628">
        <f>F628*(1-H628/100)*1.18</f>
        <v/>
      </c>
      <c r="J628">
        <f>הגדרות!C9</f>
        <v/>
      </c>
      <c r="K628">
        <f>הגדרות!D9</f>
        <v/>
      </c>
      <c r="L628">
        <f>I628*(1+J628/100)+K628</f>
        <v/>
      </c>
    </row>
    <row r="629">
      <c r="A629" t="inlineStr">
        <is>
          <t>פורינה (חנויות)</t>
        </is>
      </c>
      <c r="B629" t="inlineStr">
        <is>
          <t>פריסקיז מעדני הים</t>
        </is>
      </c>
      <c r="C629" t="inlineStr">
        <is>
          <t>פריסקיז חתול יבש FRISKIES DRY</t>
        </is>
      </c>
      <c r="D629" t="inlineStr">
        <is>
          <t>12624909</t>
        </is>
      </c>
      <c r="E629" t="inlineStr">
        <is>
          <t>2026-06</t>
        </is>
      </c>
      <c r="F629" t="n">
        <v>132.01</v>
      </c>
      <c r="G629" t="n">
        <v>155.77</v>
      </c>
      <c r="H629">
        <f>הגדרות!B9</f>
        <v/>
      </c>
      <c r="I629">
        <f>F629*(1-H629/100)*1.18</f>
        <v/>
      </c>
      <c r="J629">
        <f>הגדרות!C9</f>
        <v/>
      </c>
      <c r="K629">
        <f>הגדרות!D9</f>
        <v/>
      </c>
      <c r="L629">
        <f>I629*(1+J629/100)+K629</f>
        <v/>
      </c>
    </row>
    <row r="630">
      <c r="A630" t="inlineStr">
        <is>
          <t>פורינה (חנויות)</t>
        </is>
      </c>
      <c r="B630" t="inlineStr">
        <is>
          <t>פריסקיז מעדני הבית</t>
        </is>
      </c>
      <c r="C630" t="inlineStr">
        <is>
          <t>פריסקיז חתול יבש FRISKIES DRY</t>
        </is>
      </c>
      <c r="D630" t="inlineStr">
        <is>
          <t>12624910</t>
        </is>
      </c>
      <c r="E630" t="inlineStr">
        <is>
          <t>2026-06</t>
        </is>
      </c>
      <c r="F630" t="n">
        <v>132.01</v>
      </c>
      <c r="G630" t="n">
        <v>155.77</v>
      </c>
      <c r="H630">
        <f>הגדרות!B9</f>
        <v/>
      </c>
      <c r="I630">
        <f>F630*(1-H630/100)*1.18</f>
        <v/>
      </c>
      <c r="J630">
        <f>הגדרות!C9</f>
        <v/>
      </c>
      <c r="K630">
        <f>הגדרות!D9</f>
        <v/>
      </c>
      <c r="L630">
        <f>I630*(1+J630/100)+K630</f>
        <v/>
      </c>
    </row>
    <row r="631">
      <c r="A631" t="inlineStr">
        <is>
          <t>פורינה (חנויות)</t>
        </is>
      </c>
      <c r="B631" t="inlineStr">
        <is>
          <t>פריסקיז אקסטרא קראנץ'</t>
        </is>
      </c>
      <c r="C631" t="inlineStr">
        <is>
          <t>פריסקיז חתול יבש FRISKIES DRY</t>
        </is>
      </c>
      <c r="D631" t="inlineStr">
        <is>
          <t>13436832</t>
        </is>
      </c>
      <c r="E631" t="inlineStr">
        <is>
          <t>2026-06</t>
        </is>
      </c>
      <c r="F631" t="n">
        <v>132.01</v>
      </c>
      <c r="G631" t="n">
        <v>155.77</v>
      </c>
      <c r="H631">
        <f>הגדרות!B9</f>
        <v/>
      </c>
      <c r="I631">
        <f>F631*(1-H631/100)*1.18</f>
        <v/>
      </c>
      <c r="J631">
        <f>הגדרות!C9</f>
        <v/>
      </c>
      <c r="K631">
        <f>הגדרות!D9</f>
        <v/>
      </c>
      <c r="L631">
        <f>I631*(1+J631/100)+K631</f>
        <v/>
      </c>
    </row>
    <row r="632">
      <c r="A632" t="inlineStr">
        <is>
          <t>פורינה (חנויות)</t>
        </is>
      </c>
      <c r="B632" t="inlineStr">
        <is>
          <t>פריסקיז נתחי ברביקיו</t>
        </is>
      </c>
      <c r="C632" t="inlineStr">
        <is>
          <t>פריסקיז חתול יבש FRISKIES DRY</t>
        </is>
      </c>
      <c r="D632" t="inlineStr">
        <is>
          <t>13437066</t>
        </is>
      </c>
      <c r="E632" t="inlineStr">
        <is>
          <t>2026-06</t>
        </is>
      </c>
      <c r="F632" t="n">
        <v>132.01</v>
      </c>
      <c r="G632" t="n">
        <v>155.77</v>
      </c>
      <c r="H632">
        <f>הגדרות!B9</f>
        <v/>
      </c>
      <c r="I632">
        <f>F632*(1-H632/100)*1.18</f>
        <v/>
      </c>
      <c r="J632">
        <f>הגדרות!C9</f>
        <v/>
      </c>
      <c r="K632">
        <f>הגדרות!D9</f>
        <v/>
      </c>
      <c r="L632">
        <f>I632*(1+J632/100)+K632</f>
        <v/>
      </c>
    </row>
    <row r="633">
      <c r="A633" t="inlineStr">
        <is>
          <t>פורינה (חנויות)</t>
        </is>
      </c>
      <c r="B633" t="inlineStr">
        <is>
          <t>פריסקיז אקסטרא קרנץ'</t>
        </is>
      </c>
      <c r="C633" t="inlineStr">
        <is>
          <t>פריסקיז חתול יבש FRISKIES DRY</t>
        </is>
      </c>
      <c r="D633" t="inlineStr">
        <is>
          <t>13437891</t>
        </is>
      </c>
      <c r="E633" t="inlineStr">
        <is>
          <t>2026-06</t>
        </is>
      </c>
      <c r="F633" t="n">
        <v>174.2</v>
      </c>
      <c r="G633" t="n">
        <v>205.56</v>
      </c>
      <c r="H633">
        <f>הגדרות!B9</f>
        <v/>
      </c>
      <c r="I633">
        <f>F633*(1-H633/100)*1.18</f>
        <v/>
      </c>
      <c r="J633">
        <f>הגדרות!C9</f>
        <v/>
      </c>
      <c r="K633">
        <f>הגדרות!D9</f>
        <v/>
      </c>
      <c r="L633">
        <f>I633*(1+J633/100)+K633</f>
        <v/>
      </c>
    </row>
    <row r="634">
      <c r="A634" t="inlineStr">
        <is>
          <t>פורינה (חנויות)</t>
        </is>
      </c>
      <c r="B634" t="inlineStr">
        <is>
          <t>פריסקיז מעדני חתול</t>
        </is>
      </c>
      <c r="C634" t="inlineStr">
        <is>
          <t>פריסקיז חתול יבש FRISKIES DRY</t>
        </is>
      </c>
      <c r="D634" t="inlineStr">
        <is>
          <t>12624893</t>
        </is>
      </c>
      <c r="E634" t="inlineStr">
        <is>
          <t>2026-06</t>
        </is>
      </c>
      <c r="F634" t="n">
        <v>174.2</v>
      </c>
      <c r="G634" t="n">
        <v>205.56</v>
      </c>
      <c r="H634">
        <f>הגדרות!B9</f>
        <v/>
      </c>
      <c r="I634">
        <f>F634*(1-H634/100)*1.18</f>
        <v/>
      </c>
      <c r="J634">
        <f>הגדרות!C9</f>
        <v/>
      </c>
      <c r="K634">
        <f>הגדרות!D9</f>
        <v/>
      </c>
      <c r="L634">
        <f>I634*(1+J634/100)+K634</f>
        <v/>
      </c>
    </row>
    <row r="635">
      <c r="A635" t="inlineStr">
        <is>
          <t>פורינה (חנויות)</t>
        </is>
      </c>
      <c r="B635" t="inlineStr">
        <is>
          <t>פריסקיז מעדני הים</t>
        </is>
      </c>
      <c r="C635" t="inlineStr">
        <is>
          <t>פריסקיז חתול יבש FRISKIES DRY</t>
        </is>
      </c>
      <c r="D635" t="inlineStr">
        <is>
          <t>12624911</t>
        </is>
      </c>
      <c r="E635" t="inlineStr">
        <is>
          <t>2026-06</t>
        </is>
      </c>
      <c r="F635" t="n">
        <v>174.2</v>
      </c>
      <c r="G635" t="n">
        <v>205.56</v>
      </c>
      <c r="H635">
        <f>הגדרות!B9</f>
        <v/>
      </c>
      <c r="I635">
        <f>F635*(1-H635/100)*1.18</f>
        <v/>
      </c>
      <c r="J635">
        <f>הגדרות!C9</f>
        <v/>
      </c>
      <c r="K635">
        <f>הגדרות!D9</f>
        <v/>
      </c>
      <c r="L635">
        <f>I635*(1+J635/100)+K635</f>
        <v/>
      </c>
    </row>
    <row r="636">
      <c r="A636" t="inlineStr">
        <is>
          <t>פורינה (חנויות)</t>
        </is>
      </c>
      <c r="B636" t="inlineStr">
        <is>
          <t>פריסקיז מעדני הים</t>
        </is>
      </c>
      <c r="C636" t="inlineStr">
        <is>
          <t>פריסקיז חתול יבש FRISKIES DRY</t>
        </is>
      </c>
      <c r="D636" t="inlineStr">
        <is>
          <t>12624879</t>
        </is>
      </c>
      <c r="E636" t="inlineStr">
        <is>
          <t>2026-06</t>
        </is>
      </c>
      <c r="F636" t="n">
        <v>227.5</v>
      </c>
      <c r="G636" t="n">
        <v>268.45</v>
      </c>
      <c r="H636">
        <f>הגדרות!B9</f>
        <v/>
      </c>
      <c r="I636">
        <f>F636*(1-H636/100)*1.18</f>
        <v/>
      </c>
      <c r="J636">
        <f>הגדרות!C9</f>
        <v/>
      </c>
      <c r="K636">
        <f>הגדרות!D9</f>
        <v/>
      </c>
      <c r="L636">
        <f>I636*(1+J636/100)+K636</f>
        <v/>
      </c>
    </row>
    <row r="637">
      <c r="A637" t="inlineStr">
        <is>
          <t>פורינה (חנויות)</t>
        </is>
      </c>
      <c r="B637" t="inlineStr">
        <is>
          <t>פריסקיז סלמון ברוטב עשיר במיוחד</t>
        </is>
      </c>
      <c r="C637" t="inlineStr">
        <is>
          <t>פריסקיז לח FRISKIES WET</t>
        </is>
      </c>
      <c r="D637" t="inlineStr">
        <is>
          <t>12570347</t>
        </is>
      </c>
      <c r="E637" t="inlineStr">
        <is>
          <t>2026-06</t>
        </is>
      </c>
      <c r="F637" t="n">
        <v>4.64</v>
      </c>
      <c r="G637" t="n">
        <v>5.48</v>
      </c>
      <c r="H637">
        <f>הגדרות!B9</f>
        <v/>
      </c>
      <c r="I637">
        <f>F637*(1-H637/100)*1.18</f>
        <v/>
      </c>
      <c r="J637">
        <f>הגדרות!C9</f>
        <v/>
      </c>
      <c r="K637">
        <f>הגדרות!D9</f>
        <v/>
      </c>
      <c r="L637">
        <f>I637*(1+J637/100)+K637</f>
        <v/>
      </c>
    </row>
    <row r="638">
      <c r="A638" t="inlineStr">
        <is>
          <t>פורינה (חנויות)</t>
        </is>
      </c>
      <c r="B638" t="inlineStr">
        <is>
          <t>פריסקיז עוף ברוטב עשיר במיוחד</t>
        </is>
      </c>
      <c r="C638" t="inlineStr">
        <is>
          <t>פריסקיז לח FRISKIES WET</t>
        </is>
      </c>
      <c r="D638" t="inlineStr">
        <is>
          <t>12570345</t>
        </is>
      </c>
      <c r="E638" t="inlineStr">
        <is>
          <t>2026-06</t>
        </is>
      </c>
      <c r="F638" t="n">
        <v>4.64</v>
      </c>
      <c r="G638" t="n">
        <v>5.48</v>
      </c>
      <c r="H638">
        <f>הגדרות!B9</f>
        <v/>
      </c>
      <c r="I638">
        <f>F638*(1-H638/100)*1.18</f>
        <v/>
      </c>
      <c r="J638">
        <f>הגדרות!C9</f>
        <v/>
      </c>
      <c r="K638">
        <f>הגדרות!D9</f>
        <v/>
      </c>
      <c r="L638">
        <f>I638*(1+J638/100)+K638</f>
        <v/>
      </c>
    </row>
    <row r="639">
      <c r="A639" t="inlineStr">
        <is>
          <t>פורינה (חנויות)</t>
        </is>
      </c>
      <c r="B639" t="inlineStr">
        <is>
          <t>פריסקיז נתחי עוף ברוטב</t>
        </is>
      </c>
      <c r="C639" t="inlineStr">
        <is>
          <t>פריסקיז לח FRISKIES WET</t>
        </is>
      </c>
      <c r="D639" t="inlineStr">
        <is>
          <t>12587334</t>
        </is>
      </c>
      <c r="E639" t="inlineStr">
        <is>
          <t>2026-06</t>
        </is>
      </c>
      <c r="F639" t="n">
        <v>4.64</v>
      </c>
      <c r="G639" t="n">
        <v>5.48</v>
      </c>
      <c r="H639">
        <f>הגדרות!B9</f>
        <v/>
      </c>
      <c r="I639">
        <f>F639*(1-H639/100)*1.18</f>
        <v/>
      </c>
      <c r="J639">
        <f>הגדרות!C9</f>
        <v/>
      </c>
      <c r="K639">
        <f>הגדרות!D9</f>
        <v/>
      </c>
      <c r="L639">
        <f>I639*(1+J639/100)+K639</f>
        <v/>
      </c>
    </row>
    <row r="640">
      <c r="A640" t="inlineStr">
        <is>
          <t>פורינה (חנויות)</t>
        </is>
      </c>
      <c r="B640" t="inlineStr">
        <is>
          <t>פריסקיז נתחי עוף וסלמון ברוטב</t>
        </is>
      </c>
      <c r="C640" t="inlineStr">
        <is>
          <t>פריסקיז לח FRISKIES WET</t>
        </is>
      </c>
      <c r="D640" t="inlineStr">
        <is>
          <t>12587303</t>
        </is>
      </c>
      <c r="E640" t="inlineStr">
        <is>
          <t>2026-06</t>
        </is>
      </c>
      <c r="F640" t="n">
        <v>4.64</v>
      </c>
      <c r="G640" t="n">
        <v>5.48</v>
      </c>
      <c r="H640">
        <f>הגדרות!B9</f>
        <v/>
      </c>
      <c r="I640">
        <f>F640*(1-H640/100)*1.18</f>
        <v/>
      </c>
      <c r="J640">
        <f>הגדרות!C9</f>
        <v/>
      </c>
      <c r="K640">
        <f>הגדרות!D9</f>
        <v/>
      </c>
      <c r="L640">
        <f>I640*(1+J640/100)+K640</f>
        <v/>
      </c>
    </row>
    <row r="641">
      <c r="A641" t="inlineStr">
        <is>
          <t>פורינה (חנויות)</t>
        </is>
      </c>
      <c r="B641" t="inlineStr">
        <is>
          <t>פריסקיז פטה דג אוקיינוס</t>
        </is>
      </c>
      <c r="C641" t="inlineStr">
        <is>
          <t>פריסקיז לח FRISKIES WET</t>
        </is>
      </c>
      <c r="D641" t="inlineStr">
        <is>
          <t>12577053</t>
        </is>
      </c>
      <c r="E641" t="inlineStr">
        <is>
          <t>2026-06</t>
        </is>
      </c>
      <c r="F641" t="n">
        <v>4.64</v>
      </c>
      <c r="G641" t="n">
        <v>5.48</v>
      </c>
      <c r="H641">
        <f>הגדרות!B9</f>
        <v/>
      </c>
      <c r="I641">
        <f>F641*(1-H641/100)*1.18</f>
        <v/>
      </c>
      <c r="J641">
        <f>הגדרות!C9</f>
        <v/>
      </c>
      <c r="K641">
        <f>הגדרות!D9</f>
        <v/>
      </c>
      <c r="L641">
        <f>I641*(1+J641/100)+K641</f>
        <v/>
      </c>
    </row>
    <row r="642">
      <c r="A642" t="inlineStr">
        <is>
          <t>פורינה (חנויות)</t>
        </is>
      </c>
      <c r="B642" t="inlineStr">
        <is>
          <t>פריסקיז פטה הודו</t>
        </is>
      </c>
      <c r="C642" t="inlineStr">
        <is>
          <t>פריסקיז לח FRISKIES WET</t>
        </is>
      </c>
      <c r="D642" t="inlineStr">
        <is>
          <t>12577064</t>
        </is>
      </c>
      <c r="E642" t="inlineStr">
        <is>
          <t>2026-06</t>
        </is>
      </c>
      <c r="F642" t="n">
        <v>4.64</v>
      </c>
      <c r="G642" t="n">
        <v>5.48</v>
      </c>
      <c r="H642">
        <f>הגדרות!B9</f>
        <v/>
      </c>
      <c r="I642">
        <f>F642*(1-H642/100)*1.18</f>
        <v/>
      </c>
      <c r="J642">
        <f>הגדרות!C9</f>
        <v/>
      </c>
      <c r="K642">
        <f>הגדרות!D9</f>
        <v/>
      </c>
      <c r="L642">
        <f>I642*(1+J642/100)+K642</f>
        <v/>
      </c>
    </row>
    <row r="643">
      <c r="A643" t="inlineStr">
        <is>
          <t>פורינה (חנויות)</t>
        </is>
      </c>
      <c r="B643" t="inlineStr">
        <is>
          <t>פריסקיז פטה כבד ועוף</t>
        </is>
      </c>
      <c r="C643" t="inlineStr">
        <is>
          <t>פריסקיז לח FRISKIES WET</t>
        </is>
      </c>
      <c r="D643" t="inlineStr">
        <is>
          <t>12577034</t>
        </is>
      </c>
      <c r="E643" t="inlineStr">
        <is>
          <t>2026-06</t>
        </is>
      </c>
      <c r="F643" t="n">
        <v>4.64</v>
      </c>
      <c r="G643" t="n">
        <v>5.48</v>
      </c>
      <c r="H643">
        <f>הגדרות!B9</f>
        <v/>
      </c>
      <c r="I643">
        <f>F643*(1-H643/100)*1.18</f>
        <v/>
      </c>
      <c r="J643">
        <f>הגדרות!C9</f>
        <v/>
      </c>
      <c r="K643">
        <f>הגדרות!D9</f>
        <v/>
      </c>
      <c r="L643">
        <f>I643*(1+J643/100)+K643</f>
        <v/>
      </c>
    </row>
    <row r="644">
      <c r="A644" t="inlineStr">
        <is>
          <t>פורינה (חנויות)</t>
        </is>
      </c>
      <c r="B644" t="inlineStr">
        <is>
          <t>פריסקיז פטה מיקס גריל</t>
        </is>
      </c>
      <c r="C644" t="inlineStr">
        <is>
          <t>פריסקיז לח FRISKIES WET</t>
        </is>
      </c>
      <c r="D644" t="inlineStr">
        <is>
          <t>12577061</t>
        </is>
      </c>
      <c r="E644" t="inlineStr">
        <is>
          <t>2026-06</t>
        </is>
      </c>
      <c r="F644" t="n">
        <v>4.64</v>
      </c>
      <c r="G644" t="n">
        <v>5.48</v>
      </c>
      <c r="H644">
        <f>הגדרות!B9</f>
        <v/>
      </c>
      <c r="I644">
        <f>F644*(1-H644/100)*1.18</f>
        <v/>
      </c>
      <c r="J644">
        <f>הגדרות!C9</f>
        <v/>
      </c>
      <c r="K644">
        <f>הגדרות!D9</f>
        <v/>
      </c>
      <c r="L644">
        <f>I644*(1+J644/100)+K644</f>
        <v/>
      </c>
    </row>
    <row r="645">
      <c r="A645" t="inlineStr">
        <is>
          <t>פורינה (חנויות)</t>
        </is>
      </c>
      <c r="B645" t="inlineStr">
        <is>
          <t>פריסקיז פטה סלמון</t>
        </is>
      </c>
      <c r="C645" t="inlineStr">
        <is>
          <t>פריסקיז לח FRISKIES WET</t>
        </is>
      </c>
      <c r="D645" t="inlineStr">
        <is>
          <t>12577052</t>
        </is>
      </c>
      <c r="E645" t="inlineStr">
        <is>
          <t>2026-06</t>
        </is>
      </c>
      <c r="F645" t="n">
        <v>4.64</v>
      </c>
      <c r="G645" t="n">
        <v>5.48</v>
      </c>
      <c r="H645">
        <f>הגדרות!B9</f>
        <v/>
      </c>
      <c r="I645">
        <f>F645*(1-H645/100)*1.18</f>
        <v/>
      </c>
      <c r="J645">
        <f>הגדרות!C9</f>
        <v/>
      </c>
      <c r="K645">
        <f>הגדרות!D9</f>
        <v/>
      </c>
      <c r="L645">
        <f>I645*(1+J645/100)+K645</f>
        <v/>
      </c>
    </row>
    <row r="646">
      <c r="A646" t="inlineStr">
        <is>
          <t>פורינה (חנויות)</t>
        </is>
      </c>
      <c r="B646" t="inlineStr">
        <is>
          <t>פריסקיז פריים פילה עוף ברוטב</t>
        </is>
      </c>
      <c r="C646" t="inlineStr">
        <is>
          <t>פריסקיז לח FRISKIES WET</t>
        </is>
      </c>
      <c r="D646" t="inlineStr">
        <is>
          <t>12579274</t>
        </is>
      </c>
      <c r="E646" t="inlineStr">
        <is>
          <t>2026-06</t>
        </is>
      </c>
      <c r="F646" t="n">
        <v>4.64</v>
      </c>
      <c r="G646" t="n">
        <v>5.48</v>
      </c>
      <c r="H646">
        <f>הגדרות!B9</f>
        <v/>
      </c>
      <c r="I646">
        <f>F646*(1-H646/100)*1.18</f>
        <v/>
      </c>
      <c r="J646">
        <f>הגדרות!C9</f>
        <v/>
      </c>
      <c r="K646">
        <f>הגדרות!D9</f>
        <v/>
      </c>
      <c r="L646">
        <f>I646*(1+J646/100)+K646</f>
        <v/>
      </c>
    </row>
    <row r="647">
      <c r="A647" t="inlineStr">
        <is>
          <t>פורינה (חנויות)</t>
        </is>
      </c>
      <c r="B647" t="inlineStr">
        <is>
          <t>פריסקיז פריים פילה הודו ברוטב</t>
        </is>
      </c>
      <c r="C647" t="inlineStr">
        <is>
          <t>פריסקיז לח FRISKIES WET</t>
        </is>
      </c>
      <c r="D647" t="inlineStr">
        <is>
          <t>12579229</t>
        </is>
      </c>
      <c r="E647" t="inlineStr">
        <is>
          <t>2026-06</t>
        </is>
      </c>
      <c r="F647" t="n">
        <v>4.64</v>
      </c>
      <c r="G647" t="n">
        <v>5.48</v>
      </c>
      <c r="H647">
        <f>הגדרות!B9</f>
        <v/>
      </c>
      <c r="I647">
        <f>F647*(1-H647/100)*1.18</f>
        <v/>
      </c>
      <c r="J647">
        <f>הגדרות!C9</f>
        <v/>
      </c>
      <c r="K647">
        <f>הגדרות!D9</f>
        <v/>
      </c>
      <c r="L647">
        <f>I647*(1+J647/100)+K647</f>
        <v/>
      </c>
    </row>
    <row r="648">
      <c r="A648" t="inlineStr">
        <is>
          <t>פורינה (חנויות)</t>
        </is>
      </c>
      <c r="B648" t="inlineStr">
        <is>
          <t>פריסקיז טייסטי נתחי הודו כבד ברוטב</t>
        </is>
      </c>
      <c r="C648" t="inlineStr">
        <is>
          <t>פריסקיז לח FRISKIES WET</t>
        </is>
      </c>
      <c r="D648" t="inlineStr">
        <is>
          <t>12591937</t>
        </is>
      </c>
      <c r="E648" t="inlineStr">
        <is>
          <t>2026-06</t>
        </is>
      </c>
      <c r="F648" t="n">
        <v>4.64</v>
      </c>
      <c r="G648" t="n">
        <v>5.48</v>
      </c>
      <c r="H648">
        <f>הגדרות!B9</f>
        <v/>
      </c>
      <c r="I648">
        <f>F648*(1-H648/100)*1.18</f>
        <v/>
      </c>
      <c r="J648">
        <f>הגדרות!C9</f>
        <v/>
      </c>
      <c r="K648">
        <f>הגדרות!D9</f>
        <v/>
      </c>
      <c r="L648">
        <f>I648*(1+J648/100)+K648</f>
        <v/>
      </c>
    </row>
    <row r="649">
      <c r="A649" t="inlineStr">
        <is>
          <t>פורינה (חנויות)</t>
        </is>
      </c>
      <c r="B649" t="inlineStr">
        <is>
          <t>פריסקיז טיסטי נתחי עוף וכבד ברוטב</t>
        </is>
      </c>
      <c r="C649" t="inlineStr">
        <is>
          <t>פריסקיז לח FRISKIES WET</t>
        </is>
      </c>
      <c r="D649" t="inlineStr">
        <is>
          <t>12591936</t>
        </is>
      </c>
      <c r="E649" t="inlineStr">
        <is>
          <t>2026-06</t>
        </is>
      </c>
      <c r="F649" t="n">
        <v>4.64</v>
      </c>
      <c r="G649" t="n">
        <v>5.48</v>
      </c>
      <c r="H649">
        <f>הגדרות!B9</f>
        <v/>
      </c>
      <c r="I649">
        <f>F649*(1-H649/100)*1.18</f>
        <v/>
      </c>
      <c r="J649">
        <f>הגדרות!C9</f>
        <v/>
      </c>
      <c r="K649">
        <f>הגדרות!D9</f>
        <v/>
      </c>
      <c r="L649">
        <f>I649*(1+J649/100)+K649</f>
        <v/>
      </c>
    </row>
    <row r="650">
      <c r="A650" t="inlineStr">
        <is>
          <t>פורינה (חנויות)</t>
        </is>
      </c>
      <c r="B650" t="inlineStr">
        <is>
          <t>פריסקיז טייסטי עוף וטונה ברוטב</t>
        </is>
      </c>
      <c r="C650" t="inlineStr">
        <is>
          <t>פריסקיז לח FRISKIES WET</t>
        </is>
      </c>
      <c r="D650" t="inlineStr">
        <is>
          <t>12591970</t>
        </is>
      </c>
      <c r="E650" t="inlineStr">
        <is>
          <t>2026-06</t>
        </is>
      </c>
      <c r="F650" t="n">
        <v>4.64</v>
      </c>
      <c r="G650" t="n">
        <v>5.48</v>
      </c>
      <c r="H650">
        <f>הגדרות!B9</f>
        <v/>
      </c>
      <c r="I650">
        <f>F650*(1-H650/100)*1.18</f>
        <v/>
      </c>
      <c r="J650">
        <f>הגדרות!C9</f>
        <v/>
      </c>
      <c r="K650">
        <f>הגדרות!D9</f>
        <v/>
      </c>
      <c r="L650">
        <f>I650*(1+J650/100)+K650</f>
        <v/>
      </c>
    </row>
    <row r="651">
      <c r="A651" t="inlineStr">
        <is>
          <t>פורינה (חנויות)</t>
        </is>
      </c>
      <c r="B651" t="inlineStr">
        <is>
          <t>פריסקיז טייסטי דג אוקינוס טונה ברוטב</t>
        </is>
      </c>
      <c r="C651" t="inlineStr">
        <is>
          <t>פריסקיז לח FRISKIES WET</t>
        </is>
      </c>
      <c r="D651" t="inlineStr">
        <is>
          <t>12591965</t>
        </is>
      </c>
      <c r="E651" t="inlineStr">
        <is>
          <t>2026-06</t>
        </is>
      </c>
      <c r="F651" t="n">
        <v>4.64</v>
      </c>
      <c r="G651" t="n">
        <v>5.48</v>
      </c>
      <c r="H651">
        <f>הגדרות!B9</f>
        <v/>
      </c>
      <c r="I651">
        <f>F651*(1-H651/100)*1.18</f>
        <v/>
      </c>
      <c r="J651">
        <f>הגדרות!C9</f>
        <v/>
      </c>
      <c r="K651">
        <f>הגדרות!D9</f>
        <v/>
      </c>
      <c r="L651">
        <f>I651*(1+J651/100)+K651</f>
        <v/>
      </c>
    </row>
    <row r="652">
      <c r="A652" t="inlineStr">
        <is>
          <t>פורינה (חנויות)</t>
        </is>
      </c>
      <c r="B652" t="inlineStr">
        <is>
          <t>פריסקיז פאוצ בקר ברוטב</t>
        </is>
      </c>
      <c r="C652" t="inlineStr">
        <is>
          <t>פריסקיז לח FRISKIES WET</t>
        </is>
      </c>
      <c r="D652" t="inlineStr">
        <is>
          <t>12554757</t>
        </is>
      </c>
      <c r="E652" t="inlineStr">
        <is>
          <t>2026-06</t>
        </is>
      </c>
      <c r="F652" t="n">
        <v>3.11</v>
      </c>
      <c r="G652" t="n">
        <v>3.67</v>
      </c>
      <c r="H652">
        <f>הגדרות!B9</f>
        <v/>
      </c>
      <c r="I652">
        <f>F652*(1-H652/100)*1.18</f>
        <v/>
      </c>
      <c r="J652">
        <f>הגדרות!C9</f>
        <v/>
      </c>
      <c r="K652">
        <f>הגדרות!D9</f>
        <v/>
      </c>
      <c r="L652">
        <f>I652*(1+J652/100)+K652</f>
        <v/>
      </c>
    </row>
    <row r="653">
      <c r="A653" t="inlineStr">
        <is>
          <t>פורינה (חנויות)</t>
        </is>
      </c>
      <c r="B653" t="inlineStr">
        <is>
          <t>פריסקיז פאוצ ברווז ברוטב</t>
        </is>
      </c>
      <c r="C653" t="inlineStr">
        <is>
          <t>פריסקיז לח FRISKIES WET</t>
        </is>
      </c>
      <c r="D653" t="inlineStr">
        <is>
          <t>12554758</t>
        </is>
      </c>
      <c r="E653" t="inlineStr">
        <is>
          <t>2026-06</t>
        </is>
      </c>
      <c r="F653" t="n">
        <v>3.11</v>
      </c>
      <c r="G653" t="n">
        <v>3.67</v>
      </c>
      <c r="H653">
        <f>הגדרות!B9</f>
        <v/>
      </c>
      <c r="I653">
        <f>F653*(1-H653/100)*1.18</f>
        <v/>
      </c>
      <c r="J653">
        <f>הגדרות!C9</f>
        <v/>
      </c>
      <c r="K653">
        <f>הגדרות!D9</f>
        <v/>
      </c>
      <c r="L653">
        <f>I653*(1+J653/100)+K653</f>
        <v/>
      </c>
    </row>
    <row r="654">
      <c r="A654" t="inlineStr">
        <is>
          <t>פורינה (חנויות)</t>
        </is>
      </c>
      <c r="B654" t="inlineStr">
        <is>
          <t>פריסקיז פאוצ הודו</t>
        </is>
      </c>
      <c r="C654" t="inlineStr">
        <is>
          <t>פריסקיז לח FRISKIES WET</t>
        </is>
      </c>
      <c r="D654" t="inlineStr">
        <is>
          <t>12554766</t>
        </is>
      </c>
      <c r="E654" t="inlineStr">
        <is>
          <t>2026-06</t>
        </is>
      </c>
      <c r="F654" t="n">
        <v>3.11</v>
      </c>
      <c r="G654" t="n">
        <v>3.67</v>
      </c>
      <c r="H654">
        <f>הגדרות!B9</f>
        <v/>
      </c>
      <c r="I654">
        <f>F654*(1-H654/100)*1.18</f>
        <v/>
      </c>
      <c r="J654">
        <f>הגדרות!C9</f>
        <v/>
      </c>
      <c r="K654">
        <f>הגדרות!D9</f>
        <v/>
      </c>
      <c r="L654">
        <f>I654*(1+J654/100)+K654</f>
        <v/>
      </c>
    </row>
    <row r="655">
      <c r="A655" t="inlineStr">
        <is>
          <t>פורינה (חנויות)</t>
        </is>
      </c>
      <c r="B655" t="inlineStr">
        <is>
          <t>פריסקיז פאוצ סלמון</t>
        </is>
      </c>
      <c r="C655" t="inlineStr">
        <is>
          <t>פריסקיז לח FRISKIES WET</t>
        </is>
      </c>
      <c r="D655" t="inlineStr">
        <is>
          <t>12554756</t>
        </is>
      </c>
      <c r="E655" t="inlineStr">
        <is>
          <t>2026-06</t>
        </is>
      </c>
      <c r="F655" t="n">
        <v>3.11</v>
      </c>
      <c r="G655" t="n">
        <v>3.67</v>
      </c>
      <c r="H655">
        <f>הגדרות!B9</f>
        <v/>
      </c>
      <c r="I655">
        <f>F655*(1-H655/100)*1.18</f>
        <v/>
      </c>
      <c r="J655">
        <f>הגדרות!C9</f>
        <v/>
      </c>
      <c r="K655">
        <f>הגדרות!D9</f>
        <v/>
      </c>
      <c r="L655">
        <f>I655*(1+J655/100)+K655</f>
        <v/>
      </c>
    </row>
    <row r="656">
      <c r="A656" t="inlineStr">
        <is>
          <t>פורינה (חנויות)</t>
        </is>
      </c>
      <c r="B656" t="inlineStr">
        <is>
          <t>פריסקיז פאוצ עוף ברוטב</t>
        </is>
      </c>
      <c r="C656" t="inlineStr">
        <is>
          <t>פריסקיז לח FRISKIES WET</t>
        </is>
      </c>
      <c r="D656" t="inlineStr">
        <is>
          <t>12554783</t>
        </is>
      </c>
      <c r="E656" t="inlineStr">
        <is>
          <t>2026-06</t>
        </is>
      </c>
      <c r="F656" t="n">
        <v>3.11</v>
      </c>
      <c r="G656" t="n">
        <v>3.67</v>
      </c>
      <c r="H656">
        <f>הגדרות!B9</f>
        <v/>
      </c>
      <c r="I656">
        <f>F656*(1-H656/100)*1.18</f>
        <v/>
      </c>
      <c r="J656">
        <f>הגדרות!C9</f>
        <v/>
      </c>
      <c r="K656">
        <f>הגדרות!D9</f>
        <v/>
      </c>
      <c r="L656">
        <f>I656*(1+J656/100)+K656</f>
        <v/>
      </c>
    </row>
    <row r="657">
      <c r="A657" t="inlineStr">
        <is>
          <t>פורינה (חנויות)</t>
        </is>
      </c>
      <c r="B657" t="inlineStr">
        <is>
          <t>פנסי פיסט פטה סלמון ושרימפס</t>
        </is>
      </c>
      <c r="C657" t="inlineStr">
        <is>
          <t>פנסי פיסט FANCY FEAST</t>
        </is>
      </c>
      <c r="D657" t="inlineStr">
        <is>
          <t>12445503</t>
        </is>
      </c>
      <c r="E657" t="inlineStr">
        <is>
          <t>2026-06</t>
        </is>
      </c>
      <c r="F657" t="n">
        <v>4.28</v>
      </c>
      <c r="G657" t="n">
        <v>5.05</v>
      </c>
      <c r="H657">
        <f>הגדרות!B9</f>
        <v/>
      </c>
      <c r="I657">
        <f>F657*(1-H657/100)*1.18</f>
        <v/>
      </c>
      <c r="J657">
        <f>הגדרות!C9</f>
        <v/>
      </c>
      <c r="K657">
        <f>הגדרות!D9</f>
        <v/>
      </c>
      <c r="L657">
        <f>I657*(1+J657/100)+K657</f>
        <v/>
      </c>
    </row>
    <row r="658">
      <c r="A658" t="inlineStr">
        <is>
          <t>פורינה (חנויות)</t>
        </is>
      </c>
      <c r="B658" t="inlineStr">
        <is>
          <t>פנסי פיסט סלמון וסול ברוטב עשיר</t>
        </is>
      </c>
      <c r="C658" t="inlineStr">
        <is>
          <t>פנסי פיסט FANCY FEAST</t>
        </is>
      </c>
      <c r="D658" t="inlineStr">
        <is>
          <t>12513995</t>
        </is>
      </c>
      <c r="E658" t="inlineStr">
        <is>
          <t>2026-06</t>
        </is>
      </c>
      <c r="F658" t="n">
        <v>4.28</v>
      </c>
      <c r="G658" t="n">
        <v>5.05</v>
      </c>
      <c r="H658">
        <f>הגדרות!B9</f>
        <v/>
      </c>
      <c r="I658">
        <f>F658*(1-H658/100)*1.18</f>
        <v/>
      </c>
      <c r="J658">
        <f>הגדרות!C9</f>
        <v/>
      </c>
      <c r="K658">
        <f>הגדרות!D9</f>
        <v/>
      </c>
      <c r="L658">
        <f>I658*(1+J658/100)+K658</f>
        <v/>
      </c>
    </row>
    <row r="659">
      <c r="A659" t="inlineStr">
        <is>
          <t>פורינה (חנויות)</t>
        </is>
      </c>
      <c r="B659" t="inlineStr">
        <is>
          <t>פנסי פיסט לבבות עוף וכבד ברוטב עשיר</t>
        </is>
      </c>
      <c r="C659" t="inlineStr">
        <is>
          <t>פנסי פיסט FANCY FEAST</t>
        </is>
      </c>
      <c r="D659" t="inlineStr">
        <is>
          <t>12514005</t>
        </is>
      </c>
      <c r="E659" t="inlineStr">
        <is>
          <t>2026-06</t>
        </is>
      </c>
      <c r="F659" t="n">
        <v>4.28</v>
      </c>
      <c r="G659" t="n">
        <v>5.05</v>
      </c>
      <c r="H659">
        <f>הגדרות!B9</f>
        <v/>
      </c>
      <c r="I659">
        <f>F659*(1-H659/100)*1.18</f>
        <v/>
      </c>
      <c r="J659">
        <f>הגדרות!C9</f>
        <v/>
      </c>
      <c r="K659">
        <f>הגדרות!D9</f>
        <v/>
      </c>
      <c r="L659">
        <f>I659*(1+J659/100)+K659</f>
        <v/>
      </c>
    </row>
    <row r="660">
      <c r="A660" t="inlineStr">
        <is>
          <t>פורינה (חנויות)</t>
        </is>
      </c>
      <c r="B660" t="inlineStr">
        <is>
          <t>פנסי פיסט נתחי הודו חדש</t>
        </is>
      </c>
      <c r="C660" t="inlineStr">
        <is>
          <t>פנסי פיסט FANCY FEAST</t>
        </is>
      </c>
      <c r="D660" t="inlineStr">
        <is>
          <t>12519506</t>
        </is>
      </c>
      <c r="E660" t="inlineStr">
        <is>
          <t>2026-06</t>
        </is>
      </c>
      <c r="F660" t="n">
        <v>4.28</v>
      </c>
      <c r="G660" t="n">
        <v>5.05</v>
      </c>
      <c r="H660">
        <f>הגדרות!B9</f>
        <v/>
      </c>
      <c r="I660">
        <f>F660*(1-H660/100)*1.18</f>
        <v/>
      </c>
      <c r="J660">
        <f>הגדרות!C9</f>
        <v/>
      </c>
      <c r="K660">
        <f>הגדרות!D9</f>
        <v/>
      </c>
      <c r="L660">
        <f>I660*(1+J660/100)+K660</f>
        <v/>
      </c>
    </row>
    <row r="661">
      <c r="A661" t="inlineStr">
        <is>
          <t>פורינה (חנויות)</t>
        </is>
      </c>
      <c r="B661" t="inlineStr">
        <is>
          <t>פנסי פיסט נתחי עוף</t>
        </is>
      </c>
      <c r="C661" t="inlineStr">
        <is>
          <t>פנסי פיסט FANCY FEAST</t>
        </is>
      </c>
      <c r="D661" t="inlineStr">
        <is>
          <t>12519505</t>
        </is>
      </c>
      <c r="E661" t="inlineStr">
        <is>
          <t>2026-06</t>
        </is>
      </c>
      <c r="F661" t="n">
        <v>4.28</v>
      </c>
      <c r="G661" t="n">
        <v>5.05</v>
      </c>
      <c r="H661">
        <f>הגדרות!B9</f>
        <v/>
      </c>
      <c r="I661">
        <f>F661*(1-H661/100)*1.18</f>
        <v/>
      </c>
      <c r="J661">
        <f>הגדרות!C9</f>
        <v/>
      </c>
      <c r="K661">
        <f>הגדרות!D9</f>
        <v/>
      </c>
      <c r="L661">
        <f>I661*(1+J661/100)+K661</f>
        <v/>
      </c>
    </row>
    <row r="662">
      <c r="A662" t="inlineStr">
        <is>
          <t>פורינה (חנויות)</t>
        </is>
      </c>
      <c r="B662" t="inlineStr">
        <is>
          <t>פנסי פיסט עם דג ושרימפס</t>
        </is>
      </c>
      <c r="C662" t="inlineStr">
        <is>
          <t>פנסי פיסט FANCY FEAST</t>
        </is>
      </c>
      <c r="D662" t="inlineStr">
        <is>
          <t>12445496</t>
        </is>
      </c>
      <c r="E662" t="inlineStr">
        <is>
          <t>2026-06</t>
        </is>
      </c>
      <c r="F662" t="n">
        <v>4.28</v>
      </c>
      <c r="G662" t="n">
        <v>5.05</v>
      </c>
      <c r="H662">
        <f>הגדרות!B9</f>
        <v/>
      </c>
      <c r="I662">
        <f>F662*(1-H662/100)*1.18</f>
        <v/>
      </c>
      <c r="J662">
        <f>הגדרות!C9</f>
        <v/>
      </c>
      <c r="K662">
        <f>הגדרות!D9</f>
        <v/>
      </c>
      <c r="L662">
        <f>I662*(1+J662/100)+K662</f>
        <v/>
      </c>
    </row>
    <row r="663">
      <c r="A663" t="inlineStr">
        <is>
          <t>פורינה (חנויות)</t>
        </is>
      </c>
      <c r="B663" t="inlineStr">
        <is>
          <t>פנסי פיסט כבד מעודן ועוף</t>
        </is>
      </c>
      <c r="C663" t="inlineStr">
        <is>
          <t>פנסי פיסט FANCY FEAST</t>
        </is>
      </c>
      <c r="D663" t="inlineStr">
        <is>
          <t>12445501</t>
        </is>
      </c>
      <c r="E663" t="inlineStr">
        <is>
          <t>2026-06</t>
        </is>
      </c>
      <c r="F663" t="n">
        <v>4.28</v>
      </c>
      <c r="G663" t="n">
        <v>5.05</v>
      </c>
      <c r="H663">
        <f>הגדרות!B9</f>
        <v/>
      </c>
      <c r="I663">
        <f>F663*(1-H663/100)*1.18</f>
        <v/>
      </c>
      <c r="J663">
        <f>הגדרות!C9</f>
        <v/>
      </c>
      <c r="K663">
        <f>הגדרות!D9</f>
        <v/>
      </c>
      <c r="L663">
        <f>I663*(1+J663/100)+K663</f>
        <v/>
      </c>
    </row>
    <row r="664">
      <c r="A664" t="inlineStr">
        <is>
          <t>פורינה (חנויות)</t>
        </is>
      </c>
      <c r="B664" t="inlineStr">
        <is>
          <t>פנסי פיסט גריל קצוץ</t>
        </is>
      </c>
      <c r="C664" t="inlineStr">
        <is>
          <t>פנסי פיסט FANCY FEAST</t>
        </is>
      </c>
      <c r="D664" t="inlineStr">
        <is>
          <t>12445466</t>
        </is>
      </c>
      <c r="E664" t="inlineStr">
        <is>
          <t>2026-06</t>
        </is>
      </c>
      <c r="F664" t="n">
        <v>4.28</v>
      </c>
      <c r="G664" t="n">
        <v>5.05</v>
      </c>
      <c r="H664">
        <f>הגדרות!B9</f>
        <v/>
      </c>
      <c r="I664">
        <f>F664*(1-H664/100)*1.18</f>
        <v/>
      </c>
      <c r="J664">
        <f>הגדרות!C9</f>
        <v/>
      </c>
      <c r="K664">
        <f>הגדרות!D9</f>
        <v/>
      </c>
      <c r="L664">
        <f>I664*(1+J664/100)+K664</f>
        <v/>
      </c>
    </row>
    <row r="665">
      <c r="A665" t="inlineStr">
        <is>
          <t>פורינה (חנויות)</t>
        </is>
      </c>
      <c r="B665" t="inlineStr">
        <is>
          <t>פנסי פיסט מוס סלומון</t>
        </is>
      </c>
      <c r="C665" t="inlineStr">
        <is>
          <t>פנסי פיסט FANCY FEAST</t>
        </is>
      </c>
      <c r="D665" t="inlineStr">
        <is>
          <t>12445502</t>
        </is>
      </c>
      <c r="E665" t="inlineStr">
        <is>
          <t>2026-06</t>
        </is>
      </c>
      <c r="F665" t="n">
        <v>4.28</v>
      </c>
      <c r="G665" t="n">
        <v>5.05</v>
      </c>
      <c r="H665">
        <f>הגדרות!B9</f>
        <v/>
      </c>
      <c r="I665">
        <f>F665*(1-H665/100)*1.18</f>
        <v/>
      </c>
      <c r="J665">
        <f>הגדרות!C9</f>
        <v/>
      </c>
      <c r="K665">
        <f>הגדרות!D9</f>
        <v/>
      </c>
      <c r="L665">
        <f>I665*(1+J665/100)+K665</f>
        <v/>
      </c>
    </row>
    <row r="666">
      <c r="A666" t="inlineStr">
        <is>
          <t>פורינה (חנויות)</t>
        </is>
      </c>
      <c r="B666" t="inlineStr">
        <is>
          <t>פנסי פיסט דגי אוקינוס וטונה</t>
        </is>
      </c>
      <c r="C666" t="inlineStr">
        <is>
          <t>פנסי פיסט FANCY FEAST</t>
        </is>
      </c>
      <c r="D666" t="inlineStr">
        <is>
          <t>12445487</t>
        </is>
      </c>
      <c r="E666" t="inlineStr">
        <is>
          <t>2026-06</t>
        </is>
      </c>
      <c r="F666" t="n">
        <v>4.28</v>
      </c>
      <c r="G666" t="n">
        <v>5.05</v>
      </c>
      <c r="H666">
        <f>הגדרות!B9</f>
        <v/>
      </c>
      <c r="I666">
        <f>F666*(1-H666/100)*1.18</f>
        <v/>
      </c>
      <c r="J666">
        <f>הגדרות!C9</f>
        <v/>
      </c>
      <c r="K666">
        <f>הגדרות!D9</f>
        <v/>
      </c>
      <c r="L666">
        <f>I666*(1+J666/100)+K666</f>
        <v/>
      </c>
    </row>
    <row r="667">
      <c r="A667" t="inlineStr">
        <is>
          <t>פורינה (חנויות)</t>
        </is>
      </c>
      <c r="B667" t="inlineStr">
        <is>
          <t>פנסי פיסט פטה הודו ועוף</t>
        </is>
      </c>
      <c r="C667" t="inlineStr">
        <is>
          <t>פנסי פיסט FANCY FEAST</t>
        </is>
      </c>
      <c r="D667" t="inlineStr">
        <is>
          <t>12445493</t>
        </is>
      </c>
      <c r="E667" t="inlineStr">
        <is>
          <t>2026-06</t>
        </is>
      </c>
      <c r="F667" t="n">
        <v>4.28</v>
      </c>
      <c r="G667" t="n">
        <v>5.05</v>
      </c>
      <c r="H667">
        <f>הגדרות!B9</f>
        <v/>
      </c>
      <c r="I667">
        <f>F667*(1-H667/100)*1.18</f>
        <v/>
      </c>
      <c r="J667">
        <f>הגדרות!C9</f>
        <v/>
      </c>
      <c r="K667">
        <f>הגדרות!D9</f>
        <v/>
      </c>
      <c r="L667">
        <f>I667*(1+J667/100)+K667</f>
        <v/>
      </c>
    </row>
    <row r="668">
      <c r="A668" t="inlineStr">
        <is>
          <t>פורינה (חנויות)</t>
        </is>
      </c>
      <c r="B668" t="inlineStr">
        <is>
          <t>פנסי פיסט גורמה עוף</t>
        </is>
      </c>
      <c r="C668" t="inlineStr">
        <is>
          <t>פנסי פיסט FANCY FEAST</t>
        </is>
      </c>
      <c r="D668" t="inlineStr">
        <is>
          <t>12445492</t>
        </is>
      </c>
      <c r="E668" t="inlineStr">
        <is>
          <t>2026-06</t>
        </is>
      </c>
      <c r="F668" t="n">
        <v>4.28</v>
      </c>
      <c r="G668" t="n">
        <v>5.05</v>
      </c>
      <c r="H668">
        <f>הגדרות!B9</f>
        <v/>
      </c>
      <c r="I668">
        <f>F668*(1-H668/100)*1.18</f>
        <v/>
      </c>
      <c r="J668">
        <f>הגדרות!C9</f>
        <v/>
      </c>
      <c r="K668">
        <f>הגדרות!D9</f>
        <v/>
      </c>
      <c r="L668">
        <f>I668*(1+J668/100)+K668</f>
        <v/>
      </c>
    </row>
    <row r="669">
      <c r="A669" t="inlineStr">
        <is>
          <t>פורינה (חנויות)</t>
        </is>
      </c>
      <c r="B669" t="inlineStr">
        <is>
          <t>פנסי פיסט נתחי לבבות עוף וכבד</t>
        </is>
      </c>
      <c r="C669" t="inlineStr">
        <is>
          <t>פנסי פיסט FANCY FEAST</t>
        </is>
      </c>
      <c r="D669" t="inlineStr">
        <is>
          <t>12519503</t>
        </is>
      </c>
      <c r="E669" t="inlineStr">
        <is>
          <t>2026-06</t>
        </is>
      </c>
      <c r="F669" t="n">
        <v>4.28</v>
      </c>
      <c r="G669" t="n">
        <v>5.05</v>
      </c>
      <c r="H669">
        <f>הגדרות!B9</f>
        <v/>
      </c>
      <c r="I669">
        <f>F669*(1-H669/100)*1.18</f>
        <v/>
      </c>
      <c r="J669">
        <f>הגדרות!C9</f>
        <v/>
      </c>
      <c r="K669">
        <f>הגדרות!D9</f>
        <v/>
      </c>
      <c r="L669">
        <f>I669*(1+J669/100)+K669</f>
        <v/>
      </c>
    </row>
    <row r="670">
      <c r="A670" t="inlineStr">
        <is>
          <t>פורינה (חנויות)</t>
        </is>
      </c>
      <c r="B670" t="inlineStr">
        <is>
          <t>פנסי פיסט עוף ברוטב עשיר</t>
        </is>
      </c>
      <c r="C670" t="inlineStr">
        <is>
          <t>פנסי פיסט FANCY FEAST</t>
        </is>
      </c>
      <c r="D670" t="inlineStr">
        <is>
          <t>12518243</t>
        </is>
      </c>
      <c r="E670" t="inlineStr">
        <is>
          <t>2026-06</t>
        </is>
      </c>
      <c r="F670" t="n">
        <v>4.28</v>
      </c>
      <c r="G670" t="n">
        <v>5.05</v>
      </c>
      <c r="H670">
        <f>הגדרות!B9</f>
        <v/>
      </c>
      <c r="I670">
        <f>F670*(1-H670/100)*1.18</f>
        <v/>
      </c>
      <c r="J670">
        <f>הגדרות!C9</f>
        <v/>
      </c>
      <c r="K670">
        <f>הגדרות!D9</f>
        <v/>
      </c>
      <c r="L670">
        <f>I670*(1+J670/100)+K670</f>
        <v/>
      </c>
    </row>
    <row r="671">
      <c r="A671" t="inlineStr">
        <is>
          <t>פורינה (חנויות)</t>
        </is>
      </c>
      <c r="B671" t="inlineStr">
        <is>
          <t>פנסי פיסט נתחי בשר ועוף</t>
        </is>
      </c>
      <c r="C671" t="inlineStr">
        <is>
          <t>פנסי פיסט FANCY FEAST</t>
        </is>
      </c>
      <c r="D671" t="inlineStr">
        <is>
          <t>12519513</t>
        </is>
      </c>
      <c r="E671" t="inlineStr">
        <is>
          <t>2026-06</t>
        </is>
      </c>
      <c r="F671" t="n">
        <v>4.28</v>
      </c>
      <c r="G671" t="n">
        <v>5.05</v>
      </c>
      <c r="H671">
        <f>הגדרות!B9</f>
        <v/>
      </c>
      <c r="I671">
        <f>F671*(1-H671/100)*1.18</f>
        <v/>
      </c>
      <c r="J671">
        <f>הגדרות!C9</f>
        <v/>
      </c>
      <c r="K671">
        <f>הגדרות!D9</f>
        <v/>
      </c>
      <c r="L671">
        <f>I671*(1+J671/100)+K671</f>
        <v/>
      </c>
    </row>
    <row r="672">
      <c r="A672" t="inlineStr">
        <is>
          <t>פורינה (חנויות)</t>
        </is>
      </c>
      <c r="B672" t="inlineStr">
        <is>
          <t>פנסי פיסט גריל עוף ברוטב</t>
        </is>
      </c>
      <c r="C672" t="inlineStr">
        <is>
          <t>פנסי פיסט FANCY FEAST</t>
        </is>
      </c>
      <c r="D672" t="inlineStr">
        <is>
          <t>12496141</t>
        </is>
      </c>
      <c r="E672" t="inlineStr">
        <is>
          <t>2026-06</t>
        </is>
      </c>
      <c r="F672" t="n">
        <v>4.28</v>
      </c>
      <c r="G672" t="n">
        <v>5.05</v>
      </c>
      <c r="H672">
        <f>הגדרות!B9</f>
        <v/>
      </c>
      <c r="I672">
        <f>F672*(1-H672/100)*1.18</f>
        <v/>
      </c>
      <c r="J672">
        <f>הגדרות!C9</f>
        <v/>
      </c>
      <c r="K672">
        <f>הגדרות!D9</f>
        <v/>
      </c>
      <c r="L672">
        <f>I672*(1+J672/100)+K672</f>
        <v/>
      </c>
    </row>
    <row r="673">
      <c r="A673" t="inlineStr">
        <is>
          <t>פורינה (חנויות)</t>
        </is>
      </c>
      <c r="B673" t="inlineStr">
        <is>
          <t>פנסי פיסט גורמה פירות ים</t>
        </is>
      </c>
      <c r="C673" t="inlineStr">
        <is>
          <t>פנסי פיסט FANCY FEAST</t>
        </is>
      </c>
      <c r="D673" t="inlineStr">
        <is>
          <t>12445486</t>
        </is>
      </c>
      <c r="E673" t="inlineStr">
        <is>
          <t>2026-06</t>
        </is>
      </c>
      <c r="F673" t="n">
        <v>4.28</v>
      </c>
      <c r="G673" t="n">
        <v>5.05</v>
      </c>
      <c r="H673">
        <f>הגדרות!B9</f>
        <v/>
      </c>
      <c r="I673">
        <f>F673*(1-H673/100)*1.18</f>
        <v/>
      </c>
      <c r="J673">
        <f>הגדרות!C9</f>
        <v/>
      </c>
      <c r="K673">
        <f>הגדרות!D9</f>
        <v/>
      </c>
      <c r="L673">
        <f>I673*(1+J673/100)+K673</f>
        <v/>
      </c>
    </row>
    <row r="674">
      <c r="A674" t="inlineStr">
        <is>
          <t>פורינה (חנויות)</t>
        </is>
      </c>
      <c r="B674" t="inlineStr">
        <is>
          <t>פנסי פיסט לח לחתול גריל סלמון</t>
        </is>
      </c>
      <c r="C674" t="inlineStr">
        <is>
          <t>פנסי פיסט FANCY FEAST</t>
        </is>
      </c>
      <c r="D674" t="inlineStr">
        <is>
          <t>12501080</t>
        </is>
      </c>
      <c r="E674" t="inlineStr">
        <is>
          <t>2026-06</t>
        </is>
      </c>
      <c r="F674" t="n">
        <v>4.28</v>
      </c>
      <c r="G674" t="n">
        <v>5.05</v>
      </c>
      <c r="H674">
        <f>הגדרות!B9</f>
        <v/>
      </c>
      <c r="I674">
        <f>F674*(1-H674/100)*1.18</f>
        <v/>
      </c>
      <c r="J674">
        <f>הגדרות!C9</f>
        <v/>
      </c>
      <c r="K674">
        <f>הגדרות!D9</f>
        <v/>
      </c>
      <c r="L674">
        <f>I674*(1+J674/100)+K674</f>
        <v/>
      </c>
    </row>
    <row r="675">
      <c r="A675" t="inlineStr">
        <is>
          <t>פורינה (חנויות)</t>
        </is>
      </c>
      <c r="B675" t="inlineStr">
        <is>
          <t>פנסי פיסט פטה דג אוקינוס לגור חתלתולים</t>
        </is>
      </c>
      <c r="C675" t="inlineStr">
        <is>
          <t>פנסי פיסט FANCY FEAST</t>
        </is>
      </c>
      <c r="D675" t="inlineStr">
        <is>
          <t>12514440</t>
        </is>
      </c>
      <c r="E675" t="inlineStr">
        <is>
          <t>2026-06</t>
        </is>
      </c>
      <c r="F675" t="n">
        <v>4.28</v>
      </c>
      <c r="G675" t="n">
        <v>5.05</v>
      </c>
      <c r="H675">
        <f>הגדרות!B9</f>
        <v/>
      </c>
      <c r="I675">
        <f>F675*(1-H675/100)*1.18</f>
        <v/>
      </c>
      <c r="J675">
        <f>הגדרות!C9</f>
        <v/>
      </c>
      <c r="K675">
        <f>הגדרות!D9</f>
        <v/>
      </c>
      <c r="L675">
        <f>I675*(1+J675/100)+K675</f>
        <v/>
      </c>
    </row>
    <row r="676">
      <c r="A676" t="inlineStr">
        <is>
          <t>פורינה (חנויות)</t>
        </is>
      </c>
      <c r="B676" t="inlineStr">
        <is>
          <t>פנסי פיסט לח לחתול גריל טונה</t>
        </is>
      </c>
      <c r="C676" t="inlineStr">
        <is>
          <t>פנסי פיסט FANCY FEAST</t>
        </is>
      </c>
      <c r="D676" t="inlineStr">
        <is>
          <t>12501076</t>
        </is>
      </c>
      <c r="E676" t="inlineStr">
        <is>
          <t>2026-06</t>
        </is>
      </c>
      <c r="F676" t="n">
        <v>4.28</v>
      </c>
      <c r="G676" t="n">
        <v>5.05</v>
      </c>
      <c r="H676">
        <f>הגדרות!B9</f>
        <v/>
      </c>
      <c r="I676">
        <f>F676*(1-H676/100)*1.18</f>
        <v/>
      </c>
      <c r="J676">
        <f>הגדרות!C9</f>
        <v/>
      </c>
      <c r="K676">
        <f>הגדרות!D9</f>
        <v/>
      </c>
      <c r="L676">
        <f>I676*(1+J676/100)+K676</f>
        <v/>
      </c>
    </row>
    <row r="677">
      <c r="A677" t="inlineStr">
        <is>
          <t>פורינה (חנויות)</t>
        </is>
      </c>
      <c r="B677" t="inlineStr">
        <is>
          <t>פנסי פיסט מארז פטה 85*12 2 גרם</t>
        </is>
      </c>
      <c r="C677" t="inlineStr">
        <is>
          <t>פנסי פיסט FANCY FEAST</t>
        </is>
      </c>
      <c r="D677" t="inlineStr">
        <is>
          <t>12445260</t>
        </is>
      </c>
      <c r="E677" t="inlineStr">
        <is>
          <t>2026-06</t>
        </is>
      </c>
      <c r="F677" t="n">
        <v>46.22</v>
      </c>
      <c r="G677" t="n">
        <v>54.54</v>
      </c>
      <c r="H677">
        <f>הגדרות!B9</f>
        <v/>
      </c>
      <c r="I677">
        <f>F677*(1-H677/100)*1.18</f>
        <v/>
      </c>
      <c r="J677">
        <f>הגדרות!C9</f>
        <v/>
      </c>
      <c r="K677">
        <f>הגדרות!D9</f>
        <v/>
      </c>
      <c r="L677">
        <f>I677*(1+J677/100)+K677</f>
        <v/>
      </c>
    </row>
    <row r="678">
      <c r="A678" t="inlineStr">
        <is>
          <t>פורינה (חנויות)</t>
        </is>
      </c>
      <c r="B678" t="inlineStr">
        <is>
          <t>פנסי פיסט הודו ברוטב עשיר</t>
        </is>
      </c>
      <c r="C678" t="inlineStr">
        <is>
          <t>פנסי פיסט FANCY FEAST</t>
        </is>
      </c>
      <c r="D678" t="inlineStr">
        <is>
          <t>12518242</t>
        </is>
      </c>
      <c r="E678" t="inlineStr">
        <is>
          <t>2026-06</t>
        </is>
      </c>
      <c r="F678" t="n">
        <v>4.28</v>
      </c>
      <c r="G678" t="n">
        <v>5.05</v>
      </c>
      <c r="H678">
        <f>הגדרות!B9</f>
        <v/>
      </c>
      <c r="I678">
        <f>F678*(1-H678/100)*1.18</f>
        <v/>
      </c>
      <c r="J678">
        <f>הגדרות!C9</f>
        <v/>
      </c>
      <c r="K678">
        <f>הגדרות!D9</f>
        <v/>
      </c>
      <c r="L678">
        <f>I678*(1+J678/100)+K678</f>
        <v/>
      </c>
    </row>
    <row r="679">
      <c r="A679" t="inlineStr">
        <is>
          <t>פורינה (חנויות)</t>
        </is>
      </c>
      <c r="B679" t="inlineStr">
        <is>
          <t>פנסי פיסט דג אוקיינוס וטונה ברוטב עשיר</t>
        </is>
      </c>
      <c r="C679" t="inlineStr">
        <is>
          <t>פנסי פיסט FANCY FEAST</t>
        </is>
      </c>
      <c r="D679" t="inlineStr">
        <is>
          <t>12513985</t>
        </is>
      </c>
      <c r="E679" t="inlineStr">
        <is>
          <t>2026-06</t>
        </is>
      </c>
      <c r="F679" t="n">
        <v>4.28</v>
      </c>
      <c r="G679" t="n">
        <v>5.05</v>
      </c>
      <c r="H679">
        <f>הגדרות!B9</f>
        <v/>
      </c>
      <c r="I679">
        <f>F679*(1-H679/100)*1.18</f>
        <v/>
      </c>
      <c r="J679">
        <f>הגדרות!C9</f>
        <v/>
      </c>
      <c r="K679">
        <f>הגדרות!D9</f>
        <v/>
      </c>
      <c r="L679">
        <f>I679*(1+J679/100)+K679</f>
        <v/>
      </c>
    </row>
    <row r="680">
      <c r="A680" t="inlineStr">
        <is>
          <t>פורינה (חנויות)</t>
        </is>
      </c>
      <c r="B680" t="inlineStr">
        <is>
          <t>גורמה גולד פטה טונה</t>
        </is>
      </c>
      <c r="C680" t="inlineStr">
        <is>
          <t>גורמה GOLD</t>
        </is>
      </c>
      <c r="D680" t="inlineStr">
        <is>
          <t>12592130</t>
        </is>
      </c>
      <c r="E680" t="inlineStr">
        <is>
          <t>2026-06</t>
        </is>
      </c>
      <c r="F680" t="n">
        <v>4.39</v>
      </c>
      <c r="G680" t="n">
        <v>5.18</v>
      </c>
      <c r="H680">
        <f>הגדרות!B9</f>
        <v/>
      </c>
      <c r="I680">
        <f>F680*(1-H680/100)*1.18</f>
        <v/>
      </c>
      <c r="J680">
        <f>הגדרות!C9</f>
        <v/>
      </c>
      <c r="K680">
        <f>הגדרות!D9</f>
        <v/>
      </c>
      <c r="L680">
        <f>I680*(1+J680/100)+K680</f>
        <v/>
      </c>
    </row>
    <row r="681">
      <c r="A681" t="inlineStr">
        <is>
          <t>פורינה (חנויות)</t>
        </is>
      </c>
      <c r="B681" t="inlineStr">
        <is>
          <t>גורמה גולד פטה עוף</t>
        </is>
      </c>
      <c r="C681" t="inlineStr">
        <is>
          <t>גורמה GOLD</t>
        </is>
      </c>
      <c r="D681" t="inlineStr">
        <is>
          <t>12592099</t>
        </is>
      </c>
      <c r="E681" t="inlineStr">
        <is>
          <t>2026-06</t>
        </is>
      </c>
      <c r="F681" t="n">
        <v>4.39</v>
      </c>
      <c r="G681" t="n">
        <v>5.18</v>
      </c>
      <c r="H681">
        <f>הגדרות!B9</f>
        <v/>
      </c>
      <c r="I681">
        <f>F681*(1-H681/100)*1.18</f>
        <v/>
      </c>
      <c r="J681">
        <f>הגדרות!C9</f>
        <v/>
      </c>
      <c r="K681">
        <f>הגדרות!D9</f>
        <v/>
      </c>
      <c r="L681">
        <f>I681*(1+J681/100)+K681</f>
        <v/>
      </c>
    </row>
    <row r="682">
      <c r="A682" t="inlineStr">
        <is>
          <t>פורינה (חנויות)</t>
        </is>
      </c>
      <c r="B682" t="inlineStr">
        <is>
          <t>גורמה גולד פטה הודו</t>
        </is>
      </c>
      <c r="C682" t="inlineStr">
        <is>
          <t>גורמה GOLD</t>
        </is>
      </c>
      <c r="D682" t="inlineStr">
        <is>
          <t>12592121</t>
        </is>
      </c>
      <c r="E682" t="inlineStr">
        <is>
          <t>2026-06</t>
        </is>
      </c>
      <c r="F682" t="n">
        <v>4.39</v>
      </c>
      <c r="G682" t="n">
        <v>5.18</v>
      </c>
      <c r="H682">
        <f>הגדרות!B9</f>
        <v/>
      </c>
      <c r="I682">
        <f>F682*(1-H682/100)*1.18</f>
        <v/>
      </c>
      <c r="J682">
        <f>הגדרות!C9</f>
        <v/>
      </c>
      <c r="K682">
        <f>הגדרות!D9</f>
        <v/>
      </c>
      <c r="L682">
        <f>I682*(1+J682/100)+K682</f>
        <v/>
      </c>
    </row>
    <row r="683">
      <c r="A683" t="inlineStr">
        <is>
          <t>פורינה (חנויות)</t>
        </is>
      </c>
      <c r="B683" t="inlineStr">
        <is>
          <t>גורמה גולד פטה בקר</t>
        </is>
      </c>
      <c r="C683" t="inlineStr">
        <is>
          <t>גורמה GOLD</t>
        </is>
      </c>
      <c r="D683" t="inlineStr">
        <is>
          <t>12558272</t>
        </is>
      </c>
      <c r="E683" t="inlineStr">
        <is>
          <t>2026-06</t>
        </is>
      </c>
      <c r="F683" t="n">
        <v>4.39</v>
      </c>
      <c r="G683" t="n">
        <v>5.18</v>
      </c>
      <c r="H683">
        <f>הגדרות!B9</f>
        <v/>
      </c>
      <c r="I683">
        <f>F683*(1-H683/100)*1.18</f>
        <v/>
      </c>
      <c r="J683">
        <f>הגדרות!C9</f>
        <v/>
      </c>
      <c r="K683">
        <f>הגדרות!D9</f>
        <v/>
      </c>
      <c r="L683">
        <f>I683*(1+J683/100)+K683</f>
        <v/>
      </c>
    </row>
    <row r="684">
      <c r="A684" t="inlineStr">
        <is>
          <t>פורינה (חנויות)</t>
        </is>
      </c>
      <c r="B684" t="inlineStr">
        <is>
          <t>גורמה גולד פטה כבד</t>
        </is>
      </c>
      <c r="C684" t="inlineStr">
        <is>
          <t>גורמה GOLD</t>
        </is>
      </c>
      <c r="D684" t="inlineStr">
        <is>
          <t>12558264</t>
        </is>
      </c>
      <c r="E684" t="inlineStr">
        <is>
          <t>2026-06</t>
        </is>
      </c>
      <c r="F684" t="n">
        <v>4.39</v>
      </c>
      <c r="G684" t="n">
        <v>5.18</v>
      </c>
      <c r="H684">
        <f>הגדרות!B9</f>
        <v/>
      </c>
      <c r="I684">
        <f>F684*(1-H684/100)*1.18</f>
        <v/>
      </c>
      <c r="J684">
        <f>הגדרות!C9</f>
        <v/>
      </c>
      <c r="K684">
        <f>הגדרות!D9</f>
        <v/>
      </c>
      <c r="L684">
        <f>I684*(1+J684/100)+K684</f>
        <v/>
      </c>
    </row>
    <row r="685">
      <c r="A685" t="inlineStr">
        <is>
          <t>פורינה (חנויות)</t>
        </is>
      </c>
      <c r="B685" t="inlineStr">
        <is>
          <t>גורמה גולד נתחי עוף וכבד ברוטב</t>
        </is>
      </c>
      <c r="C685" t="inlineStr">
        <is>
          <t>גורמה GOLD</t>
        </is>
      </c>
      <c r="D685" t="inlineStr">
        <is>
          <t>12599003</t>
        </is>
      </c>
      <c r="E685" t="inlineStr">
        <is>
          <t>2026-06</t>
        </is>
      </c>
      <c r="F685" t="n">
        <v>4.39</v>
      </c>
      <c r="G685" t="n">
        <v>5.18</v>
      </c>
      <c r="H685">
        <f>הגדרות!B9</f>
        <v/>
      </c>
      <c r="I685">
        <f>F685*(1-H685/100)*1.18</f>
        <v/>
      </c>
      <c r="J685">
        <f>הגדרות!C9</f>
        <v/>
      </c>
      <c r="K685">
        <f>הגדרות!D9</f>
        <v/>
      </c>
      <c r="L685">
        <f>I685*(1+J685/100)+K685</f>
        <v/>
      </c>
    </row>
    <row r="686">
      <c r="A686" t="inlineStr">
        <is>
          <t>פורינה (חנויות)</t>
        </is>
      </c>
      <c r="B686" t="inlineStr">
        <is>
          <t>גורמה גולד נתחי סלמון ועוף ברוטב</t>
        </is>
      </c>
      <c r="C686" t="inlineStr">
        <is>
          <t>גורמה GOLD</t>
        </is>
      </c>
      <c r="D686" t="inlineStr">
        <is>
          <t>12592015</t>
        </is>
      </c>
      <c r="E686" t="inlineStr">
        <is>
          <t>2026-06</t>
        </is>
      </c>
      <c r="F686" t="n">
        <v>4.39</v>
      </c>
      <c r="G686" t="n">
        <v>5.18</v>
      </c>
      <c r="H686">
        <f>הגדרות!B9</f>
        <v/>
      </c>
      <c r="I686">
        <f>F686*(1-H686/100)*1.18</f>
        <v/>
      </c>
      <c r="J686">
        <f>הגדרות!C9</f>
        <v/>
      </c>
      <c r="K686">
        <f>הגדרות!D9</f>
        <v/>
      </c>
      <c r="L686">
        <f>I686*(1+J686/100)+K686</f>
        <v/>
      </c>
    </row>
    <row r="687">
      <c r="A687" t="inlineStr">
        <is>
          <t>פורינה (חנויות)</t>
        </is>
      </c>
      <c r="B687" t="inlineStr">
        <is>
          <t>גורמה גולד נתחי הודו וברווז ברוטב</t>
        </is>
      </c>
      <c r="C687" t="inlineStr">
        <is>
          <t>גורמה GOLD</t>
        </is>
      </c>
      <c r="D687" t="inlineStr">
        <is>
          <t>12592068</t>
        </is>
      </c>
      <c r="E687" t="inlineStr">
        <is>
          <t>2026-06</t>
        </is>
      </c>
      <c r="F687" t="n">
        <v>4.39</v>
      </c>
      <c r="G687" t="n">
        <v>5.18</v>
      </c>
      <c r="H687">
        <f>הגדרות!B9</f>
        <v/>
      </c>
      <c r="I687">
        <f>F687*(1-H687/100)*1.18</f>
        <v/>
      </c>
      <c r="J687">
        <f>הגדרות!C9</f>
        <v/>
      </c>
      <c r="K687">
        <f>הגדרות!D9</f>
        <v/>
      </c>
      <c r="L687">
        <f>I687*(1+J687/100)+K687</f>
        <v/>
      </c>
    </row>
    <row r="688">
      <c r="A688" t="inlineStr">
        <is>
          <t>פורינה (חנויות)</t>
        </is>
      </c>
      <c r="B688" t="inlineStr">
        <is>
          <t>גורמה גולד Savoury Cake עוף</t>
        </is>
      </c>
      <c r="C688" t="inlineStr">
        <is>
          <t>גורמה GOLD</t>
        </is>
      </c>
      <c r="D688" t="inlineStr">
        <is>
          <t>12598886</t>
        </is>
      </c>
      <c r="E688" t="inlineStr">
        <is>
          <t>2026-06</t>
        </is>
      </c>
      <c r="F688" t="n">
        <v>4.39</v>
      </c>
      <c r="G688" t="n">
        <v>5.18</v>
      </c>
      <c r="H688">
        <f>הגדרות!B9</f>
        <v/>
      </c>
      <c r="I688">
        <f>F688*(1-H688/100)*1.18</f>
        <v/>
      </c>
      <c r="J688">
        <f>הגדרות!C9</f>
        <v/>
      </c>
      <c r="K688">
        <f>הגדרות!D9</f>
        <v/>
      </c>
      <c r="L688">
        <f>I688*(1+J688/100)+K688</f>
        <v/>
      </c>
    </row>
    <row r="689">
      <c r="A689" t="inlineStr">
        <is>
          <t>פורינה (חנויות)</t>
        </is>
      </c>
      <c r="B689" t="inlineStr">
        <is>
          <t>גורמה גולד מארז פטה 85*8( 6 גרם) כבד, הודו, בקר, דג ים</t>
        </is>
      </c>
      <c r="C689" t="inlineStr">
        <is>
          <t>גורמה GOLD</t>
        </is>
      </c>
      <c r="D689" t="inlineStr">
        <is>
          <t>12428366</t>
        </is>
      </c>
      <c r="E689" t="inlineStr">
        <is>
          <t>2026-06</t>
        </is>
      </c>
      <c r="F689" t="n">
        <v>31.61</v>
      </c>
      <c r="G689" t="n">
        <v>37.3</v>
      </c>
      <c r="H689">
        <f>הגדרות!B9</f>
        <v/>
      </c>
      <c r="I689">
        <f>F689*(1-H689/100)*1.18</f>
        <v/>
      </c>
      <c r="J689">
        <f>הגדרות!C9</f>
        <v/>
      </c>
      <c r="K689">
        <f>הגדרות!D9</f>
        <v/>
      </c>
      <c r="L689">
        <f>I689*(1+J689/100)+K689</f>
        <v/>
      </c>
    </row>
    <row r="690">
      <c r="A690" t="inlineStr">
        <is>
          <t>פורינה (חנויות)</t>
        </is>
      </c>
      <c r="B690" t="inlineStr">
        <is>
          <t>גורמה גולד נתחי סלמון ברוטב</t>
        </is>
      </c>
      <c r="C690" t="inlineStr">
        <is>
          <t>גורמה GOLD</t>
        </is>
      </c>
      <c r="D690" t="inlineStr">
        <is>
          <t>12599005</t>
        </is>
      </c>
      <c r="E690" t="inlineStr">
        <is>
          <t>2026-06</t>
        </is>
      </c>
      <c r="F690" t="n">
        <v>4.39</v>
      </c>
      <c r="G690" t="n">
        <v>5.18</v>
      </c>
      <c r="H690">
        <f>הגדרות!B9</f>
        <v/>
      </c>
      <c r="I690">
        <f>F690*(1-H690/100)*1.18</f>
        <v/>
      </c>
      <c r="J690">
        <f>הגדרות!C9</f>
        <v/>
      </c>
      <c r="K690">
        <f>הגדרות!D9</f>
        <v/>
      </c>
      <c r="L690">
        <f>I690*(1+J690/100)+K690</f>
        <v/>
      </c>
    </row>
    <row r="691">
      <c r="A691" t="inlineStr">
        <is>
          <t>פורינה (חנויות)</t>
        </is>
      </c>
      <c r="B691" t="inlineStr">
        <is>
          <t>גורמה גולד פטה עגל לגור חתולים</t>
        </is>
      </c>
      <c r="C691" t="inlineStr">
        <is>
          <t>גורמה GOLD</t>
        </is>
      </c>
      <c r="D691" t="inlineStr">
        <is>
          <t>12598738</t>
        </is>
      </c>
      <c r="E691" t="inlineStr">
        <is>
          <t>2026-06</t>
        </is>
      </c>
      <c r="F691" t="n">
        <v>4.39</v>
      </c>
      <c r="G691" t="n">
        <v>5.18</v>
      </c>
      <c r="H691">
        <f>הגדרות!B9</f>
        <v/>
      </c>
      <c r="I691">
        <f>F691*(1-H691/100)*1.18</f>
        <v/>
      </c>
      <c r="J691">
        <f>הגדרות!C9</f>
        <v/>
      </c>
      <c r="K691">
        <f>הגדרות!D9</f>
        <v/>
      </c>
      <c r="L691">
        <f>I691*(1+J691/100)+K691</f>
        <v/>
      </c>
    </row>
    <row r="692">
      <c r="A692" t="inlineStr">
        <is>
          <t>פורינה (חנויות)</t>
        </is>
      </c>
      <c r="B692" t="inlineStr">
        <is>
          <t>גורמה גולד פטה ארנב משובץ נתחים</t>
        </is>
      </c>
      <c r="C692" t="inlineStr">
        <is>
          <t>גורמה GOLD</t>
        </is>
      </c>
      <c r="D692" t="inlineStr">
        <is>
          <t>12592065</t>
        </is>
      </c>
      <c r="E692" t="inlineStr">
        <is>
          <t>2026-06</t>
        </is>
      </c>
      <c r="F692" t="n">
        <v>4.39</v>
      </c>
      <c r="G692" t="n">
        <v>5.18</v>
      </c>
      <c r="H692">
        <f>הגדרות!B9</f>
        <v/>
      </c>
      <c r="I692">
        <f>F692*(1-H692/100)*1.18</f>
        <v/>
      </c>
      <c r="J692">
        <f>הגדרות!C9</f>
        <v/>
      </c>
      <c r="K692">
        <f>הגדרות!D9</f>
        <v/>
      </c>
      <c r="L692">
        <f>I692*(1+J692/100)+K692</f>
        <v/>
      </c>
    </row>
    <row r="693">
      <c r="A693" t="inlineStr">
        <is>
          <t>פורינה (חנויות)</t>
        </is>
      </c>
      <c r="B693" t="inlineStr">
        <is>
          <t>גורמה גולד מעדן פטה ארנב</t>
        </is>
      </c>
      <c r="C693" t="inlineStr">
        <is>
          <t>גורמה GOLD</t>
        </is>
      </c>
      <c r="D693" t="inlineStr">
        <is>
          <t>12592114</t>
        </is>
      </c>
      <c r="E693" t="inlineStr">
        <is>
          <t>2026-06</t>
        </is>
      </c>
      <c r="F693" t="n">
        <v>4.39</v>
      </c>
      <c r="G693" t="n">
        <v>5.18</v>
      </c>
      <c r="H693">
        <f>הגדרות!B9</f>
        <v/>
      </c>
      <c r="I693">
        <f>F693*(1-H693/100)*1.18</f>
        <v/>
      </c>
      <c r="J693">
        <f>הגדרות!C9</f>
        <v/>
      </c>
      <c r="K693">
        <f>הגדרות!D9</f>
        <v/>
      </c>
      <c r="L693">
        <f>I693*(1+J693/100)+K693</f>
        <v/>
      </c>
    </row>
    <row r="694">
      <c r="A694" t="inlineStr">
        <is>
          <t>פורינה (חנויות)</t>
        </is>
      </c>
      <c r="B694" t="inlineStr">
        <is>
          <t>גורמה גולד פטה ברווז עם נתחי גזר ותרד</t>
        </is>
      </c>
      <c r="C694" t="inlineStr">
        <is>
          <t>גורמה GOLD</t>
        </is>
      </c>
      <c r="D694" t="inlineStr">
        <is>
          <t>12592088</t>
        </is>
      </c>
      <c r="E694" t="inlineStr">
        <is>
          <t>2026-06</t>
        </is>
      </c>
      <c r="F694" t="n">
        <v>4.39</v>
      </c>
      <c r="G694" t="n">
        <v>5.18</v>
      </c>
      <c r="H694">
        <f>הגדרות!B9</f>
        <v/>
      </c>
      <c r="I694">
        <f>F694*(1-H694/100)*1.18</f>
        <v/>
      </c>
      <c r="J694">
        <f>הגדרות!C9</f>
        <v/>
      </c>
      <c r="K694">
        <f>הגדרות!D9</f>
        <v/>
      </c>
      <c r="L694">
        <f>I694*(1+J694/100)+K694</f>
        <v/>
      </c>
    </row>
    <row r="695">
      <c r="A695" t="inlineStr">
        <is>
          <t>פורינה (חנויות)</t>
        </is>
      </c>
      <c r="B695" t="inlineStr">
        <is>
          <t>גורמה גולד Savoury Cake טונה</t>
        </is>
      </c>
      <c r="C695" t="inlineStr">
        <is>
          <t>גורמה GOLD</t>
        </is>
      </c>
      <c r="D695" t="inlineStr">
        <is>
          <t>12598672</t>
        </is>
      </c>
      <c r="E695" t="inlineStr">
        <is>
          <t>2026-06</t>
        </is>
      </c>
      <c r="F695" t="n">
        <v>4.39</v>
      </c>
      <c r="G695" t="n">
        <v>5.18</v>
      </c>
      <c r="H695">
        <f>הגדרות!B9</f>
        <v/>
      </c>
      <c r="I695">
        <f>F695*(1-H695/100)*1.18</f>
        <v/>
      </c>
      <c r="J695">
        <f>הגדרות!C9</f>
        <v/>
      </c>
      <c r="K695">
        <f>הגדרות!D9</f>
        <v/>
      </c>
      <c r="L695">
        <f>I695*(1+J695/100)+K695</f>
        <v/>
      </c>
    </row>
    <row r="696">
      <c r="A696" t="inlineStr">
        <is>
          <t>פורינה (חנויות)</t>
        </is>
      </c>
      <c r="B696" t="inlineStr">
        <is>
          <t>גורמה פרל פאוץ נתחי עגל וברווז</t>
        </is>
      </c>
      <c r="C696" t="inlineStr">
        <is>
          <t>גורמה פרל GOURMET Perle</t>
        </is>
      </c>
      <c r="D696" t="inlineStr">
        <is>
          <t>12619933</t>
        </is>
      </c>
      <c r="E696" t="inlineStr">
        <is>
          <t>2026-06</t>
        </is>
      </c>
      <c r="F696" t="n">
        <v>4.1</v>
      </c>
      <c r="G696" t="n">
        <v>4.84</v>
      </c>
      <c r="H696">
        <f>הגדרות!B9</f>
        <v/>
      </c>
      <c r="I696">
        <f>F696*(1-H696/100)*1.18</f>
        <v/>
      </c>
      <c r="J696">
        <f>הגדרות!C9</f>
        <v/>
      </c>
      <c r="K696">
        <f>הגדרות!D9</f>
        <v/>
      </c>
      <c r="L696">
        <f>I696*(1+J696/100)+K696</f>
        <v/>
      </c>
    </row>
    <row r="697">
      <c r="A697" t="inlineStr">
        <is>
          <t>פורינה (חנויות)</t>
        </is>
      </c>
      <c r="B697" t="inlineStr">
        <is>
          <t>גורמה פרל פאוץ נתחי דגי אוקיינוס וטונה</t>
        </is>
      </c>
      <c r="C697" t="inlineStr">
        <is>
          <t>גורמה פרל GOURMET Perle</t>
        </is>
      </c>
      <c r="D697" t="inlineStr">
        <is>
          <t>12619949</t>
        </is>
      </c>
      <c r="E697" t="inlineStr">
        <is>
          <t>2026-06</t>
        </is>
      </c>
      <c r="F697" t="n">
        <v>4.1</v>
      </c>
      <c r="G697" t="n">
        <v>4.84</v>
      </c>
      <c r="H697">
        <f>הגדרות!B9</f>
        <v/>
      </c>
      <c r="I697">
        <f>F697*(1-H697/100)*1.18</f>
        <v/>
      </c>
      <c r="J697">
        <f>הגדרות!C9</f>
        <v/>
      </c>
      <c r="K697">
        <f>הגדרות!D9</f>
        <v/>
      </c>
      <c r="L697">
        <f>I697*(1+J697/100)+K697</f>
        <v/>
      </c>
    </row>
    <row r="698">
      <c r="A698" t="inlineStr">
        <is>
          <t>פורינה (חנויות)</t>
        </is>
      </c>
      <c r="B698" t="inlineStr">
        <is>
          <t>גורמה פרל פאוץ נתחי סלמון ודג לבן</t>
        </is>
      </c>
      <c r="C698" t="inlineStr">
        <is>
          <t>גורמה פרל GOURMET Perle</t>
        </is>
      </c>
      <c r="D698" t="inlineStr">
        <is>
          <t>12619958</t>
        </is>
      </c>
      <c r="E698" t="inlineStr">
        <is>
          <t>2026-06</t>
        </is>
      </c>
      <c r="F698" t="n">
        <v>4.1</v>
      </c>
      <c r="G698" t="n">
        <v>4.84</v>
      </c>
      <c r="H698">
        <f>הגדרות!B9</f>
        <v/>
      </c>
      <c r="I698">
        <f>F698*(1-H698/100)*1.18</f>
        <v/>
      </c>
      <c r="J698">
        <f>הגדרות!C9</f>
        <v/>
      </c>
      <c r="K698">
        <f>הגדרות!D9</f>
        <v/>
      </c>
      <c r="L698">
        <f>I698*(1+J698/100)+K698</f>
        <v/>
      </c>
    </row>
    <row r="699">
      <c r="A699" t="inlineStr">
        <is>
          <t>פורינה (חנויות)</t>
        </is>
      </c>
      <c r="B699" t="inlineStr">
        <is>
          <t>גורמה פרל פאוץ נתחי עוף ובקר</t>
        </is>
      </c>
      <c r="C699" t="inlineStr">
        <is>
          <t>גורמה פרל GOURMET Perle</t>
        </is>
      </c>
      <c r="D699" t="inlineStr">
        <is>
          <t>12619957</t>
        </is>
      </c>
      <c r="E699" t="inlineStr">
        <is>
          <t>2026-06</t>
        </is>
      </c>
      <c r="F699" t="n">
        <v>4.1</v>
      </c>
      <c r="G699" t="n">
        <v>4.84</v>
      </c>
      <c r="H699">
        <f>הגדרות!B9</f>
        <v/>
      </c>
      <c r="I699">
        <f>F699*(1-H699/100)*1.18</f>
        <v/>
      </c>
      <c r="J699">
        <f>הגדרות!C9</f>
        <v/>
      </c>
      <c r="K699">
        <f>הגדרות!D9</f>
        <v/>
      </c>
      <c r="L699">
        <f>I699*(1+J699/100)+K699</f>
        <v/>
      </c>
    </row>
    <row r="700">
      <c r="A700" t="inlineStr">
        <is>
          <t>פורינה (חנויות)</t>
        </is>
      </c>
      <c r="B700" t="inlineStr">
        <is>
          <t>גורמה פרל פאוץ נתחי עוף ברוטב עשיר</t>
        </is>
      </c>
      <c r="C700" t="inlineStr">
        <is>
          <t>גורמה פרל GOURMET Perle</t>
        </is>
      </c>
      <c r="D700" t="inlineStr">
        <is>
          <t>12619963</t>
        </is>
      </c>
      <c r="E700" t="inlineStr">
        <is>
          <t>2026-06</t>
        </is>
      </c>
      <c r="F700" t="n">
        <v>4.1</v>
      </c>
      <c r="G700" t="n">
        <v>4.84</v>
      </c>
      <c r="H700">
        <f>הגדרות!B9</f>
        <v/>
      </c>
      <c r="I700">
        <f>F700*(1-H700/100)*1.18</f>
        <v/>
      </c>
      <c r="J700">
        <f>הגדרות!C9</f>
        <v/>
      </c>
      <c r="K700">
        <f>הגדרות!D9</f>
        <v/>
      </c>
      <c r="L700">
        <f>I700*(1+J700/100)+K700</f>
        <v/>
      </c>
    </row>
    <row r="701">
      <c r="A701" t="inlineStr">
        <is>
          <t>פורינה (חנויות)</t>
        </is>
      </c>
      <c r="B701" t="inlineStr">
        <is>
          <t>גורמה פרל פאוץ נתחי טונה ברוטב עשיר</t>
        </is>
      </c>
      <c r="C701" t="inlineStr">
        <is>
          <t>גורמה פרל GOURMET Perle</t>
        </is>
      </c>
      <c r="D701" t="inlineStr">
        <is>
          <t>12619964</t>
        </is>
      </c>
      <c r="E701" t="inlineStr">
        <is>
          <t>2026-06</t>
        </is>
      </c>
      <c r="F701" t="n">
        <v>4.1</v>
      </c>
      <c r="G701" t="n">
        <v>4.84</v>
      </c>
      <c r="H701">
        <f>הגדרות!B9</f>
        <v/>
      </c>
      <c r="I701">
        <f>F701*(1-H701/100)*1.18</f>
        <v/>
      </c>
      <c r="J701">
        <f>הגדרות!C9</f>
        <v/>
      </c>
      <c r="K701">
        <f>הגדרות!D9</f>
        <v/>
      </c>
      <c r="L701">
        <f>I701*(1+J701/100)+K701</f>
        <v/>
      </c>
    </row>
    <row r="702">
      <c r="A702" t="inlineStr">
        <is>
          <t>פורינה (חנויות)</t>
        </is>
      </c>
      <c r="B702" t="inlineStr">
        <is>
          <t>גורמה רווליישן פטה עוף 57X2 12 גרם</t>
        </is>
      </c>
      <c r="C702" t="inlineStr">
        <is>
          <t>גורמה פרל GOURMET Perle</t>
        </is>
      </c>
      <c r="D702" t="inlineStr">
        <is>
          <t>13882995</t>
        </is>
      </c>
      <c r="E702" t="inlineStr">
        <is>
          <t>2026-06</t>
        </is>
      </c>
      <c r="F702" t="n">
        <v>7.74</v>
      </c>
      <c r="G702" t="n">
        <v>9.130000000000001</v>
      </c>
      <c r="H702">
        <f>הגדרות!B9</f>
        <v/>
      </c>
      <c r="I702">
        <f>F702*(1-H702/100)*1.18</f>
        <v/>
      </c>
      <c r="J702">
        <f>הגדרות!C9</f>
        <v/>
      </c>
      <c r="K702">
        <f>הגדרות!D9</f>
        <v/>
      </c>
      <c r="L702">
        <f>I702*(1+J702/100)+K702</f>
        <v/>
      </c>
    </row>
    <row r="703">
      <c r="A703" t="inlineStr">
        <is>
          <t>פורינה (חנויות)</t>
        </is>
      </c>
      <c r="B703" t="inlineStr">
        <is>
          <t>גורמה רווליישן פטה סלמון 57X2 12 גרם</t>
        </is>
      </c>
      <c r="C703" t="inlineStr">
        <is>
          <t>גורמה פרל GOURMET Perle</t>
        </is>
      </c>
      <c r="D703" t="inlineStr">
        <is>
          <t>13883071</t>
        </is>
      </c>
      <c r="E703" t="inlineStr">
        <is>
          <t>2026-06</t>
        </is>
      </c>
      <c r="F703" t="n">
        <v>7.74</v>
      </c>
      <c r="G703" t="n">
        <v>9.130000000000001</v>
      </c>
      <c r="H703">
        <f>הגדרות!B9</f>
        <v/>
      </c>
      <c r="I703">
        <f>F703*(1-H703/100)*1.18</f>
        <v/>
      </c>
      <c r="J703">
        <f>הגדרות!C9</f>
        <v/>
      </c>
      <c r="K703">
        <f>הגדרות!D9</f>
        <v/>
      </c>
      <c r="L703">
        <f>I703*(1+J703/100)+K703</f>
        <v/>
      </c>
    </row>
    <row r="704">
      <c r="A704" t="inlineStr">
        <is>
          <t>פורינה (חנויות)</t>
        </is>
      </c>
      <c r="B704" t="inlineStr">
        <is>
          <t>פרו פלאן חתול DELICATE לקיבה רגישה</t>
        </is>
      </c>
      <c r="C704" t="inlineStr">
        <is>
          <t>פרו פלאן חתול יבש PRO PLAN DRY CAT</t>
        </is>
      </c>
      <c r="D704" t="inlineStr">
        <is>
          <t>13919411</t>
        </is>
      </c>
      <c r="E704" t="inlineStr">
        <is>
          <t>2026-06</t>
        </is>
      </c>
      <c r="F704" t="n">
        <v>104.78</v>
      </c>
      <c r="G704" t="n">
        <v>123.64</v>
      </c>
      <c r="H704">
        <f>הגדרות!B9</f>
        <v/>
      </c>
      <c r="I704">
        <f>F704*(1-H704/100)*1.18</f>
        <v/>
      </c>
      <c r="J704">
        <f>הגדרות!C9</f>
        <v/>
      </c>
      <c r="K704">
        <f>הגדרות!D9</f>
        <v/>
      </c>
      <c r="L704">
        <f>I704*(1+J704/100)+K704</f>
        <v/>
      </c>
    </row>
    <row r="705">
      <c r="A705" t="inlineStr">
        <is>
          <t>פורינה (חנויות)</t>
        </is>
      </c>
      <c r="B705" t="inlineStr">
        <is>
          <t>פרו פלאן חתול STERILISED בוגר מסורס/מעוקר</t>
        </is>
      </c>
      <c r="C705" t="inlineStr">
        <is>
          <t>פרו פלאן חתול יבש PRO PLAN DRY CAT</t>
        </is>
      </c>
      <c r="D705" t="inlineStr">
        <is>
          <t>13919373</t>
        </is>
      </c>
      <c r="E705" t="inlineStr">
        <is>
          <t>2026-06</t>
        </is>
      </c>
      <c r="F705" t="n">
        <v>111.73</v>
      </c>
      <c r="G705" t="n">
        <v>131.84</v>
      </c>
      <c r="H705">
        <f>הגדרות!B9</f>
        <v/>
      </c>
      <c r="I705">
        <f>F705*(1-H705/100)*1.18</f>
        <v/>
      </c>
      <c r="J705">
        <f>הגדרות!C9</f>
        <v/>
      </c>
      <c r="K705">
        <f>הגדרות!D9</f>
        <v/>
      </c>
      <c r="L705">
        <f>I705*(1+J705/100)+K705</f>
        <v/>
      </c>
    </row>
    <row r="706">
      <c r="A706" t="inlineStr">
        <is>
          <t>פורינה (חנויות)</t>
        </is>
      </c>
      <c r="B706" t="inlineStr">
        <is>
          <t>פרו פלאן חתול LIGHT לשמירה על המשקל הודו</t>
        </is>
      </c>
      <c r="C706" t="inlineStr">
        <is>
          <t>פרו פלאן חתול יבש PRO PLAN DRY CAT</t>
        </is>
      </c>
      <c r="D706" t="inlineStr">
        <is>
          <t>12398594</t>
        </is>
      </c>
      <c r="E706" t="inlineStr">
        <is>
          <t>2026-06</t>
        </is>
      </c>
      <c r="F706" t="n">
        <v>104.78</v>
      </c>
      <c r="G706" t="n">
        <v>123.64</v>
      </c>
      <c r="H706">
        <f>הגדרות!B9</f>
        <v/>
      </c>
      <c r="I706">
        <f>F706*(1-H706/100)*1.18</f>
        <v/>
      </c>
      <c r="J706">
        <f>הגדרות!C9</f>
        <v/>
      </c>
      <c r="K706">
        <f>הגדרות!D9</f>
        <v/>
      </c>
      <c r="L706">
        <f>I706*(1+J706/100)+K706</f>
        <v/>
      </c>
    </row>
    <row r="707">
      <c r="A707" t="inlineStr">
        <is>
          <t>פורינה (חנויות)</t>
        </is>
      </c>
      <c r="B707" t="inlineStr">
        <is>
          <t>פרו פלאן חתול LONGEVIS סטרילייזד סניור 7+</t>
        </is>
      </c>
      <c r="C707" t="inlineStr">
        <is>
          <t>פרו פלאן חתול יבש PRO PLAN DRY CAT</t>
        </is>
      </c>
      <c r="D707" t="inlineStr">
        <is>
          <t>12398585</t>
        </is>
      </c>
      <c r="E707" t="inlineStr">
        <is>
          <t>2026-06</t>
        </is>
      </c>
      <c r="F707" t="n">
        <v>111.73</v>
      </c>
      <c r="G707" t="n">
        <v>131.84</v>
      </c>
      <c r="H707">
        <f>הגדרות!B9</f>
        <v/>
      </c>
      <c r="I707">
        <f>F707*(1-H707/100)*1.18</f>
        <v/>
      </c>
      <c r="J707">
        <f>הגדרות!C9</f>
        <v/>
      </c>
      <c r="K707">
        <f>הגדרות!D9</f>
        <v/>
      </c>
      <c r="L707">
        <f>I707*(1+J707/100)+K707</f>
        <v/>
      </c>
    </row>
    <row r="708">
      <c r="A708" t="inlineStr">
        <is>
          <t>פורינה (חנויות)</t>
        </is>
      </c>
      <c r="B708" t="inlineStr">
        <is>
          <t>פרו פלאן חתול KITTEN גור בטעם עוף</t>
        </is>
      </c>
      <c r="C708" t="inlineStr">
        <is>
          <t>פרו פלאן חתול יבש PRO PLAN DRY CAT</t>
        </is>
      </c>
      <c r="D708" t="inlineStr">
        <is>
          <t>12537232</t>
        </is>
      </c>
      <c r="E708" t="inlineStr">
        <is>
          <t>2026-06</t>
        </is>
      </c>
      <c r="F708" t="n">
        <v>104.78</v>
      </c>
      <c r="G708" t="n">
        <v>123.64</v>
      </c>
      <c r="H708">
        <f>הגדרות!B9</f>
        <v/>
      </c>
      <c r="I708">
        <f>F708*(1-H708/100)*1.18</f>
        <v/>
      </c>
      <c r="J708">
        <f>הגדרות!C9</f>
        <v/>
      </c>
      <c r="K708">
        <f>הגדרות!D9</f>
        <v/>
      </c>
      <c r="L708">
        <f>I708*(1+J708/100)+K708</f>
        <v/>
      </c>
    </row>
    <row r="709">
      <c r="A709" t="inlineStr">
        <is>
          <t>פורינה (חנויות)</t>
        </is>
      </c>
      <c r="B709" t="inlineStr">
        <is>
          <t>פרו פלאן חתול VITAL FUNCTION בוגר סלמון ואורז</t>
        </is>
      </c>
      <c r="C709" t="inlineStr">
        <is>
          <t>פרו פלאן חתול יבש PRO PLAN DRY CAT</t>
        </is>
      </c>
      <c r="D709" t="inlineStr">
        <is>
          <t>12539027</t>
        </is>
      </c>
      <c r="E709" t="inlineStr">
        <is>
          <t>2026-06</t>
        </is>
      </c>
      <c r="F709" t="n">
        <v>101.01</v>
      </c>
      <c r="G709" t="n">
        <v>119.19</v>
      </c>
      <c r="H709">
        <f>הגדרות!B9</f>
        <v/>
      </c>
      <c r="I709">
        <f>F709*(1-H709/100)*1.18</f>
        <v/>
      </c>
      <c r="J709">
        <f>הגדרות!C9</f>
        <v/>
      </c>
      <c r="K709">
        <f>הגדרות!D9</f>
        <v/>
      </c>
      <c r="L709">
        <f>I709*(1+J709/100)+K709</f>
        <v/>
      </c>
    </row>
    <row r="710">
      <c r="A710" t="inlineStr">
        <is>
          <t>פורינה (חנויות)</t>
        </is>
      </c>
      <c r="B710" t="inlineStr">
        <is>
          <t>פרו פלאן חתול RENAL PLUS בוגר עוף ואורז</t>
        </is>
      </c>
      <c r="C710" t="inlineStr">
        <is>
          <t>פרו פלאן חתול יבש PRO PLAN DRY CAT</t>
        </is>
      </c>
      <c r="D710" t="inlineStr">
        <is>
          <t>12537710</t>
        </is>
      </c>
      <c r="E710" t="inlineStr">
        <is>
          <t>2026-06</t>
        </is>
      </c>
      <c r="F710" t="n">
        <v>101.01</v>
      </c>
      <c r="G710" t="n">
        <v>119.19</v>
      </c>
      <c r="H710">
        <f>הגדרות!B9</f>
        <v/>
      </c>
      <c r="I710">
        <f>F710*(1-H710/100)*1.18</f>
        <v/>
      </c>
      <c r="J710">
        <f>הגדרות!C9</f>
        <v/>
      </c>
      <c r="K710">
        <f>הגדרות!D9</f>
        <v/>
      </c>
      <c r="L710">
        <f>I710*(1+J710/100)+K710</f>
        <v/>
      </c>
    </row>
    <row r="711">
      <c r="A711" t="inlineStr">
        <is>
          <t>פורינה (חנויות)</t>
        </is>
      </c>
      <c r="B711" t="inlineStr">
        <is>
          <t>פרו פלאן חתול DERMA CARE כדורי שיער ועור רגיש סלמון</t>
        </is>
      </c>
      <c r="C711" t="inlineStr">
        <is>
          <t>פרו פלאן חתול יבש PRO PLAN DRY CAT</t>
        </is>
      </c>
      <c r="D711" t="inlineStr">
        <is>
          <t>12539029</t>
        </is>
      </c>
      <c r="E711" t="inlineStr">
        <is>
          <t>2026-06</t>
        </is>
      </c>
      <c r="F711" t="n">
        <v>104.78</v>
      </c>
      <c r="G711" t="n">
        <v>123.64</v>
      </c>
      <c r="H711">
        <f>הגדרות!B9</f>
        <v/>
      </c>
      <c r="I711">
        <f>F711*(1-H711/100)*1.18</f>
        <v/>
      </c>
      <c r="J711">
        <f>הגדרות!C9</f>
        <v/>
      </c>
      <c r="K711">
        <f>הגדרות!D9</f>
        <v/>
      </c>
      <c r="L711">
        <f>I711*(1+J711/100)+K711</f>
        <v/>
      </c>
    </row>
    <row r="712">
      <c r="A712" t="inlineStr">
        <is>
          <t>פורינה (חנויות)</t>
        </is>
      </c>
      <c r="B712" t="inlineStr">
        <is>
          <t>פרו פלאן STERILISED SAVOURY DUO קוד ופורל</t>
        </is>
      </c>
      <c r="C712" t="inlineStr">
        <is>
          <t>פרו פלאן חתול יבש PRO PLAN DRY CAT</t>
        </is>
      </c>
      <c r="D712" t="inlineStr">
        <is>
          <t>12515371</t>
        </is>
      </c>
      <c r="E712" t="inlineStr">
        <is>
          <t>2026-06</t>
        </is>
      </c>
      <c r="F712" t="n">
        <v>111.73</v>
      </c>
      <c r="G712" t="n">
        <v>131.84</v>
      </c>
      <c r="H712">
        <f>הגדרות!B9</f>
        <v/>
      </c>
      <c r="I712">
        <f>F712*(1-H712/100)*1.18</f>
        <v/>
      </c>
      <c r="J712">
        <f>הגדרות!C9</f>
        <v/>
      </c>
      <c r="K712">
        <f>הגדרות!D9</f>
        <v/>
      </c>
      <c r="L712">
        <f>I712*(1+J712/100)+K712</f>
        <v/>
      </c>
    </row>
    <row r="713">
      <c r="A713" t="inlineStr">
        <is>
          <t>פורינה (חנויות)</t>
        </is>
      </c>
      <c r="B713" t="inlineStr">
        <is>
          <t>פרו פלאן STERILISED SAVOURY DUO ברווז וכבד</t>
        </is>
      </c>
      <c r="C713" t="inlineStr">
        <is>
          <t>פרו פלאן חתול יבש PRO PLAN DRY CAT</t>
        </is>
      </c>
      <c r="D713" t="inlineStr">
        <is>
          <t>12515224</t>
        </is>
      </c>
      <c r="E713" t="inlineStr">
        <is>
          <t>2026-06</t>
        </is>
      </c>
      <c r="F713" t="n">
        <v>111.73</v>
      </c>
      <c r="G713" t="n">
        <v>131.84</v>
      </c>
      <c r="H713">
        <f>הגדרות!B9</f>
        <v/>
      </c>
      <c r="I713">
        <f>F713*(1-H713/100)*1.18</f>
        <v/>
      </c>
      <c r="J713">
        <f>הגדרות!C9</f>
        <v/>
      </c>
      <c r="K713">
        <f>הגדרות!D9</f>
        <v/>
      </c>
      <c r="L713">
        <f>I713*(1+J713/100)+K713</f>
        <v/>
      </c>
    </row>
    <row r="714">
      <c r="A714" t="inlineStr">
        <is>
          <t>פורינה (חנויות)</t>
        </is>
      </c>
      <c r="B714" t="inlineStr">
        <is>
          <t>פרו פלאן חתול VITAL FUNCTION בוגר סלמון</t>
        </is>
      </c>
      <c r="C714" t="inlineStr">
        <is>
          <t>פרו פלאן חתול יבש PRO PLAN DRY CAT</t>
        </is>
      </c>
      <c r="D714" t="inlineStr">
        <is>
          <t>12539025</t>
        </is>
      </c>
      <c r="E714" t="inlineStr">
        <is>
          <t>2026-06</t>
        </is>
      </c>
      <c r="F714" t="n">
        <v>308.69</v>
      </c>
      <c r="G714" t="n">
        <v>364.25</v>
      </c>
      <c r="H714">
        <f>הגדרות!B9</f>
        <v/>
      </c>
      <c r="I714">
        <f>F714*(1-H714/100)*1.18</f>
        <v/>
      </c>
      <c r="J714">
        <f>הגדרות!C9</f>
        <v/>
      </c>
      <c r="K714">
        <f>הגדרות!D9</f>
        <v/>
      </c>
      <c r="L714">
        <f>I714*(1+J714/100)+K714</f>
        <v/>
      </c>
    </row>
    <row r="715">
      <c r="A715" t="inlineStr">
        <is>
          <t>פורינה (חנויות)</t>
        </is>
      </c>
      <c r="B715" t="inlineStr">
        <is>
          <t>פרו פלאן חתול RENAL PLUS בוגר עוף</t>
        </is>
      </c>
      <c r="C715" t="inlineStr">
        <is>
          <t>פרו פלאן חתול יבש PRO PLAN DRY CAT</t>
        </is>
      </c>
      <c r="D715" t="inlineStr">
        <is>
          <t>12537813</t>
        </is>
      </c>
      <c r="E715" t="inlineStr">
        <is>
          <t>2026-06</t>
        </is>
      </c>
      <c r="F715" t="n">
        <v>308.69</v>
      </c>
      <c r="G715" t="n">
        <v>364.25</v>
      </c>
      <c r="H715">
        <f>הגדרות!B9</f>
        <v/>
      </c>
      <c r="I715">
        <f>F715*(1-H715/100)*1.18</f>
        <v/>
      </c>
      <c r="J715">
        <f>הגדרות!C9</f>
        <v/>
      </c>
      <c r="K715">
        <f>הגדרות!D9</f>
        <v/>
      </c>
      <c r="L715">
        <f>I715*(1+J715/100)+K715</f>
        <v/>
      </c>
    </row>
    <row r="716">
      <c r="A716" t="inlineStr">
        <is>
          <t>פורינה (חנויות)</t>
        </is>
      </c>
      <c r="B716" t="inlineStr">
        <is>
          <t>פרו פלאן STERILISED חתול בוגר עוף</t>
        </is>
      </c>
      <c r="C716" t="inlineStr">
        <is>
          <t>פרו פלאן חתול יבש PRO PLAN DRY CAT</t>
        </is>
      </c>
      <c r="D716" t="inlineStr">
        <is>
          <t>12524907</t>
        </is>
      </c>
      <c r="E716" t="inlineStr">
        <is>
          <t>2026-06</t>
        </is>
      </c>
      <c r="F716" t="n">
        <v>328.37</v>
      </c>
      <c r="G716" t="n">
        <v>387.48</v>
      </c>
      <c r="H716">
        <f>הגדרות!B9</f>
        <v/>
      </c>
      <c r="I716">
        <f>F716*(1-H716/100)*1.18</f>
        <v/>
      </c>
      <c r="J716">
        <f>הגדרות!C9</f>
        <v/>
      </c>
      <c r="K716">
        <f>הגדרות!D9</f>
        <v/>
      </c>
      <c r="L716">
        <f>I716*(1+J716/100)+K716</f>
        <v/>
      </c>
    </row>
    <row r="717">
      <c r="A717" t="inlineStr">
        <is>
          <t>פורינה (חנויות)</t>
        </is>
      </c>
      <c r="B717" t="inlineStr">
        <is>
          <t>פרו פלאן חתול DELICATE הודו</t>
        </is>
      </c>
      <c r="C717" t="inlineStr">
        <is>
          <t>פרו פלאן חתול יבש PRO PLAN DRY CAT</t>
        </is>
      </c>
      <c r="D717" t="inlineStr">
        <is>
          <t>12524952</t>
        </is>
      </c>
      <c r="E717" t="inlineStr">
        <is>
          <t>2026-06</t>
        </is>
      </c>
      <c r="F717" t="n">
        <v>328.37</v>
      </c>
      <c r="G717" t="n">
        <v>387.48</v>
      </c>
      <c r="H717">
        <f>הגדרות!B9</f>
        <v/>
      </c>
      <c r="I717">
        <f>F717*(1-H717/100)*1.18</f>
        <v/>
      </c>
      <c r="J717">
        <f>הגדרות!C9</f>
        <v/>
      </c>
      <c r="K717">
        <f>הגדרות!D9</f>
        <v/>
      </c>
      <c r="L717">
        <f>I717*(1+J717/100)+K717</f>
        <v/>
      </c>
    </row>
    <row r="718">
      <c r="A718" t="inlineStr">
        <is>
          <t>פורינה (חנויות)</t>
        </is>
      </c>
      <c r="B718" t="inlineStr">
        <is>
          <t>פרו פלאן חתול STERILISED סלמון</t>
        </is>
      </c>
      <c r="C718" t="inlineStr">
        <is>
          <t>פרו פלאן חתול יבש PRO PLAN DRY CAT</t>
        </is>
      </c>
      <c r="D718" t="inlineStr">
        <is>
          <t>12524330</t>
        </is>
      </c>
      <c r="E718" t="inlineStr">
        <is>
          <t>2026-06</t>
        </is>
      </c>
      <c r="F718" t="n">
        <v>332.72</v>
      </c>
      <c r="G718" t="n">
        <v>392.61</v>
      </c>
      <c r="H718">
        <f>הגדרות!B9</f>
        <v/>
      </c>
      <c r="I718">
        <f>F718*(1-H718/100)*1.18</f>
        <v/>
      </c>
      <c r="J718">
        <f>הגדרות!C9</f>
        <v/>
      </c>
      <c r="K718">
        <f>הגדרות!D9</f>
        <v/>
      </c>
      <c r="L718">
        <f>I718*(1+J718/100)+K718</f>
        <v/>
      </c>
    </row>
    <row r="719">
      <c r="A719" t="inlineStr">
        <is>
          <t>פורינה (חנויות)</t>
        </is>
      </c>
      <c r="B719" t="inlineStr">
        <is>
          <t>פרו פלאן חתול KITTEN גור בטעם עוף</t>
        </is>
      </c>
      <c r="C719" t="inlineStr">
        <is>
          <t>פרו פלאן חתול יבש PRO PLAN DRY CAT</t>
        </is>
      </c>
      <c r="D719" t="inlineStr">
        <is>
          <t>12537225</t>
        </is>
      </c>
      <c r="E719" t="inlineStr">
        <is>
          <t>2026-06</t>
        </is>
      </c>
      <c r="F719" t="n">
        <v>349.26</v>
      </c>
      <c r="G719" t="n">
        <v>412.13</v>
      </c>
      <c r="H719">
        <f>הגדרות!B9</f>
        <v/>
      </c>
      <c r="I719">
        <f>F719*(1-H719/100)*1.18</f>
        <v/>
      </c>
      <c r="J719">
        <f>הגדרות!C9</f>
        <v/>
      </c>
      <c r="K719">
        <f>הגדרות!D9</f>
        <v/>
      </c>
      <c r="L719">
        <f>I719*(1+J719/100)+K719</f>
        <v/>
      </c>
    </row>
    <row r="720">
      <c r="A720" t="inlineStr">
        <is>
          <t>פורינה (חנויות)</t>
        </is>
      </c>
      <c r="B720" t="inlineStr">
        <is>
          <t>פרו פלאן חתול DERMA CARE כדורי שיער ועור רגיש סלמון</t>
        </is>
      </c>
      <c r="C720" t="inlineStr">
        <is>
          <t>פרו פלאן חתול יבש PRO PLAN DRY CAT</t>
        </is>
      </c>
      <c r="D720" t="inlineStr">
        <is>
          <t>12538880</t>
        </is>
      </c>
      <c r="E720" t="inlineStr">
        <is>
          <t>2026-06</t>
        </is>
      </c>
      <c r="F720" t="n">
        <v>328.37</v>
      </c>
      <c r="G720" t="n">
        <v>387.48</v>
      </c>
      <c r="H720">
        <f>הגדרות!B9</f>
        <v/>
      </c>
      <c r="I720">
        <f>F720*(1-H720/100)*1.18</f>
        <v/>
      </c>
      <c r="J720">
        <f>הגדרות!C9</f>
        <v/>
      </c>
      <c r="K720">
        <f>הגדרות!D9</f>
        <v/>
      </c>
      <c r="L720">
        <f>I720*(1+J720/100)+K720</f>
        <v/>
      </c>
    </row>
    <row r="721">
      <c r="A721" t="inlineStr">
        <is>
          <t>פורינה (חנויות)</t>
        </is>
      </c>
      <c r="B721" t="inlineStr">
        <is>
          <t>פרו פלאן חתול פאוצ' עוף STERILISED</t>
        </is>
      </c>
      <c r="C721" t="inlineStr">
        <is>
          <t>פרו פלאן חתול לח PRO PLAN WET CAT</t>
        </is>
      </c>
      <c r="D721" t="inlineStr">
        <is>
          <t>12484958</t>
        </is>
      </c>
      <c r="E721" t="inlineStr">
        <is>
          <t>2026-06</t>
        </is>
      </c>
      <c r="F721" t="n">
        <v>5.24</v>
      </c>
      <c r="G721" t="n">
        <v>6.18</v>
      </c>
      <c r="H721">
        <f>הגדרות!B9</f>
        <v/>
      </c>
      <c r="I721">
        <f>F721*(1-H721/100)*1.18</f>
        <v/>
      </c>
      <c r="J721">
        <f>הגדרות!C9</f>
        <v/>
      </c>
      <c r="K721">
        <f>הגדרות!D9</f>
        <v/>
      </c>
      <c r="L721">
        <f>I721*(1+J721/100)+K721</f>
        <v/>
      </c>
    </row>
    <row r="722">
      <c r="A722" t="inlineStr">
        <is>
          <t>פורינה (חנויות)</t>
        </is>
      </c>
      <c r="B722" t="inlineStr">
        <is>
          <t>פרו פלאן חתול פאוצ' דגי אוקינוס DELICATE</t>
        </is>
      </c>
      <c r="C722" t="inlineStr">
        <is>
          <t>פרו פלאן חתול לח PRO PLAN WET CAT</t>
        </is>
      </c>
      <c r="D722" t="inlineStr">
        <is>
          <t>12484985</t>
        </is>
      </c>
      <c r="E722" t="inlineStr">
        <is>
          <t>2026-06</t>
        </is>
      </c>
      <c r="F722" t="n">
        <v>5.24</v>
      </c>
      <c r="G722" t="n">
        <v>6.18</v>
      </c>
      <c r="H722">
        <f>הגדרות!B9</f>
        <v/>
      </c>
      <c r="I722">
        <f>F722*(1-H722/100)*1.18</f>
        <v/>
      </c>
      <c r="J722">
        <f>הגדרות!C9</f>
        <v/>
      </c>
      <c r="K722">
        <f>הגדרות!D9</f>
        <v/>
      </c>
      <c r="L722">
        <f>I722*(1+J722/100)+K722</f>
        <v/>
      </c>
    </row>
    <row r="723">
      <c r="A723" t="inlineStr">
        <is>
          <t>פורינה (חנויות)</t>
        </is>
      </c>
      <c r="B723" t="inlineStr">
        <is>
          <t>פרו פלאן חתול פאוצ' הודו DELICATE</t>
        </is>
      </c>
      <c r="C723" t="inlineStr">
        <is>
          <t>פרו פלאן חתול לח PRO PLAN WET CAT</t>
        </is>
      </c>
      <c r="D723" t="inlineStr">
        <is>
          <t>12514230</t>
        </is>
      </c>
      <c r="E723" t="inlineStr">
        <is>
          <t>2026-06</t>
        </is>
      </c>
      <c r="F723" t="n">
        <v>5.24</v>
      </c>
      <c r="G723" t="n">
        <v>6.18</v>
      </c>
      <c r="H723">
        <f>הגדרות!B9</f>
        <v/>
      </c>
      <c r="I723">
        <f>F723*(1-H723/100)*1.18</f>
        <v/>
      </c>
      <c r="J723">
        <f>הגדרות!C9</f>
        <v/>
      </c>
      <c r="K723">
        <f>הגדרות!D9</f>
        <v/>
      </c>
      <c r="L723">
        <f>I723*(1+J723/100)+K723</f>
        <v/>
      </c>
    </row>
    <row r="724">
      <c r="A724" t="inlineStr">
        <is>
          <t>פורינה (חנויות)</t>
        </is>
      </c>
      <c r="B724" t="inlineStr">
        <is>
          <t>פרו פלאן חתול פאוצ' בקר STERILISED</t>
        </is>
      </c>
      <c r="C724" t="inlineStr">
        <is>
          <t>פרו פלאן חתול לח PRO PLAN WET CAT</t>
        </is>
      </c>
      <c r="D724" t="inlineStr">
        <is>
          <t>12551008</t>
        </is>
      </c>
      <c r="E724" t="inlineStr">
        <is>
          <t>2026-06</t>
        </is>
      </c>
      <c r="F724" t="n">
        <v>5.24</v>
      </c>
      <c r="G724" t="n">
        <v>6.18</v>
      </c>
      <c r="H724">
        <f>הגדרות!B9</f>
        <v/>
      </c>
      <c r="I724">
        <f>F724*(1-H724/100)*1.18</f>
        <v/>
      </c>
      <c r="J724">
        <f>הגדרות!C9</f>
        <v/>
      </c>
      <c r="K724">
        <f>הגדרות!D9</f>
        <v/>
      </c>
      <c r="L724">
        <f>I724*(1+J724/100)+K724</f>
        <v/>
      </c>
    </row>
    <row r="725">
      <c r="A725" t="inlineStr">
        <is>
          <t>פורינה (חנויות)</t>
        </is>
      </c>
      <c r="B725" t="inlineStr">
        <is>
          <t>פרו פלאן חתול פאוצ' סלמון HOUSECAT</t>
        </is>
      </c>
      <c r="C725" t="inlineStr">
        <is>
          <t>פרו פלאן חתול לח PRO PLAN WET CAT</t>
        </is>
      </c>
      <c r="D725" t="inlineStr">
        <is>
          <t>12514485</t>
        </is>
      </c>
      <c r="E725" t="inlineStr">
        <is>
          <t>2026-06</t>
        </is>
      </c>
      <c r="F725" t="n">
        <v>5.24</v>
      </c>
      <c r="G725" t="n">
        <v>6.18</v>
      </c>
      <c r="H725">
        <f>הגדרות!B9</f>
        <v/>
      </c>
      <c r="I725">
        <f>F725*(1-H725/100)*1.18</f>
        <v/>
      </c>
      <c r="J725">
        <f>הגדרות!C9</f>
        <v/>
      </c>
      <c r="K725">
        <f>הגדרות!D9</f>
        <v/>
      </c>
      <c r="L725">
        <f>I725*(1+J725/100)+K725</f>
        <v/>
      </c>
    </row>
    <row r="726">
      <c r="A726" t="inlineStr">
        <is>
          <t>פורינה (חנויות)</t>
        </is>
      </c>
      <c r="B726" t="inlineStr">
        <is>
          <t>פרו פלאן חתול פאוצ' הודו KITTEN</t>
        </is>
      </c>
      <c r="C726" t="inlineStr">
        <is>
          <t>פרו פלאן חתול לח PRO PLAN WET CAT</t>
        </is>
      </c>
      <c r="D726" t="inlineStr">
        <is>
          <t>12588342</t>
        </is>
      </c>
      <c r="E726" t="inlineStr">
        <is>
          <t>2026-06</t>
        </is>
      </c>
      <c r="F726" t="n">
        <v>5.24</v>
      </c>
      <c r="G726" t="n">
        <v>6.18</v>
      </c>
      <c r="H726">
        <f>הגדרות!B9</f>
        <v/>
      </c>
      <c r="I726">
        <f>F726*(1-H726/100)*1.18</f>
        <v/>
      </c>
      <c r="J726">
        <f>הגדרות!C9</f>
        <v/>
      </c>
      <c r="K726">
        <f>הגדרות!D9</f>
        <v/>
      </c>
      <c r="L726">
        <f>I726*(1+J726/100)+K726</f>
        <v/>
      </c>
    </row>
    <row r="727">
      <c r="A727" t="inlineStr">
        <is>
          <t>פורינה (חנויות)</t>
        </is>
      </c>
      <c r="B727" t="inlineStr">
        <is>
          <t>פרו פלאן חתול STERILISED פחית סלמון וטונה</t>
        </is>
      </c>
      <c r="C727" t="inlineStr">
        <is>
          <t>פרו פלאן חתול לח PRO PLAN WET CAT</t>
        </is>
      </c>
      <c r="D727" t="inlineStr">
        <is>
          <t>12600685</t>
        </is>
      </c>
      <c r="E727" t="inlineStr">
        <is>
          <t>2026-06</t>
        </is>
      </c>
      <c r="F727" t="n">
        <v>5.4</v>
      </c>
      <c r="G727" t="n">
        <v>6.37</v>
      </c>
      <c r="H727">
        <f>הגדרות!B9</f>
        <v/>
      </c>
      <c r="I727">
        <f>F727*(1-H727/100)*1.18</f>
        <v/>
      </c>
      <c r="J727">
        <f>הגדרות!C9</f>
        <v/>
      </c>
      <c r="K727">
        <f>הגדרות!D9</f>
        <v/>
      </c>
      <c r="L727">
        <f>I727*(1+J727/100)+K727</f>
        <v/>
      </c>
    </row>
    <row r="728">
      <c r="A728" t="inlineStr">
        <is>
          <t>פורינה (חנויות)</t>
        </is>
      </c>
      <c r="B728" t="inlineStr">
        <is>
          <t>פרו פלאן חתול DELICATE פחית מוס הודו</t>
        </is>
      </c>
      <c r="C728" t="inlineStr">
        <is>
          <t>פרו פלאן חתול לח PRO PLAN WET CAT</t>
        </is>
      </c>
      <c r="D728" t="inlineStr">
        <is>
          <t>12514185</t>
        </is>
      </c>
      <c r="E728" t="inlineStr">
        <is>
          <t>2026-06</t>
        </is>
      </c>
      <c r="F728" t="n">
        <v>5.4</v>
      </c>
      <c r="G728" t="n">
        <v>6.37</v>
      </c>
      <c r="H728">
        <f>הגדרות!B9</f>
        <v/>
      </c>
      <c r="I728">
        <f>F728*(1-H728/100)*1.18</f>
        <v/>
      </c>
      <c r="J728">
        <f>הגדרות!C9</f>
        <v/>
      </c>
      <c r="K728">
        <f>הגדרות!D9</f>
        <v/>
      </c>
      <c r="L728">
        <f>I728*(1+J728/100)+K728</f>
        <v/>
      </c>
    </row>
    <row r="729">
      <c r="A729" t="inlineStr">
        <is>
          <t>פורינה (חנויות)</t>
        </is>
      </c>
      <c r="B729" t="inlineStr">
        <is>
          <t>פרו פלאן חתול JUNIOR פחית מוס עוף</t>
        </is>
      </c>
      <c r="C729" t="inlineStr">
        <is>
          <t>פרו פלאן חתול לח PRO PLAN WET CAT</t>
        </is>
      </c>
      <c r="D729" t="inlineStr">
        <is>
          <t>12514066</t>
        </is>
      </c>
      <c r="E729" t="inlineStr">
        <is>
          <t>2026-06</t>
        </is>
      </c>
      <c r="F729" t="n">
        <v>5.4</v>
      </c>
      <c r="G729" t="n">
        <v>6.37</v>
      </c>
      <c r="H729">
        <f>הגדרות!B9</f>
        <v/>
      </c>
      <c r="I729">
        <f>F729*(1-H729/100)*1.18</f>
        <v/>
      </c>
      <c r="J729">
        <f>הגדרות!C9</f>
        <v/>
      </c>
      <c r="K729">
        <f>הגדרות!D9</f>
        <v/>
      </c>
      <c r="L729">
        <f>I729*(1+J729/100)+K729</f>
        <v/>
      </c>
    </row>
    <row r="730">
      <c r="A730" t="inlineStr">
        <is>
          <t>פורינה (חנויות)</t>
        </is>
      </c>
      <c r="B730" t="inlineStr">
        <is>
          <t>פרו פלאן חתול ADULT פחית בוגר עוף</t>
        </is>
      </c>
      <c r="C730" t="inlineStr">
        <is>
          <t>פרו פלאן חתול לח PRO PLAN WET CAT</t>
        </is>
      </c>
      <c r="D730" t="inlineStr">
        <is>
          <t>12514076</t>
        </is>
      </c>
      <c r="E730" t="inlineStr">
        <is>
          <t>2026-06</t>
        </is>
      </c>
      <c r="F730" t="n">
        <v>5.4</v>
      </c>
      <c r="G730" t="n">
        <v>6.37</v>
      </c>
      <c r="H730">
        <f>הגדרות!B9</f>
        <v/>
      </c>
      <c r="I730">
        <f>F730*(1-H730/100)*1.18</f>
        <v/>
      </c>
      <c r="J730">
        <f>הגדרות!C9</f>
        <v/>
      </c>
      <c r="K730">
        <f>הגדרות!D9</f>
        <v/>
      </c>
      <c r="L730">
        <f>I730*(1+J730/100)+K730</f>
        <v/>
      </c>
    </row>
    <row r="731">
      <c r="A731" t="inlineStr">
        <is>
          <t>פורינה (חנויות)</t>
        </is>
      </c>
      <c r="B731" t="inlineStr">
        <is>
          <t>פרו פלאן כלב בוגר LIGHT/STERILISED עוף</t>
        </is>
      </c>
      <c r="C731" t="inlineStr">
        <is>
          <t>פרו פלאן כלב יבש PRO PLAN DRY DOG</t>
        </is>
      </c>
      <c r="D731" t="inlineStr">
        <is>
          <t>12375525</t>
        </is>
      </c>
      <c r="E731" t="inlineStr">
        <is>
          <t>2026-06</t>
        </is>
      </c>
      <c r="F731" t="n">
        <v>277.1</v>
      </c>
      <c r="G731" t="n">
        <v>326.98</v>
      </c>
      <c r="H731">
        <f>הגדרות!B9</f>
        <v/>
      </c>
      <c r="I731">
        <f>F731*(1-H731/100)*1.18</f>
        <v/>
      </c>
      <c r="J731">
        <f>הגדרות!C9</f>
        <v/>
      </c>
      <c r="K731">
        <f>הגדרות!D9</f>
        <v/>
      </c>
      <c r="L731">
        <f>I731*(1+J731/100)+K731</f>
        <v/>
      </c>
    </row>
    <row r="732">
      <c r="A732" t="inlineStr">
        <is>
          <t>פורינה (חנויות)</t>
        </is>
      </c>
      <c r="B732" t="inlineStr">
        <is>
          <t>פרו פלאן כלב גור מדיום SENSITIVE SKIN סלמון</t>
        </is>
      </c>
      <c r="C732" t="inlineStr">
        <is>
          <t>פרו פלאן כלב יבש PRO PLAN DRY DOG</t>
        </is>
      </c>
      <c r="D732" t="inlineStr">
        <is>
          <t>12375809</t>
        </is>
      </c>
      <c r="E732" t="inlineStr">
        <is>
          <t>2026-06</t>
        </is>
      </c>
      <c r="F732" t="n">
        <v>298.52</v>
      </c>
      <c r="G732" t="n">
        <v>352.25</v>
      </c>
      <c r="H732">
        <f>הגדרות!B9</f>
        <v/>
      </c>
      <c r="I732">
        <f>F732*(1-H732/100)*1.18</f>
        <v/>
      </c>
      <c r="J732">
        <f>הגדרות!C9</f>
        <v/>
      </c>
      <c r="K732">
        <f>הגדרות!D9</f>
        <v/>
      </c>
      <c r="L732">
        <f>I732*(1+J732/100)+K732</f>
        <v/>
      </c>
    </row>
    <row r="733">
      <c r="A733" t="inlineStr">
        <is>
          <t>פורינה (חנויות)</t>
        </is>
      </c>
      <c r="B733" t="inlineStr">
        <is>
          <t>פרו פלאן כלב גור מדיום SENSETIVE DIGESTION כבש</t>
        </is>
      </c>
      <c r="C733" t="inlineStr">
        <is>
          <t>פרו פלאן כלב יבש PRO PLAN DRY DOG</t>
        </is>
      </c>
      <c r="D733" t="inlineStr">
        <is>
          <t>12375896</t>
        </is>
      </c>
      <c r="E733" t="inlineStr">
        <is>
          <t>2026-06</t>
        </is>
      </c>
      <c r="F733" t="n">
        <v>298.52</v>
      </c>
      <c r="G733" t="n">
        <v>352.25</v>
      </c>
      <c r="H733">
        <f>הגדרות!B9</f>
        <v/>
      </c>
      <c r="I733">
        <f>F733*(1-H733/100)*1.18</f>
        <v/>
      </c>
      <c r="J733">
        <f>הגדרות!C9</f>
        <v/>
      </c>
      <c r="K733">
        <f>הגדרות!D9</f>
        <v/>
      </c>
      <c r="L733">
        <f>I733*(1+J733/100)+K733</f>
        <v/>
      </c>
    </row>
    <row r="734">
      <c r="A734" t="inlineStr">
        <is>
          <t>פורינה (חנויות)</t>
        </is>
      </c>
      <c r="B734" t="inlineStr">
        <is>
          <t>פרו פלאן כלב גור מדיום HEALTHY START עוף</t>
        </is>
      </c>
      <c r="C734" t="inlineStr">
        <is>
          <t>פרו פלאן כלב יבש PRO PLAN DRY DOG</t>
        </is>
      </c>
      <c r="D734" t="inlineStr">
        <is>
          <t>12375807</t>
        </is>
      </c>
      <c r="E734" t="inlineStr">
        <is>
          <t>2026-06</t>
        </is>
      </c>
      <c r="F734" t="n">
        <v>234.27</v>
      </c>
      <c r="G734" t="n">
        <v>276.44</v>
      </c>
      <c r="H734">
        <f>הגדרות!B9</f>
        <v/>
      </c>
      <c r="I734">
        <f>F734*(1-H734/100)*1.18</f>
        <v/>
      </c>
      <c r="J734">
        <f>הגדרות!C9</f>
        <v/>
      </c>
      <c r="K734">
        <f>הגדרות!D9</f>
        <v/>
      </c>
      <c r="L734">
        <f>I734*(1+J734/100)+K734</f>
        <v/>
      </c>
    </row>
    <row r="735">
      <c r="A735" t="inlineStr">
        <is>
          <t>פורינה (חנויות)</t>
        </is>
      </c>
      <c r="B735" t="inlineStr">
        <is>
          <t>פרו פלאן כלב גור גזע גדול HEALTHY START אתלטי עוף</t>
        </is>
      </c>
      <c r="C735" t="inlineStr">
        <is>
          <t>פרו פלאן כלב יבש PRO PLAN DRY DOG</t>
        </is>
      </c>
      <c r="D735" t="inlineStr">
        <is>
          <t>12375563</t>
        </is>
      </c>
      <c r="E735" t="inlineStr">
        <is>
          <t>2026-06</t>
        </is>
      </c>
      <c r="F735" t="n">
        <v>234.27</v>
      </c>
      <c r="G735" t="n">
        <v>276.44</v>
      </c>
      <c r="H735">
        <f>הגדרות!B9</f>
        <v/>
      </c>
      <c r="I735">
        <f>F735*(1-H735/100)*1.18</f>
        <v/>
      </c>
      <c r="J735">
        <f>הגדרות!C9</f>
        <v/>
      </c>
      <c r="K735">
        <f>הגדרות!D9</f>
        <v/>
      </c>
      <c r="L735">
        <f>I735*(1+J735/100)+K735</f>
        <v/>
      </c>
    </row>
    <row r="736">
      <c r="A736" t="inlineStr">
        <is>
          <t>פורינה (חנויות)</t>
        </is>
      </c>
      <c r="B736" t="inlineStr">
        <is>
          <t>פרו פלאן כלב בוגר מדיום EVERYDAY NUTRITION עוף</t>
        </is>
      </c>
      <c r="C736" t="inlineStr">
        <is>
          <t>פרו פלאן כלב יבש PRO PLAN DRY DOG</t>
        </is>
      </c>
      <c r="D736" t="inlineStr">
        <is>
          <t>12375801</t>
        </is>
      </c>
      <c r="E736" t="inlineStr">
        <is>
          <t>2026-06</t>
        </is>
      </c>
      <c r="F736" t="n">
        <v>234.27</v>
      </c>
      <c r="G736" t="n">
        <v>276.44</v>
      </c>
      <c r="H736">
        <f>הגדרות!B9</f>
        <v/>
      </c>
      <c r="I736">
        <f>F736*(1-H736/100)*1.18</f>
        <v/>
      </c>
      <c r="J736">
        <f>הגדרות!C9</f>
        <v/>
      </c>
      <c r="K736">
        <f>הגדרות!D9</f>
        <v/>
      </c>
      <c r="L736">
        <f>I736*(1+J736/100)+K736</f>
        <v/>
      </c>
    </row>
    <row r="737">
      <c r="A737" t="inlineStr">
        <is>
          <t>פורינה (חנויות)</t>
        </is>
      </c>
      <c r="B737" t="inlineStr">
        <is>
          <t>פרו פלאן כלב בוגר מדיום SENSITIVE SKIN סנסטיב סלמון לעור רגיש</t>
        </is>
      </c>
      <c r="C737" t="inlineStr">
        <is>
          <t>פרו פלאן כלב יבש PRO PLAN DRY DOG</t>
        </is>
      </c>
      <c r="D737" t="inlineStr">
        <is>
          <t>12375802</t>
        </is>
      </c>
      <c r="E737" t="inlineStr">
        <is>
          <t>2026-06</t>
        </is>
      </c>
      <c r="F737" t="n">
        <v>285.43</v>
      </c>
      <c r="G737" t="n">
        <v>336.81</v>
      </c>
      <c r="H737">
        <f>הגדרות!B9</f>
        <v/>
      </c>
      <c r="I737">
        <f>F737*(1-H737/100)*1.18</f>
        <v/>
      </c>
      <c r="J737">
        <f>הגדרות!C9</f>
        <v/>
      </c>
      <c r="K737">
        <f>הגדרות!D9</f>
        <v/>
      </c>
      <c r="L737">
        <f>I737*(1+J737/100)+K737</f>
        <v/>
      </c>
    </row>
    <row r="738">
      <c r="A738" t="inlineStr">
        <is>
          <t>פורינה (חנויות)</t>
        </is>
      </c>
      <c r="B738" t="inlineStr">
        <is>
          <t>פרו פלאן כלב בוגר גזע קטן EVERYDAY NUTRITION עוף</t>
        </is>
      </c>
      <c r="C738" t="inlineStr">
        <is>
          <t>פרו פלאן כלב יבש PRO PLAN DRY DOG</t>
        </is>
      </c>
      <c r="D738" t="inlineStr">
        <is>
          <t>12278504</t>
        </is>
      </c>
      <c r="E738" t="inlineStr">
        <is>
          <t>2026-06</t>
        </is>
      </c>
      <c r="F738" t="n">
        <v>105.09</v>
      </c>
      <c r="G738" t="n">
        <v>124.01</v>
      </c>
      <c r="H738">
        <f>הגדרות!B9</f>
        <v/>
      </c>
      <c r="I738">
        <f>F738*(1-H738/100)*1.18</f>
        <v/>
      </c>
      <c r="J738">
        <f>הגדרות!C9</f>
        <v/>
      </c>
      <c r="K738">
        <f>הגדרות!D9</f>
        <v/>
      </c>
      <c r="L738">
        <f>I738*(1+J738/100)+K738</f>
        <v/>
      </c>
    </row>
    <row r="739">
      <c r="A739" t="inlineStr">
        <is>
          <t>פורינה (חנויות)</t>
        </is>
      </c>
      <c r="B739" t="inlineStr">
        <is>
          <t>פרו פלאן כלב בוגר גזע קטן EVERYDAY NUTRITION עוף</t>
        </is>
      </c>
      <c r="C739" t="inlineStr">
        <is>
          <t>פרו פלאן כלב יבש PRO PLAN DRY DOG</t>
        </is>
      </c>
      <c r="D739" t="inlineStr">
        <is>
          <t>12376022</t>
        </is>
      </c>
      <c r="E739" t="inlineStr">
        <is>
          <t>2026-06</t>
        </is>
      </c>
      <c r="F739" t="n">
        <v>141.47</v>
      </c>
      <c r="G739" t="n">
        <v>166.93</v>
      </c>
      <c r="H739">
        <f>הגדרות!B9</f>
        <v/>
      </c>
      <c r="I739">
        <f>F739*(1-H739/100)*1.18</f>
        <v/>
      </c>
      <c r="J739">
        <f>הגדרות!C9</f>
        <v/>
      </c>
      <c r="K739">
        <f>הגדרות!D9</f>
        <v/>
      </c>
      <c r="L739">
        <f>I739*(1+J739/100)+K739</f>
        <v/>
      </c>
    </row>
    <row r="740">
      <c r="A740" t="inlineStr">
        <is>
          <t>פורינה (חנויות)</t>
        </is>
      </c>
      <c r="B740" t="inlineStr">
        <is>
          <t>פרו פלאן כבש לכלב בוגר מגזע קטן</t>
        </is>
      </c>
      <c r="C740" t="inlineStr">
        <is>
          <t>פרו פלאן כלב יבש PRO PLAN DRY DOG</t>
        </is>
      </c>
      <c r="D740" t="inlineStr">
        <is>
          <t>12392234</t>
        </is>
      </c>
      <c r="E740" t="inlineStr">
        <is>
          <t>2026-06</t>
        </is>
      </c>
      <c r="F740" t="n">
        <v>172.59</v>
      </c>
      <c r="G740" t="n">
        <v>203.66</v>
      </c>
      <c r="H740">
        <f>הגדרות!B9</f>
        <v/>
      </c>
      <c r="I740">
        <f>F740*(1-H740/100)*1.18</f>
        <v/>
      </c>
      <c r="J740">
        <f>הגדרות!C9</f>
        <v/>
      </c>
      <c r="K740">
        <f>הגדרות!D9</f>
        <v/>
      </c>
      <c r="L740">
        <f>I740*(1+J740/100)+K740</f>
        <v/>
      </c>
    </row>
    <row r="741">
      <c r="A741" t="inlineStr">
        <is>
          <t>פורינה (חנויות)</t>
        </is>
      </c>
      <c r="B741" t="inlineStr">
        <is>
          <t>פרו פלאן סלמון SENSITIVE לכלב בוגר מגזע קטן</t>
        </is>
      </c>
      <c r="C741" t="inlineStr">
        <is>
          <t>פרו פלאן כלב יבש PRO PLAN DRY DOG</t>
        </is>
      </c>
      <c r="D741" t="inlineStr">
        <is>
          <t>12392233</t>
        </is>
      </c>
      <c r="E741" t="inlineStr">
        <is>
          <t>2026-06</t>
        </is>
      </c>
      <c r="F741" t="n">
        <v>192.9</v>
      </c>
      <c r="G741" t="n">
        <v>227.62</v>
      </c>
      <c r="H741">
        <f>הגדרות!B9</f>
        <v/>
      </c>
      <c r="I741">
        <f>F741*(1-H741/100)*1.18</f>
        <v/>
      </c>
      <c r="J741">
        <f>הגדרות!C9</f>
        <v/>
      </c>
      <c r="K741">
        <f>הגדרות!D9</f>
        <v/>
      </c>
      <c r="L741">
        <f>I741*(1+J741/100)+K741</f>
        <v/>
      </c>
    </row>
    <row r="742">
      <c r="A742" t="inlineStr">
        <is>
          <t>פורינה (חנויות)</t>
        </is>
      </c>
      <c r="B742" t="inlineStr">
        <is>
          <t>פרו פלאן כלב בוגר גזע קטן SENSITIVE SKIN סלמון</t>
        </is>
      </c>
      <c r="C742" t="inlineStr">
        <is>
          <t>פרו פלאן כלב יבש PRO PLAN DRY DOG</t>
        </is>
      </c>
      <c r="D742" t="inlineStr">
        <is>
          <t>12278506</t>
        </is>
      </c>
      <c r="E742" t="inlineStr">
        <is>
          <t>2026-06</t>
        </is>
      </c>
      <c r="F742" t="n">
        <v>109.17</v>
      </c>
      <c r="G742" t="n">
        <v>128.82</v>
      </c>
      <c r="H742">
        <f>הגדרות!B9</f>
        <v/>
      </c>
      <c r="I742">
        <f>F742*(1-H742/100)*1.18</f>
        <v/>
      </c>
      <c r="J742">
        <f>הגדרות!C9</f>
        <v/>
      </c>
      <c r="K742">
        <f>הגדרות!D9</f>
        <v/>
      </c>
      <c r="L742">
        <f>I742*(1+J742/100)+K742</f>
        <v/>
      </c>
    </row>
    <row r="743">
      <c r="A743" t="inlineStr">
        <is>
          <t>פורינה (חנויות)</t>
        </is>
      </c>
      <c r="B743" t="inlineStr">
        <is>
          <t>פרו פלאן כלב בוגר גזע גדול EVERYDAY NUTRITION אתלטי עוף</t>
        </is>
      </c>
      <c r="C743" t="inlineStr">
        <is>
          <t>פרו פלאן כלב יבש PRO PLAN DRY DOG</t>
        </is>
      </c>
      <c r="D743" t="inlineStr">
        <is>
          <t>12375561</t>
        </is>
      </c>
      <c r="E743" t="inlineStr">
        <is>
          <t>2026-06</t>
        </is>
      </c>
      <c r="F743" t="n">
        <v>258.06</v>
      </c>
      <c r="G743" t="n">
        <v>304.51</v>
      </c>
      <c r="H743">
        <f>הגדרות!B9</f>
        <v/>
      </c>
      <c r="I743">
        <f>F743*(1-H743/100)*1.18</f>
        <v/>
      </c>
      <c r="J743">
        <f>הגדרות!C9</f>
        <v/>
      </c>
      <c r="K743">
        <f>הגדרות!D9</f>
        <v/>
      </c>
      <c r="L743">
        <f>I743*(1+J743/100)+K743</f>
        <v/>
      </c>
    </row>
    <row r="744">
      <c r="A744" t="inlineStr">
        <is>
          <t>פורינה (חנויות)</t>
        </is>
      </c>
      <c r="B744" t="inlineStr">
        <is>
          <t>פרו פלאן כלב בוגר PERFORMANCE עוף</t>
        </is>
      </c>
      <c r="C744" t="inlineStr">
        <is>
          <t>פרו פלאן כלב יבש PRO PLAN DRY DOG</t>
        </is>
      </c>
      <c r="D744" t="inlineStr">
        <is>
          <t>12375562</t>
        </is>
      </c>
      <c r="E744" t="inlineStr">
        <is>
          <t>2026-06</t>
        </is>
      </c>
      <c r="F744" t="n">
        <v>259.26</v>
      </c>
      <c r="G744" t="n">
        <v>305.93</v>
      </c>
      <c r="H744">
        <f>הגדרות!B9</f>
        <v/>
      </c>
      <c r="I744">
        <f>F744*(1-H744/100)*1.18</f>
        <v/>
      </c>
      <c r="J744">
        <f>הגדרות!C9</f>
        <v/>
      </c>
      <c r="K744">
        <f>הגדרות!D9</f>
        <v/>
      </c>
      <c r="L744">
        <f>I744*(1+J744/100)+K744</f>
        <v/>
      </c>
    </row>
    <row r="745">
      <c r="A745" t="inlineStr">
        <is>
          <t>פורינה (חנויות)</t>
        </is>
      </c>
      <c r="B745" t="inlineStr">
        <is>
          <t>פרו פלאן כלב גור גזע קטן HEALTHY START עוף</t>
        </is>
      </c>
      <c r="C745" t="inlineStr">
        <is>
          <t>פרו פלאן כלב יבש PRO PLAN DRY DOG</t>
        </is>
      </c>
      <c r="D745" t="inlineStr">
        <is>
          <t>12278502</t>
        </is>
      </c>
      <c r="E745" t="inlineStr">
        <is>
          <t>2026-06</t>
        </is>
      </c>
      <c r="F745" t="n">
        <v>99.31</v>
      </c>
      <c r="G745" t="n">
        <v>117.19</v>
      </c>
      <c r="H745">
        <f>הגדרות!B9</f>
        <v/>
      </c>
      <c r="I745">
        <f>F745*(1-H745/100)*1.18</f>
        <v/>
      </c>
      <c r="J745">
        <f>הגדרות!C9</f>
        <v/>
      </c>
      <c r="K745">
        <f>הגדרות!D9</f>
        <v/>
      </c>
      <c r="L745">
        <f>I745*(1+J745/100)+K745</f>
        <v/>
      </c>
    </row>
    <row r="746">
      <c r="A746" t="inlineStr">
        <is>
          <t>פורינה (חנויות)</t>
        </is>
      </c>
      <c r="B746" t="inlineStr">
        <is>
          <t>פרו פלאן כלב גור גזע קטן SENSITIVE סלמון</t>
        </is>
      </c>
      <c r="C746" t="inlineStr">
        <is>
          <t>פרו פלאן כלב יבש PRO PLAN DRY DOG</t>
        </is>
      </c>
      <c r="D746" t="inlineStr">
        <is>
          <t>12272619</t>
        </is>
      </c>
      <c r="E746" t="inlineStr">
        <is>
          <t>2026-06</t>
        </is>
      </c>
      <c r="F746" t="n">
        <v>107.26</v>
      </c>
      <c r="G746" t="n">
        <v>126.57</v>
      </c>
      <c r="H746">
        <f>הגדרות!B9</f>
        <v/>
      </c>
      <c r="I746">
        <f>F746*(1-H746/100)*1.18</f>
        <v/>
      </c>
      <c r="J746">
        <f>הגדרות!C9</f>
        <v/>
      </c>
      <c r="K746">
        <f>הגדרות!D9</f>
        <v/>
      </c>
      <c r="L746">
        <f>I746*(1+J746/100)+K746</f>
        <v/>
      </c>
    </row>
    <row r="747">
      <c r="A747" t="inlineStr">
        <is>
          <t>פורינה (חנויות)</t>
        </is>
      </c>
      <c r="B747" t="inlineStr">
        <is>
          <t>פרו פלאן כלב סניור AGE DEFENCE גזע קטן 9+ עוף</t>
        </is>
      </c>
      <c r="C747" t="inlineStr">
        <is>
          <t>פרו פלאן כלב יבש PRO PLAN DRY DOG</t>
        </is>
      </c>
      <c r="D747" t="inlineStr">
        <is>
          <t>12278997</t>
        </is>
      </c>
      <c r="E747" t="inlineStr">
        <is>
          <t>2026-06</t>
        </is>
      </c>
      <c r="F747" t="n">
        <v>99.31</v>
      </c>
      <c r="G747" t="n">
        <v>117.19</v>
      </c>
      <c r="H747">
        <f>הגדרות!B9</f>
        <v/>
      </c>
      <c r="I747">
        <f>F747*(1-H747/100)*1.18</f>
        <v/>
      </c>
      <c r="J747">
        <f>הגדרות!C9</f>
        <v/>
      </c>
      <c r="K747">
        <f>הגדרות!D9</f>
        <v/>
      </c>
      <c r="L747">
        <f>I747*(1+J747/100)+K747</f>
        <v/>
      </c>
    </row>
    <row r="748">
      <c r="A748" t="inlineStr">
        <is>
          <t>פורינה (חנויות)</t>
        </is>
      </c>
      <c r="B748" t="inlineStr">
        <is>
          <t>פרו פלאן כלב בוגר גזע גדול SENSETIVE DIGESTION אתלטי כבש לרגישות במערכת העיכול</t>
        </is>
      </c>
      <c r="C748" t="inlineStr">
        <is>
          <t>פרו פלאן כלב יבש PRO PLAN DRY DOG</t>
        </is>
      </c>
      <c r="D748" t="inlineStr">
        <is>
          <t>12366945</t>
        </is>
      </c>
      <c r="E748" t="inlineStr">
        <is>
          <t>2026-06</t>
        </is>
      </c>
      <c r="F748" t="n">
        <v>285.43</v>
      </c>
      <c r="G748" t="n">
        <v>336.81</v>
      </c>
      <c r="H748">
        <f>הגדרות!B9</f>
        <v/>
      </c>
      <c r="I748">
        <f>F748*(1-H748/100)*1.18</f>
        <v/>
      </c>
      <c r="J748">
        <f>הגדרות!C9</f>
        <v/>
      </c>
      <c r="K748">
        <f>הגדרות!D9</f>
        <v/>
      </c>
      <c r="L748">
        <f>I748*(1+J748/100)+K748</f>
        <v/>
      </c>
    </row>
    <row r="749">
      <c r="A749" t="inlineStr">
        <is>
          <t>פורינה (חנויות)</t>
        </is>
      </c>
      <c r="B749" t="inlineStr">
        <is>
          <t>פרו פלאן כלב סניור מדיום/לארג' AGE DEFENCE +7 עוף</t>
        </is>
      </c>
      <c r="C749" t="inlineStr">
        <is>
          <t>פרו פלאן כלב יבש PRO PLAN DRY DOG</t>
        </is>
      </c>
      <c r="D749" t="inlineStr">
        <is>
          <t>12392237</t>
        </is>
      </c>
      <c r="E749" t="inlineStr">
        <is>
          <t>2026-06</t>
        </is>
      </c>
      <c r="F749" t="n">
        <v>298.52</v>
      </c>
      <c r="G749" t="n">
        <v>352.25</v>
      </c>
      <c r="H749">
        <f>הגדרות!B9</f>
        <v/>
      </c>
      <c r="I749">
        <f>F749*(1-H749/100)*1.18</f>
        <v/>
      </c>
      <c r="J749">
        <f>הגדרות!C9</f>
        <v/>
      </c>
      <c r="K749">
        <f>הגדרות!D9</f>
        <v/>
      </c>
      <c r="L749">
        <f>I749*(1+J749/100)+K749</f>
        <v/>
      </c>
    </row>
    <row r="750">
      <c r="A750" t="inlineStr">
        <is>
          <t>פורינה (חנויות)</t>
        </is>
      </c>
      <c r="B750" t="inlineStr">
        <is>
          <t>פרו פלאן כלב סניור מדיום SENSITIVE SKIN סנסטיב סלמון לעור רגיש</t>
        </is>
      </c>
      <c r="C750" t="inlineStr">
        <is>
          <t>פרו פלאן כלב יבש PRO PLAN DRY DOG</t>
        </is>
      </c>
      <c r="D750" t="inlineStr">
        <is>
          <t>12392238</t>
        </is>
      </c>
      <c r="E750" t="inlineStr">
        <is>
          <t>2026-06</t>
        </is>
      </c>
      <c r="F750" t="n">
        <v>311.37</v>
      </c>
      <c r="G750" t="n">
        <v>367.42</v>
      </c>
      <c r="H750">
        <f>הגדרות!B9</f>
        <v/>
      </c>
      <c r="I750">
        <f>F750*(1-H750/100)*1.18</f>
        <v/>
      </c>
      <c r="J750">
        <f>הגדרות!C9</f>
        <v/>
      </c>
      <c r="K750">
        <f>הגדרות!D9</f>
        <v/>
      </c>
      <c r="L750">
        <f>I750*(1+J750/100)+K750</f>
        <v/>
      </c>
    </row>
    <row r="751">
      <c r="A751" t="inlineStr">
        <is>
          <t>פורינה (חנויות)</t>
        </is>
      </c>
      <c r="B751" t="inlineStr">
        <is>
          <t>פרו פלאן SENSITIVE DIGESTION לגזע קטן כבש 3*4 קג</t>
        </is>
      </c>
      <c r="C751" t="inlineStr">
        <is>
          <t>פרו פלאן כלב יבש PRO PLAN DRY DOG</t>
        </is>
      </c>
      <c r="D751" t="inlineStr">
        <is>
          <t>12377367</t>
        </is>
      </c>
      <c r="E751" t="inlineStr">
        <is>
          <t>2026-06</t>
        </is>
      </c>
      <c r="F751" t="n">
        <v>109.17</v>
      </c>
      <c r="G751" t="n">
        <v>128.82</v>
      </c>
      <c r="H751">
        <f>הגדרות!B9</f>
        <v/>
      </c>
      <c r="I751">
        <f>F751*(1-H751/100)*1.18</f>
        <v/>
      </c>
      <c r="J751">
        <f>הגדרות!C9</f>
        <v/>
      </c>
      <c r="K751">
        <f>הגדרות!D9</f>
        <v/>
      </c>
      <c r="L751">
        <f>I751*(1+J751/100)+K751</f>
        <v/>
      </c>
    </row>
    <row r="752">
      <c r="A752" t="inlineStr">
        <is>
          <t>פורינה (חנויות)</t>
        </is>
      </c>
      <c r="B752" t="inlineStr">
        <is>
          <t>פרו פלאן פאוצ' HYDRA CARE לחתול 75*10 גרם</t>
        </is>
      </c>
      <c r="C752" t="inlineStr">
        <is>
          <t>פרו פלאן "יעודי" חתול PPVD CAT</t>
        </is>
      </c>
      <c r="D752" t="inlineStr">
        <is>
          <t>12619091</t>
        </is>
      </c>
      <c r="E752" t="inlineStr">
        <is>
          <t>2026-06</t>
        </is>
      </c>
      <c r="F752" t="n">
        <v>5.92</v>
      </c>
      <c r="G752" t="n">
        <v>6.99</v>
      </c>
      <c r="H752">
        <f>הגדרות!B9</f>
        <v/>
      </c>
      <c r="I752">
        <f>F752*(1-H752/100)*1.18</f>
        <v/>
      </c>
      <c r="J752">
        <f>הגדרות!C9</f>
        <v/>
      </c>
      <c r="K752">
        <f>הגדרות!D9</f>
        <v/>
      </c>
      <c r="L752">
        <f>I752*(1+J752/100)+K752</f>
        <v/>
      </c>
    </row>
    <row r="753">
      <c r="A753" t="inlineStr">
        <is>
          <t>פורינה (חנויות)</t>
        </is>
      </c>
      <c r="B753" t="inlineStr">
        <is>
          <t>פרו פלאן "מזון יעודי" לחתול DM - לסיוע בטיפול בסוכרת</t>
        </is>
      </c>
      <c r="C753" t="inlineStr">
        <is>
          <t>פרו פלאן "יעודי" חתול PPVD CAT</t>
        </is>
      </c>
      <c r="D753" t="inlineStr">
        <is>
          <t>12483229</t>
        </is>
      </c>
      <c r="E753" t="inlineStr">
        <is>
          <t>2026-06</t>
        </is>
      </c>
      <c r="F753" t="n">
        <v>76.06999999999999</v>
      </c>
      <c r="G753" t="n">
        <v>89.76000000000001</v>
      </c>
      <c r="H753">
        <f>הגדרות!B9</f>
        <v/>
      </c>
      <c r="I753">
        <f>F753*(1-H753/100)*1.18</f>
        <v/>
      </c>
      <c r="J753">
        <f>הגדרות!C9</f>
        <v/>
      </c>
      <c r="K753">
        <f>הגדרות!D9</f>
        <v/>
      </c>
      <c r="L753">
        <f>I753*(1+J753/100)+K753</f>
        <v/>
      </c>
    </row>
    <row r="754">
      <c r="A754" t="inlineStr">
        <is>
          <t>פורינה (חנויות)</t>
        </is>
      </c>
      <c r="B754" t="inlineStr">
        <is>
          <t>פרו פלאן "מזון יעודי" לחתול DM - לסיוע בטיפול בסוכרת</t>
        </is>
      </c>
      <c r="C754" t="inlineStr">
        <is>
          <t>פרו פלאן "יעודי" חתול PPVD CAT</t>
        </is>
      </c>
      <c r="D754" t="inlineStr">
        <is>
          <t>12500438</t>
        </is>
      </c>
      <c r="E754" t="inlineStr">
        <is>
          <t>2026-06</t>
        </is>
      </c>
      <c r="F754" t="n">
        <v>241.53</v>
      </c>
      <c r="G754" t="n">
        <v>285.01</v>
      </c>
      <c r="H754">
        <f>הגדרות!B9</f>
        <v/>
      </c>
      <c r="I754">
        <f>F754*(1-H754/100)*1.18</f>
        <v/>
      </c>
      <c r="J754">
        <f>הגדרות!C9</f>
        <v/>
      </c>
      <c r="K754">
        <f>הגדרות!D9</f>
        <v/>
      </c>
      <c r="L754">
        <f>I754*(1+J754/100)+K754</f>
        <v/>
      </c>
    </row>
    <row r="755">
      <c r="A755" t="inlineStr">
        <is>
          <t>פורינה (חנויות)</t>
        </is>
      </c>
      <c r="B755" t="inlineStr">
        <is>
          <t>פרו פלאן "מזון יעודי" לחתול NF לטיפול במחלות כליה</t>
        </is>
      </c>
      <c r="C755" t="inlineStr">
        <is>
          <t>פרו פלאן "יעודי" חתול PPVD CAT</t>
        </is>
      </c>
      <c r="D755" t="inlineStr">
        <is>
          <t>12499695</t>
        </is>
      </c>
      <c r="E755" t="inlineStr">
        <is>
          <t>2026-06</t>
        </is>
      </c>
      <c r="F755" t="n">
        <v>89.95</v>
      </c>
      <c r="G755" t="n">
        <v>106.14</v>
      </c>
      <c r="H755">
        <f>הגדרות!B9</f>
        <v/>
      </c>
      <c r="I755">
        <f>F755*(1-H755/100)*1.18</f>
        <v/>
      </c>
      <c r="J755">
        <f>הגדרות!C9</f>
        <v/>
      </c>
      <c r="K755">
        <f>הגדרות!D9</f>
        <v/>
      </c>
      <c r="L755">
        <f>I755*(1+J755/100)+K755</f>
        <v/>
      </c>
    </row>
    <row r="756">
      <c r="A756" t="inlineStr">
        <is>
          <t>פורינה (חנויות)</t>
        </is>
      </c>
      <c r="B756" t="inlineStr">
        <is>
          <t>פרו פלאן "מזון יעודי" לחתול NF - לטיפול במחלות כליה</t>
        </is>
      </c>
      <c r="C756" t="inlineStr">
        <is>
          <t>פרו פלאן "יעודי" חתול PPVD CAT</t>
        </is>
      </c>
      <c r="D756" t="inlineStr">
        <is>
          <t>12499857</t>
        </is>
      </c>
      <c r="E756" t="inlineStr">
        <is>
          <t>2026-06</t>
        </is>
      </c>
      <c r="F756" t="n">
        <v>187.43</v>
      </c>
      <c r="G756" t="n">
        <v>221.17</v>
      </c>
      <c r="H756">
        <f>הגדרות!B9</f>
        <v/>
      </c>
      <c r="I756">
        <f>F756*(1-H756/100)*1.18</f>
        <v/>
      </c>
      <c r="J756">
        <f>הגדרות!C9</f>
        <v/>
      </c>
      <c r="K756">
        <f>הגדרות!D9</f>
        <v/>
      </c>
      <c r="L756">
        <f>I756*(1+J756/100)+K756</f>
        <v/>
      </c>
    </row>
    <row r="757">
      <c r="A757" t="inlineStr">
        <is>
          <t>פורינה (חנויות)</t>
        </is>
      </c>
      <c r="B757" t="inlineStr">
        <is>
          <t>פרו פלאן "מזון יעודי" לחתול HA לסיוע במניעת אלרגיה למזון</t>
        </is>
      </c>
      <c r="C757" t="inlineStr">
        <is>
          <t>פרו פלאן "יעודי" חתול PPVD CAT</t>
        </is>
      </c>
      <c r="D757" t="inlineStr">
        <is>
          <t>12485187</t>
        </is>
      </c>
      <c r="E757" t="inlineStr">
        <is>
          <t>2026-06</t>
        </is>
      </c>
      <c r="F757" t="n">
        <v>104.48</v>
      </c>
      <c r="G757" t="n">
        <v>123.29</v>
      </c>
      <c r="H757">
        <f>הגדרות!B9</f>
        <v/>
      </c>
      <c r="I757">
        <f>F757*(1-H757/100)*1.18</f>
        <v/>
      </c>
      <c r="J757">
        <f>הגדרות!C9</f>
        <v/>
      </c>
      <c r="K757">
        <f>הגדרות!D9</f>
        <v/>
      </c>
      <c r="L757">
        <f>I757*(1+J757/100)+K757</f>
        <v/>
      </c>
    </row>
    <row r="758">
      <c r="A758" t="inlineStr">
        <is>
          <t>פורינה (חנויות)</t>
        </is>
      </c>
      <c r="B758" t="inlineStr">
        <is>
          <t>פרו פלאן "מזון יעודי" לחתול HA לסיוע במניעת אלרגיה למזון</t>
        </is>
      </c>
      <c r="C758" t="inlineStr">
        <is>
          <t>פרו פלאן "יעודי" חתול PPVD CAT</t>
        </is>
      </c>
      <c r="D758" t="inlineStr">
        <is>
          <t>12619882</t>
        </is>
      </c>
      <c r="E758" t="inlineStr">
        <is>
          <t>2026-06</t>
        </is>
      </c>
      <c r="F758" t="n">
        <v>247.74</v>
      </c>
      <c r="G758" t="n">
        <v>292.33</v>
      </c>
      <c r="H758">
        <f>הגדרות!B9</f>
        <v/>
      </c>
      <c r="I758">
        <f>F758*(1-H758/100)*1.18</f>
        <v/>
      </c>
      <c r="J758">
        <f>הגדרות!C9</f>
        <v/>
      </c>
      <c r="K758">
        <f>הגדרות!D9</f>
        <v/>
      </c>
      <c r="L758">
        <f>I758*(1+J758/100)+K758</f>
        <v/>
      </c>
    </row>
    <row r="759">
      <c r="A759" t="inlineStr">
        <is>
          <t>פורינה (חנויות)</t>
        </is>
      </c>
      <c r="B759" t="inlineStr">
        <is>
          <t>פרו פלאן "מזון יעודי" לחתול דגי ים UR למניעת היווצרות קריסטלים בדרכי השתן</t>
        </is>
      </c>
      <c r="C759" t="inlineStr">
        <is>
          <t>פרו פלאן "יעודי" חתול PPVD CAT</t>
        </is>
      </c>
      <c r="D759" t="inlineStr">
        <is>
          <t>12483400</t>
        </is>
      </c>
      <c r="E759" t="inlineStr">
        <is>
          <t>2026-06</t>
        </is>
      </c>
      <c r="F759" t="n">
        <v>79.08</v>
      </c>
      <c r="G759" t="n">
        <v>93.31</v>
      </c>
      <c r="H759">
        <f>הגדרות!B9</f>
        <v/>
      </c>
      <c r="I759">
        <f>F759*(1-H759/100)*1.18</f>
        <v/>
      </c>
      <c r="J759">
        <f>הגדרות!C9</f>
        <v/>
      </c>
      <c r="K759">
        <f>הגדרות!D9</f>
        <v/>
      </c>
      <c r="L759">
        <f>I759*(1+J759/100)+K759</f>
        <v/>
      </c>
    </row>
    <row r="760">
      <c r="A760" t="inlineStr">
        <is>
          <t>פורינה (חנויות)</t>
        </is>
      </c>
      <c r="B760" t="inlineStr">
        <is>
          <t>פרו פלאן "מזון יעודי" לחתול דגי ים UR - למניעת היווצרות קריסטלים בדרכי השתן</t>
        </is>
      </c>
      <c r="C760" t="inlineStr">
        <is>
          <t>פרו פלאן "יעודי" חתול PPVD CAT</t>
        </is>
      </c>
      <c r="D760" t="inlineStr">
        <is>
          <t>12484139</t>
        </is>
      </c>
      <c r="E760" t="inlineStr">
        <is>
          <t>2026-06</t>
        </is>
      </c>
      <c r="F760" t="n">
        <v>187.43</v>
      </c>
      <c r="G760" t="n">
        <v>221.17</v>
      </c>
      <c r="H760">
        <f>הגדרות!B9</f>
        <v/>
      </c>
      <c r="I760">
        <f>F760*(1-H760/100)*1.18</f>
        <v/>
      </c>
      <c r="J760">
        <f>הגדרות!C9</f>
        <v/>
      </c>
      <c r="K760">
        <f>הגדרות!D9</f>
        <v/>
      </c>
      <c r="L760">
        <f>I760*(1+J760/100)+K760</f>
        <v/>
      </c>
    </row>
    <row r="761">
      <c r="A761" t="inlineStr">
        <is>
          <t>פורינה (חנויות)</t>
        </is>
      </c>
      <c r="B761" t="inlineStr">
        <is>
          <t>פרו פלאן "מזון יעודי" לחתול OM - לירידה ושמירה על משקל תקין</t>
        </is>
      </c>
      <c r="C761" t="inlineStr">
        <is>
          <t>פרו פלאן "יעודי" חתול PPVD CAT</t>
        </is>
      </c>
      <c r="D761" t="inlineStr">
        <is>
          <t>12484875</t>
        </is>
      </c>
      <c r="E761" t="inlineStr">
        <is>
          <t>2026-06</t>
        </is>
      </c>
      <c r="F761" t="n">
        <v>198.45</v>
      </c>
      <c r="G761" t="n">
        <v>234.17</v>
      </c>
      <c r="H761">
        <f>הגדרות!B9</f>
        <v/>
      </c>
      <c r="I761">
        <f>F761*(1-H761/100)*1.18</f>
        <v/>
      </c>
      <c r="J761">
        <f>הגדרות!C9</f>
        <v/>
      </c>
      <c r="K761">
        <f>הגדרות!D9</f>
        <v/>
      </c>
      <c r="L761">
        <f>I761*(1+J761/100)+K761</f>
        <v/>
      </c>
    </row>
    <row r="762">
      <c r="A762" t="inlineStr">
        <is>
          <t>פורינה (חנויות)</t>
        </is>
      </c>
      <c r="B762" t="inlineStr">
        <is>
          <t>פרו פלאן "מזון יעודי" לחתול EN - לתמיכה במערכת העיכול</t>
        </is>
      </c>
      <c r="C762" t="inlineStr">
        <is>
          <t>פרו פלאן "יעודי" חתול PPVD CAT</t>
        </is>
      </c>
      <c r="D762" t="inlineStr">
        <is>
          <t>12483237</t>
        </is>
      </c>
      <c r="E762" t="inlineStr">
        <is>
          <t>2026-06</t>
        </is>
      </c>
      <c r="F762" t="n">
        <v>76.06999999999999</v>
      </c>
      <c r="G762" t="n">
        <v>89.76000000000001</v>
      </c>
      <c r="H762">
        <f>הגדרות!B9</f>
        <v/>
      </c>
      <c r="I762">
        <f>F762*(1-H762/100)*1.18</f>
        <v/>
      </c>
      <c r="J762">
        <f>הגדרות!C9</f>
        <v/>
      </c>
      <c r="K762">
        <f>הגדרות!D9</f>
        <v/>
      </c>
      <c r="L762">
        <f>I762*(1+J762/100)+K762</f>
        <v/>
      </c>
    </row>
    <row r="763">
      <c r="A763" t="inlineStr">
        <is>
          <t>פורינה (חנויות)</t>
        </is>
      </c>
      <c r="B763" t="inlineStr">
        <is>
          <t>פרו פלאן "מזון יעודי" לחתול EN - לתמיכה במערכת העיכול</t>
        </is>
      </c>
      <c r="C763" t="inlineStr">
        <is>
          <t>פרו פלאן "יעודי" חתול PPVD CAT</t>
        </is>
      </c>
      <c r="D763" t="inlineStr">
        <is>
          <t>12620304</t>
        </is>
      </c>
      <c r="E763" t="inlineStr">
        <is>
          <t>2026-06</t>
        </is>
      </c>
      <c r="F763" t="n">
        <v>253.56</v>
      </c>
      <c r="G763" t="n">
        <v>299.2</v>
      </c>
      <c r="H763">
        <f>הגדרות!B9</f>
        <v/>
      </c>
      <c r="I763">
        <f>F763*(1-H763/100)*1.18</f>
        <v/>
      </c>
      <c r="J763">
        <f>הגדרות!C9</f>
        <v/>
      </c>
      <c r="K763">
        <f>הגדרות!D9</f>
        <v/>
      </c>
      <c r="L763">
        <f>I763*(1+J763/100)+K763</f>
        <v/>
      </c>
    </row>
    <row r="764">
      <c r="A764" t="inlineStr">
        <is>
          <t>פורינה (חנויות)</t>
        </is>
      </c>
      <c r="B764" t="inlineStr">
        <is>
          <t>פרו פלאן "מזון יעודי" לכלב UR - למניעת היווצרות קריסטלים בדרכי השתן</t>
        </is>
      </c>
      <c r="C764" t="inlineStr">
        <is>
          <t>פרו פלאן "יעודי" כלב PPVD DOG</t>
        </is>
      </c>
      <c r="D764" t="inlineStr">
        <is>
          <t>12500925</t>
        </is>
      </c>
      <c r="E764" t="inlineStr">
        <is>
          <t>2026-06</t>
        </is>
      </c>
      <c r="F764" t="n">
        <v>407.12</v>
      </c>
      <c r="G764" t="n">
        <v>480.4</v>
      </c>
      <c r="H764">
        <f>הגדרות!B9</f>
        <v/>
      </c>
      <c r="I764">
        <f>F764*(1-H764/100)*1.18</f>
        <v/>
      </c>
      <c r="J764">
        <f>הגדרות!C9</f>
        <v/>
      </c>
      <c r="K764">
        <f>הגדרות!D9</f>
        <v/>
      </c>
      <c r="L764">
        <f>I764*(1+J764/100)+K764</f>
        <v/>
      </c>
    </row>
    <row r="765">
      <c r="A765" t="inlineStr">
        <is>
          <t>פורינה (חנויות)</t>
        </is>
      </c>
      <c r="B765" t="inlineStr">
        <is>
          <t>פרו פלאן "מזון יעודי" לכלב JM - לתמיכה בדלקות פרקים</t>
        </is>
      </c>
      <c r="C765" t="inlineStr">
        <is>
          <t>פרו פלאן "יעודי" כלב PPVD DOG</t>
        </is>
      </c>
      <c r="D765" t="inlineStr">
        <is>
          <t>12620192</t>
        </is>
      </c>
      <c r="E765" t="inlineStr">
        <is>
          <t>2026-06</t>
        </is>
      </c>
      <c r="F765" t="n">
        <v>383.67</v>
      </c>
      <c r="G765" t="n">
        <v>452.73</v>
      </c>
      <c r="H765">
        <f>הגדרות!B9</f>
        <v/>
      </c>
      <c r="I765">
        <f>F765*(1-H765/100)*1.18</f>
        <v/>
      </c>
      <c r="J765">
        <f>הגדרות!C9</f>
        <v/>
      </c>
      <c r="K765">
        <f>הגדרות!D9</f>
        <v/>
      </c>
      <c r="L765">
        <f>I765*(1+J765/100)+K765</f>
        <v/>
      </c>
    </row>
    <row r="766">
      <c r="A766" t="inlineStr">
        <is>
          <t>פורינה (חנויות)</t>
        </is>
      </c>
      <c r="B766" t="inlineStr">
        <is>
          <t>פרו פלאן "מזון יעודי" לכלב NC - לסיוע בהתקפי אפילפסיה ותמיכה במערכת העצבים</t>
        </is>
      </c>
      <c r="C766" t="inlineStr">
        <is>
          <t>פרו פלאן "יעודי" כלב PPVD DOG</t>
        </is>
      </c>
      <c r="D766" t="inlineStr">
        <is>
          <t>12484885</t>
        </is>
      </c>
      <c r="E766" t="inlineStr">
        <is>
          <t>2026-06</t>
        </is>
      </c>
      <c r="F766" t="n">
        <v>407.12</v>
      </c>
      <c r="G766" t="n">
        <v>480.4</v>
      </c>
      <c r="H766">
        <f>הגדרות!B9</f>
        <v/>
      </c>
      <c r="I766">
        <f>F766*(1-H766/100)*1.18</f>
        <v/>
      </c>
      <c r="J766">
        <f>הגדרות!C9</f>
        <v/>
      </c>
      <c r="K766">
        <f>הגדרות!D9</f>
        <v/>
      </c>
      <c r="L766">
        <f>I766*(1+J766/100)+K766</f>
        <v/>
      </c>
    </row>
    <row r="767">
      <c r="A767" t="inlineStr">
        <is>
          <t>פורינה (חנויות)</t>
        </is>
      </c>
      <c r="B767" t="inlineStr">
        <is>
          <t>פרו פלאן "מזון יעודי" לכלב OM - לירידה ושמירה על משקל תקין</t>
        </is>
      </c>
      <c r="C767" t="inlineStr">
        <is>
          <t>פרו פלאן "יעודי" כלב PPVD DOG</t>
        </is>
      </c>
      <c r="D767" t="inlineStr">
        <is>
          <t>12483425</t>
        </is>
      </c>
      <c r="E767" t="inlineStr">
        <is>
          <t>2026-06</t>
        </is>
      </c>
      <c r="F767" t="n">
        <v>130.91</v>
      </c>
      <c r="G767" t="n">
        <v>154.47</v>
      </c>
      <c r="H767">
        <f>הגדרות!B9</f>
        <v/>
      </c>
      <c r="I767">
        <f>F767*(1-H767/100)*1.18</f>
        <v/>
      </c>
      <c r="J767">
        <f>הגדרות!C9</f>
        <v/>
      </c>
      <c r="K767">
        <f>הגדרות!D9</f>
        <v/>
      </c>
      <c r="L767">
        <f>I767*(1+J767/100)+K767</f>
        <v/>
      </c>
    </row>
    <row r="768">
      <c r="A768" t="inlineStr">
        <is>
          <t>פורינה (חנויות)</t>
        </is>
      </c>
      <c r="B768" t="inlineStr">
        <is>
          <t>פרו פלאן "מזון יעודי" לכלב OM - לירידה ושמירה על משקל תקין</t>
        </is>
      </c>
      <c r="C768" t="inlineStr">
        <is>
          <t>פרו פלאן "יעודי" כלב PPVD DOG</t>
        </is>
      </c>
      <c r="D768" t="inlineStr">
        <is>
          <t>12484887</t>
        </is>
      </c>
      <c r="E768" t="inlineStr">
        <is>
          <t>2026-06</t>
        </is>
      </c>
      <c r="F768" t="n">
        <v>361.62</v>
      </c>
      <c r="G768" t="n">
        <v>426.71</v>
      </c>
      <c r="H768">
        <f>הגדרות!B9</f>
        <v/>
      </c>
      <c r="I768">
        <f>F768*(1-H768/100)*1.18</f>
        <v/>
      </c>
      <c r="J768">
        <f>הגדרות!C9</f>
        <v/>
      </c>
      <c r="K768">
        <f>הגדרות!D9</f>
        <v/>
      </c>
      <c r="L768">
        <f>I768*(1+J768/100)+K768</f>
        <v/>
      </c>
    </row>
    <row r="769">
      <c r="A769" t="inlineStr">
        <is>
          <t>פורינה (חנויות)</t>
        </is>
      </c>
      <c r="B769" t="inlineStr">
        <is>
          <t>פרו פלאן "מזון יעודי" לכלב HA - לסיוע במניעת אלרגיה למזון</t>
        </is>
      </c>
      <c r="C769" t="inlineStr">
        <is>
          <t>פרו פלאן "יעודי" כלב PPVD DOG</t>
        </is>
      </c>
      <c r="D769" t="inlineStr">
        <is>
          <t>12484160</t>
        </is>
      </c>
      <c r="E769" t="inlineStr">
        <is>
          <t>2026-06</t>
        </is>
      </c>
      <c r="F769" t="n">
        <v>79.23</v>
      </c>
      <c r="G769" t="n">
        <v>93.48999999999999</v>
      </c>
      <c r="H769">
        <f>הגדרות!B9</f>
        <v/>
      </c>
      <c r="I769">
        <f>F769*(1-H769/100)*1.18</f>
        <v/>
      </c>
      <c r="J769">
        <f>הגדרות!C9</f>
        <v/>
      </c>
      <c r="K769">
        <f>הגדרות!D9</f>
        <v/>
      </c>
      <c r="L769">
        <f>I769*(1+J769/100)+K769</f>
        <v/>
      </c>
    </row>
    <row r="770">
      <c r="A770" t="inlineStr">
        <is>
          <t>פורינה (חנויות)</t>
        </is>
      </c>
      <c r="B770" t="inlineStr">
        <is>
          <t>פרו פלאן "מזון יעודי" לכלב HA - לסיוע במניעת אלרגיה למזון</t>
        </is>
      </c>
      <c r="C770" t="inlineStr">
        <is>
          <t>פרו פלאן "יעודי" כלב PPVD DOG</t>
        </is>
      </c>
      <c r="D770" t="inlineStr">
        <is>
          <t>12483245</t>
        </is>
      </c>
      <c r="E770" t="inlineStr">
        <is>
          <t>2026-06</t>
        </is>
      </c>
      <c r="F770" t="n">
        <v>152.25</v>
      </c>
      <c r="G770" t="n">
        <v>179.66</v>
      </c>
      <c r="H770">
        <f>הגדרות!B9</f>
        <v/>
      </c>
      <c r="I770">
        <f>F770*(1-H770/100)*1.18</f>
        <v/>
      </c>
      <c r="J770">
        <f>הגדרות!C9</f>
        <v/>
      </c>
      <c r="K770">
        <f>הגדרות!D9</f>
        <v/>
      </c>
      <c r="L770">
        <f>I770*(1+J770/100)+K770</f>
        <v/>
      </c>
    </row>
    <row r="771">
      <c r="A771" t="inlineStr">
        <is>
          <t>פורינה (חנויות)</t>
        </is>
      </c>
      <c r="B771" t="inlineStr">
        <is>
          <t>פרו פלאן "מזון יעודי" לכלב HA - לסיוע במניעת אלרגיה למזון</t>
        </is>
      </c>
      <c r="C771" t="inlineStr">
        <is>
          <t>פרו פלאן "יעודי" כלב PPVD DOG</t>
        </is>
      </c>
      <c r="D771" t="inlineStr">
        <is>
          <t>12484156</t>
        </is>
      </c>
      <c r="E771" t="inlineStr">
        <is>
          <t>2026-06</t>
        </is>
      </c>
      <c r="F771" t="n">
        <v>448.28</v>
      </c>
      <c r="G771" t="n">
        <v>528.97</v>
      </c>
      <c r="H771">
        <f>הגדרות!B9</f>
        <v/>
      </c>
      <c r="I771">
        <f>F771*(1-H771/100)*1.18</f>
        <v/>
      </c>
      <c r="J771">
        <f>הגדרות!C9</f>
        <v/>
      </c>
      <c r="K771">
        <f>הגדרות!D9</f>
        <v/>
      </c>
      <c r="L771">
        <f>I771*(1+J771/100)+K771</f>
        <v/>
      </c>
    </row>
    <row r="772">
      <c r="A772" t="inlineStr">
        <is>
          <t>פורינה (חנויות)</t>
        </is>
      </c>
      <c r="B772" t="inlineStr">
        <is>
          <t>פרו פלאן "מזון יעודי" לכלב EN - לתמיכה במערכת העיכול</t>
        </is>
      </c>
      <c r="C772" t="inlineStr">
        <is>
          <t>פרו פלאן "יעודי" כלב PPVD DOG</t>
        </is>
      </c>
      <c r="D772" t="inlineStr">
        <is>
          <t>12483402</t>
        </is>
      </c>
      <c r="E772" t="inlineStr">
        <is>
          <t>2026-06</t>
        </is>
      </c>
      <c r="F772" t="n">
        <v>81.89</v>
      </c>
      <c r="G772" t="n">
        <v>96.63</v>
      </c>
      <c r="H772">
        <f>הגדרות!B9</f>
        <v/>
      </c>
      <c r="I772">
        <f>F772*(1-H772/100)*1.18</f>
        <v/>
      </c>
      <c r="J772">
        <f>הגדרות!C9</f>
        <v/>
      </c>
      <c r="K772">
        <f>הגדרות!D9</f>
        <v/>
      </c>
      <c r="L772">
        <f>I772*(1+J772/100)+K772</f>
        <v/>
      </c>
    </row>
    <row r="773">
      <c r="A773" t="inlineStr">
        <is>
          <t>פורינה (חנויות)</t>
        </is>
      </c>
      <c r="B773" t="inlineStr">
        <is>
          <t>פרו פלאן "מזון יעודי" לכלב EN - לתמיכה במערכת העיכול</t>
        </is>
      </c>
      <c r="C773" t="inlineStr">
        <is>
          <t>פרו פלאן "יעודי" כלב PPVD DOG</t>
        </is>
      </c>
      <c r="D773" t="inlineStr">
        <is>
          <t>12484151</t>
        </is>
      </c>
      <c r="E773" t="inlineStr">
        <is>
          <t>2026-06</t>
        </is>
      </c>
      <c r="F773" t="n">
        <v>183.86</v>
      </c>
      <c r="G773" t="n">
        <v>216.95</v>
      </c>
      <c r="H773">
        <f>הגדרות!B9</f>
        <v/>
      </c>
      <c r="I773">
        <f>F773*(1-H773/100)*1.18</f>
        <v/>
      </c>
      <c r="J773">
        <f>הגדרות!C9</f>
        <v/>
      </c>
      <c r="K773">
        <f>הגדרות!D9</f>
        <v/>
      </c>
      <c r="L773">
        <f>I773*(1+J773/100)+K773</f>
        <v/>
      </c>
    </row>
    <row r="774">
      <c r="A774" t="inlineStr">
        <is>
          <t>פורינה (חנויות)</t>
        </is>
      </c>
      <c r="B774" t="inlineStr">
        <is>
          <t>פרו פלאן "מזון יעודי" לכלב EN - לתמיכה במערכת העיכול</t>
        </is>
      </c>
      <c r="C774" t="inlineStr">
        <is>
          <t>פרו פלאן "יעודי" כלב PPVD DOG</t>
        </is>
      </c>
      <c r="D774" t="inlineStr">
        <is>
          <t>12484218</t>
        </is>
      </c>
      <c r="E774" t="inlineStr">
        <is>
          <t>2026-06</t>
        </is>
      </c>
      <c r="F774" t="n">
        <v>383.67</v>
      </c>
      <c r="G774" t="n">
        <v>452.73</v>
      </c>
      <c r="H774">
        <f>הגדרות!B9</f>
        <v/>
      </c>
      <c r="I774">
        <f>F774*(1-H774/100)*1.18</f>
        <v/>
      </c>
      <c r="J774">
        <f>הגדרות!C9</f>
        <v/>
      </c>
      <c r="K774">
        <f>הגדרות!D9</f>
        <v/>
      </c>
      <c r="L774">
        <f>I774*(1+J774/100)+K774</f>
        <v/>
      </c>
    </row>
    <row r="775">
      <c r="A775" t="inlineStr">
        <is>
          <t>פורינה (חנויות)</t>
        </is>
      </c>
      <c r="B775" t="inlineStr">
        <is>
          <t>פרו פלאן "מזון יעודי" לכלב DRM - לטיפול ברגישות / אלרגיה עורית</t>
        </is>
      </c>
      <c r="C775" t="inlineStr">
        <is>
          <t>פרו פלאן "יעודי" כלב PPVD DOG</t>
        </is>
      </c>
      <c r="D775" t="inlineStr">
        <is>
          <t>12483405</t>
        </is>
      </c>
      <c r="E775" t="inlineStr">
        <is>
          <t>2026-06</t>
        </is>
      </c>
      <c r="F775" t="n">
        <v>115.1</v>
      </c>
      <c r="G775" t="n">
        <v>135.82</v>
      </c>
      <c r="H775">
        <f>הגדרות!B9</f>
        <v/>
      </c>
      <c r="I775">
        <f>F775*(1-H775/100)*1.18</f>
        <v/>
      </c>
      <c r="J775">
        <f>הגדרות!C9</f>
        <v/>
      </c>
      <c r="K775">
        <f>הגדרות!D9</f>
        <v/>
      </c>
      <c r="L775">
        <f>I775*(1+J775/100)+K775</f>
        <v/>
      </c>
    </row>
    <row r="776">
      <c r="A776" t="inlineStr">
        <is>
          <t>פורינה (חנויות)</t>
        </is>
      </c>
      <c r="B776" t="inlineStr">
        <is>
          <t>פרו פלאן "מזון יעודי" לכלב DRM - לטיפול ברגישות / אלרגיה עורית</t>
        </is>
      </c>
      <c r="C776" t="inlineStr">
        <is>
          <t>פרו פלאן "יעודי" כלב PPVD DOG</t>
        </is>
      </c>
      <c r="D776" t="inlineStr">
        <is>
          <t>12483541</t>
        </is>
      </c>
      <c r="E776" t="inlineStr">
        <is>
          <t>2026-06</t>
        </is>
      </c>
      <c r="F776" t="n">
        <v>383.67</v>
      </c>
      <c r="G776" t="n">
        <v>452.73</v>
      </c>
      <c r="H776">
        <f>הגדרות!B9</f>
        <v/>
      </c>
      <c r="I776">
        <f>F776*(1-H776/100)*1.18</f>
        <v/>
      </c>
      <c r="J776">
        <f>הגדרות!C9</f>
        <v/>
      </c>
      <c r="K776">
        <f>הגדרות!D9</f>
        <v/>
      </c>
      <c r="L776">
        <f>I776*(1+J776/100)+K776</f>
        <v/>
      </c>
    </row>
    <row r="777">
      <c r="A777" t="inlineStr">
        <is>
          <t>פורינה (חנויות)</t>
        </is>
      </c>
      <c r="B777" t="inlineStr">
        <is>
          <t>פרו פלאן "מזון יעודי" לכלב NF - לטיפול במחלות כליה</t>
        </is>
      </c>
      <c r="C777" t="inlineStr">
        <is>
          <t>פרו פלאן "יעודי" כלב PPVD DOG</t>
        </is>
      </c>
      <c r="D777" t="inlineStr">
        <is>
          <t>12484894</t>
        </is>
      </c>
      <c r="E777" t="inlineStr">
        <is>
          <t>2026-06</t>
        </is>
      </c>
      <c r="F777" t="n">
        <v>365.4</v>
      </c>
      <c r="G777" t="n">
        <v>431.17</v>
      </c>
      <c r="H777">
        <f>הגדרות!B9</f>
        <v/>
      </c>
      <c r="I777">
        <f>F777*(1-H777/100)*1.18</f>
        <v/>
      </c>
      <c r="J777">
        <f>הגדרות!C9</f>
        <v/>
      </c>
      <c r="K777">
        <f>הגדרות!D9</f>
        <v/>
      </c>
      <c r="L777">
        <f>I777*(1+J777/100)+K777</f>
        <v/>
      </c>
    </row>
    <row r="778">
      <c r="A778" t="inlineStr">
        <is>
          <t>פורינה (חנויות)</t>
        </is>
      </c>
      <c r="B778" t="inlineStr">
        <is>
          <t>פרו פלאן "מזון יעודי" לכלב NF - לטיפול במחלות כליה</t>
        </is>
      </c>
      <c r="C778" t="inlineStr">
        <is>
          <t>פרו פלאן "יעודי" כלב PPVD DOG</t>
        </is>
      </c>
      <c r="D778" t="inlineStr">
        <is>
          <t>12483420</t>
        </is>
      </c>
      <c r="E778" t="inlineStr">
        <is>
          <t>2026-06</t>
        </is>
      </c>
      <c r="F778" t="n">
        <v>118.89</v>
      </c>
      <c r="G778" t="n">
        <v>140.29</v>
      </c>
      <c r="H778">
        <f>הגדרות!B9</f>
        <v/>
      </c>
      <c r="I778">
        <f>F778*(1-H778/100)*1.18</f>
        <v/>
      </c>
      <c r="J778">
        <f>הגדרות!C9</f>
        <v/>
      </c>
      <c r="K778">
        <f>הגדרות!D9</f>
        <v/>
      </c>
      <c r="L778">
        <f>I778*(1+J778/100)+K778</f>
        <v/>
      </c>
    </row>
    <row r="779">
      <c r="A779" t="inlineStr">
        <is>
          <t>פורינה (חנויות)</t>
        </is>
      </c>
      <c r="B779" t="inlineStr">
        <is>
          <t>פרו פלאן "מזון יעודי" לחתול ולכלב CN - לסיוע בהתאוששת לאחר ניתוח ומחלות</t>
        </is>
      </c>
      <c r="C779" t="inlineStr">
        <is>
          <t>פרו פלאן "יעודי" חתול לח PPVD WET CAT</t>
        </is>
      </c>
      <c r="D779" t="inlineStr">
        <is>
          <t>12603084</t>
        </is>
      </c>
      <c r="E779" t="inlineStr">
        <is>
          <t>2026-06</t>
        </is>
      </c>
      <c r="F779" t="n">
        <v>9.130000000000001</v>
      </c>
      <c r="G779" t="n">
        <v>10.77</v>
      </c>
      <c r="H779">
        <f>הגדרות!B9</f>
        <v/>
      </c>
      <c r="I779">
        <f>F779*(1-H779/100)*1.18</f>
        <v/>
      </c>
      <c r="J779">
        <f>הגדרות!C9</f>
        <v/>
      </c>
      <c r="K779">
        <f>הגדרות!D9</f>
        <v/>
      </c>
      <c r="L779">
        <f>I779*(1+J779/100)+K779</f>
        <v/>
      </c>
    </row>
    <row r="780">
      <c r="A780" t="inlineStr">
        <is>
          <t>פורינה (חנויות)</t>
        </is>
      </c>
      <c r="B780" t="inlineStr">
        <is>
          <t>פרו פלאן "מזון יעודי" לחתול UR - למניעת היווצרות קריסטלים בדרכי השתן</t>
        </is>
      </c>
      <c r="C780" t="inlineStr">
        <is>
          <t>פרו פלאן "יעודי" חתול לח PPVD WET CAT</t>
        </is>
      </c>
      <c r="D780" t="inlineStr">
        <is>
          <t>13672647</t>
        </is>
      </c>
      <c r="E780" t="inlineStr">
        <is>
          <t>2026-06</t>
        </is>
      </c>
      <c r="F780" t="n">
        <v>8.039999999999999</v>
      </c>
      <c r="G780" t="n">
        <v>9.49</v>
      </c>
      <c r="H780">
        <f>הגדרות!B9</f>
        <v/>
      </c>
      <c r="I780">
        <f>F780*(1-H780/100)*1.18</f>
        <v/>
      </c>
      <c r="J780">
        <f>הגדרות!C9</f>
        <v/>
      </c>
      <c r="K780">
        <f>הגדרות!D9</f>
        <v/>
      </c>
      <c r="L780">
        <f>I780*(1+J780/100)+K780</f>
        <v/>
      </c>
    </row>
    <row r="781">
      <c r="A781" t="inlineStr">
        <is>
          <t>פורינה (חנויות)</t>
        </is>
      </c>
      <c r="B781" t="inlineStr">
        <is>
          <t>פרו פלאן "מזון יעודי" לחתול UR - למניעת היווצרות קריסטלים בדרכי השתן</t>
        </is>
      </c>
      <c r="C781" t="inlineStr">
        <is>
          <t>פרו פלאן "יעודי" חתול לח PPVD WET CAT</t>
        </is>
      </c>
      <c r="D781" t="inlineStr">
        <is>
          <t>12603144</t>
        </is>
      </c>
      <c r="E781" t="inlineStr">
        <is>
          <t>2026-06</t>
        </is>
      </c>
      <c r="F781" t="n">
        <v>9.130000000000001</v>
      </c>
      <c r="G781" t="n">
        <v>10.77</v>
      </c>
      <c r="H781">
        <f>הגדרות!B9</f>
        <v/>
      </c>
      <c r="I781">
        <f>F781*(1-H781/100)*1.18</f>
        <v/>
      </c>
      <c r="J781">
        <f>הגדרות!C9</f>
        <v/>
      </c>
      <c r="K781">
        <f>הגדרות!D9</f>
        <v/>
      </c>
      <c r="L781">
        <f>I781*(1+J781/100)+K781</f>
        <v/>
      </c>
    </row>
    <row r="782">
      <c r="A782" t="inlineStr">
        <is>
          <t>פורינה (חנויות)</t>
        </is>
      </c>
      <c r="B782" t="inlineStr">
        <is>
          <t>פרו פלאן "מזון יעודי" לחתול NF - לטיפול במחלות כליה</t>
        </is>
      </c>
      <c r="C782" t="inlineStr">
        <is>
          <t>פרו פלאן "יעודי" חתול לח PPVD WET CAT</t>
        </is>
      </c>
      <c r="D782" t="inlineStr">
        <is>
          <t>13670077</t>
        </is>
      </c>
      <c r="E782" t="inlineStr">
        <is>
          <t>2026-06</t>
        </is>
      </c>
      <c r="F782" t="n">
        <v>8.039999999999999</v>
      </c>
      <c r="G782" t="n">
        <v>9.49</v>
      </c>
      <c r="H782">
        <f>הגדרות!B9</f>
        <v/>
      </c>
      <c r="I782">
        <f>F782*(1-H782/100)*1.18</f>
        <v/>
      </c>
      <c r="J782">
        <f>הגדרות!C9</f>
        <v/>
      </c>
      <c r="K782">
        <f>הגדרות!D9</f>
        <v/>
      </c>
      <c r="L782">
        <f>I782*(1+J782/100)+K782</f>
        <v/>
      </c>
    </row>
    <row r="783">
      <c r="A783" t="inlineStr">
        <is>
          <t>פורינה (חנויות)</t>
        </is>
      </c>
      <c r="B783" t="inlineStr">
        <is>
          <t>פרו פלאן "מזון יעודי" לחתול NF - לטיפול במחלות כליה</t>
        </is>
      </c>
      <c r="C783" t="inlineStr">
        <is>
          <t>פרו פלאן "יעודי" חתול לח PPVD WET CAT</t>
        </is>
      </c>
      <c r="D783" t="inlineStr">
        <is>
          <t>12603137</t>
        </is>
      </c>
      <c r="E783" t="inlineStr">
        <is>
          <t>2026-06</t>
        </is>
      </c>
      <c r="F783" t="n">
        <v>9.130000000000001</v>
      </c>
      <c r="G783" t="n">
        <v>10.77</v>
      </c>
      <c r="H783">
        <f>הגדרות!B9</f>
        <v/>
      </c>
      <c r="I783">
        <f>F783*(1-H783/100)*1.18</f>
        <v/>
      </c>
      <c r="J783">
        <f>הגדרות!C9</f>
        <v/>
      </c>
      <c r="K783">
        <f>הגדרות!D9</f>
        <v/>
      </c>
      <c r="L783">
        <f>I783*(1+J783/100)+K783</f>
        <v/>
      </c>
    </row>
    <row r="784">
      <c r="A784" t="inlineStr">
        <is>
          <t>פורינה (חנויות)</t>
        </is>
      </c>
      <c r="B784" t="inlineStr">
        <is>
          <t>פרו פלאן "מזון יעודי" לחתול EN - לתמיכה במערכת העיכול</t>
        </is>
      </c>
      <c r="C784" t="inlineStr">
        <is>
          <t>פרו פלאן "יעודי" חתול לח PPVD WET CAT</t>
        </is>
      </c>
      <c r="D784" t="inlineStr">
        <is>
          <t>13669496</t>
        </is>
      </c>
      <c r="E784" t="inlineStr">
        <is>
          <t>2026-06</t>
        </is>
      </c>
      <c r="F784" t="n">
        <v>8.039999999999999</v>
      </c>
      <c r="G784" t="n">
        <v>9.49</v>
      </c>
      <c r="H784">
        <f>הגדרות!B9</f>
        <v/>
      </c>
      <c r="I784">
        <f>F784*(1-H784/100)*1.18</f>
        <v/>
      </c>
      <c r="J784">
        <f>הגדרות!C9</f>
        <v/>
      </c>
      <c r="K784">
        <f>הגדרות!D9</f>
        <v/>
      </c>
      <c r="L784">
        <f>I784*(1+J784/100)+K784</f>
        <v/>
      </c>
    </row>
    <row r="785">
      <c r="A785" t="inlineStr">
        <is>
          <t>פורינה (חנויות)</t>
        </is>
      </c>
      <c r="B785" t="inlineStr">
        <is>
          <t>פרו פלאן "מזון יעודי" לחתול EN - לתמיכה במערכת העיכול</t>
        </is>
      </c>
      <c r="C785" t="inlineStr">
        <is>
          <t>פרו פלאן "יעודי" חתול לח PPVD WET CAT</t>
        </is>
      </c>
      <c r="D785" t="inlineStr">
        <is>
          <t>12621842</t>
        </is>
      </c>
      <c r="E785" t="inlineStr">
        <is>
          <t>2026-06</t>
        </is>
      </c>
      <c r="F785" t="n">
        <v>10.92</v>
      </c>
      <c r="G785" t="n">
        <v>12.89</v>
      </c>
      <c r="H785">
        <f>הגדרות!B9</f>
        <v/>
      </c>
      <c r="I785">
        <f>F785*(1-H785/100)*1.18</f>
        <v/>
      </c>
      <c r="J785">
        <f>הגדרות!C9</f>
        <v/>
      </c>
      <c r="K785">
        <f>הגדרות!D9</f>
        <v/>
      </c>
      <c r="L785">
        <f>I785*(1+J785/100)+K785</f>
        <v/>
      </c>
    </row>
    <row r="786">
      <c r="A786" t="inlineStr">
        <is>
          <t>פורינה (חנויות)</t>
        </is>
      </c>
      <c r="B786" t="inlineStr">
        <is>
          <t>פרו פלאן "מזון יעודי" לכלב EN - לתמיכה במערכת העיכול</t>
        </is>
      </c>
      <c r="C786" t="inlineStr">
        <is>
          <t>פרו פלאן "יעודי" כלב לח PPVD WET</t>
        </is>
      </c>
      <c r="D786" t="inlineStr">
        <is>
          <t>12617132</t>
        </is>
      </c>
      <c r="E786" t="inlineStr">
        <is>
          <t>2026-06</t>
        </is>
      </c>
      <c r="F786" t="n">
        <v>17.69</v>
      </c>
      <c r="G786" t="n">
        <v>20.87</v>
      </c>
      <c r="H786">
        <f>הגדרות!B9</f>
        <v/>
      </c>
      <c r="I786">
        <f>F786*(1-H786/100)*1.18</f>
        <v/>
      </c>
      <c r="J786">
        <f>הגדרות!C9</f>
        <v/>
      </c>
      <c r="K786">
        <f>הגדרות!D9</f>
        <v/>
      </c>
      <c r="L786">
        <f>I786*(1+J786/100)+K786</f>
        <v/>
      </c>
    </row>
    <row r="787">
      <c r="A787" t="inlineStr">
        <is>
          <t>פורינה (חנויות)</t>
        </is>
      </c>
      <c r="B787" t="inlineStr">
        <is>
          <t>פרו פלאן "מזון יעודי" לכלב NF - לטיפול במחלות כליה</t>
        </is>
      </c>
      <c r="C787" t="inlineStr">
        <is>
          <t>פרו פלאן "יעודי" כלב לח PPVD WET</t>
        </is>
      </c>
      <c r="D787" t="inlineStr">
        <is>
          <t>12570828</t>
        </is>
      </c>
      <c r="E787" t="inlineStr">
        <is>
          <t>2026-06</t>
        </is>
      </c>
      <c r="F787" t="n">
        <v>17.69</v>
      </c>
      <c r="G787" t="n">
        <v>20.87</v>
      </c>
      <c r="H787">
        <f>הגדרות!B9</f>
        <v/>
      </c>
      <c r="I787">
        <f>F787*(1-H787/100)*1.18</f>
        <v/>
      </c>
      <c r="J787">
        <f>הגדרות!C9</f>
        <v/>
      </c>
      <c r="K787">
        <f>הגדרות!D9</f>
        <v/>
      </c>
      <c r="L787">
        <f>I787*(1+J787/100)+K787</f>
        <v/>
      </c>
    </row>
    <row r="788">
      <c r="A788" t="inlineStr">
        <is>
          <t>פורינה (חנויות)</t>
        </is>
      </c>
      <c r="B788" t="inlineStr">
        <is>
          <t>פרו פלאן "מזון יעודי" לכלב HA - לסיוע במניעת אלרגיה למזון</t>
        </is>
      </c>
      <c r="C788" t="inlineStr">
        <is>
          <t>פרו פלאן "יעודי" כלב לח PPVD WET</t>
        </is>
      </c>
      <c r="D788" t="inlineStr">
        <is>
          <t>12603193</t>
        </is>
      </c>
      <c r="E788" t="inlineStr">
        <is>
          <t>2026-06</t>
        </is>
      </c>
      <c r="F788" t="n">
        <v>18.57</v>
      </c>
      <c r="G788" t="n">
        <v>21.91</v>
      </c>
      <c r="H788">
        <f>הגדרות!B9</f>
        <v/>
      </c>
      <c r="I788">
        <f>F788*(1-H788/100)*1.18</f>
        <v/>
      </c>
      <c r="J788">
        <f>הגדרות!C9</f>
        <v/>
      </c>
      <c r="K788">
        <f>הגדרות!D9</f>
        <v/>
      </c>
      <c r="L788">
        <f>I788*(1+J788/100)+K788</f>
        <v/>
      </c>
    </row>
    <row r="789">
      <c r="A789" t="inlineStr">
        <is>
          <t>פורינה (חנויות)</t>
        </is>
      </c>
      <c r="B789" t="inlineStr">
        <is>
          <t>פריסקיז אקטיב לכלב בקר וירקות</t>
        </is>
      </c>
      <c r="C789" t="inlineStr">
        <is>
          <t>פריסקיז כלב יבש FRISKIES DOG DRY</t>
        </is>
      </c>
      <c r="D789" t="inlineStr">
        <is>
          <t>12661402</t>
        </is>
      </c>
      <c r="E789" t="inlineStr">
        <is>
          <t>2026-06</t>
        </is>
      </c>
      <c r="F789" t="n">
        <v>33.58</v>
      </c>
      <c r="G789" t="n">
        <v>39.62</v>
      </c>
      <c r="H789">
        <f>הגדרות!B9</f>
        <v/>
      </c>
      <c r="I789">
        <f>F789*(1-H789/100)*1.18</f>
        <v/>
      </c>
      <c r="J789">
        <f>הגדרות!C9</f>
        <v/>
      </c>
      <c r="K789">
        <f>הגדרות!D9</f>
        <v/>
      </c>
      <c r="L789">
        <f>I789*(1+J789/100)+K789</f>
        <v/>
      </c>
    </row>
    <row r="790">
      <c r="A790" t="inlineStr">
        <is>
          <t>פורינה (חנויות)</t>
        </is>
      </c>
      <c r="B790" t="inlineStr">
        <is>
          <t>פריסקיז באלאנס לכלב עוף, בקר וירקות</t>
        </is>
      </c>
      <c r="C790" t="inlineStr">
        <is>
          <t>פריסקיז כלב יבש FRISKIES DOG DRY</t>
        </is>
      </c>
      <c r="D790" t="inlineStr">
        <is>
          <t>12661500</t>
        </is>
      </c>
      <c r="E790" t="inlineStr">
        <is>
          <t>2026-06</t>
        </is>
      </c>
      <c r="F790" t="n">
        <v>33.58</v>
      </c>
      <c r="G790" t="n">
        <v>39.62</v>
      </c>
      <c r="H790">
        <f>הגדרות!B9</f>
        <v/>
      </c>
      <c r="I790">
        <f>F790*(1-H790/100)*1.18</f>
        <v/>
      </c>
      <c r="J790">
        <f>הגדרות!C9</f>
        <v/>
      </c>
      <c r="K790">
        <f>הגדרות!D9</f>
        <v/>
      </c>
      <c r="L790">
        <f>I790*(1+J790/100)+K790</f>
        <v/>
      </c>
    </row>
    <row r="791">
      <c r="A791" t="inlineStr">
        <is>
          <t>פורינה (חנויות)</t>
        </is>
      </c>
      <c r="B791" t="inlineStr">
        <is>
          <t>פריסקיז אקטיב לכלב בקר וירקות</t>
        </is>
      </c>
      <c r="C791" t="inlineStr">
        <is>
          <t>פריסקיז כלב יבש FRISKIES DOG DRY</t>
        </is>
      </c>
      <c r="D791" t="inlineStr">
        <is>
          <t>12607791</t>
        </is>
      </c>
      <c r="E791" t="inlineStr">
        <is>
          <t>2026-06</t>
        </is>
      </c>
      <c r="F791" t="n">
        <v>119.85</v>
      </c>
      <c r="G791" t="n">
        <v>141.42</v>
      </c>
      <c r="H791">
        <f>הגדרות!B9</f>
        <v/>
      </c>
      <c r="I791">
        <f>F791*(1-H791/100)*1.18</f>
        <v/>
      </c>
      <c r="J791">
        <f>הגדרות!C9</f>
        <v/>
      </c>
      <c r="K791">
        <f>הגדרות!D9</f>
        <v/>
      </c>
      <c r="L791">
        <f>I791*(1+J791/100)+K791</f>
        <v/>
      </c>
    </row>
    <row r="792">
      <c r="A792" t="inlineStr">
        <is>
          <t>פורינה (חנויות)</t>
        </is>
      </c>
      <c r="B792" t="inlineStr">
        <is>
          <t>פריסקיז באלאנס לכלב עוף, בקר וירקות</t>
        </is>
      </c>
      <c r="C792" t="inlineStr">
        <is>
          <t>פריסקיז כלב יבש FRISKIES DOG DRY</t>
        </is>
      </c>
      <c r="D792" t="inlineStr">
        <is>
          <t>12607790</t>
        </is>
      </c>
      <c r="E792" t="inlineStr">
        <is>
          <t>2026-06</t>
        </is>
      </c>
      <c r="F792" t="n">
        <v>119.85</v>
      </c>
      <c r="G792" t="n">
        <v>141.42</v>
      </c>
      <c r="H792">
        <f>הגדרות!B9</f>
        <v/>
      </c>
      <c r="I792">
        <f>F792*(1-H792/100)*1.18</f>
        <v/>
      </c>
      <c r="J792">
        <f>הגדרות!C9</f>
        <v/>
      </c>
      <c r="K792">
        <f>הגדרות!D9</f>
        <v/>
      </c>
      <c r="L792">
        <f>I792*(1+J792/100)+K792</f>
        <v/>
      </c>
    </row>
    <row r="793">
      <c r="A793" t="inlineStr">
        <is>
          <t>Monge Vet Solution</t>
        </is>
      </c>
      <c r="B793" t="inlineStr">
        <is>
          <t>מונג וט אובסיטי כלב 12 ק"ג</t>
        </is>
      </c>
      <c r="D793" t="inlineStr">
        <is>
          <t>29000141</t>
        </is>
      </c>
      <c r="E793" t="inlineStr">
        <is>
          <t>2026-07</t>
        </is>
      </c>
      <c r="F793" t="n">
        <v>409</v>
      </c>
      <c r="G793" t="n">
        <v>482.62</v>
      </c>
      <c r="H793">
        <f>הגדרות!B10</f>
        <v/>
      </c>
      <c r="I793">
        <f>F793*(1-H793/100)*1.18</f>
        <v/>
      </c>
      <c r="J793">
        <f>הגדרות!C10</f>
        <v/>
      </c>
      <c r="K793">
        <f>הגדרות!D10</f>
        <v/>
      </c>
      <c r="L793">
        <f>I793*(1+J793/100)+K793</f>
        <v/>
      </c>
    </row>
    <row r="794">
      <c r="A794" t="inlineStr">
        <is>
          <t>Monge Vet Solution</t>
        </is>
      </c>
      <c r="B794" t="inlineStr">
        <is>
          <t>מונג וט אובסיטי כלב 2 ק"ג</t>
        </is>
      </c>
      <c r="D794" t="inlineStr">
        <is>
          <t>29000186</t>
        </is>
      </c>
      <c r="E794" t="inlineStr">
        <is>
          <t>2026-07</t>
        </is>
      </c>
      <c r="F794" t="n">
        <v>116</v>
      </c>
      <c r="G794" t="n">
        <v>136.88</v>
      </c>
      <c r="H794">
        <f>הגדרות!B10</f>
        <v/>
      </c>
      <c r="I794">
        <f>F794*(1-H794/100)*1.18</f>
        <v/>
      </c>
      <c r="J794">
        <f>הגדרות!C10</f>
        <v/>
      </c>
      <c r="K794">
        <f>הגדרות!D10</f>
        <v/>
      </c>
      <c r="L794">
        <f>I794*(1+J794/100)+K794</f>
        <v/>
      </c>
    </row>
    <row r="795">
      <c r="A795" t="inlineStr">
        <is>
          <t>Monge Vet Solution</t>
        </is>
      </c>
      <c r="B795" t="inlineStr">
        <is>
          <t>מונג וט אינטסטינל כלב 12 ק"ג</t>
        </is>
      </c>
      <c r="D795" t="inlineStr">
        <is>
          <t>29000139</t>
        </is>
      </c>
      <c r="E795" t="inlineStr">
        <is>
          <t>2026-07</t>
        </is>
      </c>
      <c r="F795" t="n">
        <v>409</v>
      </c>
      <c r="G795" t="n">
        <v>482.62</v>
      </c>
      <c r="H795">
        <f>הגדרות!B10</f>
        <v/>
      </c>
      <c r="I795">
        <f>F795*(1-H795/100)*1.18</f>
        <v/>
      </c>
      <c r="J795">
        <f>הגדרות!C10</f>
        <v/>
      </c>
      <c r="K795">
        <f>הגדרות!D10</f>
        <v/>
      </c>
      <c r="L795">
        <f>I795*(1+J795/100)+K795</f>
        <v/>
      </c>
    </row>
    <row r="796">
      <c r="A796" t="inlineStr">
        <is>
          <t>Monge Vet Solution</t>
        </is>
      </c>
      <c r="B796" t="inlineStr">
        <is>
          <t>מונג וט אינטסטינל כלב 2 ק"ג</t>
        </is>
      </c>
      <c r="D796" t="inlineStr">
        <is>
          <t>29000192</t>
        </is>
      </c>
      <c r="E796" t="inlineStr">
        <is>
          <t>2026-07</t>
        </is>
      </c>
      <c r="F796" t="n">
        <v>116</v>
      </c>
      <c r="G796" t="n">
        <v>136.88</v>
      </c>
      <c r="H796">
        <f>הגדרות!B10</f>
        <v/>
      </c>
      <c r="I796">
        <f>F796*(1-H796/100)*1.18</f>
        <v/>
      </c>
      <c r="J796">
        <f>הגדרות!C10</f>
        <v/>
      </c>
      <c r="K796">
        <f>הגדרות!D10</f>
        <v/>
      </c>
      <c r="L796">
        <f>I796*(1+J796/100)+K796</f>
        <v/>
      </c>
    </row>
    <row r="797">
      <c r="A797" t="inlineStr">
        <is>
          <t>Monge Vet Solution</t>
        </is>
      </c>
      <c r="B797" t="inlineStr">
        <is>
          <t>מונג וט אינטסטינל פפי כלב 1.5 ק"ג</t>
        </is>
      </c>
      <c r="D797" t="inlineStr">
        <is>
          <t>29000311</t>
        </is>
      </c>
      <c r="E797" t="inlineStr">
        <is>
          <t>2026-07</t>
        </is>
      </c>
      <c r="F797" t="n">
        <v>103</v>
      </c>
      <c r="G797" t="n">
        <v>121.54</v>
      </c>
      <c r="H797">
        <f>הגדרות!B10</f>
        <v/>
      </c>
      <c r="I797">
        <f>F797*(1-H797/100)*1.18</f>
        <v/>
      </c>
      <c r="J797">
        <f>הגדרות!C10</f>
        <v/>
      </c>
      <c r="K797">
        <f>הגדרות!D10</f>
        <v/>
      </c>
      <c r="L797">
        <f>I797*(1+J797/100)+K797</f>
        <v/>
      </c>
    </row>
    <row r="798">
      <c r="A798" t="inlineStr">
        <is>
          <t>Monge Vet Solution</t>
        </is>
      </c>
      <c r="B798" t="inlineStr">
        <is>
          <t>מונג וט אינטסטינל פפי כלב 5 ק"ג</t>
        </is>
      </c>
      <c r="D798" t="inlineStr">
        <is>
          <t>29000190</t>
        </is>
      </c>
      <c r="E798" t="inlineStr">
        <is>
          <t>2026-07</t>
        </is>
      </c>
      <c r="F798" t="n">
        <v>210</v>
      </c>
      <c r="G798" t="n">
        <v>247.8</v>
      </c>
      <c r="H798">
        <f>הגדרות!B10</f>
        <v/>
      </c>
      <c r="I798">
        <f>F798*(1-H798/100)*1.18</f>
        <v/>
      </c>
      <c r="J798">
        <f>הגדרות!C10</f>
        <v/>
      </c>
      <c r="K798">
        <f>הגדרות!D10</f>
        <v/>
      </c>
      <c r="L798">
        <f>I798*(1+J798/100)+K798</f>
        <v/>
      </c>
    </row>
    <row r="799">
      <c r="A799" t="inlineStr">
        <is>
          <t>Monge Vet Solution</t>
        </is>
      </c>
      <c r="B799" t="inlineStr">
        <is>
          <t>מונג וט דיאבטיק חתול 1.5 ק"ג</t>
        </is>
      </c>
      <c r="D799" t="inlineStr">
        <is>
          <t>29000188</t>
        </is>
      </c>
      <c r="E799" t="inlineStr">
        <is>
          <t>2026-07</t>
        </is>
      </c>
      <c r="F799" t="n">
        <v>101</v>
      </c>
      <c r="G799" t="n">
        <v>119.18</v>
      </c>
      <c r="H799">
        <f>הגדרות!B10</f>
        <v/>
      </c>
      <c r="I799">
        <f>F799*(1-H799/100)*1.18</f>
        <v/>
      </c>
      <c r="J799">
        <f>הגדרות!C10</f>
        <v/>
      </c>
      <c r="K799">
        <f>הגדרות!D10</f>
        <v/>
      </c>
      <c r="L799">
        <f>I799*(1+J799/100)+K799</f>
        <v/>
      </c>
    </row>
    <row r="800">
      <c r="A800" t="inlineStr">
        <is>
          <t>Monge Vet Solution</t>
        </is>
      </c>
      <c r="B800" t="inlineStr">
        <is>
          <t>מונג וט דיאבטיק כלב 12 ק"ג</t>
        </is>
      </c>
      <c r="D800" t="inlineStr">
        <is>
          <t>29000155</t>
        </is>
      </c>
      <c r="E800" t="inlineStr">
        <is>
          <t>2026-07</t>
        </is>
      </c>
      <c r="F800" t="n">
        <v>448</v>
      </c>
      <c r="G800" t="n">
        <v>528.64</v>
      </c>
      <c r="H800">
        <f>הגדרות!B10</f>
        <v/>
      </c>
      <c r="I800">
        <f>F800*(1-H800/100)*1.18</f>
        <v/>
      </c>
      <c r="J800">
        <f>הגדרות!C10</f>
        <v/>
      </c>
      <c r="K800">
        <f>הגדרות!D10</f>
        <v/>
      </c>
      <c r="L800">
        <f>I800*(1+J800/100)+K800</f>
        <v/>
      </c>
    </row>
    <row r="801">
      <c r="A801" t="inlineStr">
        <is>
          <t>Monge Vet Solution</t>
        </is>
      </c>
      <c r="B801" t="inlineStr">
        <is>
          <t>מונג וט דיאבטיק כלב 2 ק"ג</t>
        </is>
      </c>
      <c r="D801" t="inlineStr">
        <is>
          <t>29000187</t>
        </is>
      </c>
      <c r="E801" t="inlineStr">
        <is>
          <t>2026-07</t>
        </is>
      </c>
      <c r="F801" t="n">
        <v>116</v>
      </c>
      <c r="G801" t="n">
        <v>136.88</v>
      </c>
      <c r="H801">
        <f>הגדרות!B10</f>
        <v/>
      </c>
      <c r="I801">
        <f>F801*(1-H801/100)*1.18</f>
        <v/>
      </c>
      <c r="J801">
        <f>הגדרות!C10</f>
        <v/>
      </c>
      <c r="K801">
        <f>הגדרות!D10</f>
        <v/>
      </c>
      <c r="L801">
        <f>I801*(1+J801/100)+K801</f>
        <v/>
      </c>
    </row>
    <row r="802">
      <c r="A802" t="inlineStr">
        <is>
          <t>Monge Vet Solution</t>
        </is>
      </c>
      <c r="B802" t="inlineStr">
        <is>
          <t>מונג וט דרמטוזיס כלב 12 ק"ג</t>
        </is>
      </c>
      <c r="D802" t="inlineStr">
        <is>
          <t>29000138</t>
        </is>
      </c>
      <c r="E802" t="inlineStr">
        <is>
          <t>2026-07</t>
        </is>
      </c>
      <c r="F802" t="n">
        <v>406</v>
      </c>
      <c r="G802" t="n">
        <v>479.08</v>
      </c>
      <c r="H802">
        <f>הגדרות!B10</f>
        <v/>
      </c>
      <c r="I802">
        <f>F802*(1-H802/100)*1.18</f>
        <v/>
      </c>
      <c r="J802">
        <f>הגדרות!C10</f>
        <v/>
      </c>
      <c r="K802">
        <f>הגדרות!D10</f>
        <v/>
      </c>
      <c r="L802">
        <f>I802*(1+J802/100)+K802</f>
        <v/>
      </c>
    </row>
    <row r="803">
      <c r="A803" t="inlineStr">
        <is>
          <t>Monge Vet Solution</t>
        </is>
      </c>
      <c r="B803" t="inlineStr">
        <is>
          <t>מונג וט דרמטוזיס כלב 2 ק"ג</t>
        </is>
      </c>
      <c r="D803" t="inlineStr">
        <is>
          <t>29000191</t>
        </is>
      </c>
      <c r="E803" t="inlineStr">
        <is>
          <t>2026-07</t>
        </is>
      </c>
      <c r="F803" t="n">
        <v>116</v>
      </c>
      <c r="G803" t="n">
        <v>136.88</v>
      </c>
      <c r="H803">
        <f>הגדרות!B10</f>
        <v/>
      </c>
      <c r="I803">
        <f>F803*(1-H803/100)*1.18</f>
        <v/>
      </c>
      <c r="J803">
        <f>הגדרות!C10</f>
        <v/>
      </c>
      <c r="K803">
        <f>הגדרות!D10</f>
        <v/>
      </c>
      <c r="L803">
        <f>I803*(1+J803/100)+K803</f>
        <v/>
      </c>
    </row>
    <row r="804">
      <c r="A804" t="inlineStr">
        <is>
          <t>Monge Vet Solution</t>
        </is>
      </c>
      <c r="B804" t="inlineStr">
        <is>
          <t>מונג וט הפטיק חתול 1.5 ק"ג</t>
        </is>
      </c>
      <c r="D804" t="inlineStr">
        <is>
          <t>29000217</t>
        </is>
      </c>
      <c r="E804" t="inlineStr">
        <is>
          <t>2026-07</t>
        </is>
      </c>
      <c r="F804" t="n">
        <v>101</v>
      </c>
      <c r="G804" t="n">
        <v>119.18</v>
      </c>
      <c r="H804">
        <f>הגדרות!B10</f>
        <v/>
      </c>
      <c r="I804">
        <f>F804*(1-H804/100)*1.18</f>
        <v/>
      </c>
      <c r="J804">
        <f>הגדרות!C10</f>
        <v/>
      </c>
      <c r="K804">
        <f>הגדרות!D10</f>
        <v/>
      </c>
      <c r="L804">
        <f>I804*(1+J804/100)+K804</f>
        <v/>
      </c>
    </row>
    <row r="805">
      <c r="A805" t="inlineStr">
        <is>
          <t>Monge Vet Solution</t>
        </is>
      </c>
      <c r="B805" t="inlineStr">
        <is>
          <t>מונג וט הפטיק כלב 12 ק"ג</t>
        </is>
      </c>
      <c r="D805" t="inlineStr">
        <is>
          <t>29000154</t>
        </is>
      </c>
      <c r="E805" t="inlineStr">
        <is>
          <t>2026-07</t>
        </is>
      </c>
      <c r="F805" t="n">
        <v>448</v>
      </c>
      <c r="G805" t="n">
        <v>528.64</v>
      </c>
      <c r="H805">
        <f>הגדרות!B10</f>
        <v/>
      </c>
      <c r="I805">
        <f>F805*(1-H805/100)*1.18</f>
        <v/>
      </c>
      <c r="J805">
        <f>הגדרות!C10</f>
        <v/>
      </c>
      <c r="K805">
        <f>הגדרות!D10</f>
        <v/>
      </c>
      <c r="L805">
        <f>I805*(1+J805/100)+K805</f>
        <v/>
      </c>
    </row>
    <row r="806">
      <c r="A806" t="inlineStr">
        <is>
          <t>Monge Vet Solution</t>
        </is>
      </c>
      <c r="B806" t="inlineStr">
        <is>
          <t>מונג וט הפטיק כלב 2 ק"ג</t>
        </is>
      </c>
      <c r="D806" t="inlineStr">
        <is>
          <t>29000184</t>
        </is>
      </c>
      <c r="E806" t="inlineStr">
        <is>
          <t>2026-07</t>
        </is>
      </c>
      <c r="F806" t="n">
        <v>116</v>
      </c>
      <c r="G806" t="n">
        <v>136.88</v>
      </c>
      <c r="H806">
        <f>הגדרות!B10</f>
        <v/>
      </c>
      <c r="I806">
        <f>F806*(1-H806/100)*1.18</f>
        <v/>
      </c>
      <c r="J806">
        <f>הגדרות!C10</f>
        <v/>
      </c>
      <c r="K806">
        <f>הגדרות!D10</f>
        <v/>
      </c>
      <c r="L806">
        <f>I806*(1+J806/100)+K806</f>
        <v/>
      </c>
    </row>
    <row r="807">
      <c r="A807" t="inlineStr">
        <is>
          <t>Monge Vet Solution</t>
        </is>
      </c>
      <c r="B807" t="inlineStr">
        <is>
          <t>מונג וט חתול אובסיטי 1.5 ק"ג</t>
        </is>
      </c>
      <c r="D807" t="inlineStr">
        <is>
          <t>29000137</t>
        </is>
      </c>
      <c r="E807" t="inlineStr">
        <is>
          <t>2026-07</t>
        </is>
      </c>
      <c r="F807" t="n">
        <v>97</v>
      </c>
      <c r="G807" t="n">
        <v>114.46</v>
      </c>
      <c r="H807">
        <f>הגדרות!B10</f>
        <v/>
      </c>
      <c r="I807">
        <f>F807*(1-H807/100)*1.18</f>
        <v/>
      </c>
      <c r="J807">
        <f>הגדרות!C10</f>
        <v/>
      </c>
      <c r="K807">
        <f>הגדרות!D10</f>
        <v/>
      </c>
      <c r="L807">
        <f>I807*(1+J807/100)+K807</f>
        <v/>
      </c>
    </row>
    <row r="808">
      <c r="A808" t="inlineStr">
        <is>
          <t>Monge Vet Solution</t>
        </is>
      </c>
      <c r="B808" t="inlineStr">
        <is>
          <t>מונג וט חתול אינטסטינל 1.5 ק"ג</t>
        </is>
      </c>
      <c r="D808" t="inlineStr">
        <is>
          <t>29000133</t>
        </is>
      </c>
      <c r="E808" t="inlineStr">
        <is>
          <t>2026-07</t>
        </is>
      </c>
      <c r="F808" t="n">
        <v>97</v>
      </c>
      <c r="G808" t="n">
        <v>114.46</v>
      </c>
      <c r="H808">
        <f>הגדרות!B10</f>
        <v/>
      </c>
      <c r="I808">
        <f>F808*(1-H808/100)*1.18</f>
        <v/>
      </c>
      <c r="J808">
        <f>הגדרות!C10</f>
        <v/>
      </c>
      <c r="K808">
        <f>הגדרות!D10</f>
        <v/>
      </c>
      <c r="L808">
        <f>I808*(1+J808/100)+K808</f>
        <v/>
      </c>
    </row>
    <row r="809">
      <c r="A809" t="inlineStr">
        <is>
          <t>Monge Vet Solution</t>
        </is>
      </c>
      <c r="B809" t="inlineStr">
        <is>
          <t>מונג וט חתול דרמטוזיס 1.5 ק"ג</t>
        </is>
      </c>
      <c r="D809" t="inlineStr">
        <is>
          <t>29000132</t>
        </is>
      </c>
      <c r="E809" t="inlineStr">
        <is>
          <t>2026-07</t>
        </is>
      </c>
      <c r="F809" t="n">
        <v>97</v>
      </c>
      <c r="G809" t="n">
        <v>114.46</v>
      </c>
      <c r="H809">
        <f>הגדרות!B10</f>
        <v/>
      </c>
      <c r="I809">
        <f>F809*(1-H809/100)*1.18</f>
        <v/>
      </c>
      <c r="J809">
        <f>הגדרות!C10</f>
        <v/>
      </c>
      <c r="K809">
        <f>הגדרות!D10</f>
        <v/>
      </c>
      <c r="L809">
        <f>I809*(1+J809/100)+K809</f>
        <v/>
      </c>
    </row>
    <row r="810">
      <c r="A810" t="inlineStr">
        <is>
          <t>Monge Vet Solution</t>
        </is>
      </c>
      <c r="B810" t="inlineStr">
        <is>
          <t>מונג וט חתול יורינרי אוקסלייט 1.5 ק"ג</t>
        </is>
      </c>
      <c r="D810" t="inlineStr">
        <is>
          <t>29000135</t>
        </is>
      </c>
      <c r="E810" t="inlineStr">
        <is>
          <t>2026-07</t>
        </is>
      </c>
      <c r="F810" t="n">
        <v>97</v>
      </c>
      <c r="G810" t="n">
        <v>114.46</v>
      </c>
      <c r="H810">
        <f>הגדרות!B10</f>
        <v/>
      </c>
      <c r="I810">
        <f>F810*(1-H810/100)*1.18</f>
        <v/>
      </c>
      <c r="J810">
        <f>הגדרות!C10</f>
        <v/>
      </c>
      <c r="K810">
        <f>הגדרות!D10</f>
        <v/>
      </c>
      <c r="L810">
        <f>I810*(1+J810/100)+K810</f>
        <v/>
      </c>
    </row>
    <row r="811">
      <c r="A811" t="inlineStr">
        <is>
          <t>Monge Vet Solution</t>
        </is>
      </c>
      <c r="B811" t="inlineStr">
        <is>
          <t>מונג וט חתול יורינרי סטרווויט 1.5 ק"ג</t>
        </is>
      </c>
      <c r="D811" t="inlineStr">
        <is>
          <t>29000134</t>
        </is>
      </c>
      <c r="E811" t="inlineStr">
        <is>
          <t>2026-07</t>
        </is>
      </c>
      <c r="F811" t="n">
        <v>97</v>
      </c>
      <c r="G811" t="n">
        <v>114.46</v>
      </c>
      <c r="H811">
        <f>הגדרות!B10</f>
        <v/>
      </c>
      <c r="I811">
        <f>F811*(1-H811/100)*1.18</f>
        <v/>
      </c>
      <c r="J811">
        <f>הגדרות!C10</f>
        <v/>
      </c>
      <c r="K811">
        <f>הגדרות!D10</f>
        <v/>
      </c>
      <c r="L811">
        <f>I811*(1+J811/100)+K811</f>
        <v/>
      </c>
    </row>
    <row r="812">
      <c r="A812" t="inlineStr">
        <is>
          <t>Monge Vet Solution</t>
        </is>
      </c>
      <c r="B812" t="inlineStr">
        <is>
          <t>מונג וט חתול רנל 1.5 ק"ג</t>
        </is>
      </c>
      <c r="D812" t="inlineStr">
        <is>
          <t>29000136</t>
        </is>
      </c>
      <c r="E812" t="inlineStr">
        <is>
          <t>2026-07</t>
        </is>
      </c>
      <c r="F812" t="n">
        <v>97</v>
      </c>
      <c r="G812" t="n">
        <v>114.46</v>
      </c>
      <c r="H812">
        <f>הגדרות!B10</f>
        <v/>
      </c>
      <c r="I812">
        <f>F812*(1-H812/100)*1.18</f>
        <v/>
      </c>
      <c r="J812">
        <f>הגדרות!C10</f>
        <v/>
      </c>
      <c r="K812">
        <f>הגדרות!D10</f>
        <v/>
      </c>
      <c r="L812">
        <f>I812*(1+J812/100)+K812</f>
        <v/>
      </c>
    </row>
    <row r="813">
      <c r="A813" t="inlineStr">
        <is>
          <t>Monge Vet Solution</t>
        </is>
      </c>
      <c r="B813" t="inlineStr">
        <is>
          <t>מונג וט מוביליטי כלב 12 ק"ג</t>
        </is>
      </c>
      <c r="D813" t="inlineStr">
        <is>
          <t>29000239</t>
        </is>
      </c>
      <c r="E813" t="inlineStr">
        <is>
          <t>2026-07</t>
        </is>
      </c>
      <c r="F813" t="n">
        <v>448</v>
      </c>
      <c r="G813" t="n">
        <v>528.64</v>
      </c>
      <c r="H813">
        <f>הגדרות!B10</f>
        <v/>
      </c>
      <c r="I813">
        <f>F813*(1-H813/100)*1.18</f>
        <v/>
      </c>
      <c r="J813">
        <f>הגדרות!C10</f>
        <v/>
      </c>
      <c r="K813">
        <f>הגדרות!D10</f>
        <v/>
      </c>
      <c r="L813">
        <f>I813*(1+J813/100)+K813</f>
        <v/>
      </c>
    </row>
    <row r="814">
      <c r="A814" t="inlineStr">
        <is>
          <t>Monge Vet Solution</t>
        </is>
      </c>
      <c r="B814" t="inlineStr">
        <is>
          <t>מונג וט קרדיאק כלב 12 ק"ג</t>
        </is>
      </c>
      <c r="D814" t="inlineStr">
        <is>
          <t>29000238</t>
        </is>
      </c>
      <c r="E814" t="inlineStr">
        <is>
          <t>2026-07</t>
        </is>
      </c>
      <c r="F814" t="n">
        <v>448</v>
      </c>
      <c r="G814" t="n">
        <v>528.64</v>
      </c>
      <c r="H814">
        <f>הגדרות!B10</f>
        <v/>
      </c>
      <c r="I814">
        <f>F814*(1-H814/100)*1.18</f>
        <v/>
      </c>
      <c r="J814">
        <f>הגדרות!C10</f>
        <v/>
      </c>
      <c r="K814">
        <f>הגדרות!D10</f>
        <v/>
      </c>
      <c r="L814">
        <f>I814*(1+J814/100)+K814</f>
        <v/>
      </c>
    </row>
    <row r="815">
      <c r="A815" t="inlineStr">
        <is>
          <t>Monge Vet Solution</t>
        </is>
      </c>
      <c r="B815" t="inlineStr">
        <is>
          <t>מונג וט קרדיאק כלב 2 ק"ג</t>
        </is>
      </c>
      <c r="D815" t="inlineStr">
        <is>
          <t>29000185</t>
        </is>
      </c>
      <c r="E815" t="inlineStr">
        <is>
          <t>2026-07</t>
        </is>
      </c>
      <c r="F815" t="n">
        <v>116</v>
      </c>
      <c r="G815" t="n">
        <v>136.88</v>
      </c>
      <c r="H815">
        <f>הגדרות!B10</f>
        <v/>
      </c>
      <c r="I815">
        <f>F815*(1-H815/100)*1.18</f>
        <v/>
      </c>
      <c r="J815">
        <f>הגדרות!C10</f>
        <v/>
      </c>
      <c r="K815">
        <f>הגדרות!D10</f>
        <v/>
      </c>
      <c r="L815">
        <f>I815*(1+J815/100)+K815</f>
        <v/>
      </c>
    </row>
    <row r="816">
      <c r="A816" t="inlineStr">
        <is>
          <t>Monge Vet Solution</t>
        </is>
      </c>
      <c r="B816" t="inlineStr">
        <is>
          <t>מונג וט רנל כלב 12 ק"ג</t>
        </is>
      </c>
      <c r="D816" t="inlineStr">
        <is>
          <t>29000140</t>
        </is>
      </c>
      <c r="E816" t="inlineStr">
        <is>
          <t>2026-07</t>
        </is>
      </c>
      <c r="F816" t="n">
        <v>431</v>
      </c>
      <c r="G816" t="n">
        <v>508.58</v>
      </c>
      <c r="H816">
        <f>הגדרות!B10</f>
        <v/>
      </c>
      <c r="I816">
        <f>F816*(1-H816/100)*1.18</f>
        <v/>
      </c>
      <c r="J816">
        <f>הגדרות!C10</f>
        <v/>
      </c>
      <c r="K816">
        <f>הגדרות!D10</f>
        <v/>
      </c>
      <c r="L816">
        <f>I816*(1+J816/100)+K816</f>
        <v/>
      </c>
    </row>
    <row r="817">
      <c r="A817" t="inlineStr">
        <is>
          <t>Monge Vet Solution</t>
        </is>
      </c>
      <c r="B817" t="inlineStr">
        <is>
          <t>מונג וט רנל כלב 2 ק"ג</t>
        </is>
      </c>
      <c r="D817" t="inlineStr">
        <is>
          <t>29000183</t>
        </is>
      </c>
      <c r="E817" t="inlineStr">
        <is>
          <t>2026-07</t>
        </is>
      </c>
      <c r="F817" t="n">
        <v>116</v>
      </c>
      <c r="G817" t="n">
        <v>136.88</v>
      </c>
      <c r="H817">
        <f>הגדרות!B10</f>
        <v/>
      </c>
      <c r="I817">
        <f>F817*(1-H817/100)*1.18</f>
        <v/>
      </c>
      <c r="J817">
        <f>הגדרות!C10</f>
        <v/>
      </c>
      <c r="K817">
        <f>הגדרות!D10</f>
        <v/>
      </c>
      <c r="L817">
        <f>I817*(1+J817/100)+K817</f>
        <v/>
      </c>
    </row>
    <row r="818">
      <c r="A818" t="inlineStr">
        <is>
          <t>Monge Vet Solution</t>
        </is>
      </c>
      <c r="B818" t="inlineStr">
        <is>
          <t>*מונג וט כלב יורנרי סטרוויט 2 ק"ג * חדש</t>
        </is>
      </c>
      <c r="D818" t="inlineStr">
        <is>
          <t>29000359</t>
        </is>
      </c>
      <c r="E818" t="inlineStr">
        <is>
          <t>2026-07</t>
        </is>
      </c>
      <c r="F818" t="n">
        <v>116</v>
      </c>
      <c r="G818" t="n">
        <v>136.88</v>
      </c>
      <c r="H818">
        <f>הגדרות!B10</f>
        <v/>
      </c>
      <c r="I818">
        <f>F818*(1-H818/100)*1.18</f>
        <v/>
      </c>
      <c r="J818">
        <f>הגדרות!C10</f>
        <v/>
      </c>
      <c r="K818">
        <f>הגדרות!D10</f>
        <v/>
      </c>
      <c r="L818">
        <f>I818*(1+J818/100)+K818</f>
        <v/>
      </c>
    </row>
    <row r="819">
      <c r="A819" t="inlineStr">
        <is>
          <t>Monge Vet Solution</t>
        </is>
      </c>
      <c r="B819" t="inlineStr">
        <is>
          <t>*מונג וט כלב יורנרי סטרוויט 12 ק"ג * חדש</t>
        </is>
      </c>
      <c r="D819" t="inlineStr">
        <is>
          <t>29000360</t>
        </is>
      </c>
      <c r="E819" t="inlineStr">
        <is>
          <t>2026-07</t>
        </is>
      </c>
      <c r="F819" t="n">
        <v>469</v>
      </c>
      <c r="G819" t="n">
        <v>553.42</v>
      </c>
      <c r="H819">
        <f>הגדרות!B10</f>
        <v/>
      </c>
      <c r="I819">
        <f>F819*(1-H819/100)*1.18</f>
        <v/>
      </c>
      <c r="J819">
        <f>הגדרות!C10</f>
        <v/>
      </c>
      <c r="K819">
        <f>הגדרות!D10</f>
        <v/>
      </c>
      <c r="L819">
        <f>I819*(1+J819/100)+K819</f>
        <v/>
      </c>
    </row>
    <row r="820">
      <c r="A820" t="inlineStr">
        <is>
          <t>Monge Vet Solution</t>
        </is>
      </c>
      <c r="B820" t="inlineStr">
        <is>
          <t>מונג וט דרמטוזיס רטוב 150 ג' כלב</t>
        </is>
      </c>
      <c r="D820" t="inlineStr">
        <is>
          <t>15170002</t>
        </is>
      </c>
      <c r="E820" t="inlineStr">
        <is>
          <t>2026-07</t>
        </is>
      </c>
      <c r="F820" t="n">
        <v>6.7</v>
      </c>
      <c r="G820" t="n">
        <v>7.91</v>
      </c>
      <c r="H820">
        <f>הגדרות!B10</f>
        <v/>
      </c>
      <c r="I820">
        <f>F820*(1-H820/100)*1.18</f>
        <v/>
      </c>
      <c r="J820">
        <f>הגדרות!C10</f>
        <v/>
      </c>
      <c r="K820">
        <f>הגדרות!D10</f>
        <v/>
      </c>
      <c r="L820">
        <f>I820*(1+J820/100)+K820</f>
        <v/>
      </c>
    </row>
    <row r="821">
      <c r="A821" t="inlineStr">
        <is>
          <t>Monge Vet Solution</t>
        </is>
      </c>
      <c r="B821" t="inlineStr">
        <is>
          <t>מונג וט גסטרואינטסטינל רטוב 150 ג' כלב</t>
        </is>
      </c>
      <c r="D821" t="inlineStr">
        <is>
          <t>15170003</t>
        </is>
      </c>
      <c r="E821" t="inlineStr">
        <is>
          <t>2026-07</t>
        </is>
      </c>
      <c r="F821" t="n">
        <v>6.7</v>
      </c>
      <c r="G821" t="n">
        <v>7.91</v>
      </c>
      <c r="H821">
        <f>הגדרות!B10</f>
        <v/>
      </c>
      <c r="I821">
        <f>F821*(1-H821/100)*1.18</f>
        <v/>
      </c>
      <c r="J821">
        <f>הגדרות!C10</f>
        <v/>
      </c>
      <c r="K821">
        <f>הגדרות!D10</f>
        <v/>
      </c>
      <c r="L821">
        <f>I821*(1+J821/100)+K821</f>
        <v/>
      </c>
    </row>
    <row r="822">
      <c r="A822" t="inlineStr">
        <is>
          <t>Monge Vet Solution</t>
        </is>
      </c>
      <c r="B822" t="inlineStr">
        <is>
          <t>מונג וט רנל ואוקסלייט רטוב 150 ג' כלב</t>
        </is>
      </c>
      <c r="D822" t="inlineStr">
        <is>
          <t>15170004</t>
        </is>
      </c>
      <c r="E822" t="inlineStr">
        <is>
          <t>2026-07</t>
        </is>
      </c>
      <c r="F822" t="n">
        <v>6.7</v>
      </c>
      <c r="G822" t="n">
        <v>7.91</v>
      </c>
      <c r="H822">
        <f>הגדרות!B10</f>
        <v/>
      </c>
      <c r="I822">
        <f>F822*(1-H822/100)*1.18</f>
        <v/>
      </c>
      <c r="J822">
        <f>הגדרות!C10</f>
        <v/>
      </c>
      <c r="K822">
        <f>הגדרות!D10</f>
        <v/>
      </c>
      <c r="L822">
        <f>I822*(1+J822/100)+K822</f>
        <v/>
      </c>
    </row>
    <row r="823">
      <c r="A823" t="inlineStr">
        <is>
          <t>Monge Vet Solution</t>
        </is>
      </c>
      <c r="B823" t="inlineStr">
        <is>
          <t>מונג וט ריקברי רטוב 150 ג' כלב</t>
        </is>
      </c>
      <c r="D823" t="inlineStr">
        <is>
          <t>15170005</t>
        </is>
      </c>
      <c r="E823" t="inlineStr">
        <is>
          <t>2026-07</t>
        </is>
      </c>
      <c r="F823" t="n">
        <v>7.9</v>
      </c>
      <c r="G823" t="n">
        <v>9.32</v>
      </c>
      <c r="H823">
        <f>הגדרות!B10</f>
        <v/>
      </c>
      <c r="I823">
        <f>F823*(1-H823/100)*1.18</f>
        <v/>
      </c>
      <c r="J823">
        <f>הגדרות!C10</f>
        <v/>
      </c>
      <c r="K823">
        <f>הגדרות!D10</f>
        <v/>
      </c>
      <c r="L823">
        <f>I823*(1+J823/100)+K823</f>
        <v/>
      </c>
    </row>
    <row r="824">
      <c r="A824" t="inlineStr">
        <is>
          <t>Monge Vet Solution</t>
        </is>
      </c>
      <c r="B824" t="inlineStr">
        <is>
          <t>מונג וט דרמטוזיס רטוב 100 ג' חתול</t>
        </is>
      </c>
      <c r="D824" t="inlineStr">
        <is>
          <t>15170006</t>
        </is>
      </c>
      <c r="E824" t="inlineStr">
        <is>
          <t>2026-07</t>
        </is>
      </c>
      <c r="F824" t="n">
        <v>5.4</v>
      </c>
      <c r="G824" t="n">
        <v>6.37</v>
      </c>
      <c r="H824">
        <f>הגדרות!B10</f>
        <v/>
      </c>
      <c r="I824">
        <f>F824*(1-H824/100)*1.18</f>
        <v/>
      </c>
      <c r="J824">
        <f>הגדרות!C10</f>
        <v/>
      </c>
      <c r="K824">
        <f>הגדרות!D10</f>
        <v/>
      </c>
      <c r="L824">
        <f>I824*(1+J824/100)+K824</f>
        <v/>
      </c>
    </row>
    <row r="825">
      <c r="A825" t="inlineStr">
        <is>
          <t>Monge Vet Solution</t>
        </is>
      </c>
      <c r="B825" t="inlineStr">
        <is>
          <t>מונג וט גסטרואינטסטינל רטוב 100 ג' חתול</t>
        </is>
      </c>
      <c r="D825" t="inlineStr">
        <is>
          <t>15170007</t>
        </is>
      </c>
      <c r="E825" t="inlineStr">
        <is>
          <t>2026-07</t>
        </is>
      </c>
      <c r="F825" t="n">
        <v>5.4</v>
      </c>
      <c r="G825" t="n">
        <v>6.37</v>
      </c>
      <c r="H825">
        <f>הגדרות!B10</f>
        <v/>
      </c>
      <c r="I825">
        <f>F825*(1-H825/100)*1.18</f>
        <v/>
      </c>
      <c r="J825">
        <f>הגדרות!C10</f>
        <v/>
      </c>
      <c r="K825">
        <f>הגדרות!D10</f>
        <v/>
      </c>
      <c r="L825">
        <f>I825*(1+J825/100)+K825</f>
        <v/>
      </c>
    </row>
    <row r="826">
      <c r="A826" t="inlineStr">
        <is>
          <t>Monge Vet Solution</t>
        </is>
      </c>
      <c r="B826" t="inlineStr">
        <is>
          <t>מונג וט יורינרי סטרוויט רטוב 100 ג' חתול</t>
        </is>
      </c>
      <c r="D826" t="inlineStr">
        <is>
          <t>15170008</t>
        </is>
      </c>
      <c r="E826" t="inlineStr">
        <is>
          <t>2026-07</t>
        </is>
      </c>
      <c r="F826" t="n">
        <v>5.4</v>
      </c>
      <c r="G826" t="n">
        <v>6.37</v>
      </c>
      <c r="H826">
        <f>הגדרות!B10</f>
        <v/>
      </c>
      <c r="I826">
        <f>F826*(1-H826/100)*1.18</f>
        <v/>
      </c>
      <c r="J826">
        <f>הגדרות!C10</f>
        <v/>
      </c>
      <c r="K826">
        <f>הגדרות!D10</f>
        <v/>
      </c>
      <c r="L826">
        <f>I826*(1+J826/100)+K826</f>
        <v/>
      </c>
    </row>
    <row r="827">
      <c r="A827" t="inlineStr">
        <is>
          <t>Monge Vet Solution</t>
        </is>
      </c>
      <c r="B827" t="inlineStr">
        <is>
          <t>מונג וט רנל ואוקסלייט רטוב 100 ג' חתול</t>
        </is>
      </c>
      <c r="D827" t="inlineStr">
        <is>
          <t>15170009</t>
        </is>
      </c>
      <c r="E827" t="inlineStr">
        <is>
          <t>2026-07</t>
        </is>
      </c>
      <c r="F827" t="n">
        <v>5.4</v>
      </c>
      <c r="G827" t="n">
        <v>6.37</v>
      </c>
      <c r="H827">
        <f>הגדרות!B10</f>
        <v/>
      </c>
      <c r="I827">
        <f>F827*(1-H827/100)*1.18</f>
        <v/>
      </c>
      <c r="J827">
        <f>הגדרות!C10</f>
        <v/>
      </c>
      <c r="K827">
        <f>הגדרות!D10</f>
        <v/>
      </c>
      <c r="L827">
        <f>I827*(1+J827/100)+K827</f>
        <v/>
      </c>
    </row>
    <row r="828">
      <c r="A828" t="inlineStr">
        <is>
          <t>Monge Vet Solution</t>
        </is>
      </c>
      <c r="B828" t="inlineStr">
        <is>
          <t>מונג וט ריקברי רטוב 100 ג' חתול</t>
        </is>
      </c>
      <c r="D828" t="inlineStr">
        <is>
          <t>15170010</t>
        </is>
      </c>
      <c r="E828" t="inlineStr">
        <is>
          <t>2026-07</t>
        </is>
      </c>
      <c r="F828" t="n">
        <v>5.9</v>
      </c>
      <c r="G828" t="n">
        <v>6.96</v>
      </c>
      <c r="H828">
        <f>הגדרות!B10</f>
        <v/>
      </c>
      <c r="I828">
        <f>F828*(1-H828/100)*1.18</f>
        <v/>
      </c>
      <c r="J828">
        <f>הגדרות!C10</f>
        <v/>
      </c>
      <c r="K828">
        <f>הגדרות!D10</f>
        <v/>
      </c>
      <c r="L828">
        <f>I828*(1+J828/100)+K828</f>
        <v/>
      </c>
    </row>
    <row r="829">
      <c r="A829" t="inlineStr">
        <is>
          <t>Monge Vet Solution</t>
        </is>
      </c>
      <c r="B829" t="inlineStr">
        <is>
          <t>מונג וט גסטרואינטסטינל פחית 400 ג' (12 במגש)</t>
        </is>
      </c>
      <c r="D829" t="inlineStr">
        <is>
          <t>15170050</t>
        </is>
      </c>
      <c r="E829" t="inlineStr">
        <is>
          <t>2026-07</t>
        </is>
      </c>
      <c r="F829" t="n">
        <v>12</v>
      </c>
      <c r="G829" t="n">
        <v>14.16</v>
      </c>
      <c r="H829">
        <f>הגדרות!B10</f>
        <v/>
      </c>
      <c r="I829">
        <f>F829*(1-H829/100)*1.18</f>
        <v/>
      </c>
      <c r="J829">
        <f>הגדרות!C10</f>
        <v/>
      </c>
      <c r="K829">
        <f>הגדרות!D10</f>
        <v/>
      </c>
      <c r="L829">
        <f>I829*(1+J829/100)+K829</f>
        <v/>
      </c>
    </row>
    <row r="830">
      <c r="A830" t="inlineStr">
        <is>
          <t>Monge Vet Solution</t>
        </is>
      </c>
      <c r="B830" t="inlineStr">
        <is>
          <t>מונג וט היפו מונו ברווז פחית 400 ג' (12 במגש)</t>
        </is>
      </c>
      <c r="D830" t="inlineStr">
        <is>
          <t>15170052</t>
        </is>
      </c>
      <c r="E830" t="inlineStr">
        <is>
          <t>2026-07</t>
        </is>
      </c>
      <c r="F830" t="n">
        <v>12</v>
      </c>
      <c r="G830" t="n">
        <v>14.16</v>
      </c>
      <c r="H830">
        <f>הגדרות!B10</f>
        <v/>
      </c>
      <c r="I830">
        <f>F830*(1-H830/100)*1.18</f>
        <v/>
      </c>
      <c r="J830">
        <f>הגדרות!C10</f>
        <v/>
      </c>
      <c r="K830">
        <f>הגדרות!D10</f>
        <v/>
      </c>
      <c r="L830">
        <f>I830*(1+J830/100)+K830</f>
        <v/>
      </c>
    </row>
    <row r="831">
      <c r="A831" t="inlineStr">
        <is>
          <t>Monge Vet Solution</t>
        </is>
      </c>
      <c r="B831" t="inlineStr">
        <is>
          <t>מונג וט היפו מונו חזיר פחית 400 ג' (12 במגש)</t>
        </is>
      </c>
      <c r="D831" t="inlineStr">
        <is>
          <t>15170053</t>
        </is>
      </c>
      <c r="E831" t="inlineStr">
        <is>
          <t>2026-07</t>
        </is>
      </c>
      <c r="F831" t="n">
        <v>12</v>
      </c>
      <c r="G831" t="n">
        <v>14.16</v>
      </c>
      <c r="H831">
        <f>הגדרות!B10</f>
        <v/>
      </c>
      <c r="I831">
        <f>F831*(1-H831/100)*1.18</f>
        <v/>
      </c>
      <c r="J831">
        <f>הגדרות!C10</f>
        <v/>
      </c>
      <c r="K831">
        <f>הגדרות!D10</f>
        <v/>
      </c>
      <c r="L831">
        <f>I831*(1+J831/100)+K831</f>
        <v/>
      </c>
    </row>
    <row r="832">
      <c r="A832" t="inlineStr">
        <is>
          <t>Monge Vet Solution</t>
        </is>
      </c>
      <c r="B832" t="inlineStr">
        <is>
          <t>מונג וט היפו מונו טונה פחית 400 ג' (12 במגש)</t>
        </is>
      </c>
      <c r="D832" t="inlineStr">
        <is>
          <t>15170051</t>
        </is>
      </c>
      <c r="E832" t="inlineStr">
        <is>
          <t>2026-07</t>
        </is>
      </c>
      <c r="F832" t="n">
        <v>12</v>
      </c>
      <c r="G832" t="n">
        <v>14.16</v>
      </c>
      <c r="H832">
        <f>הגדרות!B10</f>
        <v/>
      </c>
      <c r="I832">
        <f>F832*(1-H832/100)*1.18</f>
        <v/>
      </c>
      <c r="J832">
        <f>הגדרות!C10</f>
        <v/>
      </c>
      <c r="K832">
        <f>הגדרות!D10</f>
        <v/>
      </c>
      <c r="L832">
        <f>I832*(1+J832/100)+K832</f>
        <v/>
      </c>
    </row>
    <row r="833">
      <c r="A833" t="inlineStr">
        <is>
          <t>Monge Vet Solution</t>
        </is>
      </c>
      <c r="B833" t="inlineStr">
        <is>
          <t>מונג וט היפו מונו כבש פחית 400 ג' (12 במגש)</t>
        </is>
      </c>
      <c r="D833" t="inlineStr">
        <is>
          <t>15170049</t>
        </is>
      </c>
      <c r="E833" t="inlineStr">
        <is>
          <t>2026-07</t>
        </is>
      </c>
      <c r="F833" t="n">
        <v>12</v>
      </c>
      <c r="G833" t="n">
        <v>14.16</v>
      </c>
      <c r="H833">
        <f>הגדרות!B10</f>
        <v/>
      </c>
      <c r="I833">
        <f>F833*(1-H833/100)*1.18</f>
        <v/>
      </c>
      <c r="J833">
        <f>הגדרות!C10</f>
        <v/>
      </c>
      <c r="K833">
        <f>הגדרות!D10</f>
        <v/>
      </c>
      <c r="L833">
        <f>I833*(1+J833/100)+K833</f>
        <v/>
      </c>
    </row>
    <row r="834">
      <c r="A834" t="inlineStr">
        <is>
          <t>Monge</t>
        </is>
      </c>
      <c r="B834" t="inlineStr">
        <is>
          <t>מונג אדולט אקטיב עוף 12 ק"ג</t>
        </is>
      </c>
      <c r="D834" t="inlineStr">
        <is>
          <t>29000237</t>
        </is>
      </c>
      <c r="E834" t="inlineStr">
        <is>
          <t>2026-07</t>
        </is>
      </c>
      <c r="F834" t="n">
        <v>318</v>
      </c>
      <c r="G834" t="n">
        <v>375.24</v>
      </c>
      <c r="H834">
        <f>הגדרות!B11</f>
        <v/>
      </c>
      <c r="I834">
        <f>F834*(1-H834/100)*1.18</f>
        <v/>
      </c>
      <c r="J834">
        <f>הגדרות!C11</f>
        <v/>
      </c>
      <c r="K834">
        <f>הגדרות!D11</f>
        <v/>
      </c>
      <c r="L834">
        <f>I834*(1+J834/100)+K834</f>
        <v/>
      </c>
    </row>
    <row r="835">
      <c r="A835" t="inlineStr">
        <is>
          <t>Monge</t>
        </is>
      </c>
      <c r="B835" t="inlineStr">
        <is>
          <t>מונג אדולט ארנב אורז ותפוא 12 ק"ג</t>
        </is>
      </c>
      <c r="D835" t="inlineStr">
        <is>
          <t>29000125</t>
        </is>
      </c>
      <c r="E835" t="inlineStr">
        <is>
          <t>2026-07</t>
        </is>
      </c>
      <c r="F835" t="n">
        <v>318</v>
      </c>
      <c r="G835" t="n">
        <v>375.24</v>
      </c>
      <c r="H835">
        <f>הגדרות!B11</f>
        <v/>
      </c>
      <c r="I835">
        <f>F835*(1-H835/100)*1.18</f>
        <v/>
      </c>
      <c r="J835">
        <f>הגדרות!C11</f>
        <v/>
      </c>
      <c r="K835">
        <f>הגדרות!D11</f>
        <v/>
      </c>
      <c r="L835">
        <f>I835*(1+J835/100)+K835</f>
        <v/>
      </c>
    </row>
    <row r="836">
      <c r="A836" t="inlineStr">
        <is>
          <t>Monge</t>
        </is>
      </c>
      <c r="B836" t="inlineStr">
        <is>
          <t>מונג אדולט ארנב אורז ותפוא 2.5 ק"ג</t>
        </is>
      </c>
      <c r="D836" t="inlineStr">
        <is>
          <t>29000208</t>
        </is>
      </c>
      <c r="E836" t="inlineStr">
        <is>
          <t>2026-07</t>
        </is>
      </c>
      <c r="F836" t="n">
        <v>90</v>
      </c>
      <c r="G836" t="n">
        <v>106.2</v>
      </c>
      <c r="H836">
        <f>הגדרות!B11</f>
        <v/>
      </c>
      <c r="I836">
        <f>F836*(1-H836/100)*1.18</f>
        <v/>
      </c>
      <c r="J836">
        <f>הגדרות!C11</f>
        <v/>
      </c>
      <c r="K836">
        <f>הגדרות!D11</f>
        <v/>
      </c>
      <c r="L836">
        <f>I836*(1+J836/100)+K836</f>
        <v/>
      </c>
    </row>
    <row r="837">
      <c r="A837" t="inlineStr">
        <is>
          <t>Monge</t>
        </is>
      </c>
      <c r="B837" t="inlineStr">
        <is>
          <t>מונג אדולט בקר ואורז 12 ק"ג</t>
        </is>
      </c>
      <c r="D837" t="inlineStr">
        <is>
          <t>29000303</t>
        </is>
      </c>
      <c r="E837" t="inlineStr">
        <is>
          <t>2026-07</t>
        </is>
      </c>
      <c r="F837" t="n">
        <v>318</v>
      </c>
      <c r="G837" t="n">
        <v>375.24</v>
      </c>
      <c r="H837">
        <f>הגדרות!B11</f>
        <v/>
      </c>
      <c r="I837">
        <f>F837*(1-H837/100)*1.18</f>
        <v/>
      </c>
      <c r="J837">
        <f>הגדרות!C11</f>
        <v/>
      </c>
      <c r="K837">
        <f>הגדרות!D11</f>
        <v/>
      </c>
      <c r="L837">
        <f>I837*(1+J837/100)+K837</f>
        <v/>
      </c>
    </row>
    <row r="838">
      <c r="A838" t="inlineStr">
        <is>
          <t>Monge</t>
        </is>
      </c>
      <c r="B838" t="inlineStr">
        <is>
          <t>מונג אדולט בקר ואורז 2.5 ק"ג</t>
        </is>
      </c>
      <c r="D838" t="inlineStr">
        <is>
          <t>29000304</t>
        </is>
      </c>
      <c r="E838" t="inlineStr">
        <is>
          <t>2026-07</t>
        </is>
      </c>
      <c r="F838" t="n">
        <v>90</v>
      </c>
      <c r="G838" t="n">
        <v>106.2</v>
      </c>
      <c r="H838">
        <f>הגדרות!B11</f>
        <v/>
      </c>
      <c r="I838">
        <f>F838*(1-H838/100)*1.18</f>
        <v/>
      </c>
      <c r="J838">
        <f>הגדרות!C11</f>
        <v/>
      </c>
      <c r="K838">
        <f>הגדרות!D11</f>
        <v/>
      </c>
      <c r="L838">
        <f>I838*(1+J838/100)+K838</f>
        <v/>
      </c>
    </row>
    <row r="839">
      <c r="A839" t="inlineStr">
        <is>
          <t>Monge</t>
        </is>
      </c>
      <c r="B839" t="inlineStr">
        <is>
          <t>מונג אדולט ברווז אורז ותפוא 12 ק"ג</t>
        </is>
      </c>
      <c r="D839" t="inlineStr">
        <is>
          <t>29000124</t>
        </is>
      </c>
      <c r="E839" t="inlineStr">
        <is>
          <t>2026-07</t>
        </is>
      </c>
      <c r="F839" t="n">
        <v>318</v>
      </c>
      <c r="G839" t="n">
        <v>375.24</v>
      </c>
      <c r="H839">
        <f>הגדרות!B11</f>
        <v/>
      </c>
      <c r="I839">
        <f>F839*(1-H839/100)*1.18</f>
        <v/>
      </c>
      <c r="J839">
        <f>הגדרות!C11</f>
        <v/>
      </c>
      <c r="K839">
        <f>הגדרות!D11</f>
        <v/>
      </c>
      <c r="L839">
        <f>I839*(1+J839/100)+K839</f>
        <v/>
      </c>
    </row>
    <row r="840">
      <c r="A840" t="inlineStr">
        <is>
          <t>Monge</t>
        </is>
      </c>
      <c r="B840" t="inlineStr">
        <is>
          <t>מונג אדולט ברווז אורז ותפוא 2.5 ק"ג</t>
        </is>
      </c>
      <c r="D840" t="inlineStr">
        <is>
          <t>29000207</t>
        </is>
      </c>
      <c r="E840" t="inlineStr">
        <is>
          <t>2026-07</t>
        </is>
      </c>
      <c r="F840" t="n">
        <v>90</v>
      </c>
      <c r="G840" t="n">
        <v>106.2</v>
      </c>
      <c r="H840">
        <f>הגדרות!B11</f>
        <v/>
      </c>
      <c r="I840">
        <f>F840*(1-H840/100)*1.18</f>
        <v/>
      </c>
      <c r="J840">
        <f>הגדרות!C11</f>
        <v/>
      </c>
      <c r="K840">
        <f>הגדרות!D11</f>
        <v/>
      </c>
      <c r="L840">
        <f>I840*(1+J840/100)+K840</f>
        <v/>
      </c>
    </row>
    <row r="841">
      <c r="A841" t="inlineStr">
        <is>
          <t>Monge</t>
        </is>
      </c>
      <c r="B841" t="inlineStr">
        <is>
          <t>מונג אדולט חזיר אורז ותפוא 12 ק"ג</t>
        </is>
      </c>
      <c r="D841" t="inlineStr">
        <is>
          <t>29000222</t>
        </is>
      </c>
      <c r="E841" t="inlineStr">
        <is>
          <t>2026-07</t>
        </is>
      </c>
      <c r="F841" t="n">
        <v>318</v>
      </c>
      <c r="G841" t="n">
        <v>375.24</v>
      </c>
      <c r="H841">
        <f>הגדרות!B11</f>
        <v/>
      </c>
      <c r="I841">
        <f>F841*(1-H841/100)*1.18</f>
        <v/>
      </c>
      <c r="J841">
        <f>הגדרות!C11</f>
        <v/>
      </c>
      <c r="K841">
        <f>הגדרות!D11</f>
        <v/>
      </c>
      <c r="L841">
        <f>I841*(1+J841/100)+K841</f>
        <v/>
      </c>
    </row>
    <row r="842">
      <c r="A842" t="inlineStr">
        <is>
          <t>Monge</t>
        </is>
      </c>
      <c r="B842" t="inlineStr">
        <is>
          <t>מונג אדולט חזיר אורז ותפוא 2.5 ק"ג</t>
        </is>
      </c>
      <c r="D842" t="inlineStr">
        <is>
          <t>29000218</t>
        </is>
      </c>
      <c r="E842" t="inlineStr">
        <is>
          <t>2026-07</t>
        </is>
      </c>
      <c r="F842" t="n">
        <v>90</v>
      </c>
      <c r="G842" t="n">
        <v>106.2</v>
      </c>
      <c r="H842">
        <f>הגדרות!B11</f>
        <v/>
      </c>
      <c r="I842">
        <f>F842*(1-H842/100)*1.18</f>
        <v/>
      </c>
      <c r="J842">
        <f>הגדרות!C11</f>
        <v/>
      </c>
      <c r="K842">
        <f>הגדרות!D11</f>
        <v/>
      </c>
      <c r="L842">
        <f>I842*(1+J842/100)+K842</f>
        <v/>
      </c>
    </row>
    <row r="843">
      <c r="A843" t="inlineStr">
        <is>
          <t>Monge</t>
        </is>
      </c>
      <c r="B843" t="inlineStr">
        <is>
          <t>מונג אדולט כבש אורז ותפוא 12 ק"ג</t>
        </is>
      </c>
      <c r="D843" t="inlineStr">
        <is>
          <t>29000163</t>
        </is>
      </c>
      <c r="E843" t="inlineStr">
        <is>
          <t>2026-07</t>
        </is>
      </c>
      <c r="F843" t="n">
        <v>318</v>
      </c>
      <c r="G843" t="n">
        <v>375.24</v>
      </c>
      <c r="H843">
        <f>הגדרות!B11</f>
        <v/>
      </c>
      <c r="I843">
        <f>F843*(1-H843/100)*1.18</f>
        <v/>
      </c>
      <c r="J843">
        <f>הגדרות!C11</f>
        <v/>
      </c>
      <c r="K843">
        <f>הגדרות!D11</f>
        <v/>
      </c>
      <c r="L843">
        <f>I843*(1+J843/100)+K843</f>
        <v/>
      </c>
    </row>
    <row r="844">
      <c r="A844" t="inlineStr">
        <is>
          <t>Monge</t>
        </is>
      </c>
      <c r="B844" t="inlineStr">
        <is>
          <t>מונג אדולט כבש אורז ותפוא 2.5 ק"ג</t>
        </is>
      </c>
      <c r="D844" t="inlineStr">
        <is>
          <t>29000211</t>
        </is>
      </c>
      <c r="E844" t="inlineStr">
        <is>
          <t>2026-07</t>
        </is>
      </c>
      <c r="F844" t="n">
        <v>90</v>
      </c>
      <c r="G844" t="n">
        <v>106.2</v>
      </c>
      <c r="H844">
        <f>הגדרות!B11</f>
        <v/>
      </c>
      <c r="I844">
        <f>F844*(1-H844/100)*1.18</f>
        <v/>
      </c>
      <c r="J844">
        <f>הגדרות!C11</f>
        <v/>
      </c>
      <c r="K844">
        <f>הגדרות!D11</f>
        <v/>
      </c>
      <c r="L844">
        <f>I844*(1+J844/100)+K844</f>
        <v/>
      </c>
    </row>
    <row r="845">
      <c r="A845" t="inlineStr">
        <is>
          <t>Monge</t>
        </is>
      </c>
      <c r="B845" t="inlineStr">
        <is>
          <t>מונג אדולט סלמון ואורז 12 ק"ג</t>
        </is>
      </c>
      <c r="D845" t="inlineStr">
        <is>
          <t>29000162</t>
        </is>
      </c>
      <c r="E845" t="inlineStr">
        <is>
          <t>2026-07</t>
        </is>
      </c>
      <c r="F845" t="n">
        <v>318</v>
      </c>
      <c r="G845" t="n">
        <v>375.24</v>
      </c>
      <c r="H845">
        <f>הגדרות!B11</f>
        <v/>
      </c>
      <c r="I845">
        <f>F845*(1-H845/100)*1.18</f>
        <v/>
      </c>
      <c r="J845">
        <f>הגדרות!C11</f>
        <v/>
      </c>
      <c r="K845">
        <f>הגדרות!D11</f>
        <v/>
      </c>
      <c r="L845">
        <f>I845*(1+J845/100)+K845</f>
        <v/>
      </c>
    </row>
    <row r="846">
      <c r="A846" t="inlineStr">
        <is>
          <t>Monge</t>
        </is>
      </c>
      <c r="B846" t="inlineStr">
        <is>
          <t>מונג אדולט סלמון ואורז 2.5 ק"ג</t>
        </is>
      </c>
      <c r="D846" t="inlineStr">
        <is>
          <t>29000210</t>
        </is>
      </c>
      <c r="E846" t="inlineStr">
        <is>
          <t>2026-07</t>
        </is>
      </c>
      <c r="F846" t="n">
        <v>90</v>
      </c>
      <c r="G846" t="n">
        <v>106.2</v>
      </c>
      <c r="H846">
        <f>הגדרות!B11</f>
        <v/>
      </c>
      <c r="I846">
        <f>F846*(1-H846/100)*1.18</f>
        <v/>
      </c>
      <c r="J846">
        <f>הגדרות!C11</f>
        <v/>
      </c>
      <c r="K846">
        <f>הגדרות!D11</f>
        <v/>
      </c>
      <c r="L846">
        <f>I846*(1+J846/100)+K846</f>
        <v/>
      </c>
    </row>
    <row r="847">
      <c r="A847" t="inlineStr">
        <is>
          <t>Monge</t>
        </is>
      </c>
      <c r="B847" t="inlineStr">
        <is>
          <t>מונג אדולט סלמון ואורז לייט 12 ק"ג</t>
        </is>
      </c>
      <c r="D847" t="inlineStr">
        <is>
          <t>29000145</t>
        </is>
      </c>
      <c r="E847" t="inlineStr">
        <is>
          <t>2026-07</t>
        </is>
      </c>
      <c r="F847" t="n">
        <v>318</v>
      </c>
      <c r="G847" t="n">
        <v>375.24</v>
      </c>
      <c r="H847">
        <f>הגדרות!B11</f>
        <v/>
      </c>
      <c r="I847">
        <f>F847*(1-H847/100)*1.18</f>
        <v/>
      </c>
      <c r="J847">
        <f>הגדרות!C11</f>
        <v/>
      </c>
      <c r="K847">
        <f>הגדרות!D11</f>
        <v/>
      </c>
      <c r="L847">
        <f>I847*(1+J847/100)+K847</f>
        <v/>
      </c>
    </row>
    <row r="848">
      <c r="A848" t="inlineStr">
        <is>
          <t>Monge</t>
        </is>
      </c>
      <c r="B848" t="inlineStr">
        <is>
          <t>מונג אדולט סלמון ואורז לייט 2.5 ק"ג</t>
        </is>
      </c>
      <c r="D848" t="inlineStr">
        <is>
          <t>29000223</t>
        </is>
      </c>
      <c r="E848" t="inlineStr">
        <is>
          <t>2026-07</t>
        </is>
      </c>
      <c r="F848" t="n">
        <v>90</v>
      </c>
      <c r="G848" t="n">
        <v>106.2</v>
      </c>
      <c r="H848">
        <f>הגדרות!B11</f>
        <v/>
      </c>
      <c r="I848">
        <f>F848*(1-H848/100)*1.18</f>
        <v/>
      </c>
      <c r="J848">
        <f>הגדרות!C11</f>
        <v/>
      </c>
      <c r="K848">
        <f>הגדרות!D11</f>
        <v/>
      </c>
      <c r="L848">
        <f>I848*(1+J848/100)+K848</f>
        <v/>
      </c>
    </row>
    <row r="849">
      <c r="A849" t="inlineStr">
        <is>
          <t>Monge</t>
        </is>
      </c>
      <c r="B849" t="inlineStr">
        <is>
          <t>מונג אדולט סלמון וטונה היפו 12 ק"ג</t>
        </is>
      </c>
      <c r="D849" t="inlineStr">
        <is>
          <t>29000126</t>
        </is>
      </c>
      <c r="E849" t="inlineStr">
        <is>
          <t>2026-07</t>
        </is>
      </c>
      <c r="F849" t="n">
        <v>318</v>
      </c>
      <c r="G849" t="n">
        <v>375.24</v>
      </c>
      <c r="H849">
        <f>הגדרות!B11</f>
        <v/>
      </c>
      <c r="I849">
        <f>F849*(1-H849/100)*1.18</f>
        <v/>
      </c>
      <c r="J849">
        <f>הגדרות!C11</f>
        <v/>
      </c>
      <c r="K849">
        <f>הגדרות!D11</f>
        <v/>
      </c>
      <c r="L849">
        <f>I849*(1+J849/100)+K849</f>
        <v/>
      </c>
    </row>
    <row r="850">
      <c r="A850" t="inlineStr">
        <is>
          <t>Monge</t>
        </is>
      </c>
      <c r="B850" t="inlineStr">
        <is>
          <t>מונג אדולט סלמון וטונה היפו 2.5 ק"ג</t>
        </is>
      </c>
      <c r="D850" t="inlineStr">
        <is>
          <t>29000172</t>
        </is>
      </c>
      <c r="E850" t="inlineStr">
        <is>
          <t>2026-07</t>
        </is>
      </c>
      <c r="F850" t="n">
        <v>90</v>
      </c>
      <c r="G850" t="n">
        <v>106.2</v>
      </c>
      <c r="H850">
        <f>הגדרות!B11</f>
        <v/>
      </c>
      <c r="I850">
        <f>F850*(1-H850/100)*1.18</f>
        <v/>
      </c>
      <c r="J850">
        <f>הגדרות!C11</f>
        <v/>
      </c>
      <c r="K850">
        <f>הגדרות!D11</f>
        <v/>
      </c>
      <c r="L850">
        <f>I850*(1+J850/100)+K850</f>
        <v/>
      </c>
    </row>
    <row r="851">
      <c r="A851" t="inlineStr">
        <is>
          <t>Monge</t>
        </is>
      </c>
      <c r="B851" t="inlineStr">
        <is>
          <t>מונג אדולט עוף אורז ותפוא 12 ק"ג</t>
        </is>
      </c>
      <c r="D851" t="inlineStr">
        <is>
          <t>29000300</t>
        </is>
      </c>
      <c r="E851" t="inlineStr">
        <is>
          <t>2026-07</t>
        </is>
      </c>
      <c r="F851" t="n">
        <v>318</v>
      </c>
      <c r="G851" t="n">
        <v>375.24</v>
      </c>
      <c r="H851">
        <f>הגדרות!B11</f>
        <v/>
      </c>
      <c r="I851">
        <f>F851*(1-H851/100)*1.18</f>
        <v/>
      </c>
      <c r="J851">
        <f>הגדרות!C11</f>
        <v/>
      </c>
      <c r="K851">
        <f>הגדרות!D11</f>
        <v/>
      </c>
      <c r="L851">
        <f>I851*(1+J851/100)+K851</f>
        <v/>
      </c>
    </row>
    <row r="852">
      <c r="A852" t="inlineStr">
        <is>
          <t>Monge</t>
        </is>
      </c>
      <c r="B852" t="inlineStr">
        <is>
          <t>מונג אדולט עוף אורז ותפוא 2.5 ק"ג</t>
        </is>
      </c>
      <c r="D852" t="inlineStr">
        <is>
          <t>29000299</t>
        </is>
      </c>
      <c r="E852" t="inlineStr">
        <is>
          <t>2026-07</t>
        </is>
      </c>
      <c r="F852" t="n">
        <v>90</v>
      </c>
      <c r="G852" t="n">
        <v>106.2</v>
      </c>
      <c r="H852">
        <f>הגדרות!B11</f>
        <v/>
      </c>
      <c r="I852">
        <f>F852*(1-H852/100)*1.18</f>
        <v/>
      </c>
      <c r="J852">
        <f>הגדרות!C11</f>
        <v/>
      </c>
      <c r="K852">
        <f>הגדרות!D11</f>
        <v/>
      </c>
      <c r="L852">
        <f>I852*(1+J852/100)+K852</f>
        <v/>
      </c>
    </row>
    <row r="853">
      <c r="A853" t="inlineStr">
        <is>
          <t>Monge</t>
        </is>
      </c>
      <c r="B853" t="inlineStr">
        <is>
          <t>מונג אדולט פורל אורז ותפוא 12 ק"ג</t>
        </is>
      </c>
      <c r="D853" t="inlineStr">
        <is>
          <t>29000295</t>
        </is>
      </c>
      <c r="E853" t="inlineStr">
        <is>
          <t>2026-07</t>
        </is>
      </c>
      <c r="F853" t="n">
        <v>318</v>
      </c>
      <c r="G853" t="n">
        <v>375.24</v>
      </c>
      <c r="H853">
        <f>הגדרות!B11</f>
        <v/>
      </c>
      <c r="I853">
        <f>F853*(1-H853/100)*1.18</f>
        <v/>
      </c>
      <c r="J853">
        <f>הגדרות!C11</f>
        <v/>
      </c>
      <c r="K853">
        <f>הגדרות!D11</f>
        <v/>
      </c>
      <c r="L853">
        <f>I853*(1+J853/100)+K853</f>
        <v/>
      </c>
    </row>
    <row r="854">
      <c r="A854" t="inlineStr">
        <is>
          <t>Monge</t>
        </is>
      </c>
      <c r="B854" t="inlineStr">
        <is>
          <t>מונג אדולט פורל אורז ותפוא 2.5 ק"ג</t>
        </is>
      </c>
      <c r="D854" t="inlineStr">
        <is>
          <t>29000296</t>
        </is>
      </c>
      <c r="E854" t="inlineStr">
        <is>
          <t>2026-07</t>
        </is>
      </c>
      <c r="F854" t="n">
        <v>90</v>
      </c>
      <c r="G854" t="n">
        <v>106.2</v>
      </c>
      <c r="H854">
        <f>הגדרות!B11</f>
        <v/>
      </c>
      <c r="I854">
        <f>F854*(1-H854/100)*1.18</f>
        <v/>
      </c>
      <c r="J854">
        <f>הגדרות!C11</f>
        <v/>
      </c>
      <c r="K854">
        <f>הגדרות!D11</f>
        <v/>
      </c>
      <c r="L854">
        <f>I854*(1+J854/100)+K854</f>
        <v/>
      </c>
    </row>
    <row r="855">
      <c r="A855" t="inlineStr">
        <is>
          <t>Monge</t>
        </is>
      </c>
      <c r="B855" t="inlineStr">
        <is>
          <t>מונג אקס סמול אדולט 3 ק"ג</t>
        </is>
      </c>
      <c r="D855" t="inlineStr">
        <is>
          <t>29000107</t>
        </is>
      </c>
      <c r="E855" t="inlineStr">
        <is>
          <t>2026-07</t>
        </is>
      </c>
      <c r="F855" t="n">
        <v>100</v>
      </c>
      <c r="G855" t="n">
        <v>118</v>
      </c>
      <c r="H855">
        <f>הגדרות!B11</f>
        <v/>
      </c>
      <c r="I855">
        <f>F855*(1-H855/100)*1.18</f>
        <v/>
      </c>
      <c r="J855">
        <f>הגדרות!C11</f>
        <v/>
      </c>
      <c r="K855">
        <f>הגדרות!D11</f>
        <v/>
      </c>
      <c r="L855">
        <f>I855*(1+J855/100)+K855</f>
        <v/>
      </c>
    </row>
    <row r="856">
      <c r="A856" t="inlineStr">
        <is>
          <t>Monge</t>
        </is>
      </c>
      <c r="B856" t="inlineStr">
        <is>
          <t>מונג אקס סמול אדולט כבש אורז ותפוא 2.5 ק"ג</t>
        </is>
      </c>
      <c r="D856" t="inlineStr">
        <is>
          <t>29000109</t>
        </is>
      </c>
      <c r="E856" t="inlineStr">
        <is>
          <t>2026-07</t>
        </is>
      </c>
      <c r="F856" t="n">
        <v>89</v>
      </c>
      <c r="G856" t="n">
        <v>105.02</v>
      </c>
      <c r="H856">
        <f>הגדרות!B11</f>
        <v/>
      </c>
      <c r="I856">
        <f>F856*(1-H856/100)*1.18</f>
        <v/>
      </c>
      <c r="J856">
        <f>הגדרות!C11</f>
        <v/>
      </c>
      <c r="K856">
        <f>הגדרות!D11</f>
        <v/>
      </c>
      <c r="L856">
        <f>I856*(1+J856/100)+K856</f>
        <v/>
      </c>
    </row>
    <row r="857">
      <c r="A857" t="inlineStr">
        <is>
          <t>Monge</t>
        </is>
      </c>
      <c r="B857" t="inlineStr">
        <is>
          <t>מונג אקס סמול אדולט סלמון ואורז 2.5 ק"ג</t>
        </is>
      </c>
      <c r="D857" t="inlineStr">
        <is>
          <t>29000108</t>
        </is>
      </c>
      <c r="E857" t="inlineStr">
        <is>
          <t>2026-07</t>
        </is>
      </c>
      <c r="F857" t="n">
        <v>89</v>
      </c>
      <c r="G857" t="n">
        <v>105.02</v>
      </c>
      <c r="H857">
        <f>הגדרות!B11</f>
        <v/>
      </c>
      <c r="I857">
        <f>F857*(1-H857/100)*1.18</f>
        <v/>
      </c>
      <c r="J857">
        <f>הגדרות!C11</f>
        <v/>
      </c>
      <c r="K857">
        <f>הגדרות!D11</f>
        <v/>
      </c>
      <c r="L857">
        <f>I857*(1+J857/100)+K857</f>
        <v/>
      </c>
    </row>
    <row r="858">
      <c r="A858" t="inlineStr">
        <is>
          <t>Monge</t>
        </is>
      </c>
      <c r="B858" t="inlineStr">
        <is>
          <t>מונג חתול אדולט ארנב 1.5 ק"ג</t>
        </is>
      </c>
      <c r="D858" t="inlineStr">
        <is>
          <t>29000244</t>
        </is>
      </c>
      <c r="E858" t="inlineStr">
        <is>
          <t>2026-07</t>
        </is>
      </c>
      <c r="F858" t="n">
        <v>77</v>
      </c>
      <c r="G858" t="n">
        <v>90.86</v>
      </c>
      <c r="H858">
        <f>הגדרות!B11</f>
        <v/>
      </c>
      <c r="I858">
        <f>F858*(1-H858/100)*1.18</f>
        <v/>
      </c>
      <c r="J858">
        <f>הגדרות!C11</f>
        <v/>
      </c>
      <c r="K858">
        <f>הגדרות!D11</f>
        <v/>
      </c>
      <c r="L858">
        <f>I858*(1+J858/100)+K858</f>
        <v/>
      </c>
    </row>
    <row r="859">
      <c r="A859" t="inlineStr">
        <is>
          <t>Monge</t>
        </is>
      </c>
      <c r="B859" t="inlineStr">
        <is>
          <t>מונג חתול אדולט עוף 1.5 ק"ג</t>
        </is>
      </c>
      <c r="D859" t="inlineStr">
        <is>
          <t>29000165</t>
        </is>
      </c>
      <c r="E859" t="inlineStr">
        <is>
          <t>2026-07</t>
        </is>
      </c>
      <c r="F859" t="n">
        <v>77</v>
      </c>
      <c r="G859" t="n">
        <v>90.86</v>
      </c>
      <c r="H859">
        <f>הגדרות!B11</f>
        <v/>
      </c>
      <c r="I859">
        <f>F859*(1-H859/100)*1.18</f>
        <v/>
      </c>
      <c r="J859">
        <f>הגדרות!C11</f>
        <v/>
      </c>
      <c r="K859">
        <f>הגדרות!D11</f>
        <v/>
      </c>
      <c r="L859">
        <f>I859*(1+J859/100)+K859</f>
        <v/>
      </c>
    </row>
    <row r="860">
      <c r="A860" t="inlineStr">
        <is>
          <t>Monge</t>
        </is>
      </c>
      <c r="B860" t="inlineStr">
        <is>
          <t>מונג חתול אדולט עוף 10 ק"ג</t>
        </is>
      </c>
      <c r="D860" t="inlineStr">
        <is>
          <t>29000231</t>
        </is>
      </c>
      <c r="E860" t="inlineStr">
        <is>
          <t>2026-07</t>
        </is>
      </c>
      <c r="F860" t="n">
        <v>295</v>
      </c>
      <c r="G860" t="n">
        <v>348.1</v>
      </c>
      <c r="H860">
        <f>הגדרות!B11</f>
        <v/>
      </c>
      <c r="I860">
        <f>F860*(1-H860/100)*1.18</f>
        <v/>
      </c>
      <c r="J860">
        <f>הגדרות!C11</f>
        <v/>
      </c>
      <c r="K860">
        <f>הגדרות!D11</f>
        <v/>
      </c>
      <c r="L860">
        <f>I860*(1+J860/100)+K860</f>
        <v/>
      </c>
    </row>
    <row r="861">
      <c r="A861" t="inlineStr">
        <is>
          <t>Monge</t>
        </is>
      </c>
      <c r="B861" t="inlineStr">
        <is>
          <t>מונג חתול אינדור עוף 1.5 ק"ג</t>
        </is>
      </c>
      <c r="D861" t="inlineStr">
        <is>
          <t>29000166</t>
        </is>
      </c>
      <c r="E861" t="inlineStr">
        <is>
          <t>2026-07</t>
        </is>
      </c>
      <c r="F861" t="n">
        <v>77</v>
      </c>
      <c r="G861" t="n">
        <v>90.86</v>
      </c>
      <c r="H861">
        <f>הגדרות!B11</f>
        <v/>
      </c>
      <c r="I861">
        <f>F861*(1-H861/100)*1.18</f>
        <v/>
      </c>
      <c r="J861">
        <f>הגדרות!C11</f>
        <v/>
      </c>
      <c r="K861">
        <f>הגדרות!D11</f>
        <v/>
      </c>
      <c r="L861">
        <f>I861*(1+J861/100)+K861</f>
        <v/>
      </c>
    </row>
    <row r="862">
      <c r="A862" t="inlineStr">
        <is>
          <t>Monge</t>
        </is>
      </c>
      <c r="B862" t="inlineStr">
        <is>
          <t>מונג חתול אינדור עוף 10 ק"ג</t>
        </is>
      </c>
      <c r="D862" t="inlineStr">
        <is>
          <t>29000232</t>
        </is>
      </c>
      <c r="E862" t="inlineStr">
        <is>
          <t>2026-07</t>
        </is>
      </c>
      <c r="F862" t="n">
        <v>295</v>
      </c>
      <c r="G862" t="n">
        <v>348.1</v>
      </c>
      <c r="H862">
        <f>הגדרות!B11</f>
        <v/>
      </c>
      <c r="I862">
        <f>F862*(1-H862/100)*1.18</f>
        <v/>
      </c>
      <c r="J862">
        <f>הגדרות!C11</f>
        <v/>
      </c>
      <c r="K862">
        <f>הגדרות!D11</f>
        <v/>
      </c>
      <c r="L862">
        <f>I862*(1+J862/100)+K862</f>
        <v/>
      </c>
    </row>
    <row r="863">
      <c r="A863" t="inlineStr">
        <is>
          <t>Monge</t>
        </is>
      </c>
      <c r="B863" t="inlineStr">
        <is>
          <t>מונג חתול היירבול עוף 1.5 ק"ג</t>
        </is>
      </c>
      <c r="D863" t="inlineStr">
        <is>
          <t>29000131</t>
        </is>
      </c>
      <c r="E863" t="inlineStr">
        <is>
          <t>2026-07</t>
        </is>
      </c>
      <c r="F863" t="n">
        <v>77</v>
      </c>
      <c r="G863" t="n">
        <v>90.86</v>
      </c>
      <c r="H863">
        <f>הגדרות!B11</f>
        <v/>
      </c>
      <c r="I863">
        <f>F863*(1-H863/100)*1.18</f>
        <v/>
      </c>
      <c r="J863">
        <f>הגדרות!C11</f>
        <v/>
      </c>
      <c r="K863">
        <f>הגדרות!D11</f>
        <v/>
      </c>
      <c r="L863">
        <f>I863*(1+J863/100)+K863</f>
        <v/>
      </c>
    </row>
    <row r="864">
      <c r="A864" t="inlineStr">
        <is>
          <t>Monge</t>
        </is>
      </c>
      <c r="B864" t="inlineStr">
        <is>
          <t>מונג חתול היירבול עוף 10 ק"ג</t>
        </is>
      </c>
      <c r="D864" t="inlineStr">
        <is>
          <t>29000230</t>
        </is>
      </c>
      <c r="E864" t="inlineStr">
        <is>
          <t>2026-07</t>
        </is>
      </c>
      <c r="F864" t="n">
        <v>295</v>
      </c>
      <c r="G864" t="n">
        <v>348.1</v>
      </c>
      <c r="H864">
        <f>הגדרות!B11</f>
        <v/>
      </c>
      <c r="I864">
        <f>F864*(1-H864/100)*1.18</f>
        <v/>
      </c>
      <c r="J864">
        <f>הגדרות!C11</f>
        <v/>
      </c>
      <c r="K864">
        <f>הגדרות!D11</f>
        <v/>
      </c>
      <c r="L864">
        <f>I864*(1+J864/100)+K864</f>
        <v/>
      </c>
    </row>
    <row r="865">
      <c r="A865" t="inlineStr">
        <is>
          <t>Monge</t>
        </is>
      </c>
      <c r="B865" t="inlineStr">
        <is>
          <t>מונג חתול יורינרי 1.5 ק"ג</t>
        </is>
      </c>
      <c r="D865" t="inlineStr">
        <is>
          <t>29000164</t>
        </is>
      </c>
      <c r="E865" t="inlineStr">
        <is>
          <t>2026-07</t>
        </is>
      </c>
      <c r="F865" t="n">
        <v>77</v>
      </c>
      <c r="G865" t="n">
        <v>90.86</v>
      </c>
      <c r="H865">
        <f>הגדרות!B11</f>
        <v/>
      </c>
      <c r="I865">
        <f>F865*(1-H865/100)*1.18</f>
        <v/>
      </c>
      <c r="J865">
        <f>הגדרות!C11</f>
        <v/>
      </c>
      <c r="K865">
        <f>הגדרות!D11</f>
        <v/>
      </c>
      <c r="L865">
        <f>I865*(1+J865/100)+K865</f>
        <v/>
      </c>
    </row>
    <row r="866">
      <c r="A866" t="inlineStr">
        <is>
          <t>Monge</t>
        </is>
      </c>
      <c r="B866" t="inlineStr">
        <is>
          <t>מונג חתול יורינרי 10 ק"ג</t>
        </is>
      </c>
      <c r="D866" t="inlineStr">
        <is>
          <t>29000175</t>
        </is>
      </c>
      <c r="E866" t="inlineStr">
        <is>
          <t>2026-07</t>
        </is>
      </c>
      <c r="F866" t="n">
        <v>337</v>
      </c>
      <c r="G866" t="n">
        <v>397.66</v>
      </c>
      <c r="H866">
        <f>הגדרות!B11</f>
        <v/>
      </c>
      <c r="I866">
        <f>F866*(1-H866/100)*1.18</f>
        <v/>
      </c>
      <c r="J866">
        <f>הגדרות!C11</f>
        <v/>
      </c>
      <c r="K866">
        <f>הגדרות!D11</f>
        <v/>
      </c>
      <c r="L866">
        <f>I866*(1+J866/100)+K866</f>
        <v/>
      </c>
    </row>
    <row r="867">
      <c r="A867" t="inlineStr">
        <is>
          <t>Monge</t>
        </is>
      </c>
      <c r="B867" t="inlineStr">
        <is>
          <t>מונג חתול לייט הודו 1.5 ק"ג</t>
        </is>
      </c>
      <c r="D867" t="inlineStr">
        <is>
          <t>29000301</t>
        </is>
      </c>
      <c r="E867" t="inlineStr">
        <is>
          <t>2026-07</t>
        </is>
      </c>
      <c r="F867" t="n">
        <v>77</v>
      </c>
      <c r="G867" t="n">
        <v>90.86</v>
      </c>
      <c r="H867">
        <f>הגדרות!B11</f>
        <v/>
      </c>
      <c r="I867">
        <f>F867*(1-H867/100)*1.18</f>
        <v/>
      </c>
      <c r="J867">
        <f>הגדרות!C11</f>
        <v/>
      </c>
      <c r="K867">
        <f>הגדרות!D11</f>
        <v/>
      </c>
      <c r="L867">
        <f>I867*(1+J867/100)+K867</f>
        <v/>
      </c>
    </row>
    <row r="868">
      <c r="A868" t="inlineStr">
        <is>
          <t>Monge</t>
        </is>
      </c>
      <c r="B868" t="inlineStr">
        <is>
          <t>מונג חתול מונו אדולט סטרילייז בקר 1.5 ק"ג</t>
        </is>
      </c>
      <c r="D868" t="inlineStr">
        <is>
          <t>29000297</t>
        </is>
      </c>
      <c r="E868" t="inlineStr">
        <is>
          <t>2026-07</t>
        </is>
      </c>
      <c r="F868" t="n">
        <v>77</v>
      </c>
      <c r="G868" t="n">
        <v>90.86</v>
      </c>
      <c r="H868">
        <f>הגדרות!B11</f>
        <v/>
      </c>
      <c r="I868">
        <f>F868*(1-H868/100)*1.18</f>
        <v/>
      </c>
      <c r="J868">
        <f>הגדרות!C11</f>
        <v/>
      </c>
      <c r="K868">
        <f>הגדרות!D11</f>
        <v/>
      </c>
      <c r="L868">
        <f>I868*(1+J868/100)+K868</f>
        <v/>
      </c>
    </row>
    <row r="869">
      <c r="A869" t="inlineStr">
        <is>
          <t>Monge</t>
        </is>
      </c>
      <c r="B869" t="inlineStr">
        <is>
          <t>מונג חתול מונו אדולט סטרילייז ברווז 1.5 ק"ג</t>
        </is>
      </c>
      <c r="D869" t="inlineStr">
        <is>
          <t>29000240</t>
        </is>
      </c>
      <c r="E869" t="inlineStr">
        <is>
          <t>2026-07</t>
        </is>
      </c>
      <c r="F869" t="n">
        <v>77</v>
      </c>
      <c r="G869" t="n">
        <v>90.86</v>
      </c>
      <c r="H869">
        <f>הגדרות!B11</f>
        <v/>
      </c>
      <c r="I869">
        <f>F869*(1-H869/100)*1.18</f>
        <v/>
      </c>
      <c r="J869">
        <f>הגדרות!C11</f>
        <v/>
      </c>
      <c r="K869">
        <f>הגדרות!D11</f>
        <v/>
      </c>
      <c r="L869">
        <f>I869*(1+J869/100)+K869</f>
        <v/>
      </c>
    </row>
    <row r="870">
      <c r="A870" t="inlineStr">
        <is>
          <t>Monge</t>
        </is>
      </c>
      <c r="B870" t="inlineStr">
        <is>
          <t>מונג חתול סטרילייז ברווז 10 ק"ג</t>
        </is>
      </c>
      <c r="D870" t="inlineStr">
        <is>
          <t>29000365</t>
        </is>
      </c>
      <c r="E870" t="inlineStr">
        <is>
          <t>2026-07</t>
        </is>
      </c>
      <c r="F870" t="n">
        <v>333</v>
      </c>
      <c r="G870" t="n">
        <v>392.94</v>
      </c>
      <c r="H870">
        <f>הגדרות!B11</f>
        <v/>
      </c>
      <c r="I870">
        <f>F870*(1-H870/100)*1.18</f>
        <v/>
      </c>
      <c r="J870">
        <f>הגדרות!C11</f>
        <v/>
      </c>
      <c r="K870">
        <f>הגדרות!D11</f>
        <v/>
      </c>
      <c r="L870">
        <f>I870*(1+J870/100)+K870</f>
        <v/>
      </c>
    </row>
    <row r="871">
      <c r="A871" t="inlineStr">
        <is>
          <t>Monge</t>
        </is>
      </c>
      <c r="B871" t="inlineStr">
        <is>
          <t>מונג חתול מונו אדולט סטרילייז דג בקלה 1.5 ק"ג</t>
        </is>
      </c>
      <c r="D871" t="inlineStr">
        <is>
          <t>29000298</t>
        </is>
      </c>
      <c r="E871" t="inlineStr">
        <is>
          <t>2026-07</t>
        </is>
      </c>
      <c r="F871" t="n">
        <v>77</v>
      </c>
      <c r="G871" t="n">
        <v>90.86</v>
      </c>
      <c r="H871">
        <f>הגדרות!B11</f>
        <v/>
      </c>
      <c r="I871">
        <f>F871*(1-H871/100)*1.18</f>
        <v/>
      </c>
      <c r="J871">
        <f>הגדרות!C11</f>
        <v/>
      </c>
      <c r="K871">
        <f>הגדרות!D11</f>
        <v/>
      </c>
      <c r="L871">
        <f>I871*(1+J871/100)+K871</f>
        <v/>
      </c>
    </row>
    <row r="872">
      <c r="A872" t="inlineStr">
        <is>
          <t>Monge</t>
        </is>
      </c>
      <c r="B872" t="inlineStr">
        <is>
          <t>מונג חתול מונו אדולט סלמון 1.5 ק"ג</t>
        </is>
      </c>
      <c r="D872" t="inlineStr">
        <is>
          <t>29000243</t>
        </is>
      </c>
      <c r="E872" t="inlineStr">
        <is>
          <t>2026-07</t>
        </is>
      </c>
      <c r="F872" t="n">
        <v>77</v>
      </c>
      <c r="G872" t="n">
        <v>90.86</v>
      </c>
      <c r="H872">
        <f>הגדרות!B11</f>
        <v/>
      </c>
      <c r="I872">
        <f>F872*(1-H872/100)*1.18</f>
        <v/>
      </c>
      <c r="J872">
        <f>הגדרות!C11</f>
        <v/>
      </c>
      <c r="K872">
        <f>הגדרות!D11</f>
        <v/>
      </c>
      <c r="L872">
        <f>I872*(1+J872/100)+K872</f>
        <v/>
      </c>
    </row>
    <row r="873">
      <c r="A873" t="inlineStr">
        <is>
          <t>Monge</t>
        </is>
      </c>
      <c r="B873" t="inlineStr">
        <is>
          <t>מונג חתול מונו סטרילייז פורל 1.5 ק"ג</t>
        </is>
      </c>
      <c r="D873" t="inlineStr">
        <is>
          <t>29000241</t>
        </is>
      </c>
      <c r="E873" t="inlineStr">
        <is>
          <t>2026-07</t>
        </is>
      </c>
      <c r="F873" t="n">
        <v>77</v>
      </c>
      <c r="G873" t="n">
        <v>90.86</v>
      </c>
      <c r="H873">
        <f>הגדרות!B11</f>
        <v/>
      </c>
      <c r="I873">
        <f>F873*(1-H873/100)*1.18</f>
        <v/>
      </c>
      <c r="J873">
        <f>הגדרות!C11</f>
        <v/>
      </c>
      <c r="K873">
        <f>הגדרות!D11</f>
        <v/>
      </c>
      <c r="L873">
        <f>I873*(1+J873/100)+K873</f>
        <v/>
      </c>
    </row>
    <row r="874">
      <c r="A874" t="inlineStr">
        <is>
          <t>Monge</t>
        </is>
      </c>
      <c r="B874" t="inlineStr">
        <is>
          <t>מונג חתול מונו קיטן פורל 1.5 ק"ג</t>
        </is>
      </c>
      <c r="D874" t="inlineStr">
        <is>
          <t>29000242</t>
        </is>
      </c>
      <c r="E874" t="inlineStr">
        <is>
          <t>2026-07</t>
        </is>
      </c>
      <c r="F874" t="n">
        <v>77</v>
      </c>
      <c r="G874" t="n">
        <v>90.86</v>
      </c>
      <c r="H874">
        <f>הגדרות!B11</f>
        <v/>
      </c>
      <c r="I874">
        <f>F874*(1-H874/100)*1.18</f>
        <v/>
      </c>
      <c r="J874">
        <f>הגדרות!C11</f>
        <v/>
      </c>
      <c r="K874">
        <f>הגדרות!D11</f>
        <v/>
      </c>
      <c r="L874">
        <f>I874*(1+J874/100)+K874</f>
        <v/>
      </c>
    </row>
    <row r="875">
      <c r="A875" t="inlineStr">
        <is>
          <t>Monge</t>
        </is>
      </c>
      <c r="B875" t="inlineStr">
        <is>
          <t>מונג חתול סטרילייז 1.5 ק"ג</t>
        </is>
      </c>
      <c r="D875" t="inlineStr">
        <is>
          <t>29000129</t>
        </is>
      </c>
      <c r="E875" t="inlineStr">
        <is>
          <t>2026-07</t>
        </is>
      </c>
      <c r="F875" t="n">
        <v>77</v>
      </c>
      <c r="G875" t="n">
        <v>90.86</v>
      </c>
      <c r="H875">
        <f>הגדרות!B11</f>
        <v/>
      </c>
      <c r="I875">
        <f>F875*(1-H875/100)*1.18</f>
        <v/>
      </c>
      <c r="J875">
        <f>הגדרות!C11</f>
        <v/>
      </c>
      <c r="K875">
        <f>הגדרות!D11</f>
        <v/>
      </c>
      <c r="L875">
        <f>I875*(1+J875/100)+K875</f>
        <v/>
      </c>
    </row>
    <row r="876">
      <c r="A876" t="inlineStr">
        <is>
          <t>Monge</t>
        </is>
      </c>
      <c r="B876" t="inlineStr">
        <is>
          <t>מונג חתול סטרילייז 10 ק"ג</t>
        </is>
      </c>
      <c r="D876" t="inlineStr">
        <is>
          <t>29000156</t>
        </is>
      </c>
      <c r="E876" t="inlineStr">
        <is>
          <t>2026-07</t>
        </is>
      </c>
      <c r="F876" t="n">
        <v>285</v>
      </c>
      <c r="G876" t="n">
        <v>336.3</v>
      </c>
      <c r="H876">
        <f>הגדרות!B11</f>
        <v/>
      </c>
      <c r="I876">
        <f>F876*(1-H876/100)*1.18</f>
        <v/>
      </c>
      <c r="J876">
        <f>הגדרות!C11</f>
        <v/>
      </c>
      <c r="K876">
        <f>הגדרות!D11</f>
        <v/>
      </c>
      <c r="L876">
        <f>I876*(1+J876/100)+K876</f>
        <v/>
      </c>
    </row>
    <row r="877">
      <c r="A877" t="inlineStr">
        <is>
          <t>Monge</t>
        </is>
      </c>
      <c r="B877" t="inlineStr">
        <is>
          <t>מונג חתול סניור 1.5 ק"ג</t>
        </is>
      </c>
      <c r="D877" t="inlineStr">
        <is>
          <t>29000294</t>
        </is>
      </c>
      <c r="E877" t="inlineStr">
        <is>
          <t>2026-07</t>
        </is>
      </c>
      <c r="F877" t="n">
        <v>77</v>
      </c>
      <c r="G877" t="n">
        <v>90.86</v>
      </c>
      <c r="H877">
        <f>הגדרות!B11</f>
        <v/>
      </c>
      <c r="I877">
        <f>F877*(1-H877/100)*1.18</f>
        <v/>
      </c>
      <c r="J877">
        <f>הגדרות!C11</f>
        <v/>
      </c>
      <c r="K877">
        <f>הגדרות!D11</f>
        <v/>
      </c>
      <c r="L877">
        <f>I877*(1+J877/100)+K877</f>
        <v/>
      </c>
    </row>
    <row r="878">
      <c r="A878" t="inlineStr">
        <is>
          <t>Monge</t>
        </is>
      </c>
      <c r="B878" t="inlineStr">
        <is>
          <t>מונג חתול סנסטיב עוף 10 ק"ג</t>
        </is>
      </c>
      <c r="D878" t="inlineStr">
        <is>
          <t>29000233</t>
        </is>
      </c>
      <c r="E878" t="inlineStr">
        <is>
          <t>2026-07</t>
        </is>
      </c>
      <c r="F878" t="n">
        <v>302</v>
      </c>
      <c r="G878" t="n">
        <v>356.36</v>
      </c>
      <c r="H878">
        <f>הגדרות!B11</f>
        <v/>
      </c>
      <c r="I878">
        <f>F878*(1-H878/100)*1.18</f>
        <v/>
      </c>
      <c r="J878">
        <f>הגדרות!C11</f>
        <v/>
      </c>
      <c r="K878">
        <f>הגדרות!D11</f>
        <v/>
      </c>
      <c r="L878">
        <f>I878*(1+J878/100)+K878</f>
        <v/>
      </c>
    </row>
    <row r="879">
      <c r="A879" t="inlineStr">
        <is>
          <t>Monge</t>
        </is>
      </c>
      <c r="B879" t="inlineStr">
        <is>
          <t>מונג חתול קיטן בקר 1.5 ק"ג</t>
        </is>
      </c>
      <c r="D879" t="inlineStr">
        <is>
          <t>29000314</t>
        </is>
      </c>
      <c r="E879" t="inlineStr">
        <is>
          <t>2026-07</t>
        </is>
      </c>
      <c r="F879" t="n">
        <v>77</v>
      </c>
      <c r="G879" t="n">
        <v>90.86</v>
      </c>
      <c r="H879">
        <f>הגדרות!B11</f>
        <v/>
      </c>
      <c r="I879">
        <f>F879*(1-H879/100)*1.18</f>
        <v/>
      </c>
      <c r="J879">
        <f>הגדרות!C11</f>
        <v/>
      </c>
      <c r="K879">
        <f>הגדרות!D11</f>
        <v/>
      </c>
      <c r="L879">
        <f>I879*(1+J879/100)+K879</f>
        <v/>
      </c>
    </row>
    <row r="880">
      <c r="A880" t="inlineStr">
        <is>
          <t>Monge</t>
        </is>
      </c>
      <c r="B880" t="inlineStr">
        <is>
          <t>מונג חתול קיטן ברווז 1.5 ק"ג</t>
        </is>
      </c>
      <c r="D880" t="inlineStr">
        <is>
          <t>29000315</t>
        </is>
      </c>
      <c r="E880" t="inlineStr">
        <is>
          <t>2026-07</t>
        </is>
      </c>
      <c r="F880" t="n">
        <v>77</v>
      </c>
      <c r="G880" t="n">
        <v>90.86</v>
      </c>
      <c r="H880">
        <f>הגדרות!B11</f>
        <v/>
      </c>
      <c r="I880">
        <f>F880*(1-H880/100)*1.18</f>
        <v/>
      </c>
      <c r="J880">
        <f>הגדרות!C11</f>
        <v/>
      </c>
      <c r="K880">
        <f>הגדרות!D11</f>
        <v/>
      </c>
      <c r="L880">
        <f>I880*(1+J880/100)+K880</f>
        <v/>
      </c>
    </row>
    <row r="881">
      <c r="A881" t="inlineStr">
        <is>
          <t>Monge</t>
        </is>
      </c>
      <c r="B881" t="inlineStr">
        <is>
          <t>מונג חתול קיטן עוף 1.5 ק"ג</t>
        </is>
      </c>
      <c r="D881" t="inlineStr">
        <is>
          <t>29000130</t>
        </is>
      </c>
      <c r="E881" t="inlineStr">
        <is>
          <t>2026-07</t>
        </is>
      </c>
      <c r="F881" t="n">
        <v>77</v>
      </c>
      <c r="G881" t="n">
        <v>90.86</v>
      </c>
      <c r="H881">
        <f>הגדרות!B11</f>
        <v/>
      </c>
      <c r="I881">
        <f>F881*(1-H881/100)*1.18</f>
        <v/>
      </c>
      <c r="J881">
        <f>הגדרות!C11</f>
        <v/>
      </c>
      <c r="K881">
        <f>הגדרות!D11</f>
        <v/>
      </c>
      <c r="L881">
        <f>I881*(1+J881/100)+K881</f>
        <v/>
      </c>
    </row>
    <row r="882">
      <c r="A882" t="inlineStr">
        <is>
          <t>Monge</t>
        </is>
      </c>
      <c r="B882" t="inlineStr">
        <is>
          <t>מונג חתול קיטן עוף 10 ק"ג</t>
        </is>
      </c>
      <c r="D882" t="inlineStr">
        <is>
          <t>29000157</t>
        </is>
      </c>
      <c r="E882" t="inlineStr">
        <is>
          <t>2026-07</t>
        </is>
      </c>
      <c r="F882" t="n">
        <v>285</v>
      </c>
      <c r="G882" t="n">
        <v>336.3</v>
      </c>
      <c r="H882">
        <f>הגדרות!B11</f>
        <v/>
      </c>
      <c r="I882">
        <f>F882*(1-H882/100)*1.18</f>
        <v/>
      </c>
      <c r="J882">
        <f>הגדרות!C11</f>
        <v/>
      </c>
      <c r="K882">
        <f>הגדרות!D11</f>
        <v/>
      </c>
      <c r="L882">
        <f>I882*(1+J882/100)+K882</f>
        <v/>
      </c>
    </row>
    <row r="883">
      <c r="A883" t="inlineStr">
        <is>
          <t>Monge</t>
        </is>
      </c>
      <c r="B883" t="inlineStr">
        <is>
          <t>מונג מדיום אדולט 12 ק"ג כלב</t>
        </is>
      </c>
      <c r="D883" t="inlineStr">
        <is>
          <t>29000117</t>
        </is>
      </c>
      <c r="E883" t="inlineStr">
        <is>
          <t>2026-07</t>
        </is>
      </c>
      <c r="F883" t="n">
        <v>270</v>
      </c>
      <c r="G883" t="n">
        <v>318.6</v>
      </c>
      <c r="H883">
        <f>הגדרות!B11</f>
        <v/>
      </c>
      <c r="I883">
        <f>F883*(1-H883/100)*1.18</f>
        <v/>
      </c>
      <c r="J883">
        <f>הגדרות!C11</f>
        <v/>
      </c>
      <c r="K883">
        <f>הגדרות!D11</f>
        <v/>
      </c>
      <c r="L883">
        <f>I883*(1+J883/100)+K883</f>
        <v/>
      </c>
    </row>
    <row r="884">
      <c r="A884" t="inlineStr">
        <is>
          <t>Monge</t>
        </is>
      </c>
      <c r="B884" t="inlineStr">
        <is>
          <t>מונג מדיום אדולט 3 ק"ג</t>
        </is>
      </c>
      <c r="D884" t="inlineStr">
        <is>
          <t>29000283</t>
        </is>
      </c>
      <c r="E884" t="inlineStr">
        <is>
          <t>2026-07</t>
        </is>
      </c>
      <c r="F884" t="n">
        <v>106</v>
      </c>
      <c r="G884" t="n">
        <v>125.08</v>
      </c>
      <c r="H884">
        <f>הגדרות!B11</f>
        <v/>
      </c>
      <c r="I884">
        <f>F884*(1-H884/100)*1.18</f>
        <v/>
      </c>
      <c r="J884">
        <f>הגדרות!C11</f>
        <v/>
      </c>
      <c r="K884">
        <f>הגדרות!D11</f>
        <v/>
      </c>
      <c r="L884">
        <f>I884*(1+J884/100)+K884</f>
        <v/>
      </c>
    </row>
    <row r="885">
      <c r="A885" t="inlineStr">
        <is>
          <t>Monge</t>
        </is>
      </c>
      <c r="B885" t="inlineStr">
        <is>
          <t>מונג מדיום סטרטר 1.5 ק"ג</t>
        </is>
      </c>
      <c r="D885" t="inlineStr">
        <is>
          <t>29000281</t>
        </is>
      </c>
      <c r="E885" t="inlineStr">
        <is>
          <t>2026-07</t>
        </is>
      </c>
      <c r="F885" t="n">
        <v>57</v>
      </c>
      <c r="G885" t="n">
        <v>67.26000000000001</v>
      </c>
      <c r="H885">
        <f>הגדרות!B11</f>
        <v/>
      </c>
      <c r="I885">
        <f>F885*(1-H885/100)*1.18</f>
        <v/>
      </c>
      <c r="J885">
        <f>הגדרות!C11</f>
        <v/>
      </c>
      <c r="K885">
        <f>הגדרות!D11</f>
        <v/>
      </c>
      <c r="L885">
        <f>I885*(1+J885/100)+K885</f>
        <v/>
      </c>
    </row>
    <row r="886">
      <c r="A886" t="inlineStr">
        <is>
          <t>Monge</t>
        </is>
      </c>
      <c r="B886" t="inlineStr">
        <is>
          <t>מונג מדיום סניור 12 ק"ג כלב</t>
        </is>
      </c>
      <c r="D886" t="inlineStr">
        <is>
          <t>29000115</t>
        </is>
      </c>
      <c r="E886" t="inlineStr">
        <is>
          <t>2026-07</t>
        </is>
      </c>
      <c r="F886" t="n">
        <v>284</v>
      </c>
      <c r="G886" t="n">
        <v>335.12</v>
      </c>
      <c r="H886">
        <f>הגדרות!B11</f>
        <v/>
      </c>
      <c r="I886">
        <f>F886*(1-H886/100)*1.18</f>
        <v/>
      </c>
      <c r="J886">
        <f>הגדרות!C11</f>
        <v/>
      </c>
      <c r="K886">
        <f>הגדרות!D11</f>
        <v/>
      </c>
      <c r="L886">
        <f>I886*(1+J886/100)+K886</f>
        <v/>
      </c>
    </row>
    <row r="887">
      <c r="A887" t="inlineStr">
        <is>
          <t>Monge</t>
        </is>
      </c>
      <c r="B887" t="inlineStr">
        <is>
          <t>מונג מדיום סניור 3 ק"ג</t>
        </is>
      </c>
      <c r="D887" t="inlineStr">
        <is>
          <t>29000282</t>
        </is>
      </c>
      <c r="E887" t="inlineStr">
        <is>
          <t>2026-07</t>
        </is>
      </c>
      <c r="F887" t="n">
        <v>112</v>
      </c>
      <c r="G887" t="n">
        <v>132.16</v>
      </c>
      <c r="H887">
        <f>הגדרות!B11</f>
        <v/>
      </c>
      <c r="I887">
        <f>F887*(1-H887/100)*1.18</f>
        <v/>
      </c>
      <c r="J887">
        <f>הגדרות!C11</f>
        <v/>
      </c>
      <c r="K887">
        <f>הגדרות!D11</f>
        <v/>
      </c>
      <c r="L887">
        <f>I887*(1+J887/100)+K887</f>
        <v/>
      </c>
    </row>
    <row r="888">
      <c r="A888" t="inlineStr">
        <is>
          <t>Monge</t>
        </is>
      </c>
      <c r="B888" t="inlineStr">
        <is>
          <t>מונג מדיום פפי 12 ק"ג כלב</t>
        </is>
      </c>
      <c r="D888" t="inlineStr">
        <is>
          <t>29000116</t>
        </is>
      </c>
      <c r="E888" t="inlineStr">
        <is>
          <t>2026-07</t>
        </is>
      </c>
      <c r="F888" t="n">
        <v>284</v>
      </c>
      <c r="G888" t="n">
        <v>335.12</v>
      </c>
      <c r="H888">
        <f>הגדרות!B11</f>
        <v/>
      </c>
      <c r="I888">
        <f>F888*(1-H888/100)*1.18</f>
        <v/>
      </c>
      <c r="J888">
        <f>הגדרות!C11</f>
        <v/>
      </c>
      <c r="K888">
        <f>הגדרות!D11</f>
        <v/>
      </c>
      <c r="L888">
        <f>I888*(1+J888/100)+K888</f>
        <v/>
      </c>
    </row>
    <row r="889">
      <c r="A889" t="inlineStr">
        <is>
          <t>Monge</t>
        </is>
      </c>
      <c r="B889" t="inlineStr">
        <is>
          <t>מונג מדיום פפי 3 ק"ג כלב</t>
        </is>
      </c>
      <c r="D889" t="inlineStr">
        <is>
          <t>29000120</t>
        </is>
      </c>
      <c r="E889" t="inlineStr">
        <is>
          <t>2026-07</t>
        </is>
      </c>
      <c r="F889" t="n">
        <v>112</v>
      </c>
      <c r="G889" t="n">
        <v>132.16</v>
      </c>
      <c r="H889">
        <f>הגדרות!B11</f>
        <v/>
      </c>
      <c r="I889">
        <f>F889*(1-H889/100)*1.18</f>
        <v/>
      </c>
      <c r="J889">
        <f>הגדרות!C11</f>
        <v/>
      </c>
      <c r="K889">
        <f>הגדרות!D11</f>
        <v/>
      </c>
      <c r="L889">
        <f>I889*(1+J889/100)+K889</f>
        <v/>
      </c>
    </row>
    <row r="890">
      <c r="A890" t="inlineStr">
        <is>
          <t>Monge</t>
        </is>
      </c>
      <c r="B890" t="inlineStr">
        <is>
          <t>מונג מיני אדולט 3 ק"ג</t>
        </is>
      </c>
      <c r="D890" t="inlineStr">
        <is>
          <t>29000209</t>
        </is>
      </c>
      <c r="E890" t="inlineStr">
        <is>
          <t>2026-07</t>
        </is>
      </c>
      <c r="F890" t="n">
        <v>99</v>
      </c>
      <c r="G890" t="n">
        <v>116.82</v>
      </c>
      <c r="H890">
        <f>הגדרות!B11</f>
        <v/>
      </c>
      <c r="I890">
        <f>F890*(1-H890/100)*1.18</f>
        <v/>
      </c>
      <c r="J890">
        <f>הגדרות!C11</f>
        <v/>
      </c>
      <c r="K890">
        <f>הגדרות!D11</f>
        <v/>
      </c>
      <c r="L890">
        <f>I890*(1+J890/100)+K890</f>
        <v/>
      </c>
    </row>
    <row r="891">
      <c r="A891" t="inlineStr">
        <is>
          <t>Monge</t>
        </is>
      </c>
      <c r="B891" t="inlineStr">
        <is>
          <t>מונג מיני אדולט כבש אורז ותפוא 2.5 ק"ג כלב</t>
        </is>
      </c>
      <c r="D891" t="inlineStr">
        <is>
          <t>29000111</t>
        </is>
      </c>
      <c r="E891" t="inlineStr">
        <is>
          <t>2026-07</t>
        </is>
      </c>
      <c r="F891" t="n">
        <v>100</v>
      </c>
      <c r="G891" t="n">
        <v>118</v>
      </c>
      <c r="H891">
        <f>הגדרות!B11</f>
        <v/>
      </c>
      <c r="I891">
        <f>F891*(1-H891/100)*1.18</f>
        <v/>
      </c>
      <c r="J891">
        <f>הגדרות!C11</f>
        <v/>
      </c>
      <c r="K891">
        <f>הגדרות!D11</f>
        <v/>
      </c>
      <c r="L891">
        <f>I891*(1+J891/100)+K891</f>
        <v/>
      </c>
    </row>
    <row r="892">
      <c r="A892" t="inlineStr">
        <is>
          <t>Monge</t>
        </is>
      </c>
      <c r="B892" t="inlineStr">
        <is>
          <t>מונג מיני אדולט כבש אורז ותפוא 7.5 ק"ג כלב</t>
        </is>
      </c>
      <c r="D892" t="inlineStr">
        <is>
          <t>29000112</t>
        </is>
      </c>
      <c r="E892" t="inlineStr">
        <is>
          <t>2026-07</t>
        </is>
      </c>
      <c r="F892" t="n">
        <v>223</v>
      </c>
      <c r="G892" t="n">
        <v>263.14</v>
      </c>
      <c r="H892">
        <f>הגדרות!B11</f>
        <v/>
      </c>
      <c r="I892">
        <f>F892*(1-H892/100)*1.18</f>
        <v/>
      </c>
      <c r="J892">
        <f>הגדרות!C11</f>
        <v/>
      </c>
      <c r="K892">
        <f>הגדרות!D11</f>
        <v/>
      </c>
      <c r="L892">
        <f>I892*(1+J892/100)+K892</f>
        <v/>
      </c>
    </row>
    <row r="893">
      <c r="A893" t="inlineStr">
        <is>
          <t>Monge</t>
        </is>
      </c>
      <c r="B893" t="inlineStr">
        <is>
          <t>מונג מיני אדולט סלמון ואורז 2.5 ק"ג</t>
        </is>
      </c>
      <c r="D893" t="inlineStr">
        <is>
          <t>29000226</t>
        </is>
      </c>
      <c r="E893" t="inlineStr">
        <is>
          <t>2026-07</t>
        </is>
      </c>
      <c r="F893" t="n">
        <v>100</v>
      </c>
      <c r="G893" t="n">
        <v>118</v>
      </c>
      <c r="H893">
        <f>הגדרות!B11</f>
        <v/>
      </c>
      <c r="I893">
        <f>F893*(1-H893/100)*1.18</f>
        <v/>
      </c>
      <c r="J893">
        <f>הגדרות!C11</f>
        <v/>
      </c>
      <c r="K893">
        <f>הגדרות!D11</f>
        <v/>
      </c>
      <c r="L893">
        <f>I893*(1+J893/100)+K893</f>
        <v/>
      </c>
    </row>
    <row r="894">
      <c r="A894" t="inlineStr">
        <is>
          <t>Monge</t>
        </is>
      </c>
      <c r="B894" t="inlineStr">
        <is>
          <t>מונג מיני אדולט סלמון ואורז 7.5 ק"ג כלב</t>
        </is>
      </c>
      <c r="D894" t="inlineStr">
        <is>
          <t>29000113</t>
        </is>
      </c>
      <c r="E894" t="inlineStr">
        <is>
          <t>2026-07</t>
        </is>
      </c>
      <c r="F894" t="n">
        <v>223</v>
      </c>
      <c r="G894" t="n">
        <v>263.14</v>
      </c>
      <c r="H894">
        <f>הגדרות!B11</f>
        <v/>
      </c>
      <c r="I894">
        <f>F894*(1-H894/100)*1.18</f>
        <v/>
      </c>
      <c r="J894">
        <f>הגדרות!C11</f>
        <v/>
      </c>
      <c r="K894">
        <f>הגדרות!D11</f>
        <v/>
      </c>
      <c r="L894">
        <f>I894*(1+J894/100)+K894</f>
        <v/>
      </c>
    </row>
    <row r="895">
      <c r="A895" t="inlineStr">
        <is>
          <t>Monge</t>
        </is>
      </c>
      <c r="B895" t="inlineStr">
        <is>
          <t>מונג מיני אדולט עוף 7.5 ק"ג כלב</t>
        </is>
      </c>
      <c r="D895" t="inlineStr">
        <is>
          <t>29000119</t>
        </is>
      </c>
      <c r="E895" t="inlineStr">
        <is>
          <t>2026-07</t>
        </is>
      </c>
      <c r="F895" t="n">
        <v>189</v>
      </c>
      <c r="G895" t="n">
        <v>223.02</v>
      </c>
      <c r="H895">
        <f>הגדרות!B11</f>
        <v/>
      </c>
      <c r="I895">
        <f>F895*(1-H895/100)*1.18</f>
        <v/>
      </c>
      <c r="J895">
        <f>הגדרות!C11</f>
        <v/>
      </c>
      <c r="K895">
        <f>הגדרות!D11</f>
        <v/>
      </c>
      <c r="L895">
        <f>I895*(1+J895/100)+K895</f>
        <v/>
      </c>
    </row>
    <row r="896">
      <c r="A896" t="inlineStr">
        <is>
          <t>Monge</t>
        </is>
      </c>
      <c r="B896" t="inlineStr">
        <is>
          <t>מונג מיני סטרטר 1.5 ק"ג</t>
        </is>
      </c>
      <c r="D896" t="inlineStr">
        <is>
          <t>29000221</t>
        </is>
      </c>
      <c r="E896" t="inlineStr">
        <is>
          <t>2026-07</t>
        </is>
      </c>
      <c r="F896" t="n">
        <v>63</v>
      </c>
      <c r="G896" t="n">
        <v>74.34</v>
      </c>
      <c r="H896">
        <f>הגדרות!B11</f>
        <v/>
      </c>
      <c r="I896">
        <f>F896*(1-H896/100)*1.18</f>
        <v/>
      </c>
      <c r="J896">
        <f>הגדרות!C11</f>
        <v/>
      </c>
      <c r="K896">
        <f>הגדרות!D11</f>
        <v/>
      </c>
      <c r="L896">
        <f>I896*(1+J896/100)+K896</f>
        <v/>
      </c>
    </row>
    <row r="897">
      <c r="A897" t="inlineStr">
        <is>
          <t>Monge</t>
        </is>
      </c>
      <c r="B897" t="inlineStr">
        <is>
          <t>מונג מיני סניור 3 ק"ג כלב</t>
        </is>
      </c>
      <c r="D897" t="inlineStr">
        <is>
          <t>29000114</t>
        </is>
      </c>
      <c r="E897" t="inlineStr">
        <is>
          <t>2026-07</t>
        </is>
      </c>
      <c r="F897" t="n">
        <v>112</v>
      </c>
      <c r="G897" t="n">
        <v>132.16</v>
      </c>
      <c r="H897">
        <f>הגדרות!B11</f>
        <v/>
      </c>
      <c r="I897">
        <f>F897*(1-H897/100)*1.18</f>
        <v/>
      </c>
      <c r="J897">
        <f>הגדרות!C11</f>
        <v/>
      </c>
      <c r="K897">
        <f>הגדרות!D11</f>
        <v/>
      </c>
      <c r="L897">
        <f>I897*(1+J897/100)+K897</f>
        <v/>
      </c>
    </row>
    <row r="898">
      <c r="A898" t="inlineStr">
        <is>
          <t>Monge</t>
        </is>
      </c>
      <c r="B898" t="inlineStr">
        <is>
          <t>מונג מיני פפי כבש ואורז 2.5 ק"ג כלב</t>
        </is>
      </c>
      <c r="D898" t="inlineStr">
        <is>
          <t>29000110</t>
        </is>
      </c>
      <c r="E898" t="inlineStr">
        <is>
          <t>2026-07</t>
        </is>
      </c>
      <c r="F898" t="n">
        <v>100</v>
      </c>
      <c r="G898" t="n">
        <v>118</v>
      </c>
      <c r="H898">
        <f>הגדרות!B11</f>
        <v/>
      </c>
      <c r="I898">
        <f>F898*(1-H898/100)*1.18</f>
        <v/>
      </c>
      <c r="J898">
        <f>הגדרות!C11</f>
        <v/>
      </c>
      <c r="K898">
        <f>הגדרות!D11</f>
        <v/>
      </c>
      <c r="L898">
        <f>I898*(1+J898/100)+K898</f>
        <v/>
      </c>
    </row>
    <row r="899">
      <c r="A899" t="inlineStr">
        <is>
          <t>Monge</t>
        </is>
      </c>
      <c r="B899" t="inlineStr">
        <is>
          <t>מונג מיני פפי עוף 3 ק"ג</t>
        </is>
      </c>
      <c r="D899" t="inlineStr">
        <is>
          <t>29000220</t>
        </is>
      </c>
      <c r="E899" t="inlineStr">
        <is>
          <t>2026-07</t>
        </is>
      </c>
      <c r="F899" t="n">
        <v>112</v>
      </c>
      <c r="G899" t="n">
        <v>132.16</v>
      </c>
      <c r="H899">
        <f>הגדרות!B11</f>
        <v/>
      </c>
      <c r="I899">
        <f>F899*(1-H899/100)*1.18</f>
        <v/>
      </c>
      <c r="J899">
        <f>הגדרות!C11</f>
        <v/>
      </c>
      <c r="K899">
        <f>הגדרות!D11</f>
        <v/>
      </c>
      <c r="L899">
        <f>I899*(1+J899/100)+K899</f>
        <v/>
      </c>
    </row>
    <row r="900">
      <c r="A900" t="inlineStr">
        <is>
          <t>Monge</t>
        </is>
      </c>
      <c r="B900" t="inlineStr">
        <is>
          <t>מונג מקסי אדולט 12 ק"ג כלב</t>
        </is>
      </c>
      <c r="D900" t="inlineStr">
        <is>
          <t>29000118</t>
        </is>
      </c>
      <c r="E900" t="inlineStr">
        <is>
          <t>2026-07</t>
        </is>
      </c>
      <c r="F900" t="n">
        <v>276</v>
      </c>
      <c r="G900" t="n">
        <v>325.68</v>
      </c>
      <c r="H900">
        <f>הגדרות!B11</f>
        <v/>
      </c>
      <c r="I900">
        <f>F900*(1-H900/100)*1.18</f>
        <v/>
      </c>
      <c r="J900">
        <f>הגדרות!C11</f>
        <v/>
      </c>
      <c r="K900">
        <f>הגדרות!D11</f>
        <v/>
      </c>
      <c r="L900">
        <f>I900*(1+J900/100)+K900</f>
        <v/>
      </c>
    </row>
    <row r="901">
      <c r="A901" t="inlineStr">
        <is>
          <t>Monge</t>
        </is>
      </c>
      <c r="B901" t="inlineStr">
        <is>
          <t>מונג מקסי פפי 12 ק"ג</t>
        </is>
      </c>
      <c r="D901" t="inlineStr">
        <is>
          <t>29000146</t>
        </is>
      </c>
      <c r="E901" t="inlineStr">
        <is>
          <t>2026-07</t>
        </is>
      </c>
      <c r="F901" t="n">
        <v>284</v>
      </c>
      <c r="G901" t="n">
        <v>335.12</v>
      </c>
      <c r="H901">
        <f>הגדרות!B11</f>
        <v/>
      </c>
      <c r="I901">
        <f>F901*(1-H901/100)*1.18</f>
        <v/>
      </c>
      <c r="J901">
        <f>הגדרות!C11</f>
        <v/>
      </c>
      <c r="K901">
        <f>הגדרות!D11</f>
        <v/>
      </c>
      <c r="L901">
        <f>I901*(1+J901/100)+K901</f>
        <v/>
      </c>
    </row>
    <row r="902">
      <c r="A902" t="inlineStr">
        <is>
          <t>Monge</t>
        </is>
      </c>
      <c r="B902" t="inlineStr">
        <is>
          <t>מונג פפי ברווז אורז ותפוא 2.5 ק"ג</t>
        </is>
      </c>
      <c r="D902" t="inlineStr">
        <is>
          <t>29000318</t>
        </is>
      </c>
      <c r="E902" t="inlineStr">
        <is>
          <t>2026-07</t>
        </is>
      </c>
      <c r="F902" t="n">
        <v>103</v>
      </c>
      <c r="G902" t="n">
        <v>121.54</v>
      </c>
      <c r="H902">
        <f>הגדרות!B11</f>
        <v/>
      </c>
      <c r="I902">
        <f>F902*(1-H902/100)*1.18</f>
        <v/>
      </c>
      <c r="J902">
        <f>הגדרות!C11</f>
        <v/>
      </c>
      <c r="K902">
        <f>הגדרות!D11</f>
        <v/>
      </c>
      <c r="L902">
        <f>I902*(1+J902/100)+K902</f>
        <v/>
      </c>
    </row>
    <row r="903">
      <c r="A903" t="inlineStr">
        <is>
          <t>Monge</t>
        </is>
      </c>
      <c r="B903" t="inlineStr">
        <is>
          <t>מונג פפי ברווז ותפוח אדמה 12 ק"ג</t>
        </is>
      </c>
      <c r="D903" t="inlineStr">
        <is>
          <t>29000344</t>
        </is>
      </c>
      <c r="E903" t="inlineStr">
        <is>
          <t>2026-07</t>
        </is>
      </c>
      <c r="F903" t="n">
        <v>318</v>
      </c>
      <c r="G903" t="n">
        <v>375.24</v>
      </c>
      <c r="H903">
        <f>הגדרות!B11</f>
        <v/>
      </c>
      <c r="I903">
        <f>F903*(1-H903/100)*1.18</f>
        <v/>
      </c>
      <c r="J903">
        <f>הגדרות!C11</f>
        <v/>
      </c>
      <c r="K903">
        <f>הגדרות!D11</f>
        <v/>
      </c>
      <c r="L903">
        <f>I903*(1+J903/100)+K903</f>
        <v/>
      </c>
    </row>
    <row r="904">
      <c r="A904" t="inlineStr">
        <is>
          <t>Monge</t>
        </is>
      </c>
      <c r="B904" t="inlineStr">
        <is>
          <t>מונג פפי כבש ואורז 12 ק"ג</t>
        </is>
      </c>
      <c r="D904" t="inlineStr">
        <is>
          <t>29000127</t>
        </is>
      </c>
      <c r="E904" t="inlineStr">
        <is>
          <t>2026-07</t>
        </is>
      </c>
      <c r="F904" t="n">
        <v>318</v>
      </c>
      <c r="G904" t="n">
        <v>375.24</v>
      </c>
      <c r="H904">
        <f>הגדרות!B11</f>
        <v/>
      </c>
      <c r="I904">
        <f>F904*(1-H904/100)*1.18</f>
        <v/>
      </c>
      <c r="J904">
        <f>הגדרות!C11</f>
        <v/>
      </c>
      <c r="K904">
        <f>הגדרות!D11</f>
        <v/>
      </c>
      <c r="L904">
        <f>I904*(1+J904/100)+K904</f>
        <v/>
      </c>
    </row>
    <row r="905">
      <c r="A905" t="inlineStr">
        <is>
          <t>Monge</t>
        </is>
      </c>
      <c r="B905" t="inlineStr">
        <is>
          <t>מונג פפי כבש ואורז 2.5 ק"ג</t>
        </is>
      </c>
      <c r="D905" t="inlineStr">
        <is>
          <t>29000224</t>
        </is>
      </c>
      <c r="E905" t="inlineStr">
        <is>
          <t>2026-07</t>
        </is>
      </c>
      <c r="F905" t="n">
        <v>90</v>
      </c>
      <c r="G905" t="n">
        <v>106.2</v>
      </c>
      <c r="H905">
        <f>הגדרות!B11</f>
        <v/>
      </c>
      <c r="I905">
        <f>F905*(1-H905/100)*1.18</f>
        <v/>
      </c>
      <c r="J905">
        <f>הגדרות!C11</f>
        <v/>
      </c>
      <c r="K905">
        <f>הגדרות!D11</f>
        <v/>
      </c>
      <c r="L905">
        <f>I905*(1+J905/100)+K905</f>
        <v/>
      </c>
    </row>
    <row r="906">
      <c r="A906" t="inlineStr">
        <is>
          <t>Monge</t>
        </is>
      </c>
      <c r="B906" t="inlineStr">
        <is>
          <t>מונג פפי סלמון ואורז 12 ק"ג</t>
        </is>
      </c>
      <c r="D906" t="inlineStr">
        <is>
          <t>29000128</t>
        </is>
      </c>
      <c r="E906" t="inlineStr">
        <is>
          <t>2026-07</t>
        </is>
      </c>
      <c r="F906" t="n">
        <v>318</v>
      </c>
      <c r="G906" t="n">
        <v>375.24</v>
      </c>
      <c r="H906">
        <f>הגדרות!B11</f>
        <v/>
      </c>
      <c r="I906">
        <f>F906*(1-H906/100)*1.18</f>
        <v/>
      </c>
      <c r="J906">
        <f>הגדרות!C11</f>
        <v/>
      </c>
      <c r="K906">
        <f>הגדרות!D11</f>
        <v/>
      </c>
      <c r="L906">
        <f>I906*(1+J906/100)+K906</f>
        <v/>
      </c>
    </row>
    <row r="907">
      <c r="A907" t="inlineStr">
        <is>
          <t>Monge</t>
        </is>
      </c>
      <c r="B907" t="inlineStr">
        <is>
          <t>מונג פפי סלמון ואורז 2.5 ק"ג</t>
        </is>
      </c>
      <c r="D907" t="inlineStr">
        <is>
          <t>29000219</t>
        </is>
      </c>
      <c r="E907" t="inlineStr">
        <is>
          <t>2026-07</t>
        </is>
      </c>
      <c r="F907" t="n">
        <v>90</v>
      </c>
      <c r="G907" t="n">
        <v>106.2</v>
      </c>
      <c r="H907">
        <f>הגדרות!B11</f>
        <v/>
      </c>
      <c r="I907">
        <f>F907*(1-H907/100)*1.18</f>
        <v/>
      </c>
      <c r="J907">
        <f>הגדרות!C11</f>
        <v/>
      </c>
      <c r="K907">
        <f>הגדרות!D11</f>
        <v/>
      </c>
      <c r="L907">
        <f>I907*(1+J907/100)+K907</f>
        <v/>
      </c>
    </row>
    <row r="908">
      <c r="A908" t="inlineStr">
        <is>
          <t>Monge</t>
        </is>
      </c>
      <c r="B908" t="inlineStr">
        <is>
          <t>מונג פפי פורל אורז ותפו"א 2.5 ק"ג</t>
        </is>
      </c>
      <c r="D908" t="inlineStr">
        <is>
          <t>29000343</t>
        </is>
      </c>
      <c r="E908" t="inlineStr">
        <is>
          <t>2026-07</t>
        </is>
      </c>
      <c r="F908" t="n">
        <v>103</v>
      </c>
      <c r="G908" t="n">
        <v>121.54</v>
      </c>
      <c r="H908">
        <f>הגדרות!B11</f>
        <v/>
      </c>
      <c r="I908">
        <f>F908*(1-H908/100)*1.18</f>
        <v/>
      </c>
      <c r="J908">
        <f>הגדרות!C11</f>
        <v/>
      </c>
      <c r="K908">
        <f>הגדרות!D11</f>
        <v/>
      </c>
      <c r="L908">
        <f>I908*(1+J908/100)+K908</f>
        <v/>
      </c>
    </row>
    <row r="909">
      <c r="A909" t="inlineStr">
        <is>
          <t>Monge</t>
        </is>
      </c>
      <c r="B909" t="inlineStr">
        <is>
          <t>מונג פפי פורל ותפו"א 12 ק"ג</t>
        </is>
      </c>
      <c r="D909" t="inlineStr">
        <is>
          <t>29000345</t>
        </is>
      </c>
      <c r="E909" t="inlineStr">
        <is>
          <t>2026-07</t>
        </is>
      </c>
      <c r="F909" t="n">
        <v>318</v>
      </c>
      <c r="G909" t="n">
        <v>375.24</v>
      </c>
      <c r="H909">
        <f>הגדרות!B11</f>
        <v/>
      </c>
      <c r="I909">
        <f>F909*(1-H909/100)*1.18</f>
        <v/>
      </c>
      <c r="J909">
        <f>הגדרות!C11</f>
        <v/>
      </c>
      <c r="K909">
        <f>הגדרות!D11</f>
        <v/>
      </c>
      <c r="L909">
        <f>I909*(1+J909/100)+K909</f>
        <v/>
      </c>
    </row>
    <row r="910">
      <c r="A910" t="inlineStr">
        <is>
          <t>Monge</t>
        </is>
      </c>
      <c r="B910" t="inlineStr">
        <is>
          <t>מונג פפי חזיר אורז ותפוא 2.5 ק"ג</t>
        </is>
      </c>
      <c r="D910" t="inlineStr">
        <is>
          <t>29000358</t>
        </is>
      </c>
      <c r="E910" t="inlineStr">
        <is>
          <t>2026-07</t>
        </is>
      </c>
      <c r="F910" t="n">
        <v>90</v>
      </c>
      <c r="G910" t="n">
        <v>106.2</v>
      </c>
      <c r="H910">
        <f>הגדרות!B11</f>
        <v/>
      </c>
      <c r="I910">
        <f>F910*(1-H910/100)*1.18</f>
        <v/>
      </c>
      <c r="J910">
        <f>הגדרות!C11</f>
        <v/>
      </c>
      <c r="K910">
        <f>הגדרות!D11</f>
        <v/>
      </c>
      <c r="L910">
        <f>I910*(1+J910/100)+K910</f>
        <v/>
      </c>
    </row>
    <row r="911">
      <c r="A911" t="inlineStr">
        <is>
          <t>Monge</t>
        </is>
      </c>
      <c r="B911" t="inlineStr">
        <is>
          <t>מונג מיני פפי סלמון ואורז 2.5 ק"ג כלב</t>
        </is>
      </c>
      <c r="D911" t="inlineStr">
        <is>
          <t>29000357</t>
        </is>
      </c>
      <c r="E911" t="inlineStr">
        <is>
          <t>2026-07</t>
        </is>
      </c>
      <c r="F911" t="n">
        <v>100</v>
      </c>
      <c r="G911" t="n">
        <v>118</v>
      </c>
      <c r="H911">
        <f>הגדרות!B11</f>
        <v/>
      </c>
      <c r="I911">
        <f>F911*(1-H911/100)*1.18</f>
        <v/>
      </c>
      <c r="J911">
        <f>הגדרות!C11</f>
        <v/>
      </c>
      <c r="K911">
        <f>הגדרות!D11</f>
        <v/>
      </c>
      <c r="L911">
        <f>I911*(1+J911/100)+K911</f>
        <v/>
      </c>
    </row>
    <row r="912">
      <c r="A912" t="inlineStr">
        <is>
          <t>Monge</t>
        </is>
      </c>
      <c r="B912" t="inlineStr">
        <is>
          <t>מונג ג.פרי אדולט בופלו תפוא 1.5 ק"ג * חתול BW</t>
        </is>
      </c>
      <c r="C912" t="inlineStr">
        <is>
          <t>BeWild</t>
        </is>
      </c>
      <c r="D912" t="inlineStr">
        <is>
          <t>29000276</t>
        </is>
      </c>
      <c r="E912" t="inlineStr">
        <is>
          <t>2026-07</t>
        </is>
      </c>
      <c r="F912" t="n">
        <v>86</v>
      </c>
      <c r="G912" t="n">
        <v>101.48</v>
      </c>
      <c r="H912">
        <f>הגדרות!B11</f>
        <v/>
      </c>
      <c r="I912">
        <f>F912*(1-H912/100)*1.18</f>
        <v/>
      </c>
      <c r="J912">
        <f>הגדרות!C11</f>
        <v/>
      </c>
      <c r="K912">
        <f>הגדרות!D11</f>
        <v/>
      </c>
      <c r="L912">
        <f>I912*(1+J912/100)+K912</f>
        <v/>
      </c>
    </row>
    <row r="913">
      <c r="A913" t="inlineStr">
        <is>
          <t>Monge</t>
        </is>
      </c>
      <c r="B913" t="inlineStr">
        <is>
          <t>מונג ג.פרי אדולט בקלה תפוא 1.5 ק"ג * חתול BW</t>
        </is>
      </c>
      <c r="C913" t="inlineStr">
        <is>
          <t>BeWild</t>
        </is>
      </c>
      <c r="D913" t="inlineStr">
        <is>
          <t>29000275</t>
        </is>
      </c>
      <c r="E913" t="inlineStr">
        <is>
          <t>2026-07</t>
        </is>
      </c>
      <c r="F913" t="n">
        <v>86</v>
      </c>
      <c r="G913" t="n">
        <v>101.48</v>
      </c>
      <c r="H913">
        <f>הגדרות!B11</f>
        <v/>
      </c>
      <c r="I913">
        <f>F913*(1-H913/100)*1.18</f>
        <v/>
      </c>
      <c r="J913">
        <f>הגדרות!C11</f>
        <v/>
      </c>
      <c r="K913">
        <f>הגדרות!D11</f>
        <v/>
      </c>
      <c r="L913">
        <f>I913*(1+J913/100)+K913</f>
        <v/>
      </c>
    </row>
    <row r="914">
      <c r="A914" t="inlineStr">
        <is>
          <t>Monge</t>
        </is>
      </c>
      <c r="B914" t="inlineStr">
        <is>
          <t>מונג ג.פרי אדולט סלמון ואפונה 1.5 ק"ג * חתול BW</t>
        </is>
      </c>
      <c r="C914" t="inlineStr">
        <is>
          <t>BeWild</t>
        </is>
      </c>
      <c r="D914" t="inlineStr">
        <is>
          <t>29000277</t>
        </is>
      </c>
      <c r="E914" t="inlineStr">
        <is>
          <t>2026-07</t>
        </is>
      </c>
      <c r="F914" t="n">
        <v>86</v>
      </c>
      <c r="G914" t="n">
        <v>101.48</v>
      </c>
      <c r="H914">
        <f>הגדרות!B11</f>
        <v/>
      </c>
      <c r="I914">
        <f>F914*(1-H914/100)*1.18</f>
        <v/>
      </c>
      <c r="J914">
        <f>הגדרות!C11</f>
        <v/>
      </c>
      <c r="K914">
        <f>הגדרות!D11</f>
        <v/>
      </c>
      <c r="L914">
        <f>I914*(1+J914/100)+K914</f>
        <v/>
      </c>
    </row>
    <row r="915">
      <c r="A915" t="inlineStr">
        <is>
          <t>Monge</t>
        </is>
      </c>
      <c r="B915" t="inlineStr">
        <is>
          <t>מונג ג.פרי אדולט סלמון ואפונה 12 ק"ג * כלב BW</t>
        </is>
      </c>
      <c r="C915" t="inlineStr">
        <is>
          <t>BeWild</t>
        </is>
      </c>
      <c r="D915" t="inlineStr">
        <is>
          <t>29000273</t>
        </is>
      </c>
      <c r="E915" t="inlineStr">
        <is>
          <t>2026-07</t>
        </is>
      </c>
      <c r="F915" t="n">
        <v>449</v>
      </c>
      <c r="G915" t="n">
        <v>529.8200000000001</v>
      </c>
      <c r="H915">
        <f>הגדרות!B11</f>
        <v/>
      </c>
      <c r="I915">
        <f>F915*(1-H915/100)*1.18</f>
        <v/>
      </c>
      <c r="J915">
        <f>הגדרות!C11</f>
        <v/>
      </c>
      <c r="K915">
        <f>הגדרות!D11</f>
        <v/>
      </c>
      <c r="L915">
        <f>I915*(1+J915/100)+K915</f>
        <v/>
      </c>
    </row>
    <row r="916">
      <c r="A916" t="inlineStr">
        <is>
          <t>Monge</t>
        </is>
      </c>
      <c r="B916" t="inlineStr">
        <is>
          <t>מונג ג.פרי אדולט סלמון ואפונה 2.5 ק"ג * כלב BW</t>
        </is>
      </c>
      <c r="C916" t="inlineStr">
        <is>
          <t>BeWild</t>
        </is>
      </c>
      <c r="D916" t="inlineStr">
        <is>
          <t>29000286</t>
        </is>
      </c>
      <c r="E916" t="inlineStr">
        <is>
          <t>2026-07</t>
        </is>
      </c>
      <c r="F916" t="n">
        <v>130</v>
      </c>
      <c r="G916" t="n">
        <v>153.4</v>
      </c>
      <c r="H916">
        <f>הגדרות!B11</f>
        <v/>
      </c>
      <c r="I916">
        <f>F916*(1-H916/100)*1.18</f>
        <v/>
      </c>
      <c r="J916">
        <f>הגדרות!C11</f>
        <v/>
      </c>
      <c r="K916">
        <f>הגדרות!D11</f>
        <v/>
      </c>
      <c r="L916">
        <f>I916*(1+J916/100)+K916</f>
        <v/>
      </c>
    </row>
    <row r="917">
      <c r="A917" t="inlineStr">
        <is>
          <t>Monge</t>
        </is>
      </c>
      <c r="B917" t="inlineStr">
        <is>
          <t>מונג ג.פרי אנשובי תפוא ואפונה 2.5 ק"ג</t>
        </is>
      </c>
      <c r="C917" t="inlineStr">
        <is>
          <t>BeWild</t>
        </is>
      </c>
      <c r="D917" t="inlineStr">
        <is>
          <t>29000176</t>
        </is>
      </c>
      <c r="E917" t="inlineStr">
        <is>
          <t>2026-07</t>
        </is>
      </c>
      <c r="F917" t="n">
        <v>130</v>
      </c>
      <c r="G917" t="n">
        <v>153.4</v>
      </c>
      <c r="H917">
        <f>הגדרות!B11</f>
        <v/>
      </c>
      <c r="I917">
        <f>F917*(1-H917/100)*1.18</f>
        <v/>
      </c>
      <c r="J917">
        <f>הגדרות!C11</f>
        <v/>
      </c>
      <c r="K917">
        <f>הגדרות!D11</f>
        <v/>
      </c>
      <c r="L917">
        <f>I917*(1+J917/100)+K917</f>
        <v/>
      </c>
    </row>
    <row r="918">
      <c r="A918" t="inlineStr">
        <is>
          <t>Monge</t>
        </is>
      </c>
      <c r="B918" t="inlineStr">
        <is>
          <t>מונג ג.פרי ברווז ותפוא 12 ק"ג * כלב B.W</t>
        </is>
      </c>
      <c r="C918" t="inlineStr">
        <is>
          <t>BeWild</t>
        </is>
      </c>
      <c r="D918" t="inlineStr">
        <is>
          <t>29000123</t>
        </is>
      </c>
      <c r="E918" t="inlineStr">
        <is>
          <t>2026-07</t>
        </is>
      </c>
      <c r="F918" t="n">
        <v>449</v>
      </c>
      <c r="G918" t="n">
        <v>529.8200000000001</v>
      </c>
      <c r="H918">
        <f>הגדרות!B11</f>
        <v/>
      </c>
      <c r="I918">
        <f>F918*(1-H918/100)*1.18</f>
        <v/>
      </c>
      <c r="J918">
        <f>הגדרות!C11</f>
        <v/>
      </c>
      <c r="K918">
        <f>הגדרות!D11</f>
        <v/>
      </c>
      <c r="L918">
        <f>I918*(1+J918/100)+K918</f>
        <v/>
      </c>
    </row>
    <row r="919">
      <c r="A919" t="inlineStr">
        <is>
          <t>Monge</t>
        </is>
      </c>
      <c r="B919" t="inlineStr">
        <is>
          <t>מונג ג.פרי ברווז ותפוח אדמה 2.5 ק"ג * כלב B.W</t>
        </is>
      </c>
      <c r="C919" t="inlineStr">
        <is>
          <t>BeWild</t>
        </is>
      </c>
      <c r="D919" t="inlineStr">
        <is>
          <t>29000177</t>
        </is>
      </c>
      <c r="E919" t="inlineStr">
        <is>
          <t>2026-07</t>
        </is>
      </c>
      <c r="F919" t="n">
        <v>120</v>
      </c>
      <c r="G919" t="n">
        <v>141.6</v>
      </c>
      <c r="H919">
        <f>הגדרות!B11</f>
        <v/>
      </c>
      <c r="I919">
        <f>F919*(1-H919/100)*1.18</f>
        <v/>
      </c>
      <c r="J919">
        <f>הגדרות!C11</f>
        <v/>
      </c>
      <c r="K919">
        <f>הגדרות!D11</f>
        <v/>
      </c>
      <c r="L919">
        <f>I919*(1+J919/100)+K919</f>
        <v/>
      </c>
    </row>
    <row r="920">
      <c r="A920" t="inlineStr">
        <is>
          <t>Monge</t>
        </is>
      </c>
      <c r="B920" t="inlineStr">
        <is>
          <t>מונג ג.פרי כבש תפוא אפונה 12 ק"ג * כלב BW</t>
        </is>
      </c>
      <c r="C920" t="inlineStr">
        <is>
          <t>BeWild</t>
        </is>
      </c>
      <c r="D920" t="inlineStr">
        <is>
          <t>29000267</t>
        </is>
      </c>
      <c r="E920" t="inlineStr">
        <is>
          <t>2026-07</t>
        </is>
      </c>
      <c r="F920" t="n">
        <v>449</v>
      </c>
      <c r="G920" t="n">
        <v>529.8200000000001</v>
      </c>
      <c r="H920">
        <f>הגדרות!B11</f>
        <v/>
      </c>
      <c r="I920">
        <f>F920*(1-H920/100)*1.18</f>
        <v/>
      </c>
      <c r="J920">
        <f>הגדרות!C11</f>
        <v/>
      </c>
      <c r="K920">
        <f>הגדרות!D11</f>
        <v/>
      </c>
      <c r="L920">
        <f>I920*(1+J920/100)+K920</f>
        <v/>
      </c>
    </row>
    <row r="921">
      <c r="A921" t="inlineStr">
        <is>
          <t>Monge</t>
        </is>
      </c>
      <c r="B921" t="inlineStr">
        <is>
          <t>מונג ג.פרי כבש תפוא אפונה 2.5 ק"ג * כלב BW</t>
        </is>
      </c>
      <c r="C921" t="inlineStr">
        <is>
          <t>BeWild</t>
        </is>
      </c>
      <c r="D921" t="inlineStr">
        <is>
          <t>29000287</t>
        </is>
      </c>
      <c r="E921" t="inlineStr">
        <is>
          <t>2026-07</t>
        </is>
      </c>
      <c r="F921" t="n">
        <v>130</v>
      </c>
      <c r="G921" t="n">
        <v>153.4</v>
      </c>
      <c r="H921">
        <f>הגדרות!B11</f>
        <v/>
      </c>
      <c r="I921">
        <f>F921*(1-H921/100)*1.18</f>
        <v/>
      </c>
      <c r="J921">
        <f>הגדרות!C11</f>
        <v/>
      </c>
      <c r="K921">
        <f>הגדרות!D11</f>
        <v/>
      </c>
      <c r="L921">
        <f>I921*(1+J921/100)+K921</f>
        <v/>
      </c>
    </row>
    <row r="922">
      <c r="A922" t="inlineStr">
        <is>
          <t>Monge</t>
        </is>
      </c>
      <c r="B922" t="inlineStr">
        <is>
          <t>מונג ג.פרי כלב אנשובי תפוא ואפונה 12 ק"ג</t>
        </is>
      </c>
      <c r="C922" t="inlineStr">
        <is>
          <t>BeWild</t>
        </is>
      </c>
      <c r="D922" t="inlineStr">
        <is>
          <t>29000122</t>
        </is>
      </c>
      <c r="E922" t="inlineStr">
        <is>
          <t>2026-07</t>
        </is>
      </c>
      <c r="F922" t="n">
        <v>449</v>
      </c>
      <c r="G922" t="n">
        <v>529.8200000000001</v>
      </c>
      <c r="H922">
        <f>הגדרות!B11</f>
        <v/>
      </c>
      <c r="I922">
        <f>F922*(1-H922/100)*1.18</f>
        <v/>
      </c>
      <c r="J922">
        <f>הגדרות!C11</f>
        <v/>
      </c>
      <c r="K922">
        <f>הגדרות!D11</f>
        <v/>
      </c>
      <c r="L922">
        <f>I922*(1+J922/100)+K922</f>
        <v/>
      </c>
    </row>
    <row r="923">
      <c r="A923" t="inlineStr">
        <is>
          <t>Monge</t>
        </is>
      </c>
      <c r="B923" t="inlineStr">
        <is>
          <t>מונג ג.פרי מיני אד. ברווז תפוא 2.5 ק"ג * כלב BW</t>
        </is>
      </c>
      <c r="C923" t="inlineStr">
        <is>
          <t>BeWild</t>
        </is>
      </c>
      <c r="D923" t="inlineStr">
        <is>
          <t>29000280</t>
        </is>
      </c>
      <c r="E923" t="inlineStr">
        <is>
          <t>2026-07</t>
        </is>
      </c>
      <c r="F923" t="n">
        <v>130</v>
      </c>
      <c r="G923" t="n">
        <v>153.4</v>
      </c>
      <c r="H923">
        <f>הגדרות!B11</f>
        <v/>
      </c>
      <c r="I923">
        <f>F923*(1-H923/100)*1.18</f>
        <v/>
      </c>
      <c r="J923">
        <f>הגדרות!C11</f>
        <v/>
      </c>
      <c r="K923">
        <f>הגדרות!D11</f>
        <v/>
      </c>
      <c r="L923">
        <f>I923*(1+J923/100)+K923</f>
        <v/>
      </c>
    </row>
    <row r="924">
      <c r="A924" t="inlineStr">
        <is>
          <t>Monge</t>
        </is>
      </c>
      <c r="B924" t="inlineStr">
        <is>
          <t>מונג ג.פרי מיני אנשובי ואפונה 2.5 ק"ג * כלב BW</t>
        </is>
      </c>
      <c r="C924" t="inlineStr">
        <is>
          <t>BeWild</t>
        </is>
      </c>
      <c r="D924" t="inlineStr">
        <is>
          <t>29000288</t>
        </is>
      </c>
      <c r="E924" t="inlineStr">
        <is>
          <t>2026-07</t>
        </is>
      </c>
      <c r="F924" t="n">
        <v>150</v>
      </c>
      <c r="G924" t="n">
        <v>177</v>
      </c>
      <c r="H924">
        <f>הגדרות!B11</f>
        <v/>
      </c>
      <c r="I924">
        <f>F924*(1-H924/100)*1.18</f>
        <v/>
      </c>
      <c r="J924">
        <f>הגדרות!C11</f>
        <v/>
      </c>
      <c r="K924">
        <f>הגדרות!D11</f>
        <v/>
      </c>
      <c r="L924">
        <f>I924*(1+J924/100)+K924</f>
        <v/>
      </c>
    </row>
    <row r="925">
      <c r="A925" t="inlineStr">
        <is>
          <t>Monge</t>
        </is>
      </c>
      <c r="B925" t="inlineStr">
        <is>
          <t>מונג ג.פרי סטריליז טונה ואפונה 1.5 ק"ג * חתול BW</t>
        </is>
      </c>
      <c r="C925" t="inlineStr">
        <is>
          <t>BeWild</t>
        </is>
      </c>
      <c r="D925" t="inlineStr">
        <is>
          <t>29000278</t>
        </is>
      </c>
      <c r="E925" t="inlineStr">
        <is>
          <t>2026-07</t>
        </is>
      </c>
      <c r="F925" t="n">
        <v>86</v>
      </c>
      <c r="G925" t="n">
        <v>101.48</v>
      </c>
      <c r="H925">
        <f>הגדרות!B11</f>
        <v/>
      </c>
      <c r="I925">
        <f>F925*(1-H925/100)*1.18</f>
        <v/>
      </c>
      <c r="J925">
        <f>הגדרות!C11</f>
        <v/>
      </c>
      <c r="K925">
        <f>הגדרות!D11</f>
        <v/>
      </c>
      <c r="L925">
        <f>I925*(1+J925/100)+K925</f>
        <v/>
      </c>
    </row>
    <row r="926">
      <c r="A926" t="inlineStr">
        <is>
          <t>Monge</t>
        </is>
      </c>
      <c r="B926" t="inlineStr">
        <is>
          <t>מונג ג.פרי פפי ברווז ותפוא 12 ק"ג * כלב BW</t>
        </is>
      </c>
      <c r="C926" t="inlineStr">
        <is>
          <t>BeWild</t>
        </is>
      </c>
      <c r="D926" t="inlineStr">
        <is>
          <t>29000268</t>
        </is>
      </c>
      <c r="E926" t="inlineStr">
        <is>
          <t>2026-07</t>
        </is>
      </c>
      <c r="F926" t="n">
        <v>449</v>
      </c>
      <c r="G926" t="n">
        <v>529.8200000000001</v>
      </c>
      <c r="H926">
        <f>הגדרות!B11</f>
        <v/>
      </c>
      <c r="I926">
        <f>F926*(1-H926/100)*1.18</f>
        <v/>
      </c>
      <c r="J926">
        <f>הגדרות!C11</f>
        <v/>
      </c>
      <c r="K926">
        <f>הגדרות!D11</f>
        <v/>
      </c>
      <c r="L926">
        <f>I926*(1+J926/100)+K926</f>
        <v/>
      </c>
    </row>
    <row r="927">
      <c r="A927" t="inlineStr">
        <is>
          <t>Monge</t>
        </is>
      </c>
      <c r="B927" t="inlineStr">
        <is>
          <t>מונג ג.פרי פפי ברווז ותפוא 2.5 ק"ג * כלב BW</t>
        </is>
      </c>
      <c r="C927" t="inlineStr">
        <is>
          <t>BeWild</t>
        </is>
      </c>
      <c r="D927" t="inlineStr">
        <is>
          <t>29000279</t>
        </is>
      </c>
      <c r="E927" t="inlineStr">
        <is>
          <t>2026-07</t>
        </is>
      </c>
      <c r="F927" t="n">
        <v>130</v>
      </c>
      <c r="G927" t="n">
        <v>153.4</v>
      </c>
      <c r="H927">
        <f>הגדרות!B11</f>
        <v/>
      </c>
      <c r="I927">
        <f>F927*(1-H927/100)*1.18</f>
        <v/>
      </c>
      <c r="J927">
        <f>הגדרות!C11</f>
        <v/>
      </c>
      <c r="K927">
        <f>הגדרות!D11</f>
        <v/>
      </c>
      <c r="L927">
        <f>I927*(1+J927/100)+K927</f>
        <v/>
      </c>
    </row>
    <row r="928">
      <c r="A928" t="inlineStr">
        <is>
          <t>Monge</t>
        </is>
      </c>
      <c r="B928" t="inlineStr">
        <is>
          <t>מונג חתול ביווילד 1.5 ק"ג אנשובי BW</t>
        </is>
      </c>
      <c r="C928" t="inlineStr">
        <is>
          <t>BeWild</t>
        </is>
      </c>
      <c r="D928" t="inlineStr">
        <is>
          <t>29000106</t>
        </is>
      </c>
      <c r="E928" t="inlineStr">
        <is>
          <t>2026-07</t>
        </is>
      </c>
      <c r="F928" t="n">
        <v>86</v>
      </c>
      <c r="G928" t="n">
        <v>101.48</v>
      </c>
      <c r="H928">
        <f>הגדרות!B11</f>
        <v/>
      </c>
      <c r="I928">
        <f>F928*(1-H928/100)*1.18</f>
        <v/>
      </c>
      <c r="J928">
        <f>הגדרות!C11</f>
        <v/>
      </c>
      <c r="K928">
        <f>הגדרות!D11</f>
        <v/>
      </c>
      <c r="L928">
        <f>I928*(1+J928/100)+K928</f>
        <v/>
      </c>
    </row>
    <row r="929">
      <c r="A929" t="inlineStr">
        <is>
          <t>Monge</t>
        </is>
      </c>
      <c r="B929" t="inlineStr">
        <is>
          <t>מונג חתול ביווילד 1.5 ק"ג ארנבת BW</t>
        </is>
      </c>
      <c r="C929" t="inlineStr">
        <is>
          <t>BeWild</t>
        </is>
      </c>
      <c r="D929" t="inlineStr">
        <is>
          <t>29000105</t>
        </is>
      </c>
      <c r="E929" t="inlineStr">
        <is>
          <t>2026-07</t>
        </is>
      </c>
      <c r="F929" t="n">
        <v>86</v>
      </c>
      <c r="G929" t="n">
        <v>101.48</v>
      </c>
      <c r="H929">
        <f>הגדרות!B11</f>
        <v/>
      </c>
      <c r="I929">
        <f>F929*(1-H929/100)*1.18</f>
        <v/>
      </c>
      <c r="J929">
        <f>הגדרות!C11</f>
        <v/>
      </c>
      <c r="K929">
        <f>הגדרות!D11</f>
        <v/>
      </c>
      <c r="L929">
        <f>I929*(1+J929/100)+K929</f>
        <v/>
      </c>
    </row>
    <row r="930">
      <c r="A930" t="inlineStr">
        <is>
          <t>Monge</t>
        </is>
      </c>
      <c r="B930" t="inlineStr">
        <is>
          <t>מונג חתול ביווילד אנשובי 10 ק"ג BW</t>
        </is>
      </c>
      <c r="C930" t="inlineStr">
        <is>
          <t>BeWild</t>
        </is>
      </c>
      <c r="D930" t="inlineStr">
        <is>
          <t>29000228</t>
        </is>
      </c>
      <c r="E930" t="inlineStr">
        <is>
          <t>2026-07</t>
        </is>
      </c>
      <c r="F930" t="n">
        <v>421</v>
      </c>
      <c r="G930" t="n">
        <v>496.78</v>
      </c>
      <c r="H930">
        <f>הגדרות!B11</f>
        <v/>
      </c>
      <c r="I930">
        <f>F930*(1-H930/100)*1.18</f>
        <v/>
      </c>
      <c r="J930">
        <f>הגדרות!C11</f>
        <v/>
      </c>
      <c r="K930">
        <f>הגדרות!D11</f>
        <v/>
      </c>
      <c r="L930">
        <f>I930*(1+J930/100)+K930</f>
        <v/>
      </c>
    </row>
    <row r="931">
      <c r="A931" t="inlineStr">
        <is>
          <t>Monge</t>
        </is>
      </c>
      <c r="B931" t="inlineStr">
        <is>
          <t>מונג חתול ביווילד ארנבת 10 ק"ג BW</t>
        </is>
      </c>
      <c r="C931" t="inlineStr">
        <is>
          <t>BeWild</t>
        </is>
      </c>
      <c r="D931" t="inlineStr">
        <is>
          <t>29000229</t>
        </is>
      </c>
      <c r="E931" t="inlineStr">
        <is>
          <t>2026-07</t>
        </is>
      </c>
      <c r="F931" t="n">
        <v>421</v>
      </c>
      <c r="G931" t="n">
        <v>496.78</v>
      </c>
      <c r="H931">
        <f>הגדרות!B11</f>
        <v/>
      </c>
      <c r="I931">
        <f>F931*(1-H931/100)*1.18</f>
        <v/>
      </c>
      <c r="J931">
        <f>הגדרות!C11</f>
        <v/>
      </c>
      <c r="K931">
        <f>הגדרות!D11</f>
        <v/>
      </c>
      <c r="L931">
        <f>I931*(1+J931/100)+K931</f>
        <v/>
      </c>
    </row>
    <row r="932">
      <c r="A932" t="inlineStr">
        <is>
          <t>Monge</t>
        </is>
      </c>
      <c r="B932" t="inlineStr">
        <is>
          <t>מונג חתול ל.גריין קיטן אווז 1.5 ק"ג * BW</t>
        </is>
      </c>
      <c r="C932" t="inlineStr">
        <is>
          <t>BeWild</t>
        </is>
      </c>
      <c r="D932" t="inlineStr">
        <is>
          <t>29000274</t>
        </is>
      </c>
      <c r="E932" t="inlineStr">
        <is>
          <t>2026-07</t>
        </is>
      </c>
      <c r="F932" t="n">
        <v>90</v>
      </c>
      <c r="G932" t="n">
        <v>106.2</v>
      </c>
      <c r="H932">
        <f>הגדרות!B11</f>
        <v/>
      </c>
      <c r="I932">
        <f>F932*(1-H932/100)*1.18</f>
        <v/>
      </c>
      <c r="J932">
        <f>הגדרות!C11</f>
        <v/>
      </c>
      <c r="K932">
        <f>הגדרות!D11</f>
        <v/>
      </c>
      <c r="L932">
        <f>I932*(1+J932/100)+K932</f>
        <v/>
      </c>
    </row>
    <row r="933">
      <c r="A933" t="inlineStr">
        <is>
          <t>Monge</t>
        </is>
      </c>
      <c r="B933" t="inlineStr">
        <is>
          <t>מונג חתול לארג בופלו 10 ק"ג BW</t>
        </is>
      </c>
      <c r="C933" t="inlineStr">
        <is>
          <t>BeWild</t>
        </is>
      </c>
      <c r="D933" t="inlineStr">
        <is>
          <t>29000302</t>
        </is>
      </c>
      <c r="E933" t="inlineStr">
        <is>
          <t>2026-07</t>
        </is>
      </c>
      <c r="F933" t="n">
        <v>421</v>
      </c>
      <c r="G933" t="n">
        <v>496.78</v>
      </c>
      <c r="H933">
        <f>הגדרות!B11</f>
        <v/>
      </c>
      <c r="I933">
        <f>F933*(1-H933/100)*1.18</f>
        <v/>
      </c>
      <c r="J933">
        <f>הגדרות!C11</f>
        <v/>
      </c>
      <c r="K933">
        <f>הגדרות!D11</f>
        <v/>
      </c>
      <c r="L933">
        <f>I933*(1+J933/100)+K933</f>
        <v/>
      </c>
    </row>
    <row r="934">
      <c r="A934" t="inlineStr">
        <is>
          <t>Monge</t>
        </is>
      </c>
      <c r="B934" t="inlineStr">
        <is>
          <t>מונג חתול קיטן אווז 10 ק"ג BW</t>
        </is>
      </c>
      <c r="C934" t="inlineStr">
        <is>
          <t>BeWild</t>
        </is>
      </c>
      <c r="D934" t="inlineStr">
        <is>
          <t>29000309</t>
        </is>
      </c>
      <c r="E934" t="inlineStr">
        <is>
          <t>2026-07</t>
        </is>
      </c>
      <c r="F934" t="n">
        <v>421</v>
      </c>
      <c r="G934" t="n">
        <v>496.78</v>
      </c>
      <c r="H934">
        <f>הגדרות!B11</f>
        <v/>
      </c>
      <c r="I934">
        <f>F934*(1-H934/100)*1.18</f>
        <v/>
      </c>
      <c r="J934">
        <f>הגדרות!C11</f>
        <v/>
      </c>
      <c r="K934">
        <f>הגדרות!D11</f>
        <v/>
      </c>
      <c r="L934">
        <f>I934*(1+J934/100)+K934</f>
        <v/>
      </c>
    </row>
    <row r="935">
      <c r="A935" t="inlineStr">
        <is>
          <t>Monge</t>
        </is>
      </c>
      <c r="B935" t="inlineStr">
        <is>
          <t>מונג ל.גריין אדולט אווז 12 ק"ג * כלב BW</t>
        </is>
      </c>
      <c r="C935" t="inlineStr">
        <is>
          <t>BeWild</t>
        </is>
      </c>
      <c r="D935" t="inlineStr">
        <is>
          <t>29000270</t>
        </is>
      </c>
      <c r="E935" t="inlineStr">
        <is>
          <t>2026-07</t>
        </is>
      </c>
      <c r="F935" t="n">
        <v>348</v>
      </c>
      <c r="G935" t="n">
        <v>410.64</v>
      </c>
      <c r="H935">
        <f>הגדרות!B11</f>
        <v/>
      </c>
      <c r="I935">
        <f>F935*(1-H935/100)*1.18</f>
        <v/>
      </c>
      <c r="J935">
        <f>הגדרות!C11</f>
        <v/>
      </c>
      <c r="K935">
        <f>הגדרות!D11</f>
        <v/>
      </c>
      <c r="L935">
        <f>I935*(1+J935/100)+K935</f>
        <v/>
      </c>
    </row>
    <row r="936">
      <c r="A936" t="inlineStr">
        <is>
          <t>Monge</t>
        </is>
      </c>
      <c r="B936" t="inlineStr">
        <is>
          <t>מונג ל.גריין אדולט אווז 2.5 ק"ג * כלב BW</t>
        </is>
      </c>
      <c r="C936" t="inlineStr">
        <is>
          <t>BeWild</t>
        </is>
      </c>
      <c r="D936" t="inlineStr">
        <is>
          <t>29000292</t>
        </is>
      </c>
      <c r="E936" t="inlineStr">
        <is>
          <t>2026-07</t>
        </is>
      </c>
      <c r="F936" t="n">
        <v>113</v>
      </c>
      <c r="G936" t="n">
        <v>133.34</v>
      </c>
      <c r="H936">
        <f>הגדרות!B11</f>
        <v/>
      </c>
      <c r="I936">
        <f>F936*(1-H936/100)*1.18</f>
        <v/>
      </c>
      <c r="J936">
        <f>הגדרות!C11</f>
        <v/>
      </c>
      <c r="K936">
        <f>הגדרות!D11</f>
        <v/>
      </c>
      <c r="L936">
        <f>I936*(1+J936/100)+K936</f>
        <v/>
      </c>
    </row>
    <row r="937">
      <c r="A937" t="inlineStr">
        <is>
          <t>Monge</t>
        </is>
      </c>
      <c r="B937" t="inlineStr">
        <is>
          <t>מונג ל.גריין אדולט חזיר בר 12 ק"ג * כלב BW</t>
        </is>
      </c>
      <c r="C937" t="inlineStr">
        <is>
          <t>BeWild</t>
        </is>
      </c>
      <c r="D937" t="inlineStr">
        <is>
          <t>29000269</t>
        </is>
      </c>
      <c r="E937" t="inlineStr">
        <is>
          <t>2026-07</t>
        </is>
      </c>
      <c r="F937" t="n">
        <v>348</v>
      </c>
      <c r="G937" t="n">
        <v>410.64</v>
      </c>
      <c r="H937">
        <f>הגדרות!B11</f>
        <v/>
      </c>
      <c r="I937">
        <f>F937*(1-H937/100)*1.18</f>
        <v/>
      </c>
      <c r="J937">
        <f>הגדרות!C11</f>
        <v/>
      </c>
      <c r="K937">
        <f>הגדרות!D11</f>
        <v/>
      </c>
      <c r="L937">
        <f>I937*(1+J937/100)+K937</f>
        <v/>
      </c>
    </row>
    <row r="938">
      <c r="A938" t="inlineStr">
        <is>
          <t>Monge</t>
        </is>
      </c>
      <c r="B938" t="inlineStr">
        <is>
          <t>מונג ל.גריין אדולט חזיר בר 2.5 ק"ג * כלב BW</t>
        </is>
      </c>
      <c r="C938" t="inlineStr">
        <is>
          <t>BeWild</t>
        </is>
      </c>
      <c r="D938" t="inlineStr">
        <is>
          <t>29000291</t>
        </is>
      </c>
      <c r="E938" t="inlineStr">
        <is>
          <t>2026-07</t>
        </is>
      </c>
      <c r="F938" t="n">
        <v>113</v>
      </c>
      <c r="G938" t="n">
        <v>133.34</v>
      </c>
      <c r="H938">
        <f>הגדרות!B11</f>
        <v/>
      </c>
      <c r="I938">
        <f>F938*(1-H938/100)*1.18</f>
        <v/>
      </c>
      <c r="J938">
        <f>הגדרות!C11</f>
        <v/>
      </c>
      <c r="K938">
        <f>הגדרות!D11</f>
        <v/>
      </c>
      <c r="L938">
        <f>I938*(1+J938/100)+K938</f>
        <v/>
      </c>
    </row>
    <row r="939">
      <c r="A939" t="inlineStr">
        <is>
          <t>Monge</t>
        </is>
      </c>
      <c r="B939" t="inlineStr">
        <is>
          <t>מונג ל.גריין אדולט צבי 12 ק"ג * כלב BW</t>
        </is>
      </c>
      <c r="C939" t="inlineStr">
        <is>
          <t>BeWild</t>
        </is>
      </c>
      <c r="D939" t="inlineStr">
        <is>
          <t>29000271</t>
        </is>
      </c>
      <c r="E939" t="inlineStr">
        <is>
          <t>2026-07</t>
        </is>
      </c>
      <c r="F939" t="n">
        <v>396</v>
      </c>
      <c r="G939" t="n">
        <v>467.28</v>
      </c>
      <c r="H939">
        <f>הגדרות!B11</f>
        <v/>
      </c>
      <c r="I939">
        <f>F939*(1-H939/100)*1.18</f>
        <v/>
      </c>
      <c r="J939">
        <f>הגדרות!C11</f>
        <v/>
      </c>
      <c r="K939">
        <f>הגדרות!D11</f>
        <v/>
      </c>
      <c r="L939">
        <f>I939*(1+J939/100)+K939</f>
        <v/>
      </c>
    </row>
    <row r="940">
      <c r="A940" t="inlineStr">
        <is>
          <t>Monge</t>
        </is>
      </c>
      <c r="B940" t="inlineStr">
        <is>
          <t>מונג ל.גריין אדולט צבי 2.5 ק"ג * כלב BW</t>
        </is>
      </c>
      <c r="C940" t="inlineStr">
        <is>
          <t>BeWild</t>
        </is>
      </c>
      <c r="D940" t="inlineStr">
        <is>
          <t>29000290</t>
        </is>
      </c>
      <c r="E940" t="inlineStr">
        <is>
          <t>2026-07</t>
        </is>
      </c>
      <c r="F940" t="n">
        <v>113</v>
      </c>
      <c r="G940" t="n">
        <v>133.34</v>
      </c>
      <c r="H940">
        <f>הגדרות!B11</f>
        <v/>
      </c>
      <c r="I940">
        <f>F940*(1-H940/100)*1.18</f>
        <v/>
      </c>
      <c r="J940">
        <f>הגדרות!C11</f>
        <v/>
      </c>
      <c r="K940">
        <f>הגדרות!D11</f>
        <v/>
      </c>
      <c r="L940">
        <f>I940*(1+J940/100)+K940</f>
        <v/>
      </c>
    </row>
    <row r="941">
      <c r="A941" t="inlineStr">
        <is>
          <t>Monge</t>
        </is>
      </c>
      <c r="B941" t="inlineStr">
        <is>
          <t>מונג ל.גריין פפי צבי 12 ק"ג * כלב BW</t>
        </is>
      </c>
      <c r="C941" t="inlineStr">
        <is>
          <t>BeWild</t>
        </is>
      </c>
      <c r="D941" t="inlineStr">
        <is>
          <t>29000272</t>
        </is>
      </c>
      <c r="E941" t="inlineStr">
        <is>
          <t>2026-07</t>
        </is>
      </c>
      <c r="F941" t="n">
        <v>401</v>
      </c>
      <c r="G941" t="n">
        <v>473.18</v>
      </c>
      <c r="H941">
        <f>הגדרות!B11</f>
        <v/>
      </c>
      <c r="I941">
        <f>F941*(1-H941/100)*1.18</f>
        <v/>
      </c>
      <c r="J941">
        <f>הגדרות!C11</f>
        <v/>
      </c>
      <c r="K941">
        <f>הגדרות!D11</f>
        <v/>
      </c>
      <c r="L941">
        <f>I941*(1+J941/100)+K941</f>
        <v/>
      </c>
    </row>
    <row r="942">
      <c r="A942" t="inlineStr">
        <is>
          <t>Monge</t>
        </is>
      </c>
      <c r="B942" t="inlineStr">
        <is>
          <t>מונג ל.גריין פפי צבי 2.5 ק"ג * כלב BW</t>
        </is>
      </c>
      <c r="C942" t="inlineStr">
        <is>
          <t>BeWild</t>
        </is>
      </c>
      <c r="D942" t="inlineStr">
        <is>
          <t>29000289</t>
        </is>
      </c>
      <c r="E942" t="inlineStr">
        <is>
          <t>2026-07</t>
        </is>
      </c>
      <c r="F942" t="n">
        <v>113</v>
      </c>
      <c r="G942" t="n">
        <v>133.34</v>
      </c>
      <c r="H942">
        <f>הגדרות!B11</f>
        <v/>
      </c>
      <c r="I942">
        <f>F942*(1-H942/100)*1.18</f>
        <v/>
      </c>
      <c r="J942">
        <f>הגדרות!C11</f>
        <v/>
      </c>
      <c r="K942">
        <f>הגדרות!D11</f>
        <v/>
      </c>
      <c r="L942">
        <f>I942*(1+J942/100)+K942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2026-08-26T11:35:58Z</dcterms:created>
  <dcterms:modified xmlns:dcterms="http://purl.org/dc/terms/" xmlns:xsi="http://www.w3.org/2001/XMLSchema-instance" xsi:type="dcterms:W3CDTF">2026-08-26T11:35:58Z</dcterms:modified>
</cp:coreProperties>
</file>