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הגדרות" sheetId="1" state="visible" r:id="rId1"/>
    <sheet xmlns:r="http://schemas.openxmlformats.org/officeDocument/2006/relationships" name="מוצרים ותרופו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ספק</t>
        </is>
      </c>
      <c r="B1" s="1" t="inlineStr">
        <is>
          <t>ההנחה שלי %</t>
        </is>
      </c>
      <c r="C1" s="1" t="inlineStr">
        <is>
          <t>מרווח %</t>
        </is>
      </c>
      <c r="D1" s="1" t="inlineStr">
        <is>
          <t>מרווח ₪ קבוע</t>
        </is>
      </c>
    </row>
    <row r="2">
      <c r="A2" t="inlineStr">
        <is>
          <t>בית ארז (מילטין)</t>
        </is>
      </c>
      <c r="B2" t="n">
        <v>0</v>
      </c>
      <c r="C2" t="n">
        <v>0</v>
      </c>
      <c r="D2" t="n">
        <v>0</v>
      </c>
    </row>
    <row r="3">
      <c r="A3" t="inlineStr">
        <is>
          <t>MSD (ברווקטו)</t>
        </is>
      </c>
      <c r="B3" t="n">
        <v>0</v>
      </c>
      <c r="C3" t="n">
        <v>0</v>
      </c>
      <c r="D3" t="n">
        <v>0</v>
      </c>
    </row>
    <row r="4">
      <c r="A4" t="inlineStr">
        <is>
          <t>בית ארז — ציוד מתכלה</t>
        </is>
      </c>
      <c r="B4" t="n">
        <v>0</v>
      </c>
      <c r="C4" t="n">
        <v>0</v>
      </c>
      <c r="D4" t="n">
        <v>0</v>
      </c>
    </row>
    <row r="5">
      <c r="A5" t="inlineStr">
        <is>
          <t>זואטיס (Zoetis)</t>
        </is>
      </c>
      <c r="B5" t="n">
        <v>0</v>
      </c>
      <c r="C5" t="n">
        <v>0</v>
      </c>
      <c r="D5" t="n">
        <v>0</v>
      </c>
    </row>
    <row r="6">
      <c r="A6" t="inlineStr">
        <is>
          <t>וטמרקט</t>
        </is>
      </c>
      <c r="B6" t="n">
        <v>0</v>
      </c>
      <c r="C6" t="n">
        <v>0</v>
      </c>
      <c r="D6" t="n">
        <v>0</v>
      </c>
    </row>
    <row r="7">
      <c r="A7" t="inlineStr">
        <is>
          <t>מדי-מרקט</t>
        </is>
      </c>
      <c r="B7" t="n">
        <v>0</v>
      </c>
      <c r="C7" t="n">
        <v>0</v>
      </c>
      <c r="D7" t="n">
        <v>0</v>
      </c>
    </row>
    <row r="8">
      <c r="A8" t="inlineStr">
        <is>
          <t>פט-וט ביומד</t>
        </is>
      </c>
      <c r="B8" t="n">
        <v>0</v>
      </c>
      <c r="C8" t="n">
        <v>0</v>
      </c>
      <c r="D8" t="n">
        <v>0</v>
      </c>
    </row>
    <row r="10">
      <c r="A10" t="inlineStr">
        <is>
          <t>נוסחה: עלות = מחיר ללא מע"מ × (1 − הנחה) × 1.18 ; מחיר ללקוח = עלות × (1 + מרווח %) + מרווח ₪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93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20" customWidth="1" min="3" max="3"/>
    <col width="12" customWidth="1" min="4" max="4"/>
    <col width="12" customWidth="1" min="5" max="5"/>
    <col width="14" customWidth="1" min="6" max="6"/>
    <col width="14" customWidth="1" min="7" max="7"/>
    <col width="9" customWidth="1" min="8" max="8"/>
    <col width="18" customWidth="1" min="9" max="9"/>
    <col width="9" customWidth="1" min="10" max="10"/>
    <col width="9" customWidth="1" min="11" max="11"/>
    <col width="14" customWidth="1" min="12" max="12"/>
  </cols>
  <sheetData>
    <row r="1">
      <c r="A1" s="2" t="inlineStr">
        <is>
          <t>ספק</t>
        </is>
      </c>
      <c r="B1" s="2" t="inlineStr">
        <is>
          <t>פריט</t>
        </is>
      </c>
      <c r="C1" s="2" t="inlineStr">
        <is>
          <t>קטגוריה</t>
        </is>
      </c>
      <c r="D1" s="2" t="inlineStr">
        <is>
          <t>מק"ט</t>
        </is>
      </c>
      <c r="E1" s="2" t="inlineStr">
        <is>
          <t>תאריך מחירון</t>
        </is>
      </c>
      <c r="F1" s="2" t="inlineStr">
        <is>
          <t>מחיר ללא מע"מ</t>
        </is>
      </c>
      <c r="G1" s="2" t="inlineStr">
        <is>
          <t>מחיר כולל מע"מ</t>
        </is>
      </c>
      <c r="H1" s="2" t="inlineStr">
        <is>
          <t>הנחה %</t>
        </is>
      </c>
      <c r="I1" s="2" t="inlineStr">
        <is>
          <t>עלות אחרי הנחה (כולל מע"מ)</t>
        </is>
      </c>
      <c r="J1" s="2" t="inlineStr">
        <is>
          <t>מרווח %</t>
        </is>
      </c>
      <c r="K1" s="2" t="inlineStr">
        <is>
          <t>מרווח ₪</t>
        </is>
      </c>
      <c r="L1" s="2" t="inlineStr">
        <is>
          <t>מחיר ללקוח</t>
        </is>
      </c>
    </row>
    <row r="2">
      <c r="A2" t="inlineStr">
        <is>
          <t>בית ארז (מילטין)</t>
        </is>
      </c>
      <c r="B2" t="inlineStr">
        <is>
          <t>נקסגארד קומבו לחתול עד 2.5 ק"ג (S)</t>
        </is>
      </c>
      <c r="C2" t="inlineStr">
        <is>
          <t>הדברה</t>
        </is>
      </c>
      <c r="E2" t="inlineStr">
        <is>
          <t>2026-07</t>
        </is>
      </c>
      <c r="F2" t="n">
        <v>183</v>
      </c>
      <c r="G2" t="n">
        <v>215.94</v>
      </c>
      <c r="H2">
        <f>הגדרות!B2</f>
        <v/>
      </c>
      <c r="I2">
        <f>F2*(1-H2/100)*1.18</f>
        <v/>
      </c>
      <c r="J2">
        <f>הגדרות!C2</f>
        <v/>
      </c>
      <c r="K2">
        <f>הגדרות!D2</f>
        <v/>
      </c>
      <c r="L2">
        <f>I2*(1+J2/100)+K2</f>
        <v/>
      </c>
    </row>
    <row r="3">
      <c r="A3" t="inlineStr">
        <is>
          <t>בית ארז (מילטין)</t>
        </is>
      </c>
      <c r="B3" t="inlineStr">
        <is>
          <t>נקסגארד קומבו לחתול 2.5-7.5 ק"ג (L)</t>
        </is>
      </c>
      <c r="C3" t="inlineStr">
        <is>
          <t>הדברה</t>
        </is>
      </c>
      <c r="E3" t="inlineStr">
        <is>
          <t>2026-07</t>
        </is>
      </c>
      <c r="F3" t="n">
        <v>195</v>
      </c>
      <c r="G3" t="n">
        <v>230.1</v>
      </c>
      <c r="H3">
        <f>הגדרות!B2</f>
        <v/>
      </c>
      <c r="I3">
        <f>F3*(1-H3/100)*1.18</f>
        <v/>
      </c>
      <c r="J3">
        <f>הגדרות!C2</f>
        <v/>
      </c>
      <c r="K3">
        <f>הגדרות!D2</f>
        <v/>
      </c>
      <c r="L3">
        <f>I3*(1+J3/100)+K3</f>
        <v/>
      </c>
    </row>
    <row r="4">
      <c r="A4" t="inlineStr">
        <is>
          <t>בית ארז (מילטין)</t>
        </is>
      </c>
      <c r="B4" t="inlineStr">
        <is>
          <t>נקסגארד 2-4 ק"ג (S)</t>
        </is>
      </c>
      <c r="C4" t="inlineStr">
        <is>
          <t>הדברה</t>
        </is>
      </c>
      <c r="E4" t="inlineStr">
        <is>
          <t>2026-07</t>
        </is>
      </c>
      <c r="F4" t="n">
        <v>155</v>
      </c>
      <c r="G4" t="n">
        <v>182.9</v>
      </c>
      <c r="H4">
        <f>הגדרות!B2</f>
        <v/>
      </c>
      <c r="I4">
        <f>F4*(1-H4/100)*1.18</f>
        <v/>
      </c>
      <c r="J4">
        <f>הגדרות!C2</f>
        <v/>
      </c>
      <c r="K4">
        <f>הגדרות!D2</f>
        <v/>
      </c>
      <c r="L4">
        <f>I4*(1+J4/100)+K4</f>
        <v/>
      </c>
    </row>
    <row r="5">
      <c r="A5" t="inlineStr">
        <is>
          <t>בית ארז (מילטין)</t>
        </is>
      </c>
      <c r="B5" t="inlineStr">
        <is>
          <t>נקסגארד 4-10 ק"ג (M)</t>
        </is>
      </c>
      <c r="C5" t="inlineStr">
        <is>
          <t>הדברה</t>
        </is>
      </c>
      <c r="E5" t="inlineStr">
        <is>
          <t>2026-07</t>
        </is>
      </c>
      <c r="F5" t="n">
        <v>178</v>
      </c>
      <c r="G5" t="n">
        <v>210.04</v>
      </c>
      <c r="H5">
        <f>הגדרות!B2</f>
        <v/>
      </c>
      <c r="I5">
        <f>F5*(1-H5/100)*1.18</f>
        <v/>
      </c>
      <c r="J5">
        <f>הגדרות!C2</f>
        <v/>
      </c>
      <c r="K5">
        <f>הגדרות!D2</f>
        <v/>
      </c>
      <c r="L5">
        <f>I5*(1+J5/100)+K5</f>
        <v/>
      </c>
    </row>
    <row r="6">
      <c r="A6" t="inlineStr">
        <is>
          <t>בית ארז (מילטין)</t>
        </is>
      </c>
      <c r="B6" t="inlineStr">
        <is>
          <t>נקסגארד 10-25 ק"ג (L)</t>
        </is>
      </c>
      <c r="C6" t="inlineStr">
        <is>
          <t>הדברה</t>
        </is>
      </c>
      <c r="E6" t="inlineStr">
        <is>
          <t>2026-07</t>
        </is>
      </c>
      <c r="F6" t="n">
        <v>185</v>
      </c>
      <c r="G6" t="n">
        <v>218.3</v>
      </c>
      <c r="H6">
        <f>הגדרות!B2</f>
        <v/>
      </c>
      <c r="I6">
        <f>F6*(1-H6/100)*1.18</f>
        <v/>
      </c>
      <c r="J6">
        <f>הגדרות!C2</f>
        <v/>
      </c>
      <c r="K6">
        <f>הגדרות!D2</f>
        <v/>
      </c>
      <c r="L6">
        <f>I6*(1+J6/100)+K6</f>
        <v/>
      </c>
    </row>
    <row r="7">
      <c r="A7" t="inlineStr">
        <is>
          <t>בית ארז (מילטין)</t>
        </is>
      </c>
      <c r="B7" t="inlineStr">
        <is>
          <t>נקסגארד 25-50 ק"ג (XL)</t>
        </is>
      </c>
      <c r="C7" t="inlineStr">
        <is>
          <t>הדברה</t>
        </is>
      </c>
      <c r="E7" t="inlineStr">
        <is>
          <t>2026-07</t>
        </is>
      </c>
      <c r="F7" t="n">
        <v>214</v>
      </c>
      <c r="G7" t="n">
        <v>252.52</v>
      </c>
      <c r="H7">
        <f>הגדרות!B2</f>
        <v/>
      </c>
      <c r="I7">
        <f>F7*(1-H7/100)*1.18</f>
        <v/>
      </c>
      <c r="J7">
        <f>הגדרות!C2</f>
        <v/>
      </c>
      <c r="K7">
        <f>הגדרות!D2</f>
        <v/>
      </c>
      <c r="L7">
        <f>I7*(1+J7/100)+K7</f>
        <v/>
      </c>
    </row>
    <row r="8">
      <c r="A8" t="inlineStr">
        <is>
          <t>בית ארז (מילטין)</t>
        </is>
      </c>
      <c r="B8" t="inlineStr">
        <is>
          <t>נקסגארד ספקטרה 2-3.5 ק"ג (XS)</t>
        </is>
      </c>
      <c r="C8" t="inlineStr">
        <is>
          <t>הדברה</t>
        </is>
      </c>
      <c r="E8" t="inlineStr">
        <is>
          <t>2026-07</t>
        </is>
      </c>
      <c r="F8" t="n">
        <v>174</v>
      </c>
      <c r="G8" t="n">
        <v>205.32</v>
      </c>
      <c r="H8">
        <f>הגדרות!B2</f>
        <v/>
      </c>
      <c r="I8">
        <f>F8*(1-H8/100)*1.18</f>
        <v/>
      </c>
      <c r="J8">
        <f>הגדרות!C2</f>
        <v/>
      </c>
      <c r="K8">
        <f>הגדרות!D2</f>
        <v/>
      </c>
      <c r="L8">
        <f>I8*(1+J8/100)+K8</f>
        <v/>
      </c>
    </row>
    <row r="9">
      <c r="A9" t="inlineStr">
        <is>
          <t>בית ארז (מילטין)</t>
        </is>
      </c>
      <c r="B9" t="inlineStr">
        <is>
          <t>נקסגארד ספקטרה 3.5-7.5 ק"ג (S)</t>
        </is>
      </c>
      <c r="C9" t="inlineStr">
        <is>
          <t>הדברה</t>
        </is>
      </c>
      <c r="E9" t="inlineStr">
        <is>
          <t>2026-07</t>
        </is>
      </c>
      <c r="F9" t="n">
        <v>186</v>
      </c>
      <c r="G9" t="n">
        <v>219.48</v>
      </c>
      <c r="H9">
        <f>הגדרות!B2</f>
        <v/>
      </c>
      <c r="I9">
        <f>F9*(1-H9/100)*1.18</f>
        <v/>
      </c>
      <c r="J9">
        <f>הגדרות!C2</f>
        <v/>
      </c>
      <c r="K9">
        <f>הגדרות!D2</f>
        <v/>
      </c>
      <c r="L9">
        <f>I9*(1+J9/100)+K9</f>
        <v/>
      </c>
    </row>
    <row r="10">
      <c r="A10" t="inlineStr">
        <is>
          <t>בית ארז (מילטין)</t>
        </is>
      </c>
      <c r="B10" t="inlineStr">
        <is>
          <t>נקסגארד ספקטרה 7.5-15 ק"ג (M)</t>
        </is>
      </c>
      <c r="C10" t="inlineStr">
        <is>
          <t>הדברה</t>
        </is>
      </c>
      <c r="E10" t="inlineStr">
        <is>
          <t>2026-07</t>
        </is>
      </c>
      <c r="F10" t="n">
        <v>225</v>
      </c>
      <c r="G10" t="n">
        <v>265.5</v>
      </c>
      <c r="H10">
        <f>הגדרות!B2</f>
        <v/>
      </c>
      <c r="I10">
        <f>F10*(1-H10/100)*1.18</f>
        <v/>
      </c>
      <c r="J10">
        <f>הגדרות!C2</f>
        <v/>
      </c>
      <c r="K10">
        <f>הגדרות!D2</f>
        <v/>
      </c>
      <c r="L10">
        <f>I10*(1+J10/100)+K10</f>
        <v/>
      </c>
    </row>
    <row r="11">
      <c r="A11" t="inlineStr">
        <is>
          <t>בית ארז (מילטין)</t>
        </is>
      </c>
      <c r="B11" t="inlineStr">
        <is>
          <t>נקסגארד ספקטרה 15-30 ק"ג (L)</t>
        </is>
      </c>
      <c r="C11" t="inlineStr">
        <is>
          <t>הדברה</t>
        </is>
      </c>
      <c r="E11" t="inlineStr">
        <is>
          <t>2026-07</t>
        </is>
      </c>
      <c r="F11" t="n">
        <v>248</v>
      </c>
      <c r="G11" t="n">
        <v>292.64</v>
      </c>
      <c r="H11">
        <f>הגדרות!B2</f>
        <v/>
      </c>
      <c r="I11">
        <f>F11*(1-H11/100)*1.18</f>
        <v/>
      </c>
      <c r="J11">
        <f>הגדרות!C2</f>
        <v/>
      </c>
      <c r="K11">
        <f>הגדרות!D2</f>
        <v/>
      </c>
      <c r="L11">
        <f>I11*(1+J11/100)+K11</f>
        <v/>
      </c>
    </row>
    <row r="12">
      <c r="A12" t="inlineStr">
        <is>
          <t>בית ארז (מילטין)</t>
        </is>
      </c>
      <c r="B12" t="inlineStr">
        <is>
          <t>נקסגארד ספקטרה 30-60 ק"ג (XL)</t>
        </is>
      </c>
      <c r="C12" t="inlineStr">
        <is>
          <t>הדברה</t>
        </is>
      </c>
      <c r="E12" t="inlineStr">
        <is>
          <t>2026-07</t>
        </is>
      </c>
      <c r="F12" t="n">
        <v>271</v>
      </c>
      <c r="G12" t="n">
        <v>319.78</v>
      </c>
      <c r="H12">
        <f>הגדרות!B2</f>
        <v/>
      </c>
      <c r="I12">
        <f>F12*(1-H12/100)*1.18</f>
        <v/>
      </c>
      <c r="J12">
        <f>הגדרות!C2</f>
        <v/>
      </c>
      <c r="K12">
        <f>הגדרות!D2</f>
        <v/>
      </c>
      <c r="L12">
        <f>I12*(1+J12/100)+K12</f>
        <v/>
      </c>
    </row>
    <row r="13">
      <c r="A13" t="inlineStr">
        <is>
          <t>בית ארז (מילטין)</t>
        </is>
      </c>
      <c r="B13" t="inlineStr">
        <is>
          <t>תרכיב Purevax RCP פיורווקס משולש 10 - יח' של מנה</t>
        </is>
      </c>
      <c r="C13" t="inlineStr">
        <is>
          <t>חיסונים</t>
        </is>
      </c>
      <c r="E13" t="inlineStr">
        <is>
          <t>2026-07</t>
        </is>
      </c>
      <c r="F13" t="n">
        <v>320</v>
      </c>
      <c r="G13" t="n">
        <v>377.6</v>
      </c>
      <c r="H13">
        <f>הגדרות!B2</f>
        <v/>
      </c>
      <c r="I13">
        <f>F13*(1-H13/100)*1.18</f>
        <v/>
      </c>
      <c r="J13">
        <f>הגדרות!C2</f>
        <v/>
      </c>
      <c r="K13">
        <f>הגדרות!D2</f>
        <v/>
      </c>
      <c r="L13">
        <f>I13*(1+J13/100)+K13</f>
        <v/>
      </c>
    </row>
    <row r="14">
      <c r="A14" t="inlineStr">
        <is>
          <t>בית ארז (מילטין)</t>
        </is>
      </c>
      <c r="B14" t="inlineStr">
        <is>
          <t>תרכיב Purevax RCPCH פיורוקס מרובע 10 - יח' של מנה</t>
        </is>
      </c>
      <c r="C14" t="inlineStr">
        <is>
          <t>חיסונים</t>
        </is>
      </c>
      <c r="E14" t="inlineStr">
        <is>
          <t>2026-07</t>
        </is>
      </c>
      <c r="F14" t="n">
        <v>400</v>
      </c>
      <c r="G14" t="n">
        <v>472</v>
      </c>
      <c r="H14">
        <f>הגדרות!B2</f>
        <v/>
      </c>
      <c r="I14">
        <f>F14*(1-H14/100)*1.18</f>
        <v/>
      </c>
      <c r="J14">
        <f>הגדרות!C2</f>
        <v/>
      </c>
      <c r="K14">
        <f>הגדרות!D2</f>
        <v/>
      </c>
      <c r="L14">
        <f>I14*(1+J14/100)+K14</f>
        <v/>
      </c>
    </row>
    <row r="15">
      <c r="A15" t="inlineStr">
        <is>
          <t>בית ארז (מילטין)</t>
        </is>
      </c>
      <c r="B15" t="inlineStr">
        <is>
          <t>תרכיב Purevax Rabies פיורוקס כלבת 10 - יח' של מנה</t>
        </is>
      </c>
      <c r="C15" t="inlineStr">
        <is>
          <t>חיסונים</t>
        </is>
      </c>
      <c r="E15" t="inlineStr">
        <is>
          <t>2026-07</t>
        </is>
      </c>
      <c r="F15" t="n">
        <v>300</v>
      </c>
      <c r="G15" t="n">
        <v>354</v>
      </c>
      <c r="H15">
        <f>הגדרות!B2</f>
        <v/>
      </c>
      <c r="I15">
        <f>F15*(1-H15/100)*1.18</f>
        <v/>
      </c>
      <c r="J15">
        <f>הגדרות!C2</f>
        <v/>
      </c>
      <c r="K15">
        <f>הגדרות!D2</f>
        <v/>
      </c>
      <c r="L15">
        <f>I15*(1+J15/100)+K15</f>
        <v/>
      </c>
    </row>
    <row r="16">
      <c r="A16" t="inlineStr">
        <is>
          <t>בית ארז (מילטין)</t>
        </is>
      </c>
      <c r="B16" t="inlineStr">
        <is>
          <t>תרכיב Primodog פרימודוג 10 - יח' של מנה</t>
        </is>
      </c>
      <c r="C16" t="inlineStr">
        <is>
          <t>חיסונים</t>
        </is>
      </c>
      <c r="E16" t="inlineStr">
        <is>
          <t>2026-07</t>
        </is>
      </c>
      <c r="F16" t="n">
        <v>310</v>
      </c>
      <c r="G16" t="n">
        <v>365.8</v>
      </c>
      <c r="H16">
        <f>הגדרות!B2</f>
        <v/>
      </c>
      <c r="I16">
        <f>F16*(1-H16/100)*1.18</f>
        <v/>
      </c>
      <c r="J16">
        <f>הגדרות!C2</f>
        <v/>
      </c>
      <c r="K16">
        <f>הגדרות!D2</f>
        <v/>
      </c>
      <c r="L16">
        <f>I16*(1+J16/100)+K16</f>
        <v/>
      </c>
    </row>
    <row r="17">
      <c r="A17" t="inlineStr">
        <is>
          <t>בית ארז (מילטין)</t>
        </is>
      </c>
      <c r="B17" t="inlineStr">
        <is>
          <t>תרכיב Recombitek C8 רקומביטק 25 - יח' של מנה</t>
        </is>
      </c>
      <c r="C17" t="inlineStr">
        <is>
          <t>חיסונים</t>
        </is>
      </c>
      <c r="E17" t="inlineStr">
        <is>
          <t>2026-07</t>
        </is>
      </c>
      <c r="F17" t="n">
        <v>600</v>
      </c>
      <c r="G17" t="n">
        <v>708</v>
      </c>
      <c r="H17">
        <f>הגדרות!B2</f>
        <v/>
      </c>
      <c r="I17">
        <f>F17*(1-H17/100)*1.18</f>
        <v/>
      </c>
      <c r="J17">
        <f>הגדרות!C2</f>
        <v/>
      </c>
      <c r="K17">
        <f>הגדרות!D2</f>
        <v/>
      </c>
      <c r="L17">
        <f>I17*(1+J17/100)+K17</f>
        <v/>
      </c>
    </row>
    <row r="18">
      <c r="A18" t="inlineStr">
        <is>
          <t>בית ארז (מילטין)</t>
        </is>
      </c>
      <c r="B18" t="inlineStr">
        <is>
          <t>קאניוורם פסטה תילוע 10 מ"ל Caniverm -</t>
        </is>
      </c>
      <c r="C18" t="inlineStr">
        <is>
          <t>תילוע</t>
        </is>
      </c>
      <c r="E18" t="inlineStr">
        <is>
          <t>2026-07</t>
        </is>
      </c>
      <c r="F18" t="n">
        <v>79</v>
      </c>
      <c r="G18" t="n">
        <v>93.22</v>
      </c>
      <c r="H18">
        <f>הגדרות!B2</f>
        <v/>
      </c>
      <c r="I18">
        <f>F18*(1-H18/100)*1.18</f>
        <v/>
      </c>
      <c r="J18">
        <f>הגדרות!C2</f>
        <v/>
      </c>
      <c r="K18">
        <f>הגדרות!D2</f>
        <v/>
      </c>
      <c r="L18">
        <f>I18*(1+J18/100)+K18</f>
        <v/>
      </c>
    </row>
    <row r="19">
      <c r="A19" t="inlineStr">
        <is>
          <t>בית ארז (מילטין)</t>
        </is>
      </c>
      <c r="B19" t="inlineStr">
        <is>
          <t>דולפאק 60) 10 טבליות)</t>
        </is>
      </c>
      <c r="C19" t="inlineStr">
        <is>
          <t>תילוע</t>
        </is>
      </c>
      <c r="E19" t="inlineStr">
        <is>
          <t>2026-07</t>
        </is>
      </c>
      <c r="F19" t="n">
        <v>240</v>
      </c>
      <c r="G19" t="n">
        <v>283.2</v>
      </c>
      <c r="H19">
        <f>הגדרות!B2</f>
        <v/>
      </c>
      <c r="I19">
        <f>F19*(1-H19/100)*1.18</f>
        <v/>
      </c>
      <c r="J19">
        <f>הגדרות!C2</f>
        <v/>
      </c>
      <c r="K19">
        <f>הגדרות!D2</f>
        <v/>
      </c>
      <c r="L19">
        <f>I19*(1+J19/100)+K19</f>
        <v/>
      </c>
    </row>
    <row r="20">
      <c r="A20" t="inlineStr">
        <is>
          <t>בית ארז (מילטין)</t>
        </is>
      </c>
      <c r="B20" t="inlineStr">
        <is>
          <t>דולפאק 60) 25 טבליות)</t>
        </is>
      </c>
      <c r="C20" t="inlineStr">
        <is>
          <t>תילוע</t>
        </is>
      </c>
      <c r="E20" t="inlineStr">
        <is>
          <t>2026-07</t>
        </is>
      </c>
      <c r="F20" t="n">
        <v>570</v>
      </c>
      <c r="G20" t="n">
        <v>672.6</v>
      </c>
      <c r="H20">
        <f>הגדרות!B2</f>
        <v/>
      </c>
      <c r="I20">
        <f>F20*(1-H20/100)*1.18</f>
        <v/>
      </c>
      <c r="J20">
        <f>הגדרות!C2</f>
        <v/>
      </c>
      <c r="K20">
        <f>הגדרות!D2</f>
        <v/>
      </c>
      <c r="L20">
        <f>I20*(1+J20/100)+K20</f>
        <v/>
      </c>
    </row>
    <row r="21">
      <c r="A21" t="inlineStr">
        <is>
          <t>בית ארז (מילטין)</t>
        </is>
      </c>
      <c r="B21" t="inlineStr">
        <is>
          <t>קלמיווט להזרקה 50 - מ"ל</t>
        </is>
      </c>
      <c r="C21" t="inlineStr">
        <is>
          <t>הרדמה</t>
        </is>
      </c>
      <c r="E21" t="inlineStr">
        <is>
          <t>2026-07</t>
        </is>
      </c>
      <c r="F21" t="n">
        <v>50</v>
      </c>
      <c r="G21" t="n">
        <v>59</v>
      </c>
      <c r="H21">
        <f>הגדרות!B2</f>
        <v/>
      </c>
      <c r="I21">
        <f>F21*(1-H21/100)*1.18</f>
        <v/>
      </c>
      <c r="J21">
        <f>הגדרות!C2</f>
        <v/>
      </c>
      <c r="K21">
        <f>הגדרות!D2</f>
        <v/>
      </c>
      <c r="L21">
        <f>I21*(1+J21/100)+K21</f>
        <v/>
      </c>
    </row>
    <row r="22">
      <c r="A22" t="inlineStr">
        <is>
          <t>בית ארז (מילטין)</t>
        </is>
      </c>
      <c r="B22" t="inlineStr">
        <is>
          <t>מורפסול (בוטרפנול 20 - (1% מ"ל</t>
        </is>
      </c>
      <c r="C22" t="inlineStr">
        <is>
          <t>הרדמה</t>
        </is>
      </c>
      <c r="E22" t="inlineStr">
        <is>
          <t>2026-07</t>
        </is>
      </c>
      <c r="F22" t="n">
        <v>335</v>
      </c>
      <c r="G22" t="n">
        <v>395.3</v>
      </c>
      <c r="H22">
        <f>הגדרות!B2</f>
        <v/>
      </c>
      <c r="I22">
        <f>F22*(1-H22/100)*1.18</f>
        <v/>
      </c>
      <c r="J22">
        <f>הגדרות!C2</f>
        <v/>
      </c>
      <c r="K22">
        <f>הגדרות!D2</f>
        <v/>
      </c>
      <c r="L22">
        <f>I22*(1+J22/100)+K22</f>
        <v/>
      </c>
    </row>
    <row r="23">
      <c r="A23" t="inlineStr">
        <is>
          <t>בית ארז (מילטין)</t>
        </is>
      </c>
      <c r="B23" t="inlineStr">
        <is>
          <t>סדקסילאן (קסילזין 25 (2% מ"ל</t>
        </is>
      </c>
      <c r="C23" t="inlineStr">
        <is>
          <t>הרדמה</t>
        </is>
      </c>
      <c r="E23" t="inlineStr">
        <is>
          <t>2026-07</t>
        </is>
      </c>
      <c r="F23" t="n">
        <v>140</v>
      </c>
      <c r="G23" t="n">
        <v>165.2</v>
      </c>
      <c r="H23">
        <f>הגדרות!B2</f>
        <v/>
      </c>
      <c r="I23">
        <f>F23*(1-H23/100)*1.18</f>
        <v/>
      </c>
      <c r="J23">
        <f>הגדרות!C2</f>
        <v/>
      </c>
      <c r="K23">
        <f>הגדרות!D2</f>
        <v/>
      </c>
      <c r="L23">
        <f>I23*(1+J23/100)+K23</f>
        <v/>
      </c>
    </row>
    <row r="24">
      <c r="A24" t="inlineStr">
        <is>
          <t>בית ארז (מילטין)</t>
        </is>
      </c>
      <c r="B24" t="inlineStr">
        <is>
          <t>פרופופול ליפורו 20 - 1% מ"ל 5 - אמפולות</t>
        </is>
      </c>
      <c r="C24" t="inlineStr">
        <is>
          <t>הרדמה</t>
        </is>
      </c>
      <c r="E24" t="inlineStr">
        <is>
          <t>2026-07</t>
        </is>
      </c>
      <c r="F24" t="n">
        <v>45</v>
      </c>
      <c r="G24" t="n">
        <v>53.1</v>
      </c>
      <c r="H24">
        <f>הגדרות!B2</f>
        <v/>
      </c>
      <c r="I24">
        <f>F24*(1-H24/100)*1.18</f>
        <v/>
      </c>
      <c r="J24">
        <f>הגדרות!C2</f>
        <v/>
      </c>
      <c r="K24">
        <f>הגדרות!D2</f>
        <v/>
      </c>
      <c r="L24">
        <f>I24*(1+J24/100)+K24</f>
        <v/>
      </c>
    </row>
    <row r="25">
      <c r="A25" t="inlineStr">
        <is>
          <t>בית ארז (מילטין)</t>
        </is>
      </c>
      <c r="B25" t="inlineStr">
        <is>
          <t>פרופופול ליפורו 50 - 2% מ"ל</t>
        </is>
      </c>
      <c r="C25" t="inlineStr">
        <is>
          <t>הרדמה</t>
        </is>
      </c>
      <c r="E25" t="inlineStr">
        <is>
          <t>2026-07</t>
        </is>
      </c>
      <c r="F25" t="n">
        <v>32</v>
      </c>
      <c r="G25" t="n">
        <v>37.76</v>
      </c>
      <c r="H25">
        <f>הגדרות!B2</f>
        <v/>
      </c>
      <c r="I25">
        <f>F25*(1-H25/100)*1.18</f>
        <v/>
      </c>
      <c r="J25">
        <f>הגדרות!C2</f>
        <v/>
      </c>
      <c r="K25">
        <f>הגדרות!D2</f>
        <v/>
      </c>
      <c r="L25">
        <f>I25*(1+J25/100)+K25</f>
        <v/>
      </c>
    </row>
    <row r="26">
      <c r="A26" t="inlineStr">
        <is>
          <t>בית ארז (מילטין)</t>
        </is>
      </c>
      <c r="B26" t="inlineStr">
        <is>
          <t>Lidocaine לידוקאין 10 - 1% מ"ל 20 - יח'</t>
        </is>
      </c>
      <c r="C26" t="inlineStr">
        <is>
          <t>הרדמה</t>
        </is>
      </c>
      <c r="E26" t="inlineStr">
        <is>
          <t>2026-07</t>
        </is>
      </c>
      <c r="F26" t="n">
        <v>40</v>
      </c>
      <c r="G26" t="n">
        <v>47.2</v>
      </c>
      <c r="H26">
        <f>הגדרות!B2</f>
        <v/>
      </c>
      <c r="I26">
        <f>F26*(1-H26/100)*1.18</f>
        <v/>
      </c>
      <c r="J26">
        <f>הגדרות!C2</f>
        <v/>
      </c>
      <c r="K26">
        <f>הגדרות!D2</f>
        <v/>
      </c>
      <c r="L26">
        <f>I26*(1+J26/100)+K26</f>
        <v/>
      </c>
    </row>
    <row r="27">
      <c r="A27" t="inlineStr">
        <is>
          <t>בית ארז (מילטין)</t>
        </is>
      </c>
      <c r="B27" t="inlineStr">
        <is>
          <t>Lidocaine לידוקאין 10 - 2% מ"ל 20 - יח'</t>
        </is>
      </c>
      <c r="C27" t="inlineStr">
        <is>
          <t>הרדמה</t>
        </is>
      </c>
      <c r="E27" t="inlineStr">
        <is>
          <t>2026-07</t>
        </is>
      </c>
      <c r="F27" t="n">
        <v>50</v>
      </c>
      <c r="G27" t="n">
        <v>59</v>
      </c>
      <c r="H27">
        <f>הגדרות!B2</f>
        <v/>
      </c>
      <c r="I27">
        <f>F27*(1-H27/100)*1.18</f>
        <v/>
      </c>
      <c r="J27">
        <f>הגדרות!C2</f>
        <v/>
      </c>
      <c r="K27">
        <f>הגדרות!D2</f>
        <v/>
      </c>
      <c r="L27">
        <f>I27*(1+J27/100)+K27</f>
        <v/>
      </c>
    </row>
    <row r="28">
      <c r="A28" t="inlineStr">
        <is>
          <t>בית ארז (מילטין)</t>
        </is>
      </c>
      <c r="B28" t="inlineStr">
        <is>
          <t>קלמג'ין 50% להזרקה 100 - מ"ל</t>
        </is>
      </c>
      <c r="C28" t="inlineStr">
        <is>
          <t>NSAID</t>
        </is>
      </c>
      <c r="E28" t="inlineStr">
        <is>
          <t>2026-07</t>
        </is>
      </c>
      <c r="F28" t="n">
        <v>84</v>
      </c>
      <c r="G28" t="n">
        <v>99.12</v>
      </c>
      <c r="H28">
        <f>הגדרות!B2</f>
        <v/>
      </c>
      <c r="I28">
        <f>F28*(1-H28/100)*1.18</f>
        <v/>
      </c>
      <c r="J28">
        <f>הגדרות!C2</f>
        <v/>
      </c>
      <c r="K28">
        <f>הגדרות!D2</f>
        <v/>
      </c>
      <c r="L28">
        <f>I28*(1+J28/100)+K28</f>
        <v/>
      </c>
    </row>
    <row r="29">
      <c r="A29" t="inlineStr">
        <is>
          <t>בית ארז (מילטין)</t>
        </is>
      </c>
      <c r="B29" t="inlineStr">
        <is>
          <t>לוקסיקום (מלוקסיקם) 0.5 מג/מל 15 - מ"ל</t>
        </is>
      </c>
      <c r="C29" t="inlineStr">
        <is>
          <t>NSAID</t>
        </is>
      </c>
      <c r="E29" t="inlineStr">
        <is>
          <t>2026-07</t>
        </is>
      </c>
      <c r="F29" t="n">
        <v>50</v>
      </c>
      <c r="G29" t="n">
        <v>59</v>
      </c>
      <c r="H29">
        <f>הגדרות!B2</f>
        <v/>
      </c>
      <c r="I29">
        <f>F29*(1-H29/100)*1.18</f>
        <v/>
      </c>
      <c r="J29">
        <f>הגדרות!C2</f>
        <v/>
      </c>
      <c r="K29">
        <f>הגדרות!D2</f>
        <v/>
      </c>
      <c r="L29">
        <f>I29*(1+J29/100)+K29</f>
        <v/>
      </c>
    </row>
    <row r="30">
      <c r="A30" t="inlineStr">
        <is>
          <t>בית ארז (מילטין)</t>
        </is>
      </c>
      <c r="B30" t="inlineStr">
        <is>
          <t>לוקסיקום S.A להזרקה (מלוקסיקם 5 מג/מל) 20 - מ"ל</t>
        </is>
      </c>
      <c r="C30" t="inlineStr">
        <is>
          <t>NSAID</t>
        </is>
      </c>
      <c r="E30" t="inlineStr">
        <is>
          <t>2026-07</t>
        </is>
      </c>
      <c r="F30" t="n">
        <v>145</v>
      </c>
      <c r="G30" t="n">
        <v>171.1</v>
      </c>
      <c r="H30">
        <f>הגדרות!B2</f>
        <v/>
      </c>
      <c r="I30">
        <f>F30*(1-H30/100)*1.18</f>
        <v/>
      </c>
      <c r="J30">
        <f>הגדרות!C2</f>
        <v/>
      </c>
      <c r="K30">
        <f>הגדרות!D2</f>
        <v/>
      </c>
      <c r="L30">
        <f>I30*(1+J30/100)+K30</f>
        <v/>
      </c>
    </row>
    <row r="31">
      <c r="A31" t="inlineStr">
        <is>
          <t>בית ארז (מילטין)</t>
        </is>
      </c>
      <c r="B31" t="inlineStr">
        <is>
          <t>פרוויקוקס 57 מ"ג 60) טבליות)</t>
        </is>
      </c>
      <c r="C31" t="inlineStr">
        <is>
          <t>NSAID</t>
        </is>
      </c>
      <c r="E31" t="inlineStr">
        <is>
          <t>2026-07</t>
        </is>
      </c>
      <c r="F31" t="n">
        <v>225</v>
      </c>
      <c r="G31" t="n">
        <v>265.5</v>
      </c>
      <c r="H31">
        <f>הגדרות!B2</f>
        <v/>
      </c>
      <c r="I31">
        <f>F31*(1-H31/100)*1.18</f>
        <v/>
      </c>
      <c r="J31">
        <f>הגדרות!C2</f>
        <v/>
      </c>
      <c r="K31">
        <f>הגדרות!D2</f>
        <v/>
      </c>
      <c r="L31">
        <f>I31*(1+J31/100)+K31</f>
        <v/>
      </c>
    </row>
    <row r="32">
      <c r="A32" t="inlineStr">
        <is>
          <t>בית ארז (מילטין)</t>
        </is>
      </c>
      <c r="B32" t="inlineStr">
        <is>
          <t>פרוויקוקס 227 מ"ג 60) טבליות)</t>
        </is>
      </c>
      <c r="C32" t="inlineStr">
        <is>
          <t>NSAID</t>
        </is>
      </c>
      <c r="E32" t="inlineStr">
        <is>
          <t>2026-07</t>
        </is>
      </c>
      <c r="F32" t="n">
        <v>465</v>
      </c>
      <c r="G32" t="n">
        <v>548.7</v>
      </c>
      <c r="H32">
        <f>הגדרות!B2</f>
        <v/>
      </c>
      <c r="I32">
        <f>F32*(1-H32/100)*1.18</f>
        <v/>
      </c>
      <c r="J32">
        <f>הגדרות!C2</f>
        <v/>
      </c>
      <c r="K32">
        <f>הגדרות!D2</f>
        <v/>
      </c>
      <c r="L32">
        <f>I32*(1+J32/100)+K32</f>
        <v/>
      </c>
    </row>
    <row r="33">
      <c r="A33" t="inlineStr">
        <is>
          <t>בית ארז (מילטין)</t>
        </is>
      </c>
      <c r="B33" t="inlineStr">
        <is>
          <t>הרפלס פלוס אבקה 30 - ג'</t>
        </is>
      </c>
      <c r="C33" t="inlineStr">
        <is>
          <t>עיניים</t>
        </is>
      </c>
      <c r="E33" t="inlineStr">
        <is>
          <t>2026-07</t>
        </is>
      </c>
      <c r="F33" t="n">
        <v>47</v>
      </c>
      <c r="G33" t="n">
        <v>55.46</v>
      </c>
      <c r="H33">
        <f>הגדרות!B2</f>
        <v/>
      </c>
      <c r="I33">
        <f>F33*(1-H33/100)*1.18</f>
        <v/>
      </c>
      <c r="J33">
        <f>הגדרות!C2</f>
        <v/>
      </c>
      <c r="K33">
        <f>הגדרות!D2</f>
        <v/>
      </c>
      <c r="L33">
        <f>I33*(1+J33/100)+K33</f>
        <v/>
      </c>
    </row>
    <row r="34">
      <c r="A34" t="inlineStr">
        <is>
          <t>בית ארז (מילטין)</t>
        </is>
      </c>
      <c r="B34" t="inlineStr">
        <is>
          <t>אופטיווט - נוזל ניקוי הפרווה באזור העין 50 מ"ל</t>
        </is>
      </c>
      <c r="C34" t="inlineStr">
        <is>
          <t>עיניים</t>
        </is>
      </c>
      <c r="E34" t="inlineStr">
        <is>
          <t>2026-07</t>
        </is>
      </c>
      <c r="F34" t="n">
        <v>18</v>
      </c>
      <c r="G34" t="n">
        <v>21.24</v>
      </c>
      <c r="H34">
        <f>הגדרות!B2</f>
        <v/>
      </c>
      <c r="I34">
        <f>F34*(1-H34/100)*1.18</f>
        <v/>
      </c>
      <c r="J34">
        <f>הגדרות!C2</f>
        <v/>
      </c>
      <c r="K34">
        <f>הגדרות!D2</f>
        <v/>
      </c>
      <c r="L34">
        <f>I34*(1+J34/100)+K34</f>
        <v/>
      </c>
    </row>
    <row r="35">
      <c r="A35" t="inlineStr">
        <is>
          <t>בית ארז (מילטין)</t>
        </is>
      </c>
      <c r="B35" t="inlineStr">
        <is>
          <t>סנוצין פורטה תמיסה לניקוי עיניים 50 מ"ל</t>
        </is>
      </c>
      <c r="C35" t="inlineStr">
        <is>
          <t>עיניים</t>
        </is>
      </c>
      <c r="E35" t="inlineStr">
        <is>
          <t>2026-07</t>
        </is>
      </c>
      <c r="F35" t="n">
        <v>44</v>
      </c>
      <c r="G35" t="n">
        <v>51.92</v>
      </c>
      <c r="H35">
        <f>הגדרות!B2</f>
        <v/>
      </c>
      <c r="I35">
        <f>F35*(1-H35/100)*1.18</f>
        <v/>
      </c>
      <c r="J35">
        <f>הגדרות!C2</f>
        <v/>
      </c>
      <c r="K35">
        <f>הגדרות!D2</f>
        <v/>
      </c>
      <c r="L35">
        <f>I35*(1+J35/100)+K35</f>
        <v/>
      </c>
    </row>
    <row r="36">
      <c r="A36" t="inlineStr">
        <is>
          <t>בית ארז (מילטין)</t>
        </is>
      </c>
      <c r="B36" t="inlineStr">
        <is>
          <t>פלאק איז 75 - ג' (PlaqEase)</t>
        </is>
      </c>
      <c r="C36" t="inlineStr">
        <is>
          <t>דנטלי</t>
        </is>
      </c>
      <c r="E36" t="inlineStr">
        <is>
          <t>2026-07</t>
        </is>
      </c>
      <c r="F36" t="n">
        <v>82</v>
      </c>
      <c r="G36" t="n">
        <v>96.76000000000001</v>
      </c>
      <c r="H36">
        <f>הגדרות!B2</f>
        <v/>
      </c>
      <c r="I36">
        <f>F36*(1-H36/100)*1.18</f>
        <v/>
      </c>
      <c r="J36">
        <f>הגדרות!C2</f>
        <v/>
      </c>
      <c r="K36">
        <f>הגדרות!D2</f>
        <v/>
      </c>
      <c r="L36">
        <f>I36*(1+J36/100)+K36</f>
        <v/>
      </c>
    </row>
    <row r="37">
      <c r="A37" t="inlineStr">
        <is>
          <t>בית ארז (מילטין)</t>
        </is>
      </c>
      <c r="B37" t="inlineStr">
        <is>
          <t>פלאק איז 150 - ג' (PlaqEase)</t>
        </is>
      </c>
      <c r="C37" t="inlineStr">
        <is>
          <t>דנטלי</t>
        </is>
      </c>
      <c r="E37" t="inlineStr">
        <is>
          <t>2026-07</t>
        </is>
      </c>
      <c r="F37" t="n">
        <v>140</v>
      </c>
      <c r="G37" t="n">
        <v>165.2</v>
      </c>
      <c r="H37">
        <f>הגדרות!B2</f>
        <v/>
      </c>
      <c r="I37">
        <f>F37*(1-H37/100)*1.18</f>
        <v/>
      </c>
      <c r="J37">
        <f>הגדרות!C2</f>
        <v/>
      </c>
      <c r="K37">
        <f>הגדרות!D2</f>
        <v/>
      </c>
      <c r="L37">
        <f>I37*(1+J37/100)+K37</f>
        <v/>
      </c>
    </row>
    <row r="38">
      <c r="A38" t="inlineStr">
        <is>
          <t>בית ארז (מילטין)</t>
        </is>
      </c>
      <c r="B38" t="inlineStr">
        <is>
          <t>דנטיהקס 20 - ג'</t>
        </is>
      </c>
      <c r="C38" t="inlineStr">
        <is>
          <t>דנטלי</t>
        </is>
      </c>
      <c r="E38" t="inlineStr">
        <is>
          <t>2026-07</t>
        </is>
      </c>
      <c r="F38" t="n">
        <v>48</v>
      </c>
      <c r="G38" t="n">
        <v>56.64</v>
      </c>
      <c r="H38">
        <f>הגדרות!B2</f>
        <v/>
      </c>
      <c r="I38">
        <f>F38*(1-H38/100)*1.18</f>
        <v/>
      </c>
      <c r="J38">
        <f>הגדרות!C2</f>
        <v/>
      </c>
      <c r="K38">
        <f>הגדרות!D2</f>
        <v/>
      </c>
      <c r="L38">
        <f>I38*(1+J38/100)+K38</f>
        <v/>
      </c>
    </row>
    <row r="39">
      <c r="A39" t="inlineStr">
        <is>
          <t>בית ארז (מילטין)</t>
        </is>
      </c>
      <c r="B39" t="inlineStr">
        <is>
          <t>אקטאה אורל 15 - מ"ל</t>
        </is>
      </c>
      <c r="C39" t="inlineStr">
        <is>
          <t>דנטלי</t>
        </is>
      </c>
      <c r="E39" t="inlineStr">
        <is>
          <t>2026-07</t>
        </is>
      </c>
      <c r="F39" t="n">
        <v>56</v>
      </c>
      <c r="G39" t="n">
        <v>66.08</v>
      </c>
      <c r="H39">
        <f>הגדרות!B2</f>
        <v/>
      </c>
      <c r="I39">
        <f>F39*(1-H39/100)*1.18</f>
        <v/>
      </c>
      <c r="J39">
        <f>הגדרות!C2</f>
        <v/>
      </c>
      <c r="K39">
        <f>הגדרות!D2</f>
        <v/>
      </c>
      <c r="L39">
        <f>I39*(1+J39/100)+K39</f>
        <v/>
      </c>
    </row>
    <row r="40">
      <c r="A40" t="inlineStr">
        <is>
          <t>בית ארז (מילטין)</t>
        </is>
      </c>
      <c r="B40" t="inlineStr">
        <is>
          <t>דנטלפט - ספריי דנטלי לכלב וחתול 125 מ"ל</t>
        </is>
      </c>
      <c r="C40" t="inlineStr">
        <is>
          <t>דנטלי</t>
        </is>
      </c>
      <c r="E40" t="inlineStr">
        <is>
          <t>2026-07</t>
        </is>
      </c>
      <c r="F40" t="n">
        <v>21</v>
      </c>
      <c r="G40" t="n">
        <v>24.78</v>
      </c>
      <c r="H40">
        <f>הגדרות!B2</f>
        <v/>
      </c>
      <c r="I40">
        <f>F40*(1-H40/100)*1.18</f>
        <v/>
      </c>
      <c r="J40">
        <f>הגדרות!C2</f>
        <v/>
      </c>
      <c r="K40">
        <f>הגדרות!D2</f>
        <v/>
      </c>
      <c r="L40">
        <f>I40*(1+J40/100)+K40</f>
        <v/>
      </c>
    </row>
    <row r="41">
      <c r="A41" t="inlineStr">
        <is>
          <t>בית ארז (מילטין)</t>
        </is>
      </c>
      <c r="B41" t="inlineStr">
        <is>
          <t>אוריזון טיפות אוזניים 10 מ"ל</t>
        </is>
      </c>
      <c r="C41" t="inlineStr">
        <is>
          <t>אוזניים</t>
        </is>
      </c>
      <c r="E41" t="inlineStr">
        <is>
          <t>2026-07</t>
        </is>
      </c>
      <c r="F41" t="n">
        <v>58</v>
      </c>
      <c r="G41" t="n">
        <v>68.44</v>
      </c>
      <c r="H41">
        <f>הגדרות!B2</f>
        <v/>
      </c>
      <c r="I41">
        <f>F41*(1-H41/100)*1.18</f>
        <v/>
      </c>
      <c r="J41">
        <f>הגדרות!C2</f>
        <v/>
      </c>
      <c r="K41">
        <f>הגדרות!D2</f>
        <v/>
      </c>
      <c r="L41">
        <f>I41*(1+J41/100)+K41</f>
        <v/>
      </c>
    </row>
    <row r="42">
      <c r="A42" t="inlineStr">
        <is>
          <t>בית ארז (מילטין)</t>
        </is>
      </c>
      <c r="B42" t="inlineStr">
        <is>
          <t>אורידרמיל משחה 10 ג'</t>
        </is>
      </c>
      <c r="C42" t="inlineStr">
        <is>
          <t>אוזניים</t>
        </is>
      </c>
      <c r="E42" t="inlineStr">
        <is>
          <t>2026-07</t>
        </is>
      </c>
      <c r="F42" t="n">
        <v>44</v>
      </c>
      <c r="G42" t="n">
        <v>51.92</v>
      </c>
      <c r="H42">
        <f>הגדרות!B2</f>
        <v/>
      </c>
      <c r="I42">
        <f>F42*(1-H42/100)*1.18</f>
        <v/>
      </c>
      <c r="J42">
        <f>הגדרות!C2</f>
        <v/>
      </c>
      <c r="K42">
        <f>הגדרות!D2</f>
        <v/>
      </c>
      <c r="L42">
        <f>I42*(1+J42/100)+K42</f>
        <v/>
      </c>
    </row>
    <row r="43">
      <c r="A43" t="inlineStr">
        <is>
          <t>בית ארז (מילטין)</t>
        </is>
      </c>
      <c r="B43" t="inlineStr">
        <is>
          <t>סונוטיקס שטיפת אוזניים 120 מ"ל Sonotix</t>
        </is>
      </c>
      <c r="C43" t="inlineStr">
        <is>
          <t>אוזניים</t>
        </is>
      </c>
      <c r="E43" t="inlineStr">
        <is>
          <t>2026-07</t>
        </is>
      </c>
      <c r="F43" t="n">
        <v>65</v>
      </c>
      <c r="G43" t="n">
        <v>76.7</v>
      </c>
      <c r="H43">
        <f>הגדרות!B2</f>
        <v/>
      </c>
      <c r="I43">
        <f>F43*(1-H43/100)*1.18</f>
        <v/>
      </c>
      <c r="J43">
        <f>הגדרות!C2</f>
        <v/>
      </c>
      <c r="K43">
        <f>הגדרות!D2</f>
        <v/>
      </c>
      <c r="L43">
        <f>I43*(1+J43/100)+K43</f>
        <v/>
      </c>
    </row>
    <row r="44">
      <c r="A44" t="inlineStr">
        <is>
          <t>בית ארז (מילטין)</t>
        </is>
      </c>
      <c r="B44" t="inlineStr">
        <is>
          <t>מאלאזינק שטיפת אוזניים 120 מ"ל MalaZinc</t>
        </is>
      </c>
      <c r="C44" t="inlineStr">
        <is>
          <t>אוזניים</t>
        </is>
      </c>
      <c r="E44" t="inlineStr">
        <is>
          <t>2026-07</t>
        </is>
      </c>
      <c r="F44" t="n">
        <v>50</v>
      </c>
      <c r="G44" t="n">
        <v>59</v>
      </c>
      <c r="H44">
        <f>הגדרות!B2</f>
        <v/>
      </c>
      <c r="I44">
        <f>F44*(1-H44/100)*1.18</f>
        <v/>
      </c>
      <c r="J44">
        <f>הגדרות!C2</f>
        <v/>
      </c>
      <c r="K44">
        <f>הגדרות!D2</f>
        <v/>
      </c>
      <c r="L44">
        <f>I44*(1+J44/100)+K44</f>
        <v/>
      </c>
    </row>
    <row r="45">
      <c r="A45" t="inlineStr">
        <is>
          <t>בית ארז (מילטין)</t>
        </is>
      </c>
      <c r="B45" t="inlineStr">
        <is>
          <t>סנוצין פורטה תמיסה לניקוי אוזניים 75 מ"ל</t>
        </is>
      </c>
      <c r="C45" t="inlineStr">
        <is>
          <t>אוזניים</t>
        </is>
      </c>
      <c r="E45" t="inlineStr">
        <is>
          <t>2026-07</t>
        </is>
      </c>
      <c r="F45" t="n">
        <v>44</v>
      </c>
      <c r="G45" t="n">
        <v>51.92</v>
      </c>
      <c r="H45">
        <f>הגדרות!B2</f>
        <v/>
      </c>
      <c r="I45">
        <f>F45*(1-H45/100)*1.18</f>
        <v/>
      </c>
      <c r="J45">
        <f>הגדרות!C2</f>
        <v/>
      </c>
      <c r="K45">
        <f>הגדרות!D2</f>
        <v/>
      </c>
      <c r="L45">
        <f>I45*(1+J45/100)+K45</f>
        <v/>
      </c>
    </row>
    <row r="46">
      <c r="A46" t="inlineStr">
        <is>
          <t>בית ארז (מילטין)</t>
        </is>
      </c>
      <c r="B46" t="inlineStr">
        <is>
          <t>צפהספטין 75 מ"ג 100) טבליות)</t>
        </is>
      </c>
      <c r="C46" t="inlineStr">
        <is>
          <t>אנטיביוטיקה</t>
        </is>
      </c>
      <c r="E46" t="inlineStr">
        <is>
          <t>2026-07</t>
        </is>
      </c>
      <c r="F46" t="n">
        <v>185</v>
      </c>
      <c r="G46" t="n">
        <v>218.3</v>
      </c>
      <c r="H46">
        <f>הגדרות!B2</f>
        <v/>
      </c>
      <c r="I46">
        <f>F46*(1-H46/100)*1.18</f>
        <v/>
      </c>
      <c r="J46">
        <f>הגדרות!C2</f>
        <v/>
      </c>
      <c r="K46">
        <f>הגדרות!D2</f>
        <v/>
      </c>
      <c r="L46">
        <f>I46*(1+J46/100)+K46</f>
        <v/>
      </c>
    </row>
    <row r="47">
      <c r="A47" t="inlineStr">
        <is>
          <t>בית ארז (מילטין)</t>
        </is>
      </c>
      <c r="B47" t="inlineStr">
        <is>
          <t>צפהספטין 300 מ"ג 100) טבליות)</t>
        </is>
      </c>
      <c r="C47" t="inlineStr">
        <is>
          <t>אנטיביוטיקה</t>
        </is>
      </c>
      <c r="E47" t="inlineStr">
        <is>
          <t>2026-07</t>
        </is>
      </c>
      <c r="F47" t="n">
        <v>250</v>
      </c>
      <c r="G47" t="n">
        <v>295</v>
      </c>
      <c r="H47">
        <f>הגדרות!B2</f>
        <v/>
      </c>
      <c r="I47">
        <f>F47*(1-H47/100)*1.18</f>
        <v/>
      </c>
      <c r="J47">
        <f>הגדרות!C2</f>
        <v/>
      </c>
      <c r="K47">
        <f>הגדרות!D2</f>
        <v/>
      </c>
      <c r="L47">
        <f>I47*(1+J47/100)+K47</f>
        <v/>
      </c>
    </row>
    <row r="48">
      <c r="A48" t="inlineStr">
        <is>
          <t>בית ארז (מילטין)</t>
        </is>
      </c>
      <c r="B48" t="inlineStr">
        <is>
          <t>צפהספטין 750 מ"ג 72) טבליות)</t>
        </is>
      </c>
      <c r="C48" t="inlineStr">
        <is>
          <t>אנטיביוטיקה</t>
        </is>
      </c>
      <c r="E48" t="inlineStr">
        <is>
          <t>2026-07</t>
        </is>
      </c>
      <c r="F48" t="n">
        <v>388</v>
      </c>
      <c r="G48" t="n">
        <v>457.84</v>
      </c>
      <c r="H48">
        <f>הגדרות!B2</f>
        <v/>
      </c>
      <c r="I48">
        <f>F48*(1-H48/100)*1.18</f>
        <v/>
      </c>
      <c r="J48">
        <f>הגדרות!C2</f>
        <v/>
      </c>
      <c r="K48">
        <f>הגדרות!D2</f>
        <v/>
      </c>
      <c r="L48">
        <f>I48*(1+J48/100)+K48</f>
        <v/>
      </c>
    </row>
    <row r="49">
      <c r="A49" t="inlineStr">
        <is>
          <t>בית ארז (מילטין)</t>
        </is>
      </c>
      <c r="B49" t="inlineStr">
        <is>
          <t>מרבוציל P טבליות 20 מ"ג 100) טבליות)</t>
        </is>
      </c>
      <c r="C49" t="inlineStr">
        <is>
          <t>אנטיביוטיקה</t>
        </is>
      </c>
      <c r="E49" t="inlineStr">
        <is>
          <t>2026-07</t>
        </is>
      </c>
      <c r="F49" t="n">
        <v>330</v>
      </c>
      <c r="G49" t="n">
        <v>389.4</v>
      </c>
      <c r="H49">
        <f>הגדרות!B2</f>
        <v/>
      </c>
      <c r="I49">
        <f>F49*(1-H49/100)*1.18</f>
        <v/>
      </c>
      <c r="J49">
        <f>הגדרות!C2</f>
        <v/>
      </c>
      <c r="K49">
        <f>הגדרות!D2</f>
        <v/>
      </c>
      <c r="L49">
        <f>I49*(1+J49/100)+K49</f>
        <v/>
      </c>
    </row>
    <row r="50">
      <c r="A50" t="inlineStr">
        <is>
          <t>בית ארז (מילטין)</t>
        </is>
      </c>
      <c r="B50" t="inlineStr">
        <is>
          <t>מרבוציל P טבליות 80 מ"ג 72) טבליות)</t>
        </is>
      </c>
      <c r="C50" t="inlineStr">
        <is>
          <t>אנטיביוטיקה</t>
        </is>
      </c>
      <c r="E50" t="inlineStr">
        <is>
          <t>2026-07</t>
        </is>
      </c>
      <c r="F50" t="n">
        <v>792</v>
      </c>
      <c r="G50" t="n">
        <v>934.5599999999999</v>
      </c>
      <c r="H50">
        <f>הגדרות!B2</f>
        <v/>
      </c>
      <c r="I50">
        <f>F50*(1-H50/100)*1.18</f>
        <v/>
      </c>
      <c r="J50">
        <f>הגדרות!C2</f>
        <v/>
      </c>
      <c r="K50">
        <f>הגדרות!D2</f>
        <v/>
      </c>
      <c r="L50">
        <f>I50*(1+J50/100)+K50</f>
        <v/>
      </c>
    </row>
    <row r="51">
      <c r="A51" t="inlineStr">
        <is>
          <t>בית ארז (מילטין)</t>
        </is>
      </c>
      <c r="B51" t="inlineStr">
        <is>
          <t>מרבוציל 2% להזרקה 100 - מ"ל</t>
        </is>
      </c>
      <c r="C51" t="inlineStr">
        <is>
          <t>אנטיביוטיקה</t>
        </is>
      </c>
      <c r="E51" t="inlineStr">
        <is>
          <t>2026-07</t>
        </is>
      </c>
      <c r="F51" t="n">
        <v>91</v>
      </c>
      <c r="G51" t="n">
        <v>107.38</v>
      </c>
      <c r="H51">
        <f>הגדרות!B2</f>
        <v/>
      </c>
      <c r="I51">
        <f>F51*(1-H51/100)*1.18</f>
        <v/>
      </c>
      <c r="J51">
        <f>הגדרות!C2</f>
        <v/>
      </c>
      <c r="K51">
        <f>הגדרות!D2</f>
        <v/>
      </c>
      <c r="L51">
        <f>I51*(1+J51/100)+K51</f>
        <v/>
      </c>
    </row>
    <row r="52">
      <c r="A52" t="inlineStr">
        <is>
          <t>בית ארז (מילטין)</t>
        </is>
      </c>
      <c r="B52" t="inlineStr">
        <is>
          <t>סטומורג'יל 20) 10 טבליות)</t>
        </is>
      </c>
      <c r="C52" t="inlineStr">
        <is>
          <t>אנטיביוטיקה</t>
        </is>
      </c>
      <c r="E52" t="inlineStr">
        <is>
          <t>2026-07</t>
        </is>
      </c>
      <c r="F52" t="n">
        <v>90</v>
      </c>
      <c r="G52" t="n">
        <v>106.2</v>
      </c>
      <c r="H52">
        <f>הגדרות!B2</f>
        <v/>
      </c>
      <c r="I52">
        <f>F52*(1-H52/100)*1.18</f>
        <v/>
      </c>
      <c r="J52">
        <f>הגדרות!C2</f>
        <v/>
      </c>
      <c r="K52">
        <f>הגדרות!D2</f>
        <v/>
      </c>
      <c r="L52">
        <f>I52*(1+J52/100)+K52</f>
        <v/>
      </c>
    </row>
    <row r="53">
      <c r="A53" t="inlineStr">
        <is>
          <t>בית ארז (מילטין)</t>
        </is>
      </c>
      <c r="B53" t="inlineStr">
        <is>
          <t>מטרוויס 250 מ"ג 100) טבליות)</t>
        </is>
      </c>
      <c r="C53" t="inlineStr">
        <is>
          <t>אנטיביוטיקה</t>
        </is>
      </c>
      <c r="E53" t="inlineStr">
        <is>
          <t>2026-07</t>
        </is>
      </c>
      <c r="F53" t="n">
        <v>115</v>
      </c>
      <c r="G53" t="n">
        <v>135.7</v>
      </c>
      <c r="H53">
        <f>הגדרות!B2</f>
        <v/>
      </c>
      <c r="I53">
        <f>F53*(1-H53/100)*1.18</f>
        <v/>
      </c>
      <c r="J53">
        <f>הגדרות!C2</f>
        <v/>
      </c>
      <c r="K53">
        <f>הגדרות!D2</f>
        <v/>
      </c>
      <c r="L53">
        <f>I53*(1+J53/100)+K53</f>
        <v/>
      </c>
    </row>
    <row r="54">
      <c r="A54" t="inlineStr">
        <is>
          <t>בית ארז (מילטין)</t>
        </is>
      </c>
      <c r="B54" t="inlineStr">
        <is>
          <t>מטרוויס 750 מ"ג 80) טבליות)</t>
        </is>
      </c>
      <c r="C54" t="inlineStr">
        <is>
          <t>אנטיביוטיקה</t>
        </is>
      </c>
      <c r="E54" t="inlineStr">
        <is>
          <t>2026-07</t>
        </is>
      </c>
      <c r="F54" t="n">
        <v>230</v>
      </c>
      <c r="G54" t="n">
        <v>271.4</v>
      </c>
      <c r="H54">
        <f>הגדרות!B2</f>
        <v/>
      </c>
      <c r="I54">
        <f>F54*(1-H54/100)*1.18</f>
        <v/>
      </c>
      <c r="J54">
        <f>הגדרות!C2</f>
        <v/>
      </c>
      <c r="K54">
        <f>הגדרות!D2</f>
        <v/>
      </c>
      <c r="L54">
        <f>I54*(1+J54/100)+K54</f>
        <v/>
      </c>
    </row>
    <row r="55">
      <c r="A55" t="inlineStr">
        <is>
          <t>בית ארז (מילטין)</t>
        </is>
      </c>
      <c r="B55" t="inlineStr">
        <is>
          <t>אנרוקט תרחיף אנרפלוקסצין בטעם 8.5 - מ"ל</t>
        </is>
      </c>
      <c r="C55" t="inlineStr">
        <is>
          <t>אנטיביוטיקה</t>
        </is>
      </c>
      <c r="E55" t="inlineStr">
        <is>
          <t>2026-07</t>
        </is>
      </c>
      <c r="F55" t="n">
        <v>55</v>
      </c>
      <c r="G55" t="n">
        <v>64.90000000000001</v>
      </c>
      <c r="H55">
        <f>הגדרות!B2</f>
        <v/>
      </c>
      <c r="I55">
        <f>F55*(1-H55/100)*1.18</f>
        <v/>
      </c>
      <c r="J55">
        <f>הגדרות!C2</f>
        <v/>
      </c>
      <c r="K55">
        <f>הגדרות!D2</f>
        <v/>
      </c>
      <c r="L55">
        <f>I55*(1+J55/100)+K55</f>
        <v/>
      </c>
    </row>
    <row r="56">
      <c r="A56" t="inlineStr">
        <is>
          <t>בית ארז (מילטין)</t>
        </is>
      </c>
      <c r="B56" t="inlineStr">
        <is>
          <t>מטרונידזול Metronidazole 5 מ"ג/מ"ל 100 - מ"ל 20 - יח'</t>
        </is>
      </c>
      <c r="C56" t="inlineStr">
        <is>
          <t>אנטיביוטיקה</t>
        </is>
      </c>
      <c r="E56" t="inlineStr">
        <is>
          <t>2026-07</t>
        </is>
      </c>
      <c r="F56" t="n">
        <v>120</v>
      </c>
      <c r="G56" t="n">
        <v>141.6</v>
      </c>
      <c r="H56">
        <f>הגדרות!B2</f>
        <v/>
      </c>
      <c r="I56">
        <f>F56*(1-H56/100)*1.18</f>
        <v/>
      </c>
      <c r="J56">
        <f>הגדרות!C2</f>
        <v/>
      </c>
      <c r="K56">
        <f>הגדרות!D2</f>
        <v/>
      </c>
      <c r="L56">
        <f>I56*(1+J56/100)+K56</f>
        <v/>
      </c>
    </row>
    <row r="57">
      <c r="A57" t="inlineStr">
        <is>
          <t>בית ארז (מילטין)</t>
        </is>
      </c>
      <c r="B57" t="inlineStr">
        <is>
          <t>פרו-קולין אדוונסד לחתולים 15 - מ"ל</t>
        </is>
      </c>
      <c r="C57" t="inlineStr">
        <is>
          <t>מערכת עיכול</t>
        </is>
      </c>
      <c r="E57" t="inlineStr">
        <is>
          <t>2026-07</t>
        </is>
      </c>
      <c r="F57" t="n">
        <v>40</v>
      </c>
      <c r="G57" t="n">
        <v>47.2</v>
      </c>
      <c r="H57">
        <f>הגדרות!B2</f>
        <v/>
      </c>
      <c r="I57">
        <f>F57*(1-H57/100)*1.18</f>
        <v/>
      </c>
      <c r="J57">
        <f>הגדרות!C2</f>
        <v/>
      </c>
      <c r="K57">
        <f>הגדרות!D2</f>
        <v/>
      </c>
      <c r="L57">
        <f>I57*(1+J57/100)+K57</f>
        <v/>
      </c>
    </row>
    <row r="58">
      <c r="A58" t="inlineStr">
        <is>
          <t>בית ארז (מילטין)</t>
        </is>
      </c>
      <c r="B58" t="inlineStr">
        <is>
          <t>פרו-קולין אדוונסד לכלבים 15 - מ"ל</t>
        </is>
      </c>
      <c r="C58" t="inlineStr">
        <is>
          <t>מערכת עיכול</t>
        </is>
      </c>
      <c r="E58" t="inlineStr">
        <is>
          <t>2026-07</t>
        </is>
      </c>
      <c r="F58" t="n">
        <v>40</v>
      </c>
      <c r="G58" t="n">
        <v>47.2</v>
      </c>
      <c r="H58">
        <f>הגדרות!B2</f>
        <v/>
      </c>
      <c r="I58">
        <f>F58*(1-H58/100)*1.18</f>
        <v/>
      </c>
      <c r="J58">
        <f>הגדרות!C2</f>
        <v/>
      </c>
      <c r="K58">
        <f>הגדרות!D2</f>
        <v/>
      </c>
      <c r="L58">
        <f>I58*(1+J58/100)+K58</f>
        <v/>
      </c>
    </row>
    <row r="59">
      <c r="A59" t="inlineStr">
        <is>
          <t>בית ארז (מילטין)</t>
        </is>
      </c>
      <c r="B59" t="inlineStr">
        <is>
          <t>פרו-קולין אדוונסד לכלבים 30 - מ"ל</t>
        </is>
      </c>
      <c r="C59" t="inlineStr">
        <is>
          <t>מערכת עיכול</t>
        </is>
      </c>
      <c r="E59" t="inlineStr">
        <is>
          <t>2026-07</t>
        </is>
      </c>
      <c r="F59" t="n">
        <v>55</v>
      </c>
      <c r="G59" t="n">
        <v>64.90000000000001</v>
      </c>
      <c r="H59">
        <f>הגדרות!B2</f>
        <v/>
      </c>
      <c r="I59">
        <f>F59*(1-H59/100)*1.18</f>
        <v/>
      </c>
      <c r="J59">
        <f>הגדרות!C2</f>
        <v/>
      </c>
      <c r="K59">
        <f>הגדרות!D2</f>
        <v/>
      </c>
      <c r="L59">
        <f>I59*(1+J59/100)+K59</f>
        <v/>
      </c>
    </row>
    <row r="60">
      <c r="A60" t="inlineStr">
        <is>
          <t>בית ארז (מילטין)</t>
        </is>
      </c>
      <c r="B60" t="inlineStr">
        <is>
          <t>פרו-קולין אנטרוגניק 4 ג' 30 - שקיות</t>
        </is>
      </c>
      <c r="C60" t="inlineStr">
        <is>
          <t>מערכת עיכול</t>
        </is>
      </c>
      <c r="E60" t="inlineStr">
        <is>
          <t>2026-07</t>
        </is>
      </c>
      <c r="F60" t="n">
        <v>155</v>
      </c>
      <c r="G60" t="n">
        <v>182.9</v>
      </c>
      <c r="H60">
        <f>הגדרות!B2</f>
        <v/>
      </c>
      <c r="I60">
        <f>F60*(1-H60/100)*1.18</f>
        <v/>
      </c>
      <c r="J60">
        <f>הגדרות!C2</f>
        <v/>
      </c>
      <c r="K60">
        <f>הגדרות!D2</f>
        <v/>
      </c>
      <c r="L60">
        <f>I60*(1+J60/100)+K60</f>
        <v/>
      </c>
    </row>
    <row r="61">
      <c r="A61" t="inlineStr">
        <is>
          <t>בית ארז (מילטין)</t>
        </is>
      </c>
      <c r="B61" t="inlineStr">
        <is>
          <t>פרו-פייבר אדוונסד 500 - ג'</t>
        </is>
      </c>
      <c r="C61" t="inlineStr">
        <is>
          <t>מערכת עיכול</t>
        </is>
      </c>
      <c r="E61" t="inlineStr">
        <is>
          <t>2026-07</t>
        </is>
      </c>
      <c r="F61" t="n">
        <v>85</v>
      </c>
      <c r="G61" t="n">
        <v>100.3</v>
      </c>
      <c r="H61">
        <f>הגדרות!B2</f>
        <v/>
      </c>
      <c r="I61">
        <f>F61*(1-H61/100)*1.18</f>
        <v/>
      </c>
      <c r="J61">
        <f>הגדרות!C2</f>
        <v/>
      </c>
      <c r="K61">
        <f>הגדרות!D2</f>
        <v/>
      </c>
      <c r="L61">
        <f>I61*(1+J61/100)+K61</f>
        <v/>
      </c>
    </row>
    <row r="62">
      <c r="A62" t="inlineStr">
        <is>
          <t>בית ארז (מילטין)</t>
        </is>
      </c>
      <c r="B62" t="inlineStr">
        <is>
          <t>בולו ויה פסטה לחתול 100 - ג'</t>
        </is>
      </c>
      <c r="C62" t="inlineStr">
        <is>
          <t>מערכת עיכול</t>
        </is>
      </c>
      <c r="E62" t="inlineStr">
        <is>
          <t>2026-07</t>
        </is>
      </c>
      <c r="F62" t="n">
        <v>45</v>
      </c>
      <c r="G62" t="n">
        <v>53.1</v>
      </c>
      <c r="H62">
        <f>הגדרות!B2</f>
        <v/>
      </c>
      <c r="I62">
        <f>F62*(1-H62/100)*1.18</f>
        <v/>
      </c>
      <c r="J62">
        <f>הגדרות!C2</f>
        <v/>
      </c>
      <c r="K62">
        <f>הגדרות!D2</f>
        <v/>
      </c>
      <c r="L62">
        <f>I62*(1+J62/100)+K62</f>
        <v/>
      </c>
    </row>
    <row r="63">
      <c r="A63" t="inlineStr">
        <is>
          <t>בית ארז (מילטין)</t>
        </is>
      </c>
      <c r="B63" t="inlineStr">
        <is>
          <t>סינביוטיק די.סי. 50) קפסולות)</t>
        </is>
      </c>
      <c r="C63" t="inlineStr">
        <is>
          <t>מערכת עיכול</t>
        </is>
      </c>
      <c r="E63" t="inlineStr">
        <is>
          <t>2026-07</t>
        </is>
      </c>
      <c r="F63" t="n">
        <v>82</v>
      </c>
      <c r="G63" t="n">
        <v>96.76000000000001</v>
      </c>
      <c r="H63">
        <f>הגדרות!B2</f>
        <v/>
      </c>
      <c r="I63">
        <f>F63*(1-H63/100)*1.18</f>
        <v/>
      </c>
      <c r="J63">
        <f>הגדרות!C2</f>
        <v/>
      </c>
      <c r="K63">
        <f>הגדרות!D2</f>
        <v/>
      </c>
      <c r="L63">
        <f>I63*(1+J63/100)+K63</f>
        <v/>
      </c>
    </row>
    <row r="64">
      <c r="A64" t="inlineStr">
        <is>
          <t>בית ארז (מילטין)</t>
        </is>
      </c>
      <c r="B64" t="inlineStr">
        <is>
          <t>פרו-קולין 15 + מ"ל</t>
        </is>
      </c>
      <c r="C64" t="inlineStr">
        <is>
          <t>מערכת עיכול</t>
        </is>
      </c>
      <c r="E64" t="inlineStr">
        <is>
          <t>2026-07</t>
        </is>
      </c>
      <c r="F64" t="n">
        <v>48</v>
      </c>
      <c r="G64" t="n">
        <v>56.64</v>
      </c>
      <c r="H64">
        <f>הגדרות!B2</f>
        <v/>
      </c>
      <c r="I64">
        <f>F64*(1-H64/100)*1.18</f>
        <v/>
      </c>
      <c r="J64">
        <f>הגדרות!C2</f>
        <v/>
      </c>
      <c r="K64">
        <f>הגדרות!D2</f>
        <v/>
      </c>
      <c r="L64">
        <f>I64*(1+J64/100)+K64</f>
        <v/>
      </c>
    </row>
    <row r="65">
      <c r="A65" t="inlineStr">
        <is>
          <t>בית ארז (מילטין)</t>
        </is>
      </c>
      <c r="B65" t="inlineStr">
        <is>
          <t>פרו-קולין 30 + מ"ל</t>
        </is>
      </c>
      <c r="C65" t="inlineStr">
        <is>
          <t>מערכת עיכול</t>
        </is>
      </c>
      <c r="E65" t="inlineStr">
        <is>
          <t>2026-07</t>
        </is>
      </c>
      <c r="F65" t="n">
        <v>63</v>
      </c>
      <c r="G65" t="n">
        <v>74.34</v>
      </c>
      <c r="H65">
        <f>הגדרות!B2</f>
        <v/>
      </c>
      <c r="I65">
        <f>F65*(1-H65/100)*1.18</f>
        <v/>
      </c>
      <c r="J65">
        <f>הגדרות!C2</f>
        <v/>
      </c>
      <c r="K65">
        <f>הגדרות!D2</f>
        <v/>
      </c>
      <c r="L65">
        <f>I65*(1+J65/100)+K65</f>
        <v/>
      </c>
    </row>
    <row r="66">
      <c r="A66" t="inlineStr">
        <is>
          <t>בית ארז (מילטין)</t>
        </is>
      </c>
      <c r="B66" t="inlineStr">
        <is>
          <t>פרו-פייבר 500 - ג'</t>
        </is>
      </c>
      <c r="C66" t="inlineStr">
        <is>
          <t>מערכת עיכול</t>
        </is>
      </c>
      <c r="E66" t="inlineStr">
        <is>
          <t>2026-07</t>
        </is>
      </c>
      <c r="F66" t="n">
        <v>99</v>
      </c>
      <c r="G66" t="n">
        <v>116.82</v>
      </c>
      <c r="H66">
        <f>הגדרות!B2</f>
        <v/>
      </c>
      <c r="I66">
        <f>F66*(1-H66/100)*1.18</f>
        <v/>
      </c>
      <c r="J66">
        <f>הגדרות!C2</f>
        <v/>
      </c>
      <c r="K66">
        <f>הגדרות!D2</f>
        <v/>
      </c>
      <c r="L66">
        <f>I66*(1+J66/100)+K66</f>
        <v/>
      </c>
    </row>
    <row r="67">
      <c r="A67" t="inlineStr">
        <is>
          <t>בית ארז (מילטין)</t>
        </is>
      </c>
      <c r="B67" t="inlineStr">
        <is>
          <t>טירו - טאב 0.4 מ"ג 120) טבליות)</t>
        </is>
      </c>
      <c r="C67" t="inlineStr">
        <is>
          <t>הורמונלי</t>
        </is>
      </c>
      <c r="E67" t="inlineStr">
        <is>
          <t>2026-07</t>
        </is>
      </c>
      <c r="F67" t="n">
        <v>99</v>
      </c>
      <c r="G67" t="n">
        <v>116.82</v>
      </c>
      <c r="H67">
        <f>הגדרות!B2</f>
        <v/>
      </c>
      <c r="I67">
        <f>F67*(1-H67/100)*1.18</f>
        <v/>
      </c>
      <c r="J67">
        <f>הגדרות!C2</f>
        <v/>
      </c>
      <c r="K67">
        <f>הגדרות!D2</f>
        <v/>
      </c>
      <c r="L67">
        <f>I67*(1+J67/100)+K67</f>
        <v/>
      </c>
    </row>
    <row r="68">
      <c r="A68" t="inlineStr">
        <is>
          <t>בית ארז (מילטין)</t>
        </is>
      </c>
      <c r="B68" t="inlineStr">
        <is>
          <t>טירו - טאב 0.6 מ"ג 120) טבליות)</t>
        </is>
      </c>
      <c r="C68" t="inlineStr">
        <is>
          <t>הורמונלי</t>
        </is>
      </c>
      <c r="E68" t="inlineStr">
        <is>
          <t>2026-07</t>
        </is>
      </c>
      <c r="F68" t="n">
        <v>119</v>
      </c>
      <c r="G68" t="n">
        <v>140.42</v>
      </c>
      <c r="H68">
        <f>הגדרות!B2</f>
        <v/>
      </c>
      <c r="I68">
        <f>F68*(1-H68/100)*1.18</f>
        <v/>
      </c>
      <c r="J68">
        <f>הגדרות!C2</f>
        <v/>
      </c>
      <c r="K68">
        <f>הגדרות!D2</f>
        <v/>
      </c>
      <c r="L68">
        <f>I68*(1+J68/100)+K68</f>
        <v/>
      </c>
    </row>
    <row r="69">
      <c r="A69" t="inlineStr">
        <is>
          <t>בית ארז (מילטין)</t>
        </is>
      </c>
      <c r="B69" t="inlineStr">
        <is>
          <t>טירו - טאב 0.8 מ"ג 120) טבליות)</t>
        </is>
      </c>
      <c r="C69" t="inlineStr">
        <is>
          <t>הורמונלי</t>
        </is>
      </c>
      <c r="E69" t="inlineStr">
        <is>
          <t>2026-07</t>
        </is>
      </c>
      <c r="F69" t="n">
        <v>144</v>
      </c>
      <c r="G69" t="n">
        <v>169.92</v>
      </c>
      <c r="H69">
        <f>הגדרות!B2</f>
        <v/>
      </c>
      <c r="I69">
        <f>F69*(1-H69/100)*1.18</f>
        <v/>
      </c>
      <c r="J69">
        <f>הגדרות!C2</f>
        <v/>
      </c>
      <c r="K69">
        <f>הגדרות!D2</f>
        <v/>
      </c>
      <c r="L69">
        <f>I69*(1+J69/100)+K69</f>
        <v/>
      </c>
    </row>
    <row r="70">
      <c r="A70" t="inlineStr">
        <is>
          <t>בית ארז (מילטין)</t>
        </is>
      </c>
      <c r="B70" t="inlineStr">
        <is>
          <t>פרטווט 50 - מ"ל (Partovet)</t>
        </is>
      </c>
      <c r="C70" t="inlineStr">
        <is>
          <t>הורמונלי</t>
        </is>
      </c>
      <c r="E70" t="inlineStr">
        <is>
          <t>2026-07</t>
        </is>
      </c>
      <c r="F70" t="n">
        <v>49</v>
      </c>
      <c r="G70" t="n">
        <v>57.82</v>
      </c>
      <c r="H70">
        <f>הגדרות!B2</f>
        <v/>
      </c>
      <c r="I70">
        <f>F70*(1-H70/100)*1.18</f>
        <v/>
      </c>
      <c r="J70">
        <f>הגדרות!C2</f>
        <v/>
      </c>
      <c r="K70">
        <f>הגדרות!D2</f>
        <v/>
      </c>
      <c r="L70">
        <f>I70*(1+J70/100)+K70</f>
        <v/>
      </c>
    </row>
    <row r="71">
      <c r="A71" t="inlineStr">
        <is>
          <t>בית ארז (מילטין)</t>
        </is>
      </c>
      <c r="B71" t="inlineStr">
        <is>
          <t>סנוולגו - סירופ 12 מל</t>
        </is>
      </c>
      <c r="C71" t="inlineStr">
        <is>
          <t>הורמונלי</t>
        </is>
      </c>
      <c r="E71" t="inlineStr">
        <is>
          <t>2026-07</t>
        </is>
      </c>
      <c r="F71" t="n">
        <v>525</v>
      </c>
      <c r="G71" t="n">
        <v>619.5</v>
      </c>
      <c r="H71">
        <f>הגדרות!B2</f>
        <v/>
      </c>
      <c r="I71">
        <f>F71*(1-H71/100)*1.18</f>
        <v/>
      </c>
      <c r="J71">
        <f>הגדרות!C2</f>
        <v/>
      </c>
      <c r="K71">
        <f>הגדרות!D2</f>
        <v/>
      </c>
      <c r="L71">
        <f>I71*(1+J71/100)+K71</f>
        <v/>
      </c>
    </row>
    <row r="72">
      <c r="A72" t="inlineStr">
        <is>
          <t>בית ארז (מילטין)</t>
        </is>
      </c>
      <c r="B72" t="inlineStr">
        <is>
          <t>סרניקאר 1 ג' 30) שקיות)</t>
        </is>
      </c>
      <c r="C72" t="inlineStr">
        <is>
          <t>התנהגות</t>
        </is>
      </c>
      <c r="E72" t="inlineStr">
        <is>
          <t>2026-07</t>
        </is>
      </c>
      <c r="F72" t="n">
        <v>95</v>
      </c>
      <c r="G72" t="n">
        <v>112.1</v>
      </c>
      <c r="H72">
        <f>הגדרות!B2</f>
        <v/>
      </c>
      <c r="I72">
        <f>F72*(1-H72/100)*1.18</f>
        <v/>
      </c>
      <c r="J72">
        <f>הגדרות!C2</f>
        <v/>
      </c>
      <c r="K72">
        <f>הגדרות!D2</f>
        <v/>
      </c>
      <c r="L72">
        <f>I72*(1+J72/100)+K72</f>
        <v/>
      </c>
    </row>
    <row r="73">
      <c r="A73" t="inlineStr">
        <is>
          <t>בית ארז (מילטין)</t>
        </is>
      </c>
      <c r="B73" t="inlineStr">
        <is>
          <t>פורביד 50 - ג'</t>
        </is>
      </c>
      <c r="C73" t="inlineStr">
        <is>
          <t>התנהגות</t>
        </is>
      </c>
      <c r="E73" t="inlineStr">
        <is>
          <t>2026-07</t>
        </is>
      </c>
      <c r="F73" t="n">
        <v>25</v>
      </c>
      <c r="G73" t="n">
        <v>29.5</v>
      </c>
      <c r="H73">
        <f>הגדרות!B2</f>
        <v/>
      </c>
      <c r="I73">
        <f>F73*(1-H73/100)*1.18</f>
        <v/>
      </c>
      <c r="J73">
        <f>הגדרות!C2</f>
        <v/>
      </c>
      <c r="K73">
        <f>הגדרות!D2</f>
        <v/>
      </c>
      <c r="L73">
        <f>I73*(1+J73/100)+K73</f>
        <v/>
      </c>
    </row>
    <row r="74">
      <c r="A74" t="inlineStr">
        <is>
          <t>בית ארז (מילטין)</t>
        </is>
      </c>
      <c r="B74" t="inlineStr">
        <is>
          <t>ציסטופאן 30) קפסולות)</t>
        </is>
      </c>
      <c r="C74" t="inlineStr">
        <is>
          <t>כליות ושתן</t>
        </is>
      </c>
      <c r="E74" t="inlineStr">
        <is>
          <t>2026-07</t>
        </is>
      </c>
      <c r="F74" t="n">
        <v>49</v>
      </c>
      <c r="G74" t="n">
        <v>57.82</v>
      </c>
      <c r="H74">
        <f>הגדרות!B2</f>
        <v/>
      </c>
      <c r="I74">
        <f>F74*(1-H74/100)*1.18</f>
        <v/>
      </c>
      <c r="J74">
        <f>הגדרות!C2</f>
        <v/>
      </c>
      <c r="K74">
        <f>הגדרות!D2</f>
        <v/>
      </c>
      <c r="L74">
        <f>I74*(1+J74/100)+K74</f>
        <v/>
      </c>
    </row>
    <row r="75">
      <c r="A75" t="inlineStr">
        <is>
          <t>בית ארז (מילטין)</t>
        </is>
      </c>
      <c r="B75" t="inlineStr">
        <is>
          <t>ציסטופרו 30) קפסולות)</t>
        </is>
      </c>
      <c r="C75" t="inlineStr">
        <is>
          <t>כליות ושתן</t>
        </is>
      </c>
      <c r="E75" t="inlineStr">
        <is>
          <t>2026-07</t>
        </is>
      </c>
      <c r="F75" t="n">
        <v>69</v>
      </c>
      <c r="G75" t="n">
        <v>81.42</v>
      </c>
      <c r="H75">
        <f>הגדרות!B2</f>
        <v/>
      </c>
      <c r="I75">
        <f>F75*(1-H75/100)*1.18</f>
        <v/>
      </c>
      <c r="J75">
        <f>הגדרות!C2</f>
        <v/>
      </c>
      <c r="K75">
        <f>הגדרות!D2</f>
        <v/>
      </c>
      <c r="L75">
        <f>I75*(1+J75/100)+K75</f>
        <v/>
      </c>
    </row>
    <row r="76">
      <c r="A76" t="inlineStr">
        <is>
          <t>בית ארז (מילטין)</t>
        </is>
      </c>
      <c r="B76" t="inlineStr">
        <is>
          <t>רנל קומבי 150 - ג'</t>
        </is>
      </c>
      <c r="C76" t="inlineStr">
        <is>
          <t>כליות ושתן</t>
        </is>
      </c>
      <c r="E76" t="inlineStr">
        <is>
          <t>2026-07</t>
        </is>
      </c>
      <c r="F76" t="n">
        <v>99</v>
      </c>
      <c r="G76" t="n">
        <v>116.82</v>
      </c>
      <c r="H76">
        <f>הגדרות!B2</f>
        <v/>
      </c>
      <c r="I76">
        <f>F76*(1-H76/100)*1.18</f>
        <v/>
      </c>
      <c r="J76">
        <f>הגדרות!C2</f>
        <v/>
      </c>
      <c r="K76">
        <f>הגדרות!D2</f>
        <v/>
      </c>
      <c r="L76">
        <f>I76*(1+J76/100)+K76</f>
        <v/>
      </c>
    </row>
    <row r="77">
      <c r="A77" t="inlineStr">
        <is>
          <t>בית ארז (מילטין)</t>
        </is>
      </c>
      <c r="B77" t="inlineStr">
        <is>
          <t>ציסטוקיור פורטה משחה 15 - מ"ל</t>
        </is>
      </c>
      <c r="C77" t="inlineStr">
        <is>
          <t>כליות ושתן</t>
        </is>
      </c>
      <c r="E77" t="inlineStr">
        <is>
          <t>2026-07</t>
        </is>
      </c>
      <c r="F77" t="n">
        <v>49</v>
      </c>
      <c r="G77" t="n">
        <v>57.82</v>
      </c>
      <c r="H77">
        <f>הגדרות!B2</f>
        <v/>
      </c>
      <c r="I77">
        <f>F77*(1-H77/100)*1.18</f>
        <v/>
      </c>
      <c r="J77">
        <f>הגדרות!C2</f>
        <v/>
      </c>
      <c r="K77">
        <f>הגדרות!D2</f>
        <v/>
      </c>
      <c r="L77">
        <f>I77*(1+J77/100)+K77</f>
        <v/>
      </c>
    </row>
    <row r="78">
      <c r="A78" t="inlineStr">
        <is>
          <t>בית ארז (מילטין)</t>
        </is>
      </c>
      <c r="B78" t="inlineStr">
        <is>
          <t>פרופאלין סירופ 30 - מ"ל</t>
        </is>
      </c>
      <c r="C78" t="inlineStr">
        <is>
          <t>כליות ושתן</t>
        </is>
      </c>
      <c r="E78" t="inlineStr">
        <is>
          <t>2026-07</t>
        </is>
      </c>
      <c r="F78" t="n">
        <v>49</v>
      </c>
      <c r="G78" t="n">
        <v>57.82</v>
      </c>
      <c r="H78">
        <f>הגדרות!B2</f>
        <v/>
      </c>
      <c r="I78">
        <f>F78*(1-H78/100)*1.18</f>
        <v/>
      </c>
      <c r="J78">
        <f>הגדרות!C2</f>
        <v/>
      </c>
      <c r="K78">
        <f>הגדרות!D2</f>
        <v/>
      </c>
      <c r="L78">
        <f>I78*(1+J78/100)+K78</f>
        <v/>
      </c>
    </row>
    <row r="79">
      <c r="A79" t="inlineStr">
        <is>
          <t>בית ארז (מילטין)</t>
        </is>
      </c>
      <c r="B79" t="inlineStr">
        <is>
          <t>פרופאלין סירופ 100 - מ"ל</t>
        </is>
      </c>
      <c r="C79" t="inlineStr">
        <is>
          <t>כליות ושתן</t>
        </is>
      </c>
      <c r="E79" t="inlineStr">
        <is>
          <t>2026-07</t>
        </is>
      </c>
      <c r="F79" t="n">
        <v>139</v>
      </c>
      <c r="G79" t="n">
        <v>164.02</v>
      </c>
      <c r="H79">
        <f>הגדרות!B2</f>
        <v/>
      </c>
      <c r="I79">
        <f>F79*(1-H79/100)*1.18</f>
        <v/>
      </c>
      <c r="J79">
        <f>הגדרות!C2</f>
        <v/>
      </c>
      <c r="K79">
        <f>הגדרות!D2</f>
        <v/>
      </c>
      <c r="L79">
        <f>I79*(1+J79/100)+K79</f>
        <v/>
      </c>
    </row>
    <row r="80">
      <c r="A80" t="inlineStr">
        <is>
          <t>בית ארז (מילטין)</t>
        </is>
      </c>
      <c r="B80" t="inlineStr">
        <is>
          <t>אלוספריי 210 - מ"ל</t>
        </is>
      </c>
      <c r="C80" t="inlineStr">
        <is>
          <t>דרמטולוגי</t>
        </is>
      </c>
      <c r="E80" t="inlineStr">
        <is>
          <t>2026-07</t>
        </is>
      </c>
      <c r="F80" t="n">
        <v>39</v>
      </c>
      <c r="G80" t="n">
        <v>46.02</v>
      </c>
      <c r="H80">
        <f>הגדרות!B2</f>
        <v/>
      </c>
      <c r="I80">
        <f>F80*(1-H80/100)*1.18</f>
        <v/>
      </c>
      <c r="J80">
        <f>הגדרות!C2</f>
        <v/>
      </c>
      <c r="K80">
        <f>הגדרות!D2</f>
        <v/>
      </c>
      <c r="L80">
        <f>I80*(1+J80/100)+K80</f>
        <v/>
      </c>
    </row>
    <row r="81">
      <c r="A81" t="inlineStr">
        <is>
          <t>בית ארז (מילטין)</t>
        </is>
      </c>
      <c r="B81" t="inlineStr">
        <is>
          <t>סנוצין פורטה תמיסה לעור 75 מ"ל</t>
        </is>
      </c>
      <c r="C81" t="inlineStr">
        <is>
          <t>דרמטולוגי</t>
        </is>
      </c>
      <c r="E81" t="inlineStr">
        <is>
          <t>2026-07</t>
        </is>
      </c>
      <c r="F81" t="n">
        <v>44</v>
      </c>
      <c r="G81" t="n">
        <v>51.92</v>
      </c>
      <c r="H81">
        <f>הגדרות!B2</f>
        <v/>
      </c>
      <c r="I81">
        <f>F81*(1-H81/100)*1.18</f>
        <v/>
      </c>
      <c r="J81">
        <f>הגדרות!C2</f>
        <v/>
      </c>
      <c r="K81">
        <f>הגדרות!D2</f>
        <v/>
      </c>
      <c r="L81">
        <f>I81*(1+J81/100)+K81</f>
        <v/>
      </c>
    </row>
    <row r="82">
      <c r="A82" t="inlineStr">
        <is>
          <t>בית ארז (מילטין)</t>
        </is>
      </c>
      <c r="B82" t="inlineStr">
        <is>
          <t>סנוצין פורטה תמיסה לעור 350 מ"ל</t>
        </is>
      </c>
      <c r="C82" t="inlineStr">
        <is>
          <t>דרמטולוגי</t>
        </is>
      </c>
      <c r="E82" t="inlineStr">
        <is>
          <t>2026-07</t>
        </is>
      </c>
      <c r="F82" t="n">
        <v>99</v>
      </c>
      <c r="G82" t="n">
        <v>116.82</v>
      </c>
      <c r="H82">
        <f>הגדרות!B2</f>
        <v/>
      </c>
      <c r="I82">
        <f>F82*(1-H82/100)*1.18</f>
        <v/>
      </c>
      <c r="J82">
        <f>הגדרות!C2</f>
        <v/>
      </c>
      <c r="K82">
        <f>הגדרות!D2</f>
        <v/>
      </c>
      <c r="L82">
        <f>I82*(1+J82/100)+K82</f>
        <v/>
      </c>
    </row>
    <row r="83">
      <c r="A83" t="inlineStr">
        <is>
          <t>בית ארז (מילטין)</t>
        </is>
      </c>
      <c r="B83" t="inlineStr">
        <is>
          <t>סנוצין פורטה הידרוג'ל לעור 75 מ"ל</t>
        </is>
      </c>
      <c r="C83" t="inlineStr">
        <is>
          <t>דרמטולוגי</t>
        </is>
      </c>
      <c r="E83" t="inlineStr">
        <is>
          <t>2026-07</t>
        </is>
      </c>
      <c r="F83" t="n">
        <v>47</v>
      </c>
      <c r="G83" t="n">
        <v>55.46</v>
      </c>
      <c r="H83">
        <f>הגדרות!B2</f>
        <v/>
      </c>
      <c r="I83">
        <f>F83*(1-H83/100)*1.18</f>
        <v/>
      </c>
      <c r="J83">
        <f>הגדרות!C2</f>
        <v/>
      </c>
      <c r="K83">
        <f>הגדרות!D2</f>
        <v/>
      </c>
      <c r="L83">
        <f>I83*(1+J83/100)+K83</f>
        <v/>
      </c>
    </row>
    <row r="84">
      <c r="A84" t="inlineStr">
        <is>
          <t>בית ארז (מילטין)</t>
        </is>
      </c>
      <c r="B84" t="inlineStr">
        <is>
          <t>סנוצין פורטה הידרוג'ל לעור 350 מ"ל</t>
        </is>
      </c>
      <c r="C84" t="inlineStr">
        <is>
          <t>דרמטולוגי</t>
        </is>
      </c>
      <c r="E84" t="inlineStr">
        <is>
          <t>2026-07</t>
        </is>
      </c>
      <c r="F84" t="n">
        <v>99</v>
      </c>
      <c r="G84" t="n">
        <v>116.82</v>
      </c>
      <c r="H84">
        <f>הגדרות!B2</f>
        <v/>
      </c>
      <c r="I84">
        <f>F84*(1-H84/100)*1.18</f>
        <v/>
      </c>
      <c r="J84">
        <f>הגדרות!C2</f>
        <v/>
      </c>
      <c r="K84">
        <f>הגדרות!D2</f>
        <v/>
      </c>
      <c r="L84">
        <f>I84*(1+J84/100)+K84</f>
        <v/>
      </c>
    </row>
    <row r="85">
      <c r="A85" t="inlineStr">
        <is>
          <t>בית ארז (מילטין)</t>
        </is>
      </c>
      <c r="B85" t="inlineStr">
        <is>
          <t>מאנוקה וט - ג'ל לעור ופצעים 20 - ג'</t>
        </is>
      </c>
      <c r="C85" t="inlineStr">
        <is>
          <t>דרמטולוגי</t>
        </is>
      </c>
      <c r="E85" t="inlineStr">
        <is>
          <t>2026-07</t>
        </is>
      </c>
      <c r="F85" t="n">
        <v>50</v>
      </c>
      <c r="G85" t="n">
        <v>59</v>
      </c>
      <c r="H85">
        <f>הגדרות!B2</f>
        <v/>
      </c>
      <c r="I85">
        <f>F85*(1-H85/100)*1.18</f>
        <v/>
      </c>
      <c r="J85">
        <f>הגדרות!C2</f>
        <v/>
      </c>
      <c r="K85">
        <f>הגדרות!D2</f>
        <v/>
      </c>
      <c r="L85">
        <f>I85*(1+J85/100)+K85</f>
        <v/>
      </c>
    </row>
    <row r="86">
      <c r="A86" t="inlineStr">
        <is>
          <t>בית ארז (מילטין)</t>
        </is>
      </c>
      <c r="B86" t="inlineStr">
        <is>
          <t>מאנוקה וט - ג'ל לעור ופצעים 100 - ג'</t>
        </is>
      </c>
      <c r="C86" t="inlineStr">
        <is>
          <t>דרמטולוגי</t>
        </is>
      </c>
      <c r="E86" t="inlineStr">
        <is>
          <t>2026-07</t>
        </is>
      </c>
      <c r="F86" t="n">
        <v>135</v>
      </c>
      <c r="G86" t="n">
        <v>159.3</v>
      </c>
      <c r="H86">
        <f>הגדרות!B2</f>
        <v/>
      </c>
      <c r="I86">
        <f>F86*(1-H86/100)*1.18</f>
        <v/>
      </c>
      <c r="J86">
        <f>הגדרות!C2</f>
        <v/>
      </c>
      <c r="K86">
        <f>הגדרות!D2</f>
        <v/>
      </c>
      <c r="L86">
        <f>I86*(1+J86/100)+K86</f>
        <v/>
      </c>
    </row>
    <row r="87">
      <c r="A87" t="inlineStr">
        <is>
          <t>בית ארז (מילטין)</t>
        </is>
      </c>
      <c r="B87" t="inlineStr">
        <is>
          <t>מאנוקה וט - משחת עור להוט ספוט ופצעים 56.7 - ג'</t>
        </is>
      </c>
      <c r="C87" t="inlineStr">
        <is>
          <t>דרמטולוגי</t>
        </is>
      </c>
      <c r="E87" t="inlineStr">
        <is>
          <t>2026-07</t>
        </is>
      </c>
      <c r="F87" t="n">
        <v>125</v>
      </c>
      <c r="G87" t="n">
        <v>147.5</v>
      </c>
      <c r="H87">
        <f>הגדרות!B2</f>
        <v/>
      </c>
      <c r="I87">
        <f>F87*(1-H87/100)*1.18</f>
        <v/>
      </c>
      <c r="J87">
        <f>הגדרות!C2</f>
        <v/>
      </c>
      <c r="K87">
        <f>הגדרות!D2</f>
        <v/>
      </c>
      <c r="L87">
        <f>I87*(1+J87/100)+K87</f>
        <v/>
      </c>
    </row>
    <row r="88">
      <c r="A88" t="inlineStr">
        <is>
          <t>בית ארז (מילטין)</t>
        </is>
      </c>
      <c r="B88" t="inlineStr">
        <is>
          <t>סווידרמה Keto-C שמפו 237 - מ"ל</t>
        </is>
      </c>
      <c r="C88" t="inlineStr">
        <is>
          <t>דרמטולוגי</t>
        </is>
      </c>
      <c r="E88" t="inlineStr">
        <is>
          <t>2026-07</t>
        </is>
      </c>
      <c r="F88" t="n">
        <v>49</v>
      </c>
      <c r="G88" t="n">
        <v>57.82</v>
      </c>
      <c r="H88">
        <f>הגדרות!B2</f>
        <v/>
      </c>
      <c r="I88">
        <f>F88*(1-H88/100)*1.18</f>
        <v/>
      </c>
      <c r="J88">
        <f>הגדרות!C2</f>
        <v/>
      </c>
      <c r="K88">
        <f>הגדרות!D2</f>
        <v/>
      </c>
      <c r="L88">
        <f>I88*(1+J88/100)+K88</f>
        <v/>
      </c>
    </row>
    <row r="89">
      <c r="A89" t="inlineStr">
        <is>
          <t>בית ארז (מילטין)</t>
        </is>
      </c>
      <c r="B89" t="inlineStr">
        <is>
          <t>סווידרמה Keto-C ספריי 237 - מ"ל</t>
        </is>
      </c>
      <c r="C89" t="inlineStr">
        <is>
          <t>דרמטולוגי</t>
        </is>
      </c>
      <c r="E89" t="inlineStr">
        <is>
          <t>2026-07</t>
        </is>
      </c>
      <c r="F89" t="n">
        <v>49</v>
      </c>
      <c r="G89" t="n">
        <v>57.82</v>
      </c>
      <c r="H89">
        <f>הגדרות!B2</f>
        <v/>
      </c>
      <c r="I89">
        <f>F89*(1-H89/100)*1.18</f>
        <v/>
      </c>
      <c r="J89">
        <f>הגדרות!C2</f>
        <v/>
      </c>
      <c r="K89">
        <f>הגדרות!D2</f>
        <v/>
      </c>
      <c r="L89">
        <f>I89*(1+J89/100)+K89</f>
        <v/>
      </c>
    </row>
    <row r="90">
      <c r="A90" t="inlineStr">
        <is>
          <t>בית ארז (מילטין)</t>
        </is>
      </c>
      <c r="B90" t="inlineStr">
        <is>
          <t>סווידרמה Keto-C Tris שטיפת אוזניים 355 - מ"ל</t>
        </is>
      </c>
      <c r="C90" t="inlineStr">
        <is>
          <t>דרמטולוגי</t>
        </is>
      </c>
      <c r="E90" t="inlineStr">
        <is>
          <t>2026-07</t>
        </is>
      </c>
      <c r="F90" t="n">
        <v>55</v>
      </c>
      <c r="G90" t="n">
        <v>64.90000000000001</v>
      </c>
      <c r="H90">
        <f>הגדרות!B2</f>
        <v/>
      </c>
      <c r="I90">
        <f>F90*(1-H90/100)*1.18</f>
        <v/>
      </c>
      <c r="J90">
        <f>הגדרות!C2</f>
        <v/>
      </c>
      <c r="K90">
        <f>הגדרות!D2</f>
        <v/>
      </c>
      <c r="L90">
        <f>I90*(1+J90/100)+K90</f>
        <v/>
      </c>
    </row>
    <row r="91">
      <c r="A91" t="inlineStr">
        <is>
          <t>בית ארז (מילטין)</t>
        </is>
      </c>
      <c r="B91" t="inlineStr">
        <is>
          <t>סווידרמה שטיפת אוזניים אדוונס 237 – מ"ל</t>
        </is>
      </c>
      <c r="C91" t="inlineStr">
        <is>
          <t>דרמטולוגי</t>
        </is>
      </c>
      <c r="E91" t="inlineStr">
        <is>
          <t>2026-07</t>
        </is>
      </c>
      <c r="F91" t="n">
        <v>45</v>
      </c>
      <c r="G91" t="n">
        <v>53.1</v>
      </c>
      <c r="H91">
        <f>הגדרות!B2</f>
        <v/>
      </c>
      <c r="I91">
        <f>F91*(1-H91/100)*1.18</f>
        <v/>
      </c>
      <c r="J91">
        <f>הגדרות!C2</f>
        <v/>
      </c>
      <c r="K91">
        <f>הגדרות!D2</f>
        <v/>
      </c>
      <c r="L91">
        <f>I91*(1+J91/100)+K91</f>
        <v/>
      </c>
    </row>
    <row r="92">
      <c r="A92" t="inlineStr">
        <is>
          <t>בית ארז (מילטין)</t>
        </is>
      </c>
      <c r="B92" t="inlineStr">
        <is>
          <t>סווידרמה שמפו אלוורה ושיבולת שועל 355 – מ"ל</t>
        </is>
      </c>
      <c r="C92" t="inlineStr">
        <is>
          <t>דרמטולוגי</t>
        </is>
      </c>
      <c r="E92" t="inlineStr">
        <is>
          <t>2026-07</t>
        </is>
      </c>
      <c r="F92" t="n">
        <v>43</v>
      </c>
      <c r="G92" t="n">
        <v>50.74</v>
      </c>
      <c r="H92">
        <f>הגדרות!B2</f>
        <v/>
      </c>
      <c r="I92">
        <f>F92*(1-H92/100)*1.18</f>
        <v/>
      </c>
      <c r="J92">
        <f>הגדרות!C2</f>
        <v/>
      </c>
      <c r="K92">
        <f>הגדרות!D2</f>
        <v/>
      </c>
      <c r="L92">
        <f>I92*(1+J92/100)+K92</f>
        <v/>
      </c>
    </row>
    <row r="93">
      <c r="A93" t="inlineStr">
        <is>
          <t>בית ארז (מילטין)</t>
        </is>
      </c>
      <c r="B93" t="inlineStr">
        <is>
          <t>סווידרמה שמפו לפרווה לבנה 355 – מ"ל</t>
        </is>
      </c>
      <c r="C93" t="inlineStr">
        <is>
          <t>דרמטולוגי</t>
        </is>
      </c>
      <c r="E93" t="inlineStr">
        <is>
          <t>2026-07</t>
        </is>
      </c>
      <c r="F93" t="n">
        <v>43</v>
      </c>
      <c r="G93" t="n">
        <v>50.74</v>
      </c>
      <c r="H93">
        <f>הגדרות!B2</f>
        <v/>
      </c>
      <c r="I93">
        <f>F93*(1-H93/100)*1.18</f>
        <v/>
      </c>
      <c r="J93">
        <f>הגדרות!C2</f>
        <v/>
      </c>
      <c r="K93">
        <f>הגדרות!D2</f>
        <v/>
      </c>
      <c r="L93">
        <f>I93*(1+J93/100)+K93</f>
        <v/>
      </c>
    </row>
    <row r="94">
      <c r="A94" t="inlineStr">
        <is>
          <t>בית ארז (מילטין)</t>
        </is>
      </c>
      <c r="B94" t="inlineStr">
        <is>
          <t>סווידרמה שמפו גורים אל דמע 473 - מ"ל</t>
        </is>
      </c>
      <c r="C94" t="inlineStr">
        <is>
          <t>דרמטולוגי</t>
        </is>
      </c>
      <c r="E94" t="inlineStr">
        <is>
          <t>2026-07</t>
        </is>
      </c>
      <c r="F94" t="n">
        <v>59</v>
      </c>
      <c r="G94" t="n">
        <v>69.62</v>
      </c>
      <c r="H94">
        <f>הגדרות!B2</f>
        <v/>
      </c>
      <c r="I94">
        <f>F94*(1-H94/100)*1.18</f>
        <v/>
      </c>
      <c r="J94">
        <f>הגדרות!C2</f>
        <v/>
      </c>
      <c r="K94">
        <f>הגדרות!D2</f>
        <v/>
      </c>
      <c r="L94">
        <f>I94*(1+J94/100)+K94</f>
        <v/>
      </c>
    </row>
    <row r="95">
      <c r="A95" t="inlineStr">
        <is>
          <t>בית ארז (מילטין)</t>
        </is>
      </c>
      <c r="B95" t="inlineStr">
        <is>
          <t>סווידרמה מגבונים אלוורה ושיבולת שועל 60) מגבונים)</t>
        </is>
      </c>
      <c r="C95" t="inlineStr">
        <is>
          <t>דרמטולוגי</t>
        </is>
      </c>
      <c r="E95" t="inlineStr">
        <is>
          <t>2026-07</t>
        </is>
      </c>
      <c r="F95" t="n">
        <v>65</v>
      </c>
      <c r="G95" t="n">
        <v>76.7</v>
      </c>
      <c r="H95">
        <f>הגדרות!B2</f>
        <v/>
      </c>
      <c r="I95">
        <f>F95*(1-H95/100)*1.18</f>
        <v/>
      </c>
      <c r="J95">
        <f>הגדרות!C2</f>
        <v/>
      </c>
      <c r="K95">
        <f>הגדרות!D2</f>
        <v/>
      </c>
      <c r="L95">
        <f>I95*(1+J95/100)+K95</f>
        <v/>
      </c>
    </row>
    <row r="96">
      <c r="A96" t="inlineStr">
        <is>
          <t>בית ארז (מילטין)</t>
        </is>
      </c>
      <c r="B96" t="inlineStr">
        <is>
          <t>סווידרמה מגבונים לפנים ולהסרת כתמי דמעות 60) מגבונים)</t>
        </is>
      </c>
      <c r="C96" t="inlineStr">
        <is>
          <t>דרמטולוגי</t>
        </is>
      </c>
      <c r="E96" t="inlineStr">
        <is>
          <t>2026-07</t>
        </is>
      </c>
      <c r="F96" t="n">
        <v>65</v>
      </c>
      <c r="G96" t="n">
        <v>76.7</v>
      </c>
      <c r="H96">
        <f>הגדרות!B2</f>
        <v/>
      </c>
      <c r="I96">
        <f>F96*(1-H96/100)*1.18</f>
        <v/>
      </c>
      <c r="J96">
        <f>הגדרות!C2</f>
        <v/>
      </c>
      <c r="K96">
        <f>הגדרות!D2</f>
        <v/>
      </c>
      <c r="L96">
        <f>I96*(1+J96/100)+K96</f>
        <v/>
      </c>
    </row>
    <row r="97">
      <c r="A97" t="inlineStr">
        <is>
          <t>בית ארז (מילטין)</t>
        </is>
      </c>
      <c r="B97" t="inlineStr">
        <is>
          <t>סווידרמה קרם לחות – אף עד זנב – 7.65ג'</t>
        </is>
      </c>
      <c r="C97" t="inlineStr">
        <is>
          <t>דרמטולוגי</t>
        </is>
      </c>
      <c r="E97" t="inlineStr">
        <is>
          <t>2026-07</t>
        </is>
      </c>
      <c r="F97" t="n">
        <v>59</v>
      </c>
      <c r="G97" t="n">
        <v>69.62</v>
      </c>
      <c r="H97">
        <f>הגדרות!B2</f>
        <v/>
      </c>
      <c r="I97">
        <f>F97*(1-H97/100)*1.18</f>
        <v/>
      </c>
      <c r="J97">
        <f>הגדרות!C2</f>
        <v/>
      </c>
      <c r="K97">
        <f>הגדרות!D2</f>
        <v/>
      </c>
      <c r="L97">
        <f>I97*(1+J97/100)+K97</f>
        <v/>
      </c>
    </row>
    <row r="98">
      <c r="A98" t="inlineStr">
        <is>
          <t>בית ארז (מילטין)</t>
        </is>
      </c>
      <c r="B98" t="inlineStr">
        <is>
          <t>ויגרופט פסטה לחתול 50 - ג'</t>
        </is>
      </c>
      <c r="C98" t="inlineStr">
        <is>
          <t>ויטמינים</t>
        </is>
      </c>
      <c r="E98" t="inlineStr">
        <is>
          <t>2026-07</t>
        </is>
      </c>
      <c r="F98" t="n">
        <v>39</v>
      </c>
      <c r="G98" t="n">
        <v>46.02</v>
      </c>
      <c r="H98">
        <f>הגדרות!B2</f>
        <v/>
      </c>
      <c r="I98">
        <f>F98*(1-H98/100)*1.18</f>
        <v/>
      </c>
      <c r="J98">
        <f>הגדרות!C2</f>
        <v/>
      </c>
      <c r="K98">
        <f>הגדרות!D2</f>
        <v/>
      </c>
      <c r="L98">
        <f>I98*(1+J98/100)+K98</f>
        <v/>
      </c>
    </row>
    <row r="99">
      <c r="A99" t="inlineStr">
        <is>
          <t>בית ארז (מילטין)</t>
        </is>
      </c>
      <c r="B99" t="inlineStr">
        <is>
          <t>קובאלאפלקס 60) קפסולות)</t>
        </is>
      </c>
      <c r="C99" t="inlineStr">
        <is>
          <t>ויטמינים</t>
        </is>
      </c>
      <c r="E99" t="inlineStr">
        <is>
          <t>2026-07</t>
        </is>
      </c>
      <c r="F99" t="n">
        <v>84</v>
      </c>
      <c r="G99" t="n">
        <v>99.12</v>
      </c>
      <c r="H99">
        <f>הגדרות!B2</f>
        <v/>
      </c>
      <c r="I99">
        <f>F99*(1-H99/100)*1.18</f>
        <v/>
      </c>
      <c r="J99">
        <f>הגדרות!C2</f>
        <v/>
      </c>
      <c r="K99">
        <f>הגדרות!D2</f>
        <v/>
      </c>
      <c r="L99">
        <f>I99*(1+J99/100)+K99</f>
        <v/>
      </c>
    </row>
    <row r="100">
      <c r="A100" t="inlineStr">
        <is>
          <t>בית ארז (מילטין)</t>
        </is>
      </c>
      <c r="B100" t="inlineStr">
        <is>
          <t>אמינופלסמל 500 - 10% מ"ל Aminoplasmal</t>
        </is>
      </c>
      <c r="C100" t="inlineStr">
        <is>
          <t>ויטמינים</t>
        </is>
      </c>
      <c r="E100" t="inlineStr">
        <is>
          <t>2026-07</t>
        </is>
      </c>
      <c r="F100" t="n">
        <v>49</v>
      </c>
      <c r="G100" t="n">
        <v>57.82</v>
      </c>
      <c r="H100">
        <f>הגדרות!B2</f>
        <v/>
      </c>
      <c r="I100">
        <f>F100*(1-H100/100)*1.18</f>
        <v/>
      </c>
      <c r="J100">
        <f>הגדרות!C2</f>
        <v/>
      </c>
      <c r="K100">
        <f>הגדרות!D2</f>
        <v/>
      </c>
      <c r="L100">
        <f>I100*(1+J100/100)+K100</f>
        <v/>
      </c>
    </row>
    <row r="101">
      <c r="A101" t="inlineStr">
        <is>
          <t>בית ארז (מילטין)</t>
        </is>
      </c>
      <c r="B101" t="inlineStr">
        <is>
          <t>ליפופונדין 500 - 20% מ"ל Lipofundin</t>
        </is>
      </c>
      <c r="C101" t="inlineStr">
        <is>
          <t>ויטמינים</t>
        </is>
      </c>
      <c r="E101" t="inlineStr">
        <is>
          <t>2026-07</t>
        </is>
      </c>
      <c r="F101" t="n">
        <v>89</v>
      </c>
      <c r="G101" t="n">
        <v>105.02</v>
      </c>
      <c r="H101">
        <f>הגדרות!B2</f>
        <v/>
      </c>
      <c r="I101">
        <f>F101*(1-H101/100)*1.18</f>
        <v/>
      </c>
      <c r="J101">
        <f>הגדרות!C2</f>
        <v/>
      </c>
      <c r="K101">
        <f>הגדרות!D2</f>
        <v/>
      </c>
      <c r="L101">
        <f>I101*(1+J101/100)+K101</f>
        <v/>
      </c>
    </row>
    <row r="102">
      <c r="A102" t="inlineStr">
        <is>
          <t>בית ארז (מילטין)</t>
        </is>
      </c>
      <c r="B102" t="inlineStr">
        <is>
          <t>דואומגה 1000 מ"ג לכלב 30) קפסולות)</t>
        </is>
      </c>
      <c r="C102" t="inlineStr">
        <is>
          <t>ויטמינים</t>
        </is>
      </c>
      <c r="E102" t="inlineStr">
        <is>
          <t>2026-07</t>
        </is>
      </c>
      <c r="F102" t="n">
        <v>69</v>
      </c>
      <c r="G102" t="n">
        <v>81.42</v>
      </c>
      <c r="H102">
        <f>הגדרות!B2</f>
        <v/>
      </c>
      <c r="I102">
        <f>F102*(1-H102/100)*1.18</f>
        <v/>
      </c>
      <c r="J102">
        <f>הגדרות!C2</f>
        <v/>
      </c>
      <c r="K102">
        <f>הגדרות!D2</f>
        <v/>
      </c>
      <c r="L102">
        <f>I102*(1+J102/100)+K102</f>
        <v/>
      </c>
    </row>
    <row r="103">
      <c r="A103" t="inlineStr">
        <is>
          <t>בית ארז (מילטין)</t>
        </is>
      </c>
      <c r="B103" t="inlineStr">
        <is>
          <t>בסאמה 30) 200 טבליות) BeSame 200 -</t>
        </is>
      </c>
      <c r="C103" t="inlineStr">
        <is>
          <t>כבד</t>
        </is>
      </c>
      <c r="E103" t="inlineStr">
        <is>
          <t>2026-07</t>
        </is>
      </c>
      <c r="F103" t="n">
        <v>117</v>
      </c>
      <c r="G103" t="n">
        <v>138.06</v>
      </c>
      <c r="H103">
        <f>הגדרות!B2</f>
        <v/>
      </c>
      <c r="I103">
        <f>F103*(1-H103/100)*1.18</f>
        <v/>
      </c>
      <c r="J103">
        <f>הגדרות!C2</f>
        <v/>
      </c>
      <c r="K103">
        <f>הגדרות!D2</f>
        <v/>
      </c>
      <c r="L103">
        <f>I103*(1+J103/100)+K103</f>
        <v/>
      </c>
    </row>
    <row r="104">
      <c r="A104" t="inlineStr">
        <is>
          <t>בית ארז (מילטין)</t>
        </is>
      </c>
      <c r="B104" t="inlineStr">
        <is>
          <t>גלוטמקס אדוונס לכלב 120) טבליות)</t>
        </is>
      </c>
      <c r="C104" t="inlineStr">
        <is>
          <t>כבד</t>
        </is>
      </c>
      <c r="E104" t="inlineStr">
        <is>
          <t>2026-07</t>
        </is>
      </c>
      <c r="F104" t="n">
        <v>249</v>
      </c>
      <c r="G104" t="n">
        <v>293.82</v>
      </c>
      <c r="H104">
        <f>הגדרות!B2</f>
        <v/>
      </c>
      <c r="I104">
        <f>F104*(1-H104/100)*1.18</f>
        <v/>
      </c>
      <c r="J104">
        <f>הגדרות!C2</f>
        <v/>
      </c>
      <c r="K104">
        <f>הגדרות!D2</f>
        <v/>
      </c>
      <c r="L104">
        <f>I104*(1+J104/100)+K104</f>
        <v/>
      </c>
    </row>
    <row r="105">
      <c r="A105" t="inlineStr">
        <is>
          <t>בית ארז (מילטין)</t>
        </is>
      </c>
      <c r="B105" t="inlineStr">
        <is>
          <t>סוליפן - פנוברביטל 60 מ"ג 60) טבליות)</t>
        </is>
      </c>
      <c r="C105" t="inlineStr">
        <is>
          <t>נוירולוגיה</t>
        </is>
      </c>
      <c r="E105" t="inlineStr">
        <is>
          <t>2026-07</t>
        </is>
      </c>
      <c r="F105" t="n">
        <v>90</v>
      </c>
      <c r="G105" t="n">
        <v>106.2</v>
      </c>
      <c r="H105">
        <f>הגדרות!B2</f>
        <v/>
      </c>
      <c r="I105">
        <f>F105*(1-H105/100)*1.18</f>
        <v/>
      </c>
      <c r="J105">
        <f>הגדרות!C2</f>
        <v/>
      </c>
      <c r="K105">
        <f>הגדרות!D2</f>
        <v/>
      </c>
      <c r="L105">
        <f>I105*(1+J105/100)+K105</f>
        <v/>
      </c>
    </row>
    <row r="106">
      <c r="A106" t="inlineStr">
        <is>
          <t>בית ארז (מילטין)</t>
        </is>
      </c>
      <c r="B106" t="inlineStr">
        <is>
          <t>קונפיס אולטרא כלב 300) טבליות) (PAE3039)</t>
        </is>
      </c>
      <c r="C106" t="inlineStr">
        <is>
          <t>מפרקים</t>
        </is>
      </c>
      <c r="E106" t="inlineStr">
        <is>
          <t>2026-07</t>
        </is>
      </c>
      <c r="F106" t="n">
        <v>459</v>
      </c>
      <c r="G106" t="n">
        <v>541.62</v>
      </c>
      <c r="H106">
        <f>הגדרות!B2</f>
        <v/>
      </c>
      <c r="I106">
        <f>F106*(1-H106/100)*1.18</f>
        <v/>
      </c>
      <c r="J106">
        <f>הגדרות!C2</f>
        <v/>
      </c>
      <c r="K106">
        <f>הגדרות!D2</f>
        <v/>
      </c>
      <c r="L106">
        <f>I106*(1+J106/100)+K106</f>
        <v/>
      </c>
    </row>
    <row r="107">
      <c r="A107" t="inlineStr">
        <is>
          <t>בית ארז (מילטין)</t>
        </is>
      </c>
      <c r="B107" t="inlineStr">
        <is>
          <t>היאלוטידין למפרקים 125 - מ"ל</t>
        </is>
      </c>
      <c r="C107" t="inlineStr">
        <is>
          <t>מפרקים</t>
        </is>
      </c>
      <c r="E107" t="inlineStr">
        <is>
          <t>2026-07</t>
        </is>
      </c>
      <c r="F107" t="n">
        <v>147</v>
      </c>
      <c r="G107" t="n">
        <v>173.46</v>
      </c>
      <c r="H107">
        <f>הגדרות!B2</f>
        <v/>
      </c>
      <c r="I107">
        <f>F107*(1-H107/100)*1.18</f>
        <v/>
      </c>
      <c r="J107">
        <f>הגדרות!C2</f>
        <v/>
      </c>
      <c r="K107">
        <f>הגדרות!D2</f>
        <v/>
      </c>
      <c r="L107">
        <f>I107*(1+J107/100)+K107</f>
        <v/>
      </c>
    </row>
    <row r="108">
      <c r="A108" t="inlineStr">
        <is>
          <t>בית ארז (מילטין)</t>
        </is>
      </c>
      <c r="B108" t="inlineStr">
        <is>
          <t>אווקסיה 120) HF טבליות) (PAE5760) EVEXIA</t>
        </is>
      </c>
      <c r="C108" t="inlineStr">
        <is>
          <t>מפרקים</t>
        </is>
      </c>
      <c r="E108" t="inlineStr">
        <is>
          <t>2026-07</t>
        </is>
      </c>
      <c r="F108" t="n">
        <v>330</v>
      </c>
      <c r="G108" t="n">
        <v>389.4</v>
      </c>
      <c r="H108">
        <f>הגדרות!B2</f>
        <v/>
      </c>
      <c r="I108">
        <f>F108*(1-H108/100)*1.18</f>
        <v/>
      </c>
      <c r="J108">
        <f>הגדרות!C2</f>
        <v/>
      </c>
      <c r="K108">
        <f>הגדרות!D2</f>
        <v/>
      </c>
      <c r="L108">
        <f>I108*(1+J108/100)+K108</f>
        <v/>
      </c>
    </row>
    <row r="109">
      <c r="A109" t="inlineStr">
        <is>
          <t>בית ארז (מילטין)</t>
        </is>
      </c>
      <c r="B109" t="inlineStr">
        <is>
          <t>היאלורונאן 6 מ"ל 5 - יח' Hyaluronan</t>
        </is>
      </c>
      <c r="C109" t="inlineStr">
        <is>
          <t>מפרקים</t>
        </is>
      </c>
      <c r="E109" t="inlineStr">
        <is>
          <t>2026-07</t>
        </is>
      </c>
      <c r="F109" t="n">
        <v>700</v>
      </c>
      <c r="G109" t="n">
        <v>826</v>
      </c>
      <c r="H109">
        <f>הגדרות!B2</f>
        <v/>
      </c>
      <c r="I109">
        <f>F109*(1-H109/100)*1.18</f>
        <v/>
      </c>
      <c r="J109">
        <f>הגדרות!C2</f>
        <v/>
      </c>
      <c r="K109">
        <f>הגדרות!D2</f>
        <v/>
      </c>
      <c r="L109">
        <f>I109*(1+J109/100)+K109</f>
        <v/>
      </c>
    </row>
    <row r="110">
      <c r="A110" t="inlineStr">
        <is>
          <t>בית ארז (מילטין)</t>
        </is>
      </c>
      <c r="B110" t="inlineStr">
        <is>
          <t>תמיסת Hartmann (Sodium Lactate) הרטמן 500 מ"ל 10 - יח'</t>
        </is>
      </c>
      <c r="C110" t="inlineStr">
        <is>
          <t>נוזלים</t>
        </is>
      </c>
      <c r="E110" t="inlineStr">
        <is>
          <t>2026-07</t>
        </is>
      </c>
      <c r="F110" t="n">
        <v>75</v>
      </c>
      <c r="G110" t="n">
        <v>88.5</v>
      </c>
      <c r="H110">
        <f>הגדרות!B2</f>
        <v/>
      </c>
      <c r="I110">
        <f>F110*(1-H110/100)*1.18</f>
        <v/>
      </c>
      <c r="J110">
        <f>הגדרות!C2</f>
        <v/>
      </c>
      <c r="K110">
        <f>הגדרות!D2</f>
        <v/>
      </c>
      <c r="L110">
        <f>I110*(1+J110/100)+K110</f>
        <v/>
      </c>
    </row>
    <row r="111">
      <c r="A111" t="inlineStr">
        <is>
          <t>בית ארז (מילטין)</t>
        </is>
      </c>
      <c r="B111" t="inlineStr">
        <is>
          <t>תמיסת Hartmann (Sodium Lactate) הרטמן 1000 מ"ל 10 - יח'</t>
        </is>
      </c>
      <c r="C111" t="inlineStr">
        <is>
          <t>נוזלים</t>
        </is>
      </c>
      <c r="E111" t="inlineStr">
        <is>
          <t>2026-07</t>
        </is>
      </c>
      <c r="F111" t="n">
        <v>100</v>
      </c>
      <c r="G111" t="n">
        <v>118</v>
      </c>
      <c r="H111">
        <f>הגדרות!B2</f>
        <v/>
      </c>
      <c r="I111">
        <f>F111*(1-H111/100)*1.18</f>
        <v/>
      </c>
      <c r="J111">
        <f>הגדרות!C2</f>
        <v/>
      </c>
      <c r="K111">
        <f>הגדרות!D2</f>
        <v/>
      </c>
      <c r="L111">
        <f>I111*(1+J111/100)+K111</f>
        <v/>
      </c>
    </row>
    <row r="112">
      <c r="A112" t="inlineStr">
        <is>
          <t>בית ארז (מילטין)</t>
        </is>
      </c>
      <c r="B112" t="inlineStr">
        <is>
          <t>תמיסת (Sodium Chloride) סליין 500 - 0.9% מ"ל 10 - יח'</t>
        </is>
      </c>
      <c r="C112" t="inlineStr">
        <is>
          <t>נוזלים</t>
        </is>
      </c>
      <c r="E112" t="inlineStr">
        <is>
          <t>2026-07</t>
        </is>
      </c>
      <c r="F112" t="n">
        <v>69</v>
      </c>
      <c r="G112" t="n">
        <v>81.42</v>
      </c>
      <c r="H112">
        <f>הגדרות!B2</f>
        <v/>
      </c>
      <c r="I112">
        <f>F112*(1-H112/100)*1.18</f>
        <v/>
      </c>
      <c r="J112">
        <f>הגדרות!C2</f>
        <v/>
      </c>
      <c r="K112">
        <f>הגדרות!D2</f>
        <v/>
      </c>
      <c r="L112">
        <f>I112*(1+J112/100)+K112</f>
        <v/>
      </c>
    </row>
    <row r="113">
      <c r="A113" t="inlineStr">
        <is>
          <t>בית ארז (מילטין)</t>
        </is>
      </c>
      <c r="B113" t="inlineStr">
        <is>
          <t>תמיסת (Sodium Chloride) סליין 1000 - 0.9% מ"ל 10 - יח'</t>
        </is>
      </c>
      <c r="C113" t="inlineStr">
        <is>
          <t>נוזלים</t>
        </is>
      </c>
      <c r="E113" t="inlineStr">
        <is>
          <t>2026-07</t>
        </is>
      </c>
      <c r="F113" t="n">
        <v>100</v>
      </c>
      <c r="G113" t="n">
        <v>118</v>
      </c>
      <c r="H113">
        <f>הגדרות!B2</f>
        <v/>
      </c>
      <c r="I113">
        <f>F113*(1-H113/100)*1.18</f>
        <v/>
      </c>
      <c r="J113">
        <f>הגדרות!C2</f>
        <v/>
      </c>
      <c r="K113">
        <f>הגדרות!D2</f>
        <v/>
      </c>
      <c r="L113">
        <f>I113*(1+J113/100)+K113</f>
        <v/>
      </c>
    </row>
    <row r="114">
      <c r="A114" t="inlineStr">
        <is>
          <t>בית ארז (מילטין)</t>
        </is>
      </c>
      <c r="B114" t="inlineStr">
        <is>
          <t>תמיסת סליין + 0.9% דקסטרוז 1000 - 5% מ"ל 10 - יח'</t>
        </is>
      </c>
      <c r="C114" t="inlineStr">
        <is>
          <t>נוזלים</t>
        </is>
      </c>
      <c r="E114" t="inlineStr">
        <is>
          <t>2026-07</t>
        </is>
      </c>
      <c r="F114" t="n">
        <v>115</v>
      </c>
      <c r="G114" t="n">
        <v>135.7</v>
      </c>
      <c r="H114">
        <f>הגדרות!B2</f>
        <v/>
      </c>
      <c r="I114">
        <f>F114*(1-H114/100)*1.18</f>
        <v/>
      </c>
      <c r="J114">
        <f>הגדרות!C2</f>
        <v/>
      </c>
      <c r="K114">
        <f>הגדרות!D2</f>
        <v/>
      </c>
      <c r="L114">
        <f>I114*(1+J114/100)+K114</f>
        <v/>
      </c>
    </row>
    <row r="115">
      <c r="A115" t="inlineStr">
        <is>
          <t>בית ארז (מילטין)</t>
        </is>
      </c>
      <c r="B115" t="inlineStr">
        <is>
          <t>תמיסת Dextrose דקסטרוז 500 - 5% מ"ל 10 - יח'</t>
        </is>
      </c>
      <c r="C115" t="inlineStr">
        <is>
          <t>נוזלים</t>
        </is>
      </c>
      <c r="E115" t="inlineStr">
        <is>
          <t>2026-07</t>
        </is>
      </c>
      <c r="F115" t="n">
        <v>75</v>
      </c>
      <c r="G115" t="n">
        <v>88.5</v>
      </c>
      <c r="H115">
        <f>הגדרות!B2</f>
        <v/>
      </c>
      <c r="I115">
        <f>F115*(1-H115/100)*1.18</f>
        <v/>
      </c>
      <c r="J115">
        <f>הגדרות!C2</f>
        <v/>
      </c>
      <c r="K115">
        <f>הגדרות!D2</f>
        <v/>
      </c>
      <c r="L115">
        <f>I115*(1+J115/100)+K115</f>
        <v/>
      </c>
    </row>
    <row r="116">
      <c r="A116" t="inlineStr">
        <is>
          <t>בית ארז (מילטין)</t>
        </is>
      </c>
      <c r="B116" t="inlineStr">
        <is>
          <t>תמיסת Glucose גלוקוז 20 50% מ"ל 20 - יח'</t>
        </is>
      </c>
      <c r="C116" t="inlineStr">
        <is>
          <t>נוזלים</t>
        </is>
      </c>
      <c r="E116" t="inlineStr">
        <is>
          <t>2026-07</t>
        </is>
      </c>
      <c r="F116" t="n">
        <v>84</v>
      </c>
      <c r="G116" t="n">
        <v>99.12</v>
      </c>
      <c r="H116">
        <f>הגדרות!B2</f>
        <v/>
      </c>
      <c r="I116">
        <f>F116*(1-H116/100)*1.18</f>
        <v/>
      </c>
      <c r="J116">
        <f>הגדרות!C2</f>
        <v/>
      </c>
      <c r="K116">
        <f>הגדרות!D2</f>
        <v/>
      </c>
      <c r="L116">
        <f>I116*(1+J116/100)+K116</f>
        <v/>
      </c>
    </row>
    <row r="117">
      <c r="A117" t="inlineStr">
        <is>
          <t>בית ארז (מילטין)</t>
        </is>
      </c>
      <c r="B117" t="inlineStr">
        <is>
          <t>מים להזרקה 10 מ"ל 100 - יח'</t>
        </is>
      </c>
      <c r="C117" t="inlineStr">
        <is>
          <t>נוזלים</t>
        </is>
      </c>
      <c r="E117" t="inlineStr">
        <is>
          <t>2026-07</t>
        </is>
      </c>
      <c r="F117" t="n">
        <v>200</v>
      </c>
      <c r="G117" t="n">
        <v>236</v>
      </c>
      <c r="H117">
        <f>הגדרות!B2</f>
        <v/>
      </c>
      <c r="I117">
        <f>F117*(1-H117/100)*1.18</f>
        <v/>
      </c>
      <c r="J117">
        <f>הגדרות!C2</f>
        <v/>
      </c>
      <c r="K117">
        <f>הגדרות!D2</f>
        <v/>
      </c>
      <c r="L117">
        <f>I117*(1+J117/100)+K117</f>
        <v/>
      </c>
    </row>
    <row r="118">
      <c r="A118" t="inlineStr">
        <is>
          <t>בית ארז (מילטין)</t>
        </is>
      </c>
      <c r="B118" t="inlineStr">
        <is>
          <t>מים להזרקה 100 מ"ל 20 - יח'</t>
        </is>
      </c>
      <c r="C118" t="inlineStr">
        <is>
          <t>נוזלים</t>
        </is>
      </c>
      <c r="E118" t="inlineStr">
        <is>
          <t>2026-07</t>
        </is>
      </c>
      <c r="F118" t="n">
        <v>170</v>
      </c>
      <c r="G118" t="n">
        <v>200.6</v>
      </c>
      <c r="H118">
        <f>הגדרות!B2</f>
        <v/>
      </c>
      <c r="I118">
        <f>F118*(1-H118/100)*1.18</f>
        <v/>
      </c>
      <c r="J118">
        <f>הגדרות!C2</f>
        <v/>
      </c>
      <c r="K118">
        <f>הגדרות!D2</f>
        <v/>
      </c>
      <c r="L118">
        <f>I118*(1+J118/100)+K118</f>
        <v/>
      </c>
    </row>
    <row r="119">
      <c r="A119" t="inlineStr">
        <is>
          <t>בית ארז (מילטין)</t>
        </is>
      </c>
      <c r="B119" t="inlineStr">
        <is>
          <t>תמיסת קלציום גלוקונט 10 - 10% מ"ל 20 - יח'</t>
        </is>
      </c>
      <c r="C119" t="inlineStr">
        <is>
          <t>נוזלים</t>
        </is>
      </c>
      <c r="E119" t="inlineStr">
        <is>
          <t>2026-07</t>
        </is>
      </c>
      <c r="F119" t="n">
        <v>64</v>
      </c>
      <c r="G119" t="n">
        <v>75.52</v>
      </c>
      <c r="H119">
        <f>הגדרות!B2</f>
        <v/>
      </c>
      <c r="I119">
        <f>F119*(1-H119/100)*1.18</f>
        <v/>
      </c>
      <c r="J119">
        <f>הגדרות!C2</f>
        <v/>
      </c>
      <c r="K119">
        <f>הגדרות!D2</f>
        <v/>
      </c>
      <c r="L119">
        <f>I119*(1+J119/100)+K119</f>
        <v/>
      </c>
    </row>
    <row r="120">
      <c r="A120" t="inlineStr">
        <is>
          <t>בית ארז (מילטין)</t>
        </is>
      </c>
      <c r="B120" t="inlineStr">
        <is>
          <t>תמיסת פוטסיום כלוריד 10 - 14.9% מ"ל חיבור לואר לוק 20 - יח'</t>
        </is>
      </c>
      <c r="C120" t="inlineStr">
        <is>
          <t>נוזלים</t>
        </is>
      </c>
      <c r="E120" t="inlineStr">
        <is>
          <t>2026-07</t>
        </is>
      </c>
      <c r="F120" t="n">
        <v>66</v>
      </c>
      <c r="G120" t="n">
        <v>77.88</v>
      </c>
      <c r="H120">
        <f>הגדרות!B2</f>
        <v/>
      </c>
      <c r="I120">
        <f>F120*(1-H120/100)*1.18</f>
        <v/>
      </c>
      <c r="J120">
        <f>הגדרות!C2</f>
        <v/>
      </c>
      <c r="K120">
        <f>הגדרות!D2</f>
        <v/>
      </c>
      <c r="L120">
        <f>I120*(1+J120/100)+K120</f>
        <v/>
      </c>
    </row>
    <row r="121">
      <c r="A121" t="inlineStr">
        <is>
          <t>בית ארז (מילטין)</t>
        </is>
      </c>
      <c r="B121" t="inlineStr">
        <is>
          <t>תמיסת סודיום ביקרבונט 100 - 8.4% מ"ל 20 - יח'</t>
        </is>
      </c>
      <c r="C121" t="inlineStr">
        <is>
          <t>נוזלים</t>
        </is>
      </c>
      <c r="E121" t="inlineStr">
        <is>
          <t>2026-07</t>
        </is>
      </c>
      <c r="F121" t="n">
        <v>370</v>
      </c>
      <c r="G121" t="n">
        <v>436.6</v>
      </c>
      <c r="H121">
        <f>הגדרות!B2</f>
        <v/>
      </c>
      <c r="I121">
        <f>F121*(1-H121/100)*1.18</f>
        <v/>
      </c>
      <c r="J121">
        <f>הגדרות!C2</f>
        <v/>
      </c>
      <c r="K121">
        <f>הגדרות!D2</f>
        <v/>
      </c>
      <c r="L121">
        <f>I121*(1+J121/100)+K121</f>
        <v/>
      </c>
    </row>
    <row r="122">
      <c r="A122" t="inlineStr">
        <is>
          <t>בית ארז (מילטין)</t>
        </is>
      </c>
      <c r="B122" t="inlineStr">
        <is>
          <t>אפקארד 3 מ"ג 30) טבליות)</t>
        </is>
      </c>
      <c r="C122" t="inlineStr">
        <is>
          <t>קרדיו</t>
        </is>
      </c>
      <c r="E122" t="inlineStr">
        <is>
          <t>2026-07</t>
        </is>
      </c>
      <c r="F122" t="n">
        <v>73</v>
      </c>
      <c r="G122" t="n">
        <v>86.14</v>
      </c>
      <c r="H122">
        <f>הגדרות!B2</f>
        <v/>
      </c>
      <c r="I122">
        <f>F122*(1-H122/100)*1.18</f>
        <v/>
      </c>
      <c r="J122">
        <f>הגדרות!C2</f>
        <v/>
      </c>
      <c r="K122">
        <f>הגדרות!D2</f>
        <v/>
      </c>
      <c r="L122">
        <f>I122*(1+J122/100)+K122</f>
        <v/>
      </c>
    </row>
    <row r="123">
      <c r="A123" t="inlineStr">
        <is>
          <t>בית ארז (מילטין)</t>
        </is>
      </c>
      <c r="B123" t="inlineStr">
        <is>
          <t>וטמדין 1.25 מ"ג 100) טבליות לעיסה)</t>
        </is>
      </c>
      <c r="C123" t="inlineStr">
        <is>
          <t>קרדיו</t>
        </is>
      </c>
      <c r="E123" t="inlineStr">
        <is>
          <t>2026-07</t>
        </is>
      </c>
      <c r="F123" t="n">
        <v>180</v>
      </c>
      <c r="G123" t="n">
        <v>212.4</v>
      </c>
      <c r="H123">
        <f>הגדרות!B2</f>
        <v/>
      </c>
      <c r="I123">
        <f>F123*(1-H123/100)*1.18</f>
        <v/>
      </c>
      <c r="J123">
        <f>הגדרות!C2</f>
        <v/>
      </c>
      <c r="K123">
        <f>הגדרות!D2</f>
        <v/>
      </c>
      <c r="L123">
        <f>I123*(1+J123/100)+K123</f>
        <v/>
      </c>
    </row>
    <row r="124">
      <c r="A124" t="inlineStr">
        <is>
          <t>בית ארז (מילטין)</t>
        </is>
      </c>
      <c r="B124" t="inlineStr">
        <is>
          <t>וטמדין 5 מ"ג 100) טבליות לעיסה)</t>
        </is>
      </c>
      <c r="C124" t="inlineStr">
        <is>
          <t>קרדיו</t>
        </is>
      </c>
      <c r="E124" t="inlineStr">
        <is>
          <t>2026-07</t>
        </is>
      </c>
      <c r="F124" t="n">
        <v>340</v>
      </c>
      <c r="G124" t="n">
        <v>401.2</v>
      </c>
      <c r="H124">
        <f>הגדרות!B2</f>
        <v/>
      </c>
      <c r="I124">
        <f>F124*(1-H124/100)*1.18</f>
        <v/>
      </c>
      <c r="J124">
        <f>הגדרות!C2</f>
        <v/>
      </c>
      <c r="K124">
        <f>הגדרות!D2</f>
        <v/>
      </c>
      <c r="L124">
        <f>I124*(1+J124/100)+K124</f>
        <v/>
      </c>
    </row>
    <row r="125">
      <c r="A125" t="inlineStr">
        <is>
          <t>בית ארז (מילטין)</t>
        </is>
      </c>
      <c r="B125" t="inlineStr">
        <is>
          <t>וטמדין 10 מ"ג 100) טבליות לעיסה)</t>
        </is>
      </c>
      <c r="C125" t="inlineStr">
        <is>
          <t>קרדיו</t>
        </is>
      </c>
      <c r="E125" t="inlineStr">
        <is>
          <t>2026-07</t>
        </is>
      </c>
      <c r="F125" t="n">
        <v>450</v>
      </c>
      <c r="G125" t="n">
        <v>531</v>
      </c>
      <c r="H125">
        <f>הגדרות!B2</f>
        <v/>
      </c>
      <c r="I125">
        <f>F125*(1-H125/100)*1.18</f>
        <v/>
      </c>
      <c r="J125">
        <f>הגדרות!C2</f>
        <v/>
      </c>
      <c r="K125">
        <f>הגדרות!D2</f>
        <v/>
      </c>
      <c r="L125">
        <f>I125*(1+J125/100)+K125</f>
        <v/>
      </c>
    </row>
    <row r="126">
      <c r="A126" t="inlineStr">
        <is>
          <t>בית ארז (מילטין)</t>
        </is>
      </c>
      <c r="B126" t="inlineStr">
        <is>
          <t>פפי לאיט - חלב לגורי כלבים 400 ג'</t>
        </is>
      </c>
      <c r="C126" t="inlineStr">
        <is>
          <t>תחליפי חלב</t>
        </is>
      </c>
      <c r="E126" t="inlineStr">
        <is>
          <t>2026-07</t>
        </is>
      </c>
      <c r="F126" t="n">
        <v>49</v>
      </c>
      <c r="G126" t="n">
        <v>57.82</v>
      </c>
      <c r="H126">
        <f>הגדרות!B2</f>
        <v/>
      </c>
      <c r="I126">
        <f>F126*(1-H126/100)*1.18</f>
        <v/>
      </c>
      <c r="J126">
        <f>הגדרות!C2</f>
        <v/>
      </c>
      <c r="K126">
        <f>הגדרות!D2</f>
        <v/>
      </c>
      <c r="L126">
        <f>I126*(1+J126/100)+K126</f>
        <v/>
      </c>
    </row>
    <row r="127">
      <c r="A127" t="inlineStr">
        <is>
          <t>בית ארז (מילטין)</t>
        </is>
      </c>
      <c r="B127" t="inlineStr">
        <is>
          <t>פפי לאיט - חלב לגורי חתולים 250 ג'</t>
        </is>
      </c>
      <c r="C127" t="inlineStr">
        <is>
          <t>תחליפי חלב</t>
        </is>
      </c>
      <c r="E127" t="inlineStr">
        <is>
          <t>2026-07</t>
        </is>
      </c>
      <c r="F127" t="n">
        <v>31</v>
      </c>
      <c r="G127" t="n">
        <v>36.58</v>
      </c>
      <c r="H127">
        <f>הגדרות!B2</f>
        <v/>
      </c>
      <c r="I127">
        <f>F127*(1-H127/100)*1.18</f>
        <v/>
      </c>
      <c r="J127">
        <f>הגדרות!C2</f>
        <v/>
      </c>
      <c r="K127">
        <f>הגדרות!D2</f>
        <v/>
      </c>
      <c r="L127">
        <f>I127*(1+J127/100)+K127</f>
        <v/>
      </c>
    </row>
    <row r="128">
      <c r="A128" t="inlineStr">
        <is>
          <t>בית ארז (מילטין)</t>
        </is>
      </c>
      <c r="B128" t="inlineStr">
        <is>
          <t>פייברפלקס לארנבונים 15 - מ"ל</t>
        </is>
      </c>
      <c r="C128" t="inlineStr">
        <is>
          <t>מערכת עיכול - ארנבונים</t>
        </is>
      </c>
      <c r="E128" t="inlineStr">
        <is>
          <t>2026-07</t>
        </is>
      </c>
      <c r="F128" t="n">
        <v>40</v>
      </c>
      <c r="G128" t="n">
        <v>47.2</v>
      </c>
      <c r="H128">
        <f>הגדרות!B2</f>
        <v/>
      </c>
      <c r="I128">
        <f>F128*(1-H128/100)*1.18</f>
        <v/>
      </c>
      <c r="J128">
        <f>הגדרות!C2</f>
        <v/>
      </c>
      <c r="K128">
        <f>הגדרות!D2</f>
        <v/>
      </c>
      <c r="L128">
        <f>I128*(1+J128/100)+K128</f>
        <v/>
      </c>
    </row>
    <row r="129">
      <c r="A129" t="inlineStr">
        <is>
          <t>בית ארז (מילטין)</t>
        </is>
      </c>
      <c r="B129" t="inlineStr">
        <is>
          <t>ביו-לאפיס לארנבונים 2 ג' 6) שקיות)</t>
        </is>
      </c>
      <c r="C129" t="inlineStr">
        <is>
          <t>מערכת עיכול - ארנבונים</t>
        </is>
      </c>
      <c r="E129" t="inlineStr">
        <is>
          <t>2026-07</t>
        </is>
      </c>
      <c r="F129" t="n">
        <v>31</v>
      </c>
      <c r="G129" t="n">
        <v>36.58</v>
      </c>
      <c r="H129">
        <f>הגדרות!B2</f>
        <v/>
      </c>
      <c r="I129">
        <f>F129*(1-H129/100)*1.18</f>
        <v/>
      </c>
      <c r="J129">
        <f>הגדרות!C2</f>
        <v/>
      </c>
      <c r="K129">
        <f>הגדרות!D2</f>
        <v/>
      </c>
      <c r="L129">
        <f>I129*(1+J129/100)+K129</f>
        <v/>
      </c>
    </row>
    <row r="130">
      <c r="A130" t="inlineStr">
        <is>
          <t>בית ארז (מילטין)</t>
        </is>
      </c>
      <c r="B130" t="inlineStr">
        <is>
          <t>פרו-פייבר לארנבים 800 ג'</t>
        </is>
      </c>
      <c r="C130" t="inlineStr">
        <is>
          <t>מערכת עיכול - ארנבונים</t>
        </is>
      </c>
      <c r="E130" t="inlineStr">
        <is>
          <t>2026-07</t>
        </is>
      </c>
      <c r="F130" t="n">
        <v>79</v>
      </c>
      <c r="G130" t="n">
        <v>93.22</v>
      </c>
      <c r="H130">
        <f>הגדרות!B2</f>
        <v/>
      </c>
      <c r="I130">
        <f>F130*(1-H130/100)*1.18</f>
        <v/>
      </c>
      <c r="J130">
        <f>הגדרות!C2</f>
        <v/>
      </c>
      <c r="K130">
        <f>הגדרות!D2</f>
        <v/>
      </c>
      <c r="L130">
        <f>I130*(1+J130/100)+K130</f>
        <v/>
      </c>
    </row>
    <row r="131">
      <c r="A131" t="inlineStr">
        <is>
          <t>בית ארז (מילטין)</t>
        </is>
      </c>
      <c r="B131" t="inlineStr">
        <is>
          <t>טובוס v-gel לארנבון מידה 0.6-1.5) R1 ק"ג)</t>
        </is>
      </c>
      <c r="C131" t="inlineStr">
        <is>
          <t>טובוסים V-Gel לארנבונים</t>
        </is>
      </c>
      <c r="E131" t="inlineStr">
        <is>
          <t>2026-07</t>
        </is>
      </c>
      <c r="F131" t="n">
        <v>71</v>
      </c>
      <c r="G131" t="n">
        <v>83.78</v>
      </c>
      <c r="H131">
        <f>הגדרות!B2</f>
        <v/>
      </c>
      <c r="I131">
        <f>F131*(1-H131/100)*1.18</f>
        <v/>
      </c>
      <c r="J131">
        <f>הגדרות!C2</f>
        <v/>
      </c>
      <c r="K131">
        <f>הגדרות!D2</f>
        <v/>
      </c>
      <c r="L131">
        <f>I131*(1+J131/100)+K131</f>
        <v/>
      </c>
    </row>
    <row r="132">
      <c r="A132" t="inlineStr">
        <is>
          <t>בית ארז (מילטין)</t>
        </is>
      </c>
      <c r="B132" t="inlineStr">
        <is>
          <t>טובוס v-gel לארנבון מידה 1-2) R2 ק"ג)</t>
        </is>
      </c>
      <c r="C132" t="inlineStr">
        <is>
          <t>טובוסים V-Gel לארנבונים</t>
        </is>
      </c>
      <c r="E132" t="inlineStr">
        <is>
          <t>2026-07</t>
        </is>
      </c>
      <c r="F132" t="n">
        <v>72</v>
      </c>
      <c r="G132" t="n">
        <v>84.95999999999999</v>
      </c>
      <c r="H132">
        <f>הגדרות!B2</f>
        <v/>
      </c>
      <c r="I132">
        <f>F132*(1-H132/100)*1.18</f>
        <v/>
      </c>
      <c r="J132">
        <f>הגדרות!C2</f>
        <v/>
      </c>
      <c r="K132">
        <f>הגדרות!D2</f>
        <v/>
      </c>
      <c r="L132">
        <f>I132*(1+J132/100)+K132</f>
        <v/>
      </c>
    </row>
    <row r="133">
      <c r="A133" t="inlineStr">
        <is>
          <t>בית ארז (מילטין)</t>
        </is>
      </c>
      <c r="B133" t="inlineStr">
        <is>
          <t>טובוס v-gel לארנבון מידה 1.8-3.5) R3 ק"ג)</t>
        </is>
      </c>
      <c r="C133" t="inlineStr">
        <is>
          <t>טובוסים V-Gel לארנבונים</t>
        </is>
      </c>
      <c r="E133" t="inlineStr">
        <is>
          <t>2026-07</t>
        </is>
      </c>
      <c r="F133" t="n">
        <v>73</v>
      </c>
      <c r="G133" t="n">
        <v>86.14</v>
      </c>
      <c r="H133">
        <f>הגדרות!B2</f>
        <v/>
      </c>
      <c r="I133">
        <f>F133*(1-H133/100)*1.18</f>
        <v/>
      </c>
      <c r="J133">
        <f>הגדרות!C2</f>
        <v/>
      </c>
      <c r="K133">
        <f>הגדרות!D2</f>
        <v/>
      </c>
      <c r="L133">
        <f>I133*(1+J133/100)+K133</f>
        <v/>
      </c>
    </row>
    <row r="134">
      <c r="A134" t="inlineStr">
        <is>
          <t>בית ארז (מילטין)</t>
        </is>
      </c>
      <c r="B134" t="inlineStr">
        <is>
          <t>טובוס v-gel לארנבון מידה 2.5-4) R4 ק"ג)</t>
        </is>
      </c>
      <c r="C134" t="inlineStr">
        <is>
          <t>טובוסים V-Gel לארנבונים</t>
        </is>
      </c>
      <c r="E134" t="inlineStr">
        <is>
          <t>2026-07</t>
        </is>
      </c>
      <c r="F134" t="n">
        <v>77</v>
      </c>
      <c r="G134" t="n">
        <v>90.86</v>
      </c>
      <c r="H134">
        <f>הגדרות!B2</f>
        <v/>
      </c>
      <c r="I134">
        <f>F134*(1-H134/100)*1.18</f>
        <v/>
      </c>
      <c r="J134">
        <f>הגדרות!C2</f>
        <v/>
      </c>
      <c r="K134">
        <f>הגדרות!D2</f>
        <v/>
      </c>
      <c r="L134">
        <f>I134*(1+J134/100)+K134</f>
        <v/>
      </c>
    </row>
    <row r="135">
      <c r="A135" t="inlineStr">
        <is>
          <t>בית ארז (מילטין)</t>
        </is>
      </c>
      <c r="B135" t="inlineStr">
        <is>
          <t>טובוס v-gel לארנבון מידה 3.5-5) R5 ק"ג)</t>
        </is>
      </c>
      <c r="C135" t="inlineStr">
        <is>
          <t>טובוסים V-Gel לארנבונים</t>
        </is>
      </c>
      <c r="E135" t="inlineStr">
        <is>
          <t>2026-07</t>
        </is>
      </c>
      <c r="F135" t="n">
        <v>86</v>
      </c>
      <c r="G135" t="n">
        <v>101.48</v>
      </c>
      <c r="H135">
        <f>הגדרות!B2</f>
        <v/>
      </c>
      <c r="I135">
        <f>F135*(1-H135/100)*1.18</f>
        <v/>
      </c>
      <c r="J135">
        <f>הגדרות!C2</f>
        <v/>
      </c>
      <c r="K135">
        <f>הגדרות!D2</f>
        <v/>
      </c>
      <c r="L135">
        <f>I135*(1+J135/100)+K135</f>
        <v/>
      </c>
    </row>
    <row r="136">
      <c r="A136" t="inlineStr">
        <is>
          <t>בית ארז (מילטין)</t>
        </is>
      </c>
      <c r="B136" t="inlineStr">
        <is>
          <t>טובוס v-gel לארנבון מידה +4.5) R6 ק"ג)</t>
        </is>
      </c>
      <c r="C136" t="inlineStr">
        <is>
          <t>טובוסים V-Gel לארנבונים</t>
        </is>
      </c>
      <c r="E136" t="inlineStr">
        <is>
          <t>2026-07</t>
        </is>
      </c>
      <c r="F136" t="n">
        <v>87</v>
      </c>
      <c r="G136" t="n">
        <v>102.66</v>
      </c>
      <c r="H136">
        <f>הגדרות!B2</f>
        <v/>
      </c>
      <c r="I136">
        <f>F136*(1-H136/100)*1.18</f>
        <v/>
      </c>
      <c r="J136">
        <f>הגדרות!C2</f>
        <v/>
      </c>
      <c r="K136">
        <f>הגדרות!D2</f>
        <v/>
      </c>
      <c r="L136">
        <f>I136*(1+J136/100)+K136</f>
        <v/>
      </c>
    </row>
    <row r="137">
      <c r="A137" t="inlineStr">
        <is>
          <t>בית ארז (מילטין)</t>
        </is>
      </c>
      <c r="B137" t="inlineStr">
        <is>
          <t>כפפות בדיקה לטקס (S) עם אבקה 100 יח'</t>
        </is>
      </c>
      <c r="C137" t="inlineStr">
        <is>
          <t>כפפות</t>
        </is>
      </c>
      <c r="E137" t="inlineStr">
        <is>
          <t>2026-07</t>
        </is>
      </c>
      <c r="F137" t="n">
        <v>17</v>
      </c>
      <c r="G137" t="n">
        <v>20.06</v>
      </c>
      <c r="H137">
        <f>הגדרות!B2</f>
        <v/>
      </c>
      <c r="I137">
        <f>F137*(1-H137/100)*1.18</f>
        <v/>
      </c>
      <c r="J137">
        <f>הגדרות!C2</f>
        <v/>
      </c>
      <c r="K137">
        <f>הגדרות!D2</f>
        <v/>
      </c>
      <c r="L137">
        <f>I137*(1+J137/100)+K137</f>
        <v/>
      </c>
    </row>
    <row r="138">
      <c r="A138" t="inlineStr">
        <is>
          <t>בית ארז (מילטין)</t>
        </is>
      </c>
      <c r="B138" t="inlineStr">
        <is>
          <t>כפפות בדיקה לטקס (M) עם אבקה 100 יח'</t>
        </is>
      </c>
      <c r="C138" t="inlineStr">
        <is>
          <t>כפפות</t>
        </is>
      </c>
      <c r="E138" t="inlineStr">
        <is>
          <t>2026-07</t>
        </is>
      </c>
      <c r="F138" t="n">
        <v>17</v>
      </c>
      <c r="G138" t="n">
        <v>20.06</v>
      </c>
      <c r="H138">
        <f>הגדרות!B2</f>
        <v/>
      </c>
      <c r="I138">
        <f>F138*(1-H138/100)*1.18</f>
        <v/>
      </c>
      <c r="J138">
        <f>הגדרות!C2</f>
        <v/>
      </c>
      <c r="K138">
        <f>הגדרות!D2</f>
        <v/>
      </c>
      <c r="L138">
        <f>I138*(1+J138/100)+K138</f>
        <v/>
      </c>
    </row>
    <row r="139">
      <c r="A139" t="inlineStr">
        <is>
          <t>בית ארז (מילטין)</t>
        </is>
      </c>
      <c r="B139" t="inlineStr">
        <is>
          <t>כפפות בדיקה לטקס (L) עם אבקה 100 יח'</t>
        </is>
      </c>
      <c r="C139" t="inlineStr">
        <is>
          <t>כפפות</t>
        </is>
      </c>
      <c r="E139" t="inlineStr">
        <is>
          <t>2026-07</t>
        </is>
      </c>
      <c r="F139" t="n">
        <v>17</v>
      </c>
      <c r="G139" t="n">
        <v>20.06</v>
      </c>
      <c r="H139">
        <f>הגדרות!B2</f>
        <v/>
      </c>
      <c r="I139">
        <f>F139*(1-H139/100)*1.18</f>
        <v/>
      </c>
      <c r="J139">
        <f>הגדרות!C2</f>
        <v/>
      </c>
      <c r="K139">
        <f>הגדרות!D2</f>
        <v/>
      </c>
      <c r="L139">
        <f>I139*(1+J139/100)+K139</f>
        <v/>
      </c>
    </row>
    <row r="140">
      <c r="A140" t="inlineStr">
        <is>
          <t>בית ארז (מילטין)</t>
        </is>
      </c>
      <c r="B140" t="inlineStr">
        <is>
          <t>כפפות בדיקה לטקס (XL) עם אבקה 100 יח'</t>
        </is>
      </c>
      <c r="C140" t="inlineStr">
        <is>
          <t>כפפות</t>
        </is>
      </c>
      <c r="E140" t="inlineStr">
        <is>
          <t>2026-07</t>
        </is>
      </c>
      <c r="F140" t="n">
        <v>17</v>
      </c>
      <c r="G140" t="n">
        <v>20.06</v>
      </c>
      <c r="H140">
        <f>הגדרות!B2</f>
        <v/>
      </c>
      <c r="I140">
        <f>F140*(1-H140/100)*1.18</f>
        <v/>
      </c>
      <c r="J140">
        <f>הגדרות!C2</f>
        <v/>
      </c>
      <c r="K140">
        <f>הגדרות!D2</f>
        <v/>
      </c>
      <c r="L140">
        <f>I140*(1+J140/100)+K140</f>
        <v/>
      </c>
    </row>
    <row r="141">
      <c r="A141" t="inlineStr">
        <is>
          <t>בית ארז (מילטין)</t>
        </is>
      </c>
      <c r="B141" t="inlineStr">
        <is>
          <t>כפפות בדיקה לטקס (S) ללא אבקה 100 יח'</t>
        </is>
      </c>
      <c r="C141" t="inlineStr">
        <is>
          <t>כפפות</t>
        </is>
      </c>
      <c r="E141" t="inlineStr">
        <is>
          <t>2026-07</t>
        </is>
      </c>
      <c r="F141" t="n">
        <v>17</v>
      </c>
      <c r="G141" t="n">
        <v>20.06</v>
      </c>
      <c r="H141">
        <f>הגדרות!B2</f>
        <v/>
      </c>
      <c r="I141">
        <f>F141*(1-H141/100)*1.18</f>
        <v/>
      </c>
      <c r="J141">
        <f>הגדרות!C2</f>
        <v/>
      </c>
      <c r="K141">
        <f>הגדרות!D2</f>
        <v/>
      </c>
      <c r="L141">
        <f>I141*(1+J141/100)+K141</f>
        <v/>
      </c>
    </row>
    <row r="142">
      <c r="A142" t="inlineStr">
        <is>
          <t>בית ארז (מילטין)</t>
        </is>
      </c>
      <c r="B142" t="inlineStr">
        <is>
          <t>כפפות בדיקה לטקס (M) ללא אבקה 100 יח'</t>
        </is>
      </c>
      <c r="C142" t="inlineStr">
        <is>
          <t>כפפות</t>
        </is>
      </c>
      <c r="E142" t="inlineStr">
        <is>
          <t>2026-07</t>
        </is>
      </c>
      <c r="F142" t="n">
        <v>18</v>
      </c>
      <c r="G142" t="n">
        <v>21.24</v>
      </c>
      <c r="H142">
        <f>הגדרות!B2</f>
        <v/>
      </c>
      <c r="I142">
        <f>F142*(1-H142/100)*1.18</f>
        <v/>
      </c>
      <c r="J142">
        <f>הגדרות!C2</f>
        <v/>
      </c>
      <c r="K142">
        <f>הגדרות!D2</f>
        <v/>
      </c>
      <c r="L142">
        <f>I142*(1+J142/100)+K142</f>
        <v/>
      </c>
    </row>
    <row r="143">
      <c r="A143" t="inlineStr">
        <is>
          <t>בית ארז (מילטין)</t>
        </is>
      </c>
      <c r="B143" t="inlineStr">
        <is>
          <t>כפפות בדיקה לטקס (L) ללא אבקה 100 יח'</t>
        </is>
      </c>
      <c r="C143" t="inlineStr">
        <is>
          <t>כפפות</t>
        </is>
      </c>
      <c r="E143" t="inlineStr">
        <is>
          <t>2026-07</t>
        </is>
      </c>
      <c r="F143" t="n">
        <v>18</v>
      </c>
      <c r="G143" t="n">
        <v>21.24</v>
      </c>
      <c r="H143">
        <f>הגדרות!B2</f>
        <v/>
      </c>
      <c r="I143">
        <f>F143*(1-H143/100)*1.18</f>
        <v/>
      </c>
      <c r="J143">
        <f>הגדרות!C2</f>
        <v/>
      </c>
      <c r="K143">
        <f>הגדרות!D2</f>
        <v/>
      </c>
      <c r="L143">
        <f>I143*(1+J143/100)+K143</f>
        <v/>
      </c>
    </row>
    <row r="144">
      <c r="A144" t="inlineStr">
        <is>
          <t>בית ארז (מילטין)</t>
        </is>
      </c>
      <c r="B144" t="inlineStr">
        <is>
          <t>כפפות בדיקה לטקס ללא אבקה 100 יח' XL -</t>
        </is>
      </c>
      <c r="C144" t="inlineStr">
        <is>
          <t>כפפות</t>
        </is>
      </c>
      <c r="E144" t="inlineStr">
        <is>
          <t>2026-07</t>
        </is>
      </c>
      <c r="F144" t="n">
        <v>18</v>
      </c>
      <c r="G144" t="n">
        <v>21.24</v>
      </c>
      <c r="H144">
        <f>הגדרות!B2</f>
        <v/>
      </c>
      <c r="I144">
        <f>F144*(1-H144/100)*1.18</f>
        <v/>
      </c>
      <c r="J144">
        <f>הגדרות!C2</f>
        <v/>
      </c>
      <c r="K144">
        <f>הגדרות!D2</f>
        <v/>
      </c>
      <c r="L144">
        <f>I144*(1+J144/100)+K144</f>
        <v/>
      </c>
    </row>
    <row r="145">
      <c r="A145" t="inlineStr">
        <is>
          <t>בית ארז (מילטין)</t>
        </is>
      </c>
      <c r="B145" t="inlineStr">
        <is>
          <t>כפפות בדיקה ניטריל (XS) 100 יח'</t>
        </is>
      </c>
      <c r="C145" t="inlineStr">
        <is>
          <t>כפפות</t>
        </is>
      </c>
      <c r="E145" t="inlineStr">
        <is>
          <t>2026-07</t>
        </is>
      </c>
      <c r="F145" t="n">
        <v>15</v>
      </c>
      <c r="G145" t="n">
        <v>17.7</v>
      </c>
      <c r="H145">
        <f>הגדרות!B2</f>
        <v/>
      </c>
      <c r="I145">
        <f>F145*(1-H145/100)*1.18</f>
        <v/>
      </c>
      <c r="J145">
        <f>הגדרות!C2</f>
        <v/>
      </c>
      <c r="K145">
        <f>הגדרות!D2</f>
        <v/>
      </c>
      <c r="L145">
        <f>I145*(1+J145/100)+K145</f>
        <v/>
      </c>
    </row>
    <row r="146">
      <c r="A146" t="inlineStr">
        <is>
          <t>בית ארז (מילטין)</t>
        </is>
      </c>
      <c r="B146" t="inlineStr">
        <is>
          <t>כפפות בדיקה ניטריל (S) 100 יח'</t>
        </is>
      </c>
      <c r="C146" t="inlineStr">
        <is>
          <t>כפפות</t>
        </is>
      </c>
      <c r="E146" t="inlineStr">
        <is>
          <t>2026-07</t>
        </is>
      </c>
      <c r="F146" t="n">
        <v>15</v>
      </c>
      <c r="G146" t="n">
        <v>17.7</v>
      </c>
      <c r="H146">
        <f>הגדרות!B2</f>
        <v/>
      </c>
      <c r="I146">
        <f>F146*(1-H146/100)*1.18</f>
        <v/>
      </c>
      <c r="J146">
        <f>הגדרות!C2</f>
        <v/>
      </c>
      <c r="K146">
        <f>הגדרות!D2</f>
        <v/>
      </c>
      <c r="L146">
        <f>I146*(1+J146/100)+K146</f>
        <v/>
      </c>
    </row>
    <row r="147">
      <c r="A147" t="inlineStr">
        <is>
          <t>בית ארז (מילטין)</t>
        </is>
      </c>
      <c r="B147" t="inlineStr">
        <is>
          <t>כפפות בדיקה ניטריל (M) 100 יח'</t>
        </is>
      </c>
      <c r="C147" t="inlineStr">
        <is>
          <t>כפפות</t>
        </is>
      </c>
      <c r="E147" t="inlineStr">
        <is>
          <t>2026-07</t>
        </is>
      </c>
      <c r="F147" t="n">
        <v>15</v>
      </c>
      <c r="G147" t="n">
        <v>17.7</v>
      </c>
      <c r="H147">
        <f>הגדרות!B2</f>
        <v/>
      </c>
      <c r="I147">
        <f>F147*(1-H147/100)*1.18</f>
        <v/>
      </c>
      <c r="J147">
        <f>הגדרות!C2</f>
        <v/>
      </c>
      <c r="K147">
        <f>הגדרות!D2</f>
        <v/>
      </c>
      <c r="L147">
        <f>I147*(1+J147/100)+K147</f>
        <v/>
      </c>
    </row>
    <row r="148">
      <c r="A148" t="inlineStr">
        <is>
          <t>בית ארז (מילטין)</t>
        </is>
      </c>
      <c r="B148" t="inlineStr">
        <is>
          <t>כפפות בדיקה ניטריל (L) 100 יח'</t>
        </is>
      </c>
      <c r="C148" t="inlineStr">
        <is>
          <t>כפפות</t>
        </is>
      </c>
      <c r="E148" t="inlineStr">
        <is>
          <t>2026-07</t>
        </is>
      </c>
      <c r="F148" t="n">
        <v>15</v>
      </c>
      <c r="G148" t="n">
        <v>17.7</v>
      </c>
      <c r="H148">
        <f>הגדרות!B2</f>
        <v/>
      </c>
      <c r="I148">
        <f>F148*(1-H148/100)*1.18</f>
        <v/>
      </c>
      <c r="J148">
        <f>הגדרות!C2</f>
        <v/>
      </c>
      <c r="K148">
        <f>הגדרות!D2</f>
        <v/>
      </c>
      <c r="L148">
        <f>I148*(1+J148/100)+K148</f>
        <v/>
      </c>
    </row>
    <row r="149">
      <c r="A149" t="inlineStr">
        <is>
          <t>בית ארז (מילטין)</t>
        </is>
      </c>
      <c r="B149" t="inlineStr">
        <is>
          <t>כפפות בדיקה ניטריל (XL) 100 יח'</t>
        </is>
      </c>
      <c r="C149" t="inlineStr">
        <is>
          <t>כפפות</t>
        </is>
      </c>
      <c r="E149" t="inlineStr">
        <is>
          <t>2026-07</t>
        </is>
      </c>
      <c r="F149" t="n">
        <v>15</v>
      </c>
      <c r="G149" t="n">
        <v>17.7</v>
      </c>
      <c r="H149">
        <f>הגדרות!B2</f>
        <v/>
      </c>
      <c r="I149">
        <f>F149*(1-H149/100)*1.18</f>
        <v/>
      </c>
      <c r="J149">
        <f>הגדרות!C2</f>
        <v/>
      </c>
      <c r="K149">
        <f>הגדרות!D2</f>
        <v/>
      </c>
      <c r="L149">
        <f>I149*(1+J149/100)+K149</f>
        <v/>
      </c>
    </row>
    <row r="150">
      <c r="A150" t="inlineStr">
        <is>
          <t>בית ארז (מילטין)</t>
        </is>
      </c>
      <c r="B150" t="inlineStr">
        <is>
          <t>כפפות ניתוח לטקס (6) עם אבקה 50 - יח'</t>
        </is>
      </c>
      <c r="C150" t="inlineStr">
        <is>
          <t>כפפות</t>
        </is>
      </c>
      <c r="E150" t="inlineStr">
        <is>
          <t>2026-07</t>
        </is>
      </c>
      <c r="F150" t="n">
        <v>72</v>
      </c>
      <c r="G150" t="n">
        <v>84.95999999999999</v>
      </c>
      <c r="H150">
        <f>הגדרות!B2</f>
        <v/>
      </c>
      <c r="I150">
        <f>F150*(1-H150/100)*1.18</f>
        <v/>
      </c>
      <c r="J150">
        <f>הגדרות!C2</f>
        <v/>
      </c>
      <c r="K150">
        <f>הגדרות!D2</f>
        <v/>
      </c>
      <c r="L150">
        <f>I150*(1+J150/100)+K150</f>
        <v/>
      </c>
    </row>
    <row r="151">
      <c r="A151" t="inlineStr">
        <is>
          <t>בית ארז (מילטין)</t>
        </is>
      </c>
      <c r="B151" t="inlineStr">
        <is>
          <t>כפפות ניתוח לטקס (6.5) עם אבקה 50 - יח'</t>
        </is>
      </c>
      <c r="C151" t="inlineStr">
        <is>
          <t>כפפות</t>
        </is>
      </c>
      <c r="E151" t="inlineStr">
        <is>
          <t>2026-07</t>
        </is>
      </c>
      <c r="F151" t="n">
        <v>72</v>
      </c>
      <c r="G151" t="n">
        <v>84.95999999999999</v>
      </c>
      <c r="H151">
        <f>הגדרות!B2</f>
        <v/>
      </c>
      <c r="I151">
        <f>F151*(1-H151/100)*1.18</f>
        <v/>
      </c>
      <c r="J151">
        <f>הגדרות!C2</f>
        <v/>
      </c>
      <c r="K151">
        <f>הגדרות!D2</f>
        <v/>
      </c>
      <c r="L151">
        <f>I151*(1+J151/100)+K151</f>
        <v/>
      </c>
    </row>
    <row r="152">
      <c r="A152" t="inlineStr">
        <is>
          <t>בית ארז (מילטין)</t>
        </is>
      </c>
      <c r="B152" t="inlineStr">
        <is>
          <t>כפפות ניתוח לטקס (7) עם אבקה 50 - יח'</t>
        </is>
      </c>
      <c r="C152" t="inlineStr">
        <is>
          <t>כפפות</t>
        </is>
      </c>
      <c r="E152" t="inlineStr">
        <is>
          <t>2026-07</t>
        </is>
      </c>
      <c r="F152" t="n">
        <v>72</v>
      </c>
      <c r="G152" t="n">
        <v>84.95999999999999</v>
      </c>
      <c r="H152">
        <f>הגדרות!B2</f>
        <v/>
      </c>
      <c r="I152">
        <f>F152*(1-H152/100)*1.18</f>
        <v/>
      </c>
      <c r="J152">
        <f>הגדרות!C2</f>
        <v/>
      </c>
      <c r="K152">
        <f>הגדרות!D2</f>
        <v/>
      </c>
      <c r="L152">
        <f>I152*(1+J152/100)+K152</f>
        <v/>
      </c>
    </row>
    <row r="153">
      <c r="A153" t="inlineStr">
        <is>
          <t>בית ארז (מילטין)</t>
        </is>
      </c>
      <c r="B153" t="inlineStr">
        <is>
          <t>כפפות ניתוח לטקס (7.5) עם אבקה 50 - יח'</t>
        </is>
      </c>
      <c r="C153" t="inlineStr">
        <is>
          <t>כפפות</t>
        </is>
      </c>
      <c r="E153" t="inlineStr">
        <is>
          <t>2026-07</t>
        </is>
      </c>
      <c r="F153" t="n">
        <v>72</v>
      </c>
      <c r="G153" t="n">
        <v>84.95999999999999</v>
      </c>
      <c r="H153">
        <f>הגדרות!B2</f>
        <v/>
      </c>
      <c r="I153">
        <f>F153*(1-H153/100)*1.18</f>
        <v/>
      </c>
      <c r="J153">
        <f>הגדרות!C2</f>
        <v/>
      </c>
      <c r="K153">
        <f>הגדרות!D2</f>
        <v/>
      </c>
      <c r="L153">
        <f>I153*(1+J153/100)+K153</f>
        <v/>
      </c>
    </row>
    <row r="154">
      <c r="A154" t="inlineStr">
        <is>
          <t>בית ארז (מילטין)</t>
        </is>
      </c>
      <c r="B154" t="inlineStr">
        <is>
          <t>כפפות ניתוח לטקס (8) עם אבקה 50 - יח'</t>
        </is>
      </c>
      <c r="C154" t="inlineStr">
        <is>
          <t>כפפות</t>
        </is>
      </c>
      <c r="E154" t="inlineStr">
        <is>
          <t>2026-07</t>
        </is>
      </c>
      <c r="F154" t="n">
        <v>72</v>
      </c>
      <c r="G154" t="n">
        <v>84.95999999999999</v>
      </c>
      <c r="H154">
        <f>הגדרות!B2</f>
        <v/>
      </c>
      <c r="I154">
        <f>F154*(1-H154/100)*1.18</f>
        <v/>
      </c>
      <c r="J154">
        <f>הגדרות!C2</f>
        <v/>
      </c>
      <c r="K154">
        <f>הגדרות!D2</f>
        <v/>
      </c>
      <c r="L154">
        <f>I154*(1+J154/100)+K154</f>
        <v/>
      </c>
    </row>
    <row r="155">
      <c r="A155" t="inlineStr">
        <is>
          <t>בית ארז (מילטין)</t>
        </is>
      </c>
      <c r="B155" t="inlineStr">
        <is>
          <t>כפפות ניתוח לטקס (8.5) עם אבקה 50 - יח'</t>
        </is>
      </c>
      <c r="C155" t="inlineStr">
        <is>
          <t>כפפות</t>
        </is>
      </c>
      <c r="E155" t="inlineStr">
        <is>
          <t>2026-07</t>
        </is>
      </c>
      <c r="F155" t="n">
        <v>72</v>
      </c>
      <c r="G155" t="n">
        <v>84.95999999999999</v>
      </c>
      <c r="H155">
        <f>הגדרות!B2</f>
        <v/>
      </c>
      <c r="I155">
        <f>F155*(1-H155/100)*1.18</f>
        <v/>
      </c>
      <c r="J155">
        <f>הגדרות!C2</f>
        <v/>
      </c>
      <c r="K155">
        <f>הגדרות!D2</f>
        <v/>
      </c>
      <c r="L155">
        <f>I155*(1+J155/100)+K155</f>
        <v/>
      </c>
    </row>
    <row r="156">
      <c r="A156" t="inlineStr">
        <is>
          <t>בית ארז (מילטין)</t>
        </is>
      </c>
      <c r="B156" t="inlineStr">
        <is>
          <t>כפפות ניתוח לטקס (9) עם אבקה 50 - יח'</t>
        </is>
      </c>
      <c r="C156" t="inlineStr">
        <is>
          <t>כפפות</t>
        </is>
      </c>
      <c r="E156" t="inlineStr">
        <is>
          <t>2026-07</t>
        </is>
      </c>
      <c r="F156" t="n">
        <v>72</v>
      </c>
      <c r="G156" t="n">
        <v>84.95999999999999</v>
      </c>
      <c r="H156">
        <f>הגדרות!B2</f>
        <v/>
      </c>
      <c r="I156">
        <f>F156*(1-H156/100)*1.18</f>
        <v/>
      </c>
      <c r="J156">
        <f>הגדרות!C2</f>
        <v/>
      </c>
      <c r="K156">
        <f>הגדרות!D2</f>
        <v/>
      </c>
      <c r="L156">
        <f>I156*(1+J156/100)+K156</f>
        <v/>
      </c>
    </row>
    <row r="157">
      <c r="A157" t="inlineStr">
        <is>
          <t>בית ארז (מילטין)</t>
        </is>
      </c>
      <c r="B157" t="inlineStr">
        <is>
          <t>כפפות ניתוח לטקס (6) ללא אבקה 50 - יח'</t>
        </is>
      </c>
      <c r="C157" t="inlineStr">
        <is>
          <t>כפפות</t>
        </is>
      </c>
      <c r="E157" t="inlineStr">
        <is>
          <t>2026-07</t>
        </is>
      </c>
      <c r="F157" t="n">
        <v>90</v>
      </c>
      <c r="G157" t="n">
        <v>106.2</v>
      </c>
      <c r="H157">
        <f>הגדרות!B2</f>
        <v/>
      </c>
      <c r="I157">
        <f>F157*(1-H157/100)*1.18</f>
        <v/>
      </c>
      <c r="J157">
        <f>הגדרות!C2</f>
        <v/>
      </c>
      <c r="K157">
        <f>הגדרות!D2</f>
        <v/>
      </c>
      <c r="L157">
        <f>I157*(1+J157/100)+K157</f>
        <v/>
      </c>
    </row>
    <row r="158">
      <c r="A158" t="inlineStr">
        <is>
          <t>בית ארז (מילטין)</t>
        </is>
      </c>
      <c r="B158" t="inlineStr">
        <is>
          <t>כפפות ניתוח לטקס (6.5) ללא אבקה 50 - יח'</t>
        </is>
      </c>
      <c r="C158" t="inlineStr">
        <is>
          <t>כפפות</t>
        </is>
      </c>
      <c r="E158" t="inlineStr">
        <is>
          <t>2026-07</t>
        </is>
      </c>
      <c r="F158" t="n">
        <v>90</v>
      </c>
      <c r="G158" t="n">
        <v>106.2</v>
      </c>
      <c r="H158">
        <f>הגדרות!B2</f>
        <v/>
      </c>
      <c r="I158">
        <f>F158*(1-H158/100)*1.18</f>
        <v/>
      </c>
      <c r="J158">
        <f>הגדרות!C2</f>
        <v/>
      </c>
      <c r="K158">
        <f>הגדרות!D2</f>
        <v/>
      </c>
      <c r="L158">
        <f>I158*(1+J158/100)+K158</f>
        <v/>
      </c>
    </row>
    <row r="159">
      <c r="A159" t="inlineStr">
        <is>
          <t>בית ארז (מילטין)</t>
        </is>
      </c>
      <c r="B159" t="inlineStr">
        <is>
          <t>כפפות ניתוח לטקס (7) ללא אבקה 50 - יח'</t>
        </is>
      </c>
      <c r="C159" t="inlineStr">
        <is>
          <t>כפפות</t>
        </is>
      </c>
      <c r="E159" t="inlineStr">
        <is>
          <t>2026-07</t>
        </is>
      </c>
      <c r="F159" t="n">
        <v>90</v>
      </c>
      <c r="G159" t="n">
        <v>106.2</v>
      </c>
      <c r="H159">
        <f>הגדרות!B2</f>
        <v/>
      </c>
      <c r="I159">
        <f>F159*(1-H159/100)*1.18</f>
        <v/>
      </c>
      <c r="J159">
        <f>הגדרות!C2</f>
        <v/>
      </c>
      <c r="K159">
        <f>הגדרות!D2</f>
        <v/>
      </c>
      <c r="L159">
        <f>I159*(1+J159/100)+K159</f>
        <v/>
      </c>
    </row>
    <row r="160">
      <c r="A160" t="inlineStr">
        <is>
          <t>בית ארז (מילטין)</t>
        </is>
      </c>
      <c r="B160" t="inlineStr">
        <is>
          <t>כפפות ניתוח לטקס (7.5) ללא אבקה 50 - יח'</t>
        </is>
      </c>
      <c r="C160" t="inlineStr">
        <is>
          <t>כפפות</t>
        </is>
      </c>
      <c r="E160" t="inlineStr">
        <is>
          <t>2026-07</t>
        </is>
      </c>
      <c r="F160" t="n">
        <v>90</v>
      </c>
      <c r="G160" t="n">
        <v>106.2</v>
      </c>
      <c r="H160">
        <f>הגדרות!B2</f>
        <v/>
      </c>
      <c r="I160">
        <f>F160*(1-H160/100)*1.18</f>
        <v/>
      </c>
      <c r="J160">
        <f>הגדרות!C2</f>
        <v/>
      </c>
      <c r="K160">
        <f>הגדרות!D2</f>
        <v/>
      </c>
      <c r="L160">
        <f>I160*(1+J160/100)+K160</f>
        <v/>
      </c>
    </row>
    <row r="161">
      <c r="A161" t="inlineStr">
        <is>
          <t>בית ארז (מילטין)</t>
        </is>
      </c>
      <c r="B161" t="inlineStr">
        <is>
          <t>כפפות ניתוח לטקס (8) ללא אבקה 50 - יח'</t>
        </is>
      </c>
      <c r="C161" t="inlineStr">
        <is>
          <t>כפפות</t>
        </is>
      </c>
      <c r="E161" t="inlineStr">
        <is>
          <t>2026-07</t>
        </is>
      </c>
      <c r="F161" t="n">
        <v>90</v>
      </c>
      <c r="G161" t="n">
        <v>106.2</v>
      </c>
      <c r="H161">
        <f>הגדרות!B2</f>
        <v/>
      </c>
      <c r="I161">
        <f>F161*(1-H161/100)*1.18</f>
        <v/>
      </c>
      <c r="J161">
        <f>הגדרות!C2</f>
        <v/>
      </c>
      <c r="K161">
        <f>הגדרות!D2</f>
        <v/>
      </c>
      <c r="L161">
        <f>I161*(1+J161/100)+K161</f>
        <v/>
      </c>
    </row>
    <row r="162">
      <c r="A162" t="inlineStr">
        <is>
          <t>בית ארז (מילטין)</t>
        </is>
      </c>
      <c r="B162" t="inlineStr">
        <is>
          <t>כפפות ניתוח לטקס (8.5) ללא אבקה 50 - יח'</t>
        </is>
      </c>
      <c r="C162" t="inlineStr">
        <is>
          <t>כפפות</t>
        </is>
      </c>
      <c r="E162" t="inlineStr">
        <is>
          <t>2026-07</t>
        </is>
      </c>
      <c r="F162" t="n">
        <v>90</v>
      </c>
      <c r="G162" t="n">
        <v>106.2</v>
      </c>
      <c r="H162">
        <f>הגדרות!B2</f>
        <v/>
      </c>
      <c r="I162">
        <f>F162*(1-H162/100)*1.18</f>
        <v/>
      </c>
      <c r="J162">
        <f>הגדרות!C2</f>
        <v/>
      </c>
      <c r="K162">
        <f>הגדרות!D2</f>
        <v/>
      </c>
      <c r="L162">
        <f>I162*(1+J162/100)+K162</f>
        <v/>
      </c>
    </row>
    <row r="163">
      <c r="A163" t="inlineStr">
        <is>
          <t>בית ארז (מילטין)</t>
        </is>
      </c>
      <c r="B163" t="inlineStr">
        <is>
          <t>מזרק 1 מל 100 - יח'</t>
        </is>
      </c>
      <c r="C163" t="inlineStr">
        <is>
          <t>מזרקים</t>
        </is>
      </c>
      <c r="E163" t="inlineStr">
        <is>
          <t>2026-07</t>
        </is>
      </c>
      <c r="F163" t="n">
        <v>17</v>
      </c>
      <c r="G163" t="n">
        <v>20.06</v>
      </c>
      <c r="H163">
        <f>הגדרות!B2</f>
        <v/>
      </c>
      <c r="I163">
        <f>F163*(1-H163/100)*1.18</f>
        <v/>
      </c>
      <c r="J163">
        <f>הגדרות!C2</f>
        <v/>
      </c>
      <c r="K163">
        <f>הגדרות!D2</f>
        <v/>
      </c>
      <c r="L163">
        <f>I163*(1+J163/100)+K163</f>
        <v/>
      </c>
    </row>
    <row r="164">
      <c r="A164" t="inlineStr">
        <is>
          <t>בית ארז (מילטין)</t>
        </is>
      </c>
      <c r="B164" t="inlineStr">
        <is>
          <t>מזרק 3 מל 100 - יח'</t>
        </is>
      </c>
      <c r="C164" t="inlineStr">
        <is>
          <t>מזרקים</t>
        </is>
      </c>
      <c r="E164" t="inlineStr">
        <is>
          <t>2026-07</t>
        </is>
      </c>
      <c r="F164" t="n">
        <v>14</v>
      </c>
      <c r="G164" t="n">
        <v>16.52</v>
      </c>
      <c r="H164">
        <f>הגדרות!B2</f>
        <v/>
      </c>
      <c r="I164">
        <f>F164*(1-H164/100)*1.18</f>
        <v/>
      </c>
      <c r="J164">
        <f>הגדרות!C2</f>
        <v/>
      </c>
      <c r="K164">
        <f>הגדרות!D2</f>
        <v/>
      </c>
      <c r="L164">
        <f>I164*(1+J164/100)+K164</f>
        <v/>
      </c>
    </row>
    <row r="165">
      <c r="A165" t="inlineStr">
        <is>
          <t>בית ארז (מילטין)</t>
        </is>
      </c>
      <c r="B165" t="inlineStr">
        <is>
          <t>מזרק 5 מל 100 - יח'</t>
        </is>
      </c>
      <c r="C165" t="inlineStr">
        <is>
          <t>מזרקים</t>
        </is>
      </c>
      <c r="E165" t="inlineStr">
        <is>
          <t>2026-07</t>
        </is>
      </c>
      <c r="F165" t="n">
        <v>16</v>
      </c>
      <c r="G165" t="n">
        <v>18.88</v>
      </c>
      <c r="H165">
        <f>הגדרות!B2</f>
        <v/>
      </c>
      <c r="I165">
        <f>F165*(1-H165/100)*1.18</f>
        <v/>
      </c>
      <c r="J165">
        <f>הגדרות!C2</f>
        <v/>
      </c>
      <c r="K165">
        <f>הגדרות!D2</f>
        <v/>
      </c>
      <c r="L165">
        <f>I165*(1+J165/100)+K165</f>
        <v/>
      </c>
    </row>
    <row r="166">
      <c r="A166" t="inlineStr">
        <is>
          <t>בית ארז (מילטין)</t>
        </is>
      </c>
      <c r="B166" t="inlineStr">
        <is>
          <t>מזרק 10 מל 100 - יח'</t>
        </is>
      </c>
      <c r="C166" t="inlineStr">
        <is>
          <t>מזרקים</t>
        </is>
      </c>
      <c r="E166" t="inlineStr">
        <is>
          <t>2026-07</t>
        </is>
      </c>
      <c r="F166" t="n">
        <v>27</v>
      </c>
      <c r="G166" t="n">
        <v>31.86</v>
      </c>
      <c r="H166">
        <f>הגדרות!B2</f>
        <v/>
      </c>
      <c r="I166">
        <f>F166*(1-H166/100)*1.18</f>
        <v/>
      </c>
      <c r="J166">
        <f>הגדרות!C2</f>
        <v/>
      </c>
      <c r="K166">
        <f>הגדרות!D2</f>
        <v/>
      </c>
      <c r="L166">
        <f>I166*(1+J166/100)+K166</f>
        <v/>
      </c>
    </row>
    <row r="167">
      <c r="A167" t="inlineStr">
        <is>
          <t>בית ארז (מילטין)</t>
        </is>
      </c>
      <c r="B167" t="inlineStr">
        <is>
          <t>מזרק 20 מל 50 - יח'</t>
        </is>
      </c>
      <c r="C167" t="inlineStr">
        <is>
          <t>מזרקים</t>
        </is>
      </c>
      <c r="E167" t="inlineStr">
        <is>
          <t>2026-07</t>
        </is>
      </c>
      <c r="F167" t="n">
        <v>20</v>
      </c>
      <c r="G167" t="n">
        <v>23.6</v>
      </c>
      <c r="H167">
        <f>הגדרות!B2</f>
        <v/>
      </c>
      <c r="I167">
        <f>F167*(1-H167/100)*1.18</f>
        <v/>
      </c>
      <c r="J167">
        <f>הגדרות!C2</f>
        <v/>
      </c>
      <c r="K167">
        <f>הגדרות!D2</f>
        <v/>
      </c>
      <c r="L167">
        <f>I167*(1+J167/100)+K167</f>
        <v/>
      </c>
    </row>
    <row r="168">
      <c r="A168" t="inlineStr">
        <is>
          <t>בית ארז (מילטין)</t>
        </is>
      </c>
      <c r="B168" t="inlineStr">
        <is>
          <t>מזרק שטיפה סטרילי 50/60 מל 25 - יח'</t>
        </is>
      </c>
      <c r="C168" t="inlineStr">
        <is>
          <t>מזרקים</t>
        </is>
      </c>
      <c r="E168" t="inlineStr">
        <is>
          <t>2026-07</t>
        </is>
      </c>
      <c r="F168" t="n">
        <v>27</v>
      </c>
      <c r="G168" t="n">
        <v>31.86</v>
      </c>
      <c r="H168">
        <f>הגדרות!B2</f>
        <v/>
      </c>
      <c r="I168">
        <f>F168*(1-H168/100)*1.18</f>
        <v/>
      </c>
      <c r="J168">
        <f>הגדרות!C2</f>
        <v/>
      </c>
      <c r="K168">
        <f>הגדרות!D2</f>
        <v/>
      </c>
      <c r="L168">
        <f>I168*(1+J168/100)+K168</f>
        <v/>
      </c>
    </row>
    <row r="169">
      <c r="A169" t="inlineStr">
        <is>
          <t>בית ארז (מילטין)</t>
        </is>
      </c>
      <c r="B169" t="inlineStr">
        <is>
          <t>מחט כתומה 100 יח' G25 x 5/8</t>
        </is>
      </c>
      <c r="C169" t="inlineStr">
        <is>
          <t>מחטים</t>
        </is>
      </c>
      <c r="E169" t="inlineStr">
        <is>
          <t>2026-07</t>
        </is>
      </c>
      <c r="F169" t="n">
        <v>6</v>
      </c>
      <c r="G169" t="n">
        <v>7.08</v>
      </c>
      <c r="H169">
        <f>הגדרות!B2</f>
        <v/>
      </c>
      <c r="I169">
        <f>F169*(1-H169/100)*1.18</f>
        <v/>
      </c>
      <c r="J169">
        <f>הגדרות!C2</f>
        <v/>
      </c>
      <c r="K169">
        <f>הגדרות!D2</f>
        <v/>
      </c>
      <c r="L169">
        <f>I169*(1+J169/100)+K169</f>
        <v/>
      </c>
    </row>
    <row r="170">
      <c r="A170" t="inlineStr">
        <is>
          <t>בית ארז (מילטין)</t>
        </is>
      </c>
      <c r="B170" t="inlineStr">
        <is>
          <t>מחט כחולה 100 יח' G23 x 1</t>
        </is>
      </c>
      <c r="C170" t="inlineStr">
        <is>
          <t>מחטים</t>
        </is>
      </c>
      <c r="E170" t="inlineStr">
        <is>
          <t>2026-07</t>
        </is>
      </c>
      <c r="F170" t="n">
        <v>6</v>
      </c>
      <c r="G170" t="n">
        <v>7.08</v>
      </c>
      <c r="H170">
        <f>הגדרות!B2</f>
        <v/>
      </c>
      <c r="I170">
        <f>F170*(1-H170/100)*1.18</f>
        <v/>
      </c>
      <c r="J170">
        <f>הגדרות!C2</f>
        <v/>
      </c>
      <c r="K170">
        <f>הגדרות!D2</f>
        <v/>
      </c>
      <c r="L170">
        <f>I170*(1+J170/100)+K170</f>
        <v/>
      </c>
    </row>
    <row r="171">
      <c r="A171" t="inlineStr">
        <is>
          <t>בית ארז (מילטין)</t>
        </is>
      </c>
      <c r="B171" t="inlineStr">
        <is>
          <t>מחט ירוקה 100 יח' G21 x 1</t>
        </is>
      </c>
      <c r="C171" t="inlineStr">
        <is>
          <t>מחטים</t>
        </is>
      </c>
      <c r="E171" t="inlineStr">
        <is>
          <t>2026-07</t>
        </is>
      </c>
      <c r="F171" t="n">
        <v>6</v>
      </c>
      <c r="G171" t="n">
        <v>7.08</v>
      </c>
      <c r="H171">
        <f>הגדרות!B2</f>
        <v/>
      </c>
      <c r="I171">
        <f>F171*(1-H171/100)*1.18</f>
        <v/>
      </c>
      <c r="J171">
        <f>הגדרות!C2</f>
        <v/>
      </c>
      <c r="K171">
        <f>הגדרות!D2</f>
        <v/>
      </c>
      <c r="L171">
        <f>I171*(1+J171/100)+K171</f>
        <v/>
      </c>
    </row>
    <row r="172">
      <c r="A172" t="inlineStr">
        <is>
          <t>בית ארז (מילטין)</t>
        </is>
      </c>
      <c r="B172" t="inlineStr">
        <is>
          <t>מחט ירוקה 100 יח' G21 x 1.5</t>
        </is>
      </c>
      <c r="C172" t="inlineStr">
        <is>
          <t>מחטים</t>
        </is>
      </c>
      <c r="E172" t="inlineStr">
        <is>
          <t>2026-07</t>
        </is>
      </c>
      <c r="F172" t="n">
        <v>6</v>
      </c>
      <c r="G172" t="n">
        <v>7.08</v>
      </c>
      <c r="H172">
        <f>הגדרות!B2</f>
        <v/>
      </c>
      <c r="I172">
        <f>F172*(1-H172/100)*1.18</f>
        <v/>
      </c>
      <c r="J172">
        <f>הגדרות!C2</f>
        <v/>
      </c>
      <c r="K172">
        <f>הגדרות!D2</f>
        <v/>
      </c>
      <c r="L172">
        <f>I172*(1+J172/100)+K172</f>
        <v/>
      </c>
    </row>
    <row r="173">
      <c r="A173" t="inlineStr">
        <is>
          <t>בית ארז (מילטין)</t>
        </is>
      </c>
      <c r="B173" t="inlineStr">
        <is>
          <t>מחט ורודה 100 יח' G18 x 1</t>
        </is>
      </c>
      <c r="C173" t="inlineStr">
        <is>
          <t>מחטים</t>
        </is>
      </c>
      <c r="E173" t="inlineStr">
        <is>
          <t>2026-07</t>
        </is>
      </c>
      <c r="F173" t="n">
        <v>8</v>
      </c>
      <c r="G173" t="n">
        <v>9.44</v>
      </c>
      <c r="H173">
        <f>הגדרות!B2</f>
        <v/>
      </c>
      <c r="I173">
        <f>F173*(1-H173/100)*1.18</f>
        <v/>
      </c>
      <c r="J173">
        <f>הגדרות!C2</f>
        <v/>
      </c>
      <c r="K173">
        <f>הגדרות!D2</f>
        <v/>
      </c>
      <c r="L173">
        <f>I173*(1+J173/100)+K173</f>
        <v/>
      </c>
    </row>
    <row r="174">
      <c r="A174" t="inlineStr">
        <is>
          <t>בית ארז (מילטין)</t>
        </is>
      </c>
      <c r="B174" t="inlineStr">
        <is>
          <t>מחט ורודה 100 יח' G18 x 1.5</t>
        </is>
      </c>
      <c r="C174" t="inlineStr">
        <is>
          <t>מחטים</t>
        </is>
      </c>
      <c r="E174" t="inlineStr">
        <is>
          <t>2026-07</t>
        </is>
      </c>
      <c r="F174" t="n">
        <v>6</v>
      </c>
      <c r="G174" t="n">
        <v>7.08</v>
      </c>
      <c r="H174">
        <f>הגדרות!B2</f>
        <v/>
      </c>
      <c r="I174">
        <f>F174*(1-H174/100)*1.18</f>
        <v/>
      </c>
      <c r="J174">
        <f>הגדרות!C2</f>
        <v/>
      </c>
      <c r="K174">
        <f>הגדרות!D2</f>
        <v/>
      </c>
      <c r="L174">
        <f>I174*(1+J174/100)+K174</f>
        <v/>
      </c>
    </row>
    <row r="175">
      <c r="A175" t="inlineStr">
        <is>
          <t>בית ארז (מילטין)</t>
        </is>
      </c>
      <c r="B175" t="inlineStr">
        <is>
          <t>מחט לבנה 100 יח' 16G x 1</t>
        </is>
      </c>
      <c r="C175" t="inlineStr">
        <is>
          <t>מחטים</t>
        </is>
      </c>
      <c r="E175" t="inlineStr">
        <is>
          <t>2026-07</t>
        </is>
      </c>
      <c r="F175" t="n">
        <v>9</v>
      </c>
      <c r="G175" t="n">
        <v>10.62</v>
      </c>
      <c r="H175">
        <f>הגדרות!B2</f>
        <v/>
      </c>
      <c r="I175">
        <f>F175*(1-H175/100)*1.18</f>
        <v/>
      </c>
      <c r="J175">
        <f>הגדרות!C2</f>
        <v/>
      </c>
      <c r="K175">
        <f>הגדרות!D2</f>
        <v/>
      </c>
      <c r="L175">
        <f>I175*(1+J175/100)+K175</f>
        <v/>
      </c>
    </row>
    <row r="176">
      <c r="A176" t="inlineStr">
        <is>
          <t>בית ארז (מילטין)</t>
        </is>
      </c>
      <c r="B176" t="inlineStr">
        <is>
          <t>פרפרית 100 יח' G23</t>
        </is>
      </c>
      <c r="C176" t="inlineStr">
        <is>
          <t>פרפריות</t>
        </is>
      </c>
      <c r="E176" t="inlineStr">
        <is>
          <t>2026-07</t>
        </is>
      </c>
      <c r="F176" t="n">
        <v>37</v>
      </c>
      <c r="G176" t="n">
        <v>43.66</v>
      </c>
      <c r="H176">
        <f>הגדרות!B2</f>
        <v/>
      </c>
      <c r="I176">
        <f>F176*(1-H176/100)*1.18</f>
        <v/>
      </c>
      <c r="J176">
        <f>הגדרות!C2</f>
        <v/>
      </c>
      <c r="K176">
        <f>הגדרות!D2</f>
        <v/>
      </c>
      <c r="L176">
        <f>I176*(1+J176/100)+K176</f>
        <v/>
      </c>
    </row>
    <row r="177">
      <c r="A177" t="inlineStr">
        <is>
          <t>בית ארז (מילטין)</t>
        </is>
      </c>
      <c r="B177" t="inlineStr">
        <is>
          <t>פרפרית 100 יח' G21</t>
        </is>
      </c>
      <c r="C177" t="inlineStr">
        <is>
          <t>פרפריות</t>
        </is>
      </c>
      <c r="E177" t="inlineStr">
        <is>
          <t>2026-07</t>
        </is>
      </c>
      <c r="F177" t="n">
        <v>37</v>
      </c>
      <c r="G177" t="n">
        <v>43.66</v>
      </c>
      <c r="H177">
        <f>הגדרות!B2</f>
        <v/>
      </c>
      <c r="I177">
        <f>F177*(1-H177/100)*1.18</f>
        <v/>
      </c>
      <c r="J177">
        <f>הגדרות!C2</f>
        <v/>
      </c>
      <c r="K177">
        <f>הגדרות!D2</f>
        <v/>
      </c>
      <c r="L177">
        <f>I177*(1+J177/100)+K177</f>
        <v/>
      </c>
    </row>
    <row r="178">
      <c r="A178" t="inlineStr">
        <is>
          <t>בית ארז (מילטין)</t>
        </is>
      </c>
      <c r="B178" t="inlineStr">
        <is>
          <t>פרפרית והולדין 100 יח' G23</t>
        </is>
      </c>
      <c r="C178" t="inlineStr">
        <is>
          <t>פרפריות</t>
        </is>
      </c>
      <c r="E178" t="inlineStr">
        <is>
          <t>2026-07</t>
        </is>
      </c>
      <c r="F178" t="n">
        <v>65</v>
      </c>
      <c r="G178" t="n">
        <v>76.7</v>
      </c>
      <c r="H178">
        <f>הגדרות!B2</f>
        <v/>
      </c>
      <c r="I178">
        <f>F178*(1-H178/100)*1.18</f>
        <v/>
      </c>
      <c r="J178">
        <f>הגדרות!C2</f>
        <v/>
      </c>
      <c r="K178">
        <f>הגדרות!D2</f>
        <v/>
      </c>
      <c r="L178">
        <f>I178*(1+J178/100)+K178</f>
        <v/>
      </c>
    </row>
    <row r="179">
      <c r="A179" t="inlineStr">
        <is>
          <t>בית ארז (מילטין)</t>
        </is>
      </c>
      <c r="B179" t="inlineStr">
        <is>
          <t>פרפרית והולדין 100 יח' G21</t>
        </is>
      </c>
      <c r="C179" t="inlineStr">
        <is>
          <t>פרפריות</t>
        </is>
      </c>
      <c r="E179" t="inlineStr">
        <is>
          <t>2026-07</t>
        </is>
      </c>
      <c r="F179" t="n">
        <v>65</v>
      </c>
      <c r="G179" t="n">
        <v>76.7</v>
      </c>
      <c r="H179">
        <f>הגדרות!B2</f>
        <v/>
      </c>
      <c r="I179">
        <f>F179*(1-H179/100)*1.18</f>
        <v/>
      </c>
      <c r="J179">
        <f>הגדרות!C2</f>
        <v/>
      </c>
      <c r="K179">
        <f>הגדרות!D2</f>
        <v/>
      </c>
      <c r="L179">
        <f>I179*(1+J179/100)+K179</f>
        <v/>
      </c>
    </row>
    <row r="180">
      <c r="A180" t="inlineStr">
        <is>
          <t>בית ארז (מילטין)</t>
        </is>
      </c>
      <c r="B180" t="inlineStr">
        <is>
          <t>סט עירוי 190 ס"מ</t>
        </is>
      </c>
      <c r="C180" t="inlineStr">
        <is>
          <t>עירוי</t>
        </is>
      </c>
      <c r="E180" t="inlineStr">
        <is>
          <t>2026-07</t>
        </is>
      </c>
      <c r="F180" t="n">
        <v>1</v>
      </c>
      <c r="G180" t="n">
        <v>1.18</v>
      </c>
      <c r="H180">
        <f>הגדרות!B2</f>
        <v/>
      </c>
      <c r="I180">
        <f>F180*(1-H180/100)*1.18</f>
        <v/>
      </c>
      <c r="J180">
        <f>הגדרות!C2</f>
        <v/>
      </c>
      <c r="K180">
        <f>הגדרות!D2</f>
        <v/>
      </c>
      <c r="L180">
        <f>I180*(1+J180/100)+K180</f>
        <v/>
      </c>
    </row>
    <row r="181">
      <c r="A181" t="inlineStr">
        <is>
          <t>בית ארז (מילטין)</t>
        </is>
      </c>
      <c r="B181" t="inlineStr">
        <is>
          <t>סט עירוי 150 ס"מ</t>
        </is>
      </c>
      <c r="C181" t="inlineStr">
        <is>
          <t>עירוי</t>
        </is>
      </c>
      <c r="E181" t="inlineStr">
        <is>
          <t>2026-07</t>
        </is>
      </c>
      <c r="F181" t="n">
        <v>1</v>
      </c>
      <c r="G181" t="n">
        <v>1.18</v>
      </c>
      <c r="H181">
        <f>הגדרות!B2</f>
        <v/>
      </c>
      <c r="I181">
        <f>F181*(1-H181/100)*1.18</f>
        <v/>
      </c>
      <c r="J181">
        <f>הגדרות!C2</f>
        <v/>
      </c>
      <c r="K181">
        <f>הגדרות!D2</f>
        <v/>
      </c>
      <c r="L181">
        <f>I181*(1+J181/100)+K181</f>
        <v/>
      </c>
    </row>
    <row r="182">
      <c r="A182" t="inlineStr">
        <is>
          <t>בית ארז (מילטין)</t>
        </is>
      </c>
      <c r="B182" t="inlineStr">
        <is>
          <t>סט עירוי 150 ס"מ עם נקודת הזרקה</t>
        </is>
      </c>
      <c r="C182" t="inlineStr">
        <is>
          <t>עירוי</t>
        </is>
      </c>
      <c r="E182" t="inlineStr">
        <is>
          <t>2026-07</t>
        </is>
      </c>
      <c r="F182" t="n">
        <v>1</v>
      </c>
      <c r="G182" t="n">
        <v>1.18</v>
      </c>
      <c r="H182">
        <f>הגדרות!B2</f>
        <v/>
      </c>
      <c r="I182">
        <f>F182*(1-H182/100)*1.18</f>
        <v/>
      </c>
      <c r="J182">
        <f>הגדרות!C2</f>
        <v/>
      </c>
      <c r="K182">
        <f>הגדרות!D2</f>
        <v/>
      </c>
      <c r="L182">
        <f>I182*(1+J182/100)+K182</f>
        <v/>
      </c>
    </row>
    <row r="183">
      <c r="A183" t="inlineStr">
        <is>
          <t>בית ארז (מילטין)</t>
        </is>
      </c>
      <c r="B183" t="inlineStr">
        <is>
          <t>סט עירוי דם עם מסנן 200 מיקרון</t>
        </is>
      </c>
      <c r="C183" t="inlineStr">
        <is>
          <t>עירוי</t>
        </is>
      </c>
      <c r="E183" t="inlineStr">
        <is>
          <t>2026-07</t>
        </is>
      </c>
      <c r="F183" t="n">
        <v>2</v>
      </c>
      <c r="G183" t="n">
        <v>2.36</v>
      </c>
      <c r="H183">
        <f>הגדרות!B2</f>
        <v/>
      </c>
      <c r="I183">
        <f>F183*(1-H183/100)*1.18</f>
        <v/>
      </c>
      <c r="J183">
        <f>הגדרות!C2</f>
        <v/>
      </c>
      <c r="K183">
        <f>הגדרות!D2</f>
        <v/>
      </c>
      <c r="L183">
        <f>I183*(1+J183/100)+K183</f>
        <v/>
      </c>
    </row>
    <row r="184">
      <c r="A184" t="inlineStr">
        <is>
          <t>בית ארז (מילטין)</t>
        </is>
      </c>
      <c r="B184" t="inlineStr">
        <is>
          <t>סט עירוי ביורטה 150 מ"ל עם נקודת הזרקה</t>
        </is>
      </c>
      <c r="C184" t="inlineStr">
        <is>
          <t>עירוי</t>
        </is>
      </c>
      <c r="E184" t="inlineStr">
        <is>
          <t>2026-07</t>
        </is>
      </c>
      <c r="F184" t="n">
        <v>8</v>
      </c>
      <c r="G184" t="n">
        <v>9.44</v>
      </c>
      <c r="H184">
        <f>הגדרות!B2</f>
        <v/>
      </c>
      <c r="I184">
        <f>F184*(1-H184/100)*1.18</f>
        <v/>
      </c>
      <c r="J184">
        <f>הגדרות!C2</f>
        <v/>
      </c>
      <c r="K184">
        <f>הגדרות!D2</f>
        <v/>
      </c>
      <c r="L184">
        <f>I184*(1+J184/100)+K184</f>
        <v/>
      </c>
    </row>
    <row r="185">
      <c r="A185" t="inlineStr">
        <is>
          <t>בית ארז (מילטין)</t>
        </is>
      </c>
      <c r="B185" t="inlineStr">
        <is>
          <t>סט עירוי ביורטה 150 מ"ל עם נקודת הזרקה אל מחט</t>
        </is>
      </c>
      <c r="C185" t="inlineStr">
        <is>
          <t>עירוי</t>
        </is>
      </c>
      <c r="E185" t="inlineStr">
        <is>
          <t>2026-07</t>
        </is>
      </c>
      <c r="F185" t="n">
        <v>12</v>
      </c>
      <c r="G185" t="n">
        <v>14.16</v>
      </c>
      <c r="H185">
        <f>הגדרות!B2</f>
        <v/>
      </c>
      <c r="I185">
        <f>F185*(1-H185/100)*1.18</f>
        <v/>
      </c>
      <c r="J185">
        <f>הגדרות!C2</f>
        <v/>
      </c>
      <c r="K185">
        <f>הגדרות!D2</f>
        <v/>
      </c>
      <c r="L185">
        <f>I185*(1+J185/100)+K185</f>
        <v/>
      </c>
    </row>
    <row r="186">
      <c r="A186" t="inlineStr">
        <is>
          <t>בית ארז (מילטין)</t>
        </is>
      </c>
      <c r="B186" t="inlineStr">
        <is>
          <t>מאריך לעירוי 50 ס"מ</t>
        </is>
      </c>
      <c r="C186" t="inlineStr">
        <is>
          <t>עירוי</t>
        </is>
      </c>
      <c r="E186" t="inlineStr">
        <is>
          <t>2026-07</t>
        </is>
      </c>
      <c r="F186" t="n">
        <v>1</v>
      </c>
      <c r="G186" t="n">
        <v>1.18</v>
      </c>
      <c r="H186">
        <f>הגדרות!B2</f>
        <v/>
      </c>
      <c r="I186">
        <f>F186*(1-H186/100)*1.18</f>
        <v/>
      </c>
      <c r="J186">
        <f>הגדרות!C2</f>
        <v/>
      </c>
      <c r="K186">
        <f>הגדרות!D2</f>
        <v/>
      </c>
      <c r="L186">
        <f>I186*(1+J186/100)+K186</f>
        <v/>
      </c>
    </row>
    <row r="187">
      <c r="A187" t="inlineStr">
        <is>
          <t>בית ארז (מילטין)</t>
        </is>
      </c>
      <c r="B187" t="inlineStr">
        <is>
          <t>מאריך לעירוי 100 ס"מ</t>
        </is>
      </c>
      <c r="C187" t="inlineStr">
        <is>
          <t>עירוי</t>
        </is>
      </c>
      <c r="E187" t="inlineStr">
        <is>
          <t>2026-07</t>
        </is>
      </c>
      <c r="F187" t="n">
        <v>1</v>
      </c>
      <c r="G187" t="n">
        <v>1.18</v>
      </c>
      <c r="H187">
        <f>הגדרות!B2</f>
        <v/>
      </c>
      <c r="I187">
        <f>F187*(1-H187/100)*1.18</f>
        <v/>
      </c>
      <c r="J187">
        <f>הגדרות!C2</f>
        <v/>
      </c>
      <c r="K187">
        <f>הגדרות!D2</f>
        <v/>
      </c>
      <c r="L187">
        <f>I187*(1+J187/100)+K187</f>
        <v/>
      </c>
    </row>
    <row r="188">
      <c r="A188" t="inlineStr">
        <is>
          <t>בית ארז (מילטין)</t>
        </is>
      </c>
      <c r="B188" t="inlineStr">
        <is>
          <t>מאריך לעירוי 150 ס"מ</t>
        </is>
      </c>
      <c r="C188" t="inlineStr">
        <is>
          <t>עירוי</t>
        </is>
      </c>
      <c r="E188" t="inlineStr">
        <is>
          <t>2026-07</t>
        </is>
      </c>
      <c r="F188" t="n">
        <v>1</v>
      </c>
      <c r="G188" t="n">
        <v>1.18</v>
      </c>
      <c r="H188">
        <f>הגדרות!B2</f>
        <v/>
      </c>
      <c r="I188">
        <f>F188*(1-H188/100)*1.18</f>
        <v/>
      </c>
      <c r="J188">
        <f>הגדרות!C2</f>
        <v/>
      </c>
      <c r="K188">
        <f>הגדרות!D2</f>
        <v/>
      </c>
      <c r="L188">
        <f>I188*(1+J188/100)+K188</f>
        <v/>
      </c>
    </row>
    <row r="189">
      <c r="A189" t="inlineStr">
        <is>
          <t>בית ארז (מילטין)</t>
        </is>
      </c>
      <c r="B189" t="inlineStr">
        <is>
          <t>סטופקוק 50 - יח'</t>
        </is>
      </c>
      <c r="C189" t="inlineStr">
        <is>
          <t>עירוי</t>
        </is>
      </c>
      <c r="E189" t="inlineStr">
        <is>
          <t>2026-07</t>
        </is>
      </c>
      <c r="F189" t="n">
        <v>50</v>
      </c>
      <c r="G189" t="n">
        <v>59</v>
      </c>
      <c r="H189">
        <f>הגדרות!B2</f>
        <v/>
      </c>
      <c r="I189">
        <f>F189*(1-H189/100)*1.18</f>
        <v/>
      </c>
      <c r="J189">
        <f>הגדרות!C2</f>
        <v/>
      </c>
      <c r="K189">
        <f>הגדרות!D2</f>
        <v/>
      </c>
      <c r="L189">
        <f>I189*(1+J189/100)+K189</f>
        <v/>
      </c>
    </row>
    <row r="190">
      <c r="A190" t="inlineStr">
        <is>
          <t>בית ארז (מילטין)</t>
        </is>
      </c>
      <c r="B190" t="inlineStr">
        <is>
          <t>פקק קומבי אדום 200 - יח'</t>
        </is>
      </c>
      <c r="C190" t="inlineStr">
        <is>
          <t>עירוי</t>
        </is>
      </c>
      <c r="E190" t="inlineStr">
        <is>
          <t>2026-07</t>
        </is>
      </c>
      <c r="F190" t="n">
        <v>30</v>
      </c>
      <c r="G190" t="n">
        <v>35.4</v>
      </c>
      <c r="H190">
        <f>הגדרות!B2</f>
        <v/>
      </c>
      <c r="I190">
        <f>F190*(1-H190/100)*1.18</f>
        <v/>
      </c>
      <c r="J190">
        <f>הגדרות!C2</f>
        <v/>
      </c>
      <c r="K190">
        <f>הגדרות!D2</f>
        <v/>
      </c>
      <c r="L190">
        <f>I190*(1+J190/100)+K190</f>
        <v/>
      </c>
    </row>
    <row r="191">
      <c r="A191" t="inlineStr">
        <is>
          <t>בית ארז (מילטין)</t>
        </is>
      </c>
      <c r="B191" t="inlineStr">
        <is>
          <t>קאליר הנדסה בע"מ</t>
        </is>
      </c>
      <c r="C191" t="inlineStr">
        <is>
          <t>קטטרים</t>
        </is>
      </c>
      <c r="E191" t="inlineStr">
        <is>
          <t>2026-07</t>
        </is>
      </c>
      <c r="F191" t="n">
        <v>50</v>
      </c>
      <c r="G191" t="n">
        <v>59</v>
      </c>
      <c r="H191">
        <f>הגדרות!B2</f>
        <v/>
      </c>
      <c r="I191">
        <f>F191*(1-H191/100)*1.18</f>
        <v/>
      </c>
      <c r="J191">
        <f>הגדרות!C2</f>
        <v/>
      </c>
      <c r="K191">
        <f>הגדרות!D2</f>
        <v/>
      </c>
      <c r="L191">
        <f>I191*(1+J191/100)+K191</f>
        <v/>
      </c>
    </row>
    <row r="192">
      <c r="A192" t="inlineStr">
        <is>
          <t>בית ארז (מילטין)</t>
        </is>
      </c>
      <c r="B192" t="inlineStr">
        <is>
          <t>קאליר הנדסה בע"מ</t>
        </is>
      </c>
      <c r="C192" t="inlineStr">
        <is>
          <t>קטטרים</t>
        </is>
      </c>
      <c r="E192" t="inlineStr">
        <is>
          <t>2026-07</t>
        </is>
      </c>
      <c r="F192" t="n">
        <v>50</v>
      </c>
      <c r="G192" t="n">
        <v>59</v>
      </c>
      <c r="H192">
        <f>הגדרות!B2</f>
        <v/>
      </c>
      <c r="I192">
        <f>F192*(1-H192/100)*1.18</f>
        <v/>
      </c>
      <c r="J192">
        <f>הגדרות!C2</f>
        <v/>
      </c>
      <c r="K192">
        <f>הגדרות!D2</f>
        <v/>
      </c>
      <c r="L192">
        <f>I192*(1+J192/100)+K192</f>
        <v/>
      </c>
    </row>
    <row r="193">
      <c r="A193" t="inlineStr">
        <is>
          <t>בית ארז (מילטין)</t>
        </is>
      </c>
      <c r="B193" t="inlineStr">
        <is>
          <t>קאליר הנדסה בע"מ</t>
        </is>
      </c>
      <c r="C193" t="inlineStr">
        <is>
          <t>קטטרים</t>
        </is>
      </c>
      <c r="E193" t="inlineStr">
        <is>
          <t>2026-07</t>
        </is>
      </c>
      <c r="F193" t="n">
        <v>50</v>
      </c>
      <c r="G193" t="n">
        <v>59</v>
      </c>
      <c r="H193">
        <f>הגדרות!B2</f>
        <v/>
      </c>
      <c r="I193">
        <f>F193*(1-H193/100)*1.18</f>
        <v/>
      </c>
      <c r="J193">
        <f>הגדרות!C2</f>
        <v/>
      </c>
      <c r="K193">
        <f>הגדרות!D2</f>
        <v/>
      </c>
      <c r="L193">
        <f>I193*(1+J193/100)+K193</f>
        <v/>
      </c>
    </row>
    <row r="194">
      <c r="A194" t="inlineStr">
        <is>
          <t>בית ארז (מילטין)</t>
        </is>
      </c>
      <c r="B194" t="inlineStr">
        <is>
          <t>קאליר הנדסה בע"מ</t>
        </is>
      </c>
      <c r="C194" t="inlineStr">
        <is>
          <t>קטטרים</t>
        </is>
      </c>
      <c r="E194" t="inlineStr">
        <is>
          <t>2026-07</t>
        </is>
      </c>
      <c r="F194" t="n">
        <v>50</v>
      </c>
      <c r="G194" t="n">
        <v>59</v>
      </c>
      <c r="H194">
        <f>הגדרות!B2</f>
        <v/>
      </c>
      <c r="I194">
        <f>F194*(1-H194/100)*1.18</f>
        <v/>
      </c>
      <c r="J194">
        <f>הגדרות!C2</f>
        <v/>
      </c>
      <c r="K194">
        <f>הגדרות!D2</f>
        <v/>
      </c>
      <c r="L194">
        <f>I194*(1+J194/100)+K194</f>
        <v/>
      </c>
    </row>
    <row r="195">
      <c r="A195" t="inlineStr">
        <is>
          <t>בית ארז (מילטין)</t>
        </is>
      </c>
      <c r="B195" t="inlineStr">
        <is>
          <t>קטטר שתן לחתול קצה סגור 3F 1.0mmx13cm</t>
        </is>
      </c>
      <c r="C195" t="inlineStr">
        <is>
          <t>קטטר שתן</t>
        </is>
      </c>
      <c r="E195" t="inlineStr">
        <is>
          <t>2026-07</t>
        </is>
      </c>
      <c r="F195" t="n">
        <v>13</v>
      </c>
      <c r="G195" t="n">
        <v>15.34</v>
      </c>
      <c r="H195">
        <f>הגדרות!B2</f>
        <v/>
      </c>
      <c r="I195">
        <f>F195*(1-H195/100)*1.18</f>
        <v/>
      </c>
      <c r="J195">
        <f>הגדרות!C2</f>
        <v/>
      </c>
      <c r="K195">
        <f>הגדרות!D2</f>
        <v/>
      </c>
      <c r="L195">
        <f>I195*(1+J195/100)+K195</f>
        <v/>
      </c>
    </row>
    <row r="196">
      <c r="A196" t="inlineStr">
        <is>
          <t>בית ארז (מילטין)</t>
        </is>
      </c>
      <c r="B196" t="inlineStr">
        <is>
          <t>קטטר שתן לחתול קצה סגור 4F 1.3mmx13cm</t>
        </is>
      </c>
      <c r="C196" t="inlineStr">
        <is>
          <t>קטטר שתן</t>
        </is>
      </c>
      <c r="E196" t="inlineStr">
        <is>
          <t>2026-07</t>
        </is>
      </c>
      <c r="F196" t="n">
        <v>13</v>
      </c>
      <c r="G196" t="n">
        <v>15.34</v>
      </c>
      <c r="H196">
        <f>הגדרות!B2</f>
        <v/>
      </c>
      <c r="I196">
        <f>F196*(1-H196/100)*1.18</f>
        <v/>
      </c>
      <c r="J196">
        <f>הגדרות!C2</f>
        <v/>
      </c>
      <c r="K196">
        <f>הגדרות!D2</f>
        <v/>
      </c>
      <c r="L196">
        <f>I196*(1+J196/100)+K196</f>
        <v/>
      </c>
    </row>
    <row r="197">
      <c r="A197" t="inlineStr">
        <is>
          <t>בית ארז (מילטין)</t>
        </is>
      </c>
      <c r="B197" t="inlineStr">
        <is>
          <t>קטטר שתן לחתול קצה סגור עם מוליך 3F 1.0mmx13cm</t>
        </is>
      </c>
      <c r="C197" t="inlineStr">
        <is>
          <t>קטטר שתן</t>
        </is>
      </c>
      <c r="E197" t="inlineStr">
        <is>
          <t>2026-07</t>
        </is>
      </c>
      <c r="F197" t="n">
        <v>13</v>
      </c>
      <c r="G197" t="n">
        <v>15.34</v>
      </c>
      <c r="H197">
        <f>הגדרות!B2</f>
        <v/>
      </c>
      <c r="I197">
        <f>F197*(1-H197/100)*1.18</f>
        <v/>
      </c>
      <c r="J197">
        <f>הגדרות!C2</f>
        <v/>
      </c>
      <c r="K197">
        <f>הגדרות!D2</f>
        <v/>
      </c>
      <c r="L197">
        <f>I197*(1+J197/100)+K197</f>
        <v/>
      </c>
    </row>
    <row r="198">
      <c r="A198" t="inlineStr">
        <is>
          <t>בית ארז (מילטין)</t>
        </is>
      </c>
      <c r="B198" t="inlineStr">
        <is>
          <t>קטטר שתן לחתול קצה סגור עם מוליך 4F 1.3mmx13cm</t>
        </is>
      </c>
      <c r="C198" t="inlineStr">
        <is>
          <t>קטטר שתן</t>
        </is>
      </c>
      <c r="E198" t="inlineStr">
        <is>
          <t>2026-07</t>
        </is>
      </c>
      <c r="F198" t="n">
        <v>13</v>
      </c>
      <c r="G198" t="n">
        <v>15.34</v>
      </c>
      <c r="H198">
        <f>הגדרות!B2</f>
        <v/>
      </c>
      <c r="I198">
        <f>F198*(1-H198/100)*1.18</f>
        <v/>
      </c>
      <c r="J198">
        <f>הגדרות!C2</f>
        <v/>
      </c>
      <c r="K198">
        <f>הגדרות!D2</f>
        <v/>
      </c>
      <c r="L198">
        <f>I198*(1+J198/100)+K198</f>
        <v/>
      </c>
    </row>
    <row r="199">
      <c r="A199" t="inlineStr">
        <is>
          <t>בית ארז (מילטין)</t>
        </is>
      </c>
      <c r="B199" t="inlineStr">
        <is>
          <t>קטטר שתן לכלב קצה סגור 4F 1.3mmx50cm</t>
        </is>
      </c>
      <c r="C199" t="inlineStr">
        <is>
          <t>קטטר שתן</t>
        </is>
      </c>
      <c r="E199" t="inlineStr">
        <is>
          <t>2026-07</t>
        </is>
      </c>
      <c r="F199" t="n">
        <v>14</v>
      </c>
      <c r="G199" t="n">
        <v>16.52</v>
      </c>
      <c r="H199">
        <f>הגדרות!B2</f>
        <v/>
      </c>
      <c r="I199">
        <f>F199*(1-H199/100)*1.18</f>
        <v/>
      </c>
      <c r="J199">
        <f>הגדרות!C2</f>
        <v/>
      </c>
      <c r="K199">
        <f>הגדרות!D2</f>
        <v/>
      </c>
      <c r="L199">
        <f>I199*(1+J199/100)+K199</f>
        <v/>
      </c>
    </row>
    <row r="200">
      <c r="A200" t="inlineStr">
        <is>
          <t>בית ארז (מילטין)</t>
        </is>
      </c>
      <c r="B200" t="inlineStr">
        <is>
          <t>קטטר שתן לכלב קצה סגור 6F 2.0mmx50cm</t>
        </is>
      </c>
      <c r="C200" t="inlineStr">
        <is>
          <t>קטטר שתן</t>
        </is>
      </c>
      <c r="E200" t="inlineStr">
        <is>
          <t>2026-07</t>
        </is>
      </c>
      <c r="F200" t="n">
        <v>14</v>
      </c>
      <c r="G200" t="n">
        <v>16.52</v>
      </c>
      <c r="H200">
        <f>הגדרות!B2</f>
        <v/>
      </c>
      <c r="I200">
        <f>F200*(1-H200/100)*1.18</f>
        <v/>
      </c>
      <c r="J200">
        <f>הגדרות!C2</f>
        <v/>
      </c>
      <c r="K200">
        <f>הגדרות!D2</f>
        <v/>
      </c>
      <c r="L200">
        <f>I200*(1+J200/100)+K200</f>
        <v/>
      </c>
    </row>
    <row r="201">
      <c r="A201" t="inlineStr">
        <is>
          <t>בית ארז (מילטין)</t>
        </is>
      </c>
      <c r="B201" t="inlineStr">
        <is>
          <t>קטטר שתן לכלב קצה סגור 8F 2.6mmx50cm</t>
        </is>
      </c>
      <c r="C201" t="inlineStr">
        <is>
          <t>קטטר שתן</t>
        </is>
      </c>
      <c r="E201" t="inlineStr">
        <is>
          <t>2026-07</t>
        </is>
      </c>
      <c r="F201" t="n">
        <v>14</v>
      </c>
      <c r="G201" t="n">
        <v>16.52</v>
      </c>
      <c r="H201">
        <f>הגדרות!B2</f>
        <v/>
      </c>
      <c r="I201">
        <f>F201*(1-H201/100)*1.18</f>
        <v/>
      </c>
      <c r="J201">
        <f>הגדרות!C2</f>
        <v/>
      </c>
      <c r="K201">
        <f>הגדרות!D2</f>
        <v/>
      </c>
      <c r="L201">
        <f>I201*(1+J201/100)+K201</f>
        <v/>
      </c>
    </row>
    <row r="202">
      <c r="A202" t="inlineStr">
        <is>
          <t>בית ארז (מילטין)</t>
        </is>
      </c>
      <c r="B202" t="inlineStr">
        <is>
          <t>קטטר שתן לכלב קצה סגור 10F 3.3mmx50cm</t>
        </is>
      </c>
      <c r="C202" t="inlineStr">
        <is>
          <t>קטטר שתן</t>
        </is>
      </c>
      <c r="E202" t="inlineStr">
        <is>
          <t>2026-07</t>
        </is>
      </c>
      <c r="F202" t="n">
        <v>14</v>
      </c>
      <c r="G202" t="n">
        <v>16.52</v>
      </c>
      <c r="H202">
        <f>הגדרות!B2</f>
        <v/>
      </c>
      <c r="I202">
        <f>F202*(1-H202/100)*1.18</f>
        <v/>
      </c>
      <c r="J202">
        <f>הגדרות!C2</f>
        <v/>
      </c>
      <c r="K202">
        <f>הגדרות!D2</f>
        <v/>
      </c>
      <c r="L202">
        <f>I202*(1+J202/100)+K202</f>
        <v/>
      </c>
    </row>
    <row r="203">
      <c r="A203" t="inlineStr">
        <is>
          <t>בית ארז (מילטין)</t>
        </is>
      </c>
      <c r="B203" t="inlineStr">
        <is>
          <t>חוט LUXCRYL PGA 6/0 RC 3/8 16mm 75cm 12U</t>
        </is>
      </c>
      <c r="C203" t="inlineStr">
        <is>
          <t>חוטים</t>
        </is>
      </c>
      <c r="E203" t="inlineStr">
        <is>
          <t>2026-07</t>
        </is>
      </c>
      <c r="F203" t="n">
        <v>125</v>
      </c>
      <c r="G203" t="n">
        <v>147.5</v>
      </c>
      <c r="H203">
        <f>הגדרות!B2</f>
        <v/>
      </c>
      <c r="I203">
        <f>F203*(1-H203/100)*1.18</f>
        <v/>
      </c>
      <c r="J203">
        <f>הגדרות!C2</f>
        <v/>
      </c>
      <c r="K203">
        <f>הגדרות!D2</f>
        <v/>
      </c>
      <c r="L203">
        <f>I203*(1+J203/100)+K203</f>
        <v/>
      </c>
    </row>
    <row r="204">
      <c r="A204" t="inlineStr">
        <is>
          <t>בית ארז (מילטין)</t>
        </is>
      </c>
      <c r="B204" t="inlineStr">
        <is>
          <t>חוט LUXCRYL PGA 5/0 RC 3/8 19mm 75cm 12U</t>
        </is>
      </c>
      <c r="C204" t="inlineStr">
        <is>
          <t>חוטים</t>
        </is>
      </c>
      <c r="E204" t="inlineStr">
        <is>
          <t>2026-07</t>
        </is>
      </c>
      <c r="F204" t="n">
        <v>100</v>
      </c>
      <c r="G204" t="n">
        <v>118</v>
      </c>
      <c r="H204">
        <f>הגדרות!B2</f>
        <v/>
      </c>
      <c r="I204">
        <f>F204*(1-H204/100)*1.18</f>
        <v/>
      </c>
      <c r="J204">
        <f>הגדרות!C2</f>
        <v/>
      </c>
      <c r="K204">
        <f>הגדרות!D2</f>
        <v/>
      </c>
      <c r="L204">
        <f>I204*(1+J204/100)+K204</f>
        <v/>
      </c>
    </row>
    <row r="205">
      <c r="A205" t="inlineStr">
        <is>
          <t>בית ארז (מילטין)</t>
        </is>
      </c>
      <c r="B205" t="inlineStr">
        <is>
          <t>חוט LUXCRYL PGA 4/0 RC 3/8 19mm 75cm 12U</t>
        </is>
      </c>
      <c r="C205" t="inlineStr">
        <is>
          <t>חוטים</t>
        </is>
      </c>
      <c r="E205" t="inlineStr">
        <is>
          <t>2026-07</t>
        </is>
      </c>
      <c r="F205" t="n">
        <v>100</v>
      </c>
      <c r="G205" t="n">
        <v>118</v>
      </c>
      <c r="H205">
        <f>הגדרות!B2</f>
        <v/>
      </c>
      <c r="I205">
        <f>F205*(1-H205/100)*1.18</f>
        <v/>
      </c>
      <c r="J205">
        <f>הגדרות!C2</f>
        <v/>
      </c>
      <c r="K205">
        <f>הגדרות!D2</f>
        <v/>
      </c>
      <c r="L205">
        <f>I205*(1+J205/100)+K205</f>
        <v/>
      </c>
    </row>
    <row r="206">
      <c r="A206" t="inlineStr">
        <is>
          <t>בית ארז (מילטין)</t>
        </is>
      </c>
      <c r="B206" t="inlineStr">
        <is>
          <t>חוט LUXCRYL PGA 3/0 RC 3/8 24mm 75cm 12U</t>
        </is>
      </c>
      <c r="C206" t="inlineStr">
        <is>
          <t>חוטים</t>
        </is>
      </c>
      <c r="E206" t="inlineStr">
        <is>
          <t>2026-07</t>
        </is>
      </c>
      <c r="F206" t="n">
        <v>100</v>
      </c>
      <c r="G206" t="n">
        <v>118</v>
      </c>
      <c r="H206">
        <f>הגדרות!B2</f>
        <v/>
      </c>
      <c r="I206">
        <f>F206*(1-H206/100)*1.18</f>
        <v/>
      </c>
      <c r="J206">
        <f>הגדרות!C2</f>
        <v/>
      </c>
      <c r="K206">
        <f>הגדרות!D2</f>
        <v/>
      </c>
      <c r="L206">
        <f>I206*(1+J206/100)+K206</f>
        <v/>
      </c>
    </row>
    <row r="207">
      <c r="A207" t="inlineStr">
        <is>
          <t>בית ארז (מילטין)</t>
        </is>
      </c>
      <c r="B207" t="inlineStr">
        <is>
          <t>חוט LUXCRYL PGA 2/0 RC 3/8 30mm 75cm 12U</t>
        </is>
      </c>
      <c r="C207" t="inlineStr">
        <is>
          <t>חוטים</t>
        </is>
      </c>
      <c r="E207" t="inlineStr">
        <is>
          <t>2026-07</t>
        </is>
      </c>
      <c r="F207" t="n">
        <v>100</v>
      </c>
      <c r="G207" t="n">
        <v>118</v>
      </c>
      <c r="H207">
        <f>הגדרות!B2</f>
        <v/>
      </c>
      <c r="I207">
        <f>F207*(1-H207/100)*1.18</f>
        <v/>
      </c>
      <c r="J207">
        <f>הגדרות!C2</f>
        <v/>
      </c>
      <c r="K207">
        <f>הגדרות!D2</f>
        <v/>
      </c>
      <c r="L207">
        <f>I207*(1+J207/100)+K207</f>
        <v/>
      </c>
    </row>
    <row r="208">
      <c r="A208" t="inlineStr">
        <is>
          <t>בית ארז (מילטין)</t>
        </is>
      </c>
      <c r="B208" t="inlineStr">
        <is>
          <t>חוט LUXCRYL PGA 0 RC 3/8 30mm 75cm 12U</t>
        </is>
      </c>
      <c r="C208" t="inlineStr">
        <is>
          <t>חוטים</t>
        </is>
      </c>
      <c r="E208" t="inlineStr">
        <is>
          <t>2026-07</t>
        </is>
      </c>
      <c r="F208" t="n">
        <v>100</v>
      </c>
      <c r="G208" t="n">
        <v>118</v>
      </c>
      <c r="H208">
        <f>הגדרות!B2</f>
        <v/>
      </c>
      <c r="I208">
        <f>F208*(1-H208/100)*1.18</f>
        <v/>
      </c>
      <c r="J208">
        <f>הגדרות!C2</f>
        <v/>
      </c>
      <c r="K208">
        <f>הגדרות!D2</f>
        <v/>
      </c>
      <c r="L208">
        <f>I208*(1+J208/100)+K208</f>
        <v/>
      </c>
    </row>
    <row r="209">
      <c r="A209" t="inlineStr">
        <is>
          <t>בית ארז (מילטין)</t>
        </is>
      </c>
      <c r="B209" t="inlineStr">
        <is>
          <t>חוט LUXCRYL PGA 1 RC 3/8 30mm 75cm 12U</t>
        </is>
      </c>
      <c r="C209" t="inlineStr">
        <is>
          <t>חוטים</t>
        </is>
      </c>
      <c r="E209" t="inlineStr">
        <is>
          <t>2026-07</t>
        </is>
      </c>
      <c r="F209" t="n">
        <v>100</v>
      </c>
      <c r="G209" t="n">
        <v>118</v>
      </c>
      <c r="H209">
        <f>הגדרות!B2</f>
        <v/>
      </c>
      <c r="I209">
        <f>F209*(1-H209/100)*1.18</f>
        <v/>
      </c>
      <c r="J209">
        <f>הגדרות!C2</f>
        <v/>
      </c>
      <c r="K209">
        <f>הגדרות!D2</f>
        <v/>
      </c>
      <c r="L209">
        <f>I209*(1+J209/100)+K209</f>
        <v/>
      </c>
    </row>
    <row r="210">
      <c r="A210" t="inlineStr">
        <is>
          <t>בית ארז (מילטין)</t>
        </is>
      </c>
      <c r="B210" t="inlineStr">
        <is>
          <t>חוט LUXCRYL PGA 1 RC 3/8 40mm 75cm 12U</t>
        </is>
      </c>
      <c r="C210" t="inlineStr">
        <is>
          <t>חוטים</t>
        </is>
      </c>
      <c r="E210" t="inlineStr">
        <is>
          <t>2026-07</t>
        </is>
      </c>
      <c r="F210" t="n">
        <v>100</v>
      </c>
      <c r="G210" t="n">
        <v>118</v>
      </c>
      <c r="H210">
        <f>הגדרות!B2</f>
        <v/>
      </c>
      <c r="I210">
        <f>F210*(1-H210/100)*1.18</f>
        <v/>
      </c>
      <c r="J210">
        <f>הגדרות!C2</f>
        <v/>
      </c>
      <c r="K210">
        <f>הגדרות!D2</f>
        <v/>
      </c>
      <c r="L210">
        <f>I210*(1+J210/100)+K210</f>
        <v/>
      </c>
    </row>
    <row r="211">
      <c r="A211" t="inlineStr">
        <is>
          <t>בית ארז (מילטין)</t>
        </is>
      </c>
      <c r="B211" t="inlineStr">
        <is>
          <t>חוט LUXCRYL PDO 5/0 RC 3/8 19mm 45cm 12U</t>
        </is>
      </c>
      <c r="C211" t="inlineStr">
        <is>
          <t>חוטים</t>
        </is>
      </c>
      <c r="E211" t="inlineStr">
        <is>
          <t>2026-07</t>
        </is>
      </c>
      <c r="F211" t="n">
        <v>125</v>
      </c>
      <c r="G211" t="n">
        <v>147.5</v>
      </c>
      <c r="H211">
        <f>הגדרות!B2</f>
        <v/>
      </c>
      <c r="I211">
        <f>F211*(1-H211/100)*1.18</f>
        <v/>
      </c>
      <c r="J211">
        <f>הגדרות!C2</f>
        <v/>
      </c>
      <c r="K211">
        <f>הגדרות!D2</f>
        <v/>
      </c>
      <c r="L211">
        <f>I211*(1+J211/100)+K211</f>
        <v/>
      </c>
    </row>
    <row r="212">
      <c r="A212" t="inlineStr">
        <is>
          <t>בית ארז (מילטין)</t>
        </is>
      </c>
      <c r="B212" t="inlineStr">
        <is>
          <t>חוט LUXCRYL PDO 4/0 RC 3/8 19mm 75cm 12U</t>
        </is>
      </c>
      <c r="C212" t="inlineStr">
        <is>
          <t>חוטים</t>
        </is>
      </c>
      <c r="E212" t="inlineStr">
        <is>
          <t>2026-07</t>
        </is>
      </c>
      <c r="F212" t="n">
        <v>125</v>
      </c>
      <c r="G212" t="n">
        <v>147.5</v>
      </c>
      <c r="H212">
        <f>הגדרות!B2</f>
        <v/>
      </c>
      <c r="I212">
        <f>F212*(1-H212/100)*1.18</f>
        <v/>
      </c>
      <c r="J212">
        <f>הגדרות!C2</f>
        <v/>
      </c>
      <c r="K212">
        <f>הגדרות!D2</f>
        <v/>
      </c>
      <c r="L212">
        <f>I212*(1+J212/100)+K212</f>
        <v/>
      </c>
    </row>
    <row r="213">
      <c r="A213" t="inlineStr">
        <is>
          <t>בית ארז (מילטין)</t>
        </is>
      </c>
      <c r="B213" t="inlineStr">
        <is>
          <t>חוט LUXCRYL PDO 3/0 RC 3/8 26mm 75cm 12U</t>
        </is>
      </c>
      <c r="C213" t="inlineStr">
        <is>
          <t>חוטים</t>
        </is>
      </c>
      <c r="E213" t="inlineStr">
        <is>
          <t>2026-07</t>
        </is>
      </c>
      <c r="F213" t="n">
        <v>125</v>
      </c>
      <c r="G213" t="n">
        <v>147.5</v>
      </c>
      <c r="H213">
        <f>הגדרות!B2</f>
        <v/>
      </c>
      <c r="I213">
        <f>F213*(1-H213/100)*1.18</f>
        <v/>
      </c>
      <c r="J213">
        <f>הגדרות!C2</f>
        <v/>
      </c>
      <c r="K213">
        <f>הגדרות!D2</f>
        <v/>
      </c>
      <c r="L213">
        <f>I213*(1+J213/100)+K213</f>
        <v/>
      </c>
    </row>
    <row r="214">
      <c r="A214" t="inlineStr">
        <is>
          <t>בית ארז (מילטין)</t>
        </is>
      </c>
      <c r="B214" t="inlineStr">
        <is>
          <t>חוט LUXCRYL PDO 2/0 RC 3/8 30mm 75cm 12U</t>
        </is>
      </c>
      <c r="C214" t="inlineStr">
        <is>
          <t>חוטים</t>
        </is>
      </c>
      <c r="E214" t="inlineStr">
        <is>
          <t>2026-07</t>
        </is>
      </c>
      <c r="F214" t="n">
        <v>125</v>
      </c>
      <c r="G214" t="n">
        <v>147.5</v>
      </c>
      <c r="H214">
        <f>הגדרות!B2</f>
        <v/>
      </c>
      <c r="I214">
        <f>F214*(1-H214/100)*1.18</f>
        <v/>
      </c>
      <c r="J214">
        <f>הגדרות!C2</f>
        <v/>
      </c>
      <c r="K214">
        <f>הגדרות!D2</f>
        <v/>
      </c>
      <c r="L214">
        <f>I214*(1+J214/100)+K214</f>
        <v/>
      </c>
    </row>
    <row r="215">
      <c r="A215" t="inlineStr">
        <is>
          <t>בית ארז (מילטין)</t>
        </is>
      </c>
      <c r="B215" t="inlineStr">
        <is>
          <t>חוט LUXCRYL PDO 0 RC 3/8 30mm 75cm 12U</t>
        </is>
      </c>
      <c r="C215" t="inlineStr">
        <is>
          <t>חוטים</t>
        </is>
      </c>
      <c r="E215" t="inlineStr">
        <is>
          <t>2026-07</t>
        </is>
      </c>
      <c r="F215" t="n">
        <v>135</v>
      </c>
      <c r="G215" t="n">
        <v>159.3</v>
      </c>
      <c r="H215">
        <f>הגדרות!B2</f>
        <v/>
      </c>
      <c r="I215">
        <f>F215*(1-H215/100)*1.18</f>
        <v/>
      </c>
      <c r="J215">
        <f>הגדרות!C2</f>
        <v/>
      </c>
      <c r="K215">
        <f>הגדרות!D2</f>
        <v/>
      </c>
      <c r="L215">
        <f>I215*(1+J215/100)+K215</f>
        <v/>
      </c>
    </row>
    <row r="216">
      <c r="A216" t="inlineStr">
        <is>
          <t>בית ארז (מילטין)</t>
        </is>
      </c>
      <c r="B216" t="inlineStr">
        <is>
          <t>חוט LUXCRYL PDO 0 RC 1/2 36mm 75cm 12U</t>
        </is>
      </c>
      <c r="C216" t="inlineStr">
        <is>
          <t>חוטים</t>
        </is>
      </c>
      <c r="E216" t="inlineStr">
        <is>
          <t>2026-07</t>
        </is>
      </c>
      <c r="F216" t="n">
        <v>135</v>
      </c>
      <c r="G216" t="n">
        <v>159.3</v>
      </c>
      <c r="H216">
        <f>הגדרות!B2</f>
        <v/>
      </c>
      <c r="I216">
        <f>F216*(1-H216/100)*1.18</f>
        <v/>
      </c>
      <c r="J216">
        <f>הגדרות!C2</f>
        <v/>
      </c>
      <c r="K216">
        <f>הגדרות!D2</f>
        <v/>
      </c>
      <c r="L216">
        <f>I216*(1+J216/100)+K216</f>
        <v/>
      </c>
    </row>
    <row r="217">
      <c r="A217" t="inlineStr">
        <is>
          <t>בית ארז (מילטין)</t>
        </is>
      </c>
      <c r="B217" t="inlineStr">
        <is>
          <t>חוט LUXCRYL PDO 1 RC 3/8 40mm 90cm 12U</t>
        </is>
      </c>
      <c r="C217" t="inlineStr">
        <is>
          <t>חוטים</t>
        </is>
      </c>
      <c r="E217" t="inlineStr">
        <is>
          <t>2026-07</t>
        </is>
      </c>
      <c r="F217" t="n">
        <v>135</v>
      </c>
      <c r="G217" t="n">
        <v>159.3</v>
      </c>
      <c r="H217">
        <f>הגדרות!B2</f>
        <v/>
      </c>
      <c r="I217">
        <f>F217*(1-H217/100)*1.18</f>
        <v/>
      </c>
      <c r="J217">
        <f>הגדרות!C2</f>
        <v/>
      </c>
      <c r="K217">
        <f>הגדרות!D2</f>
        <v/>
      </c>
      <c r="L217">
        <f>I217*(1+J217/100)+K217</f>
        <v/>
      </c>
    </row>
    <row r="218">
      <c r="A218" t="inlineStr">
        <is>
          <t>בית ארז (מילטין)</t>
        </is>
      </c>
      <c r="B218" t="inlineStr">
        <is>
          <t>חוט LUXAMID NYLON 4/0 RC 3/8 24mm 75cm 12U</t>
        </is>
      </c>
      <c r="C218" t="inlineStr">
        <is>
          <t>חוטים</t>
        </is>
      </c>
      <c r="E218" t="inlineStr">
        <is>
          <t>2026-07</t>
        </is>
      </c>
      <c r="F218" t="n">
        <v>55</v>
      </c>
      <c r="G218" t="n">
        <v>64.90000000000001</v>
      </c>
      <c r="H218">
        <f>הגדרות!B2</f>
        <v/>
      </c>
      <c r="I218">
        <f>F218*(1-H218/100)*1.18</f>
        <v/>
      </c>
      <c r="J218">
        <f>הגדרות!C2</f>
        <v/>
      </c>
      <c r="K218">
        <f>הגדרות!D2</f>
        <v/>
      </c>
      <c r="L218">
        <f>I218*(1+J218/100)+K218</f>
        <v/>
      </c>
    </row>
    <row r="219">
      <c r="A219" t="inlineStr">
        <is>
          <t>בית ארז (מילטין)</t>
        </is>
      </c>
      <c r="B219" t="inlineStr">
        <is>
          <t>חוט LUXAMID NYLON 3/0 RC 3/8 26mm 75cm 12U</t>
        </is>
      </c>
      <c r="C219" t="inlineStr">
        <is>
          <t>חוטים</t>
        </is>
      </c>
      <c r="E219" t="inlineStr">
        <is>
          <t>2026-07</t>
        </is>
      </c>
      <c r="F219" t="n">
        <v>55</v>
      </c>
      <c r="G219" t="n">
        <v>64.90000000000001</v>
      </c>
      <c r="H219">
        <f>הגדרות!B2</f>
        <v/>
      </c>
      <c r="I219">
        <f>F219*(1-H219/100)*1.18</f>
        <v/>
      </c>
      <c r="J219">
        <f>הגדרות!C2</f>
        <v/>
      </c>
      <c r="K219">
        <f>הגדרות!D2</f>
        <v/>
      </c>
      <c r="L219">
        <f>I219*(1+J219/100)+K219</f>
        <v/>
      </c>
    </row>
    <row r="220">
      <c r="A220" t="inlineStr">
        <is>
          <t>בית ארז (מילטין)</t>
        </is>
      </c>
      <c r="B220" t="inlineStr">
        <is>
          <t>חוט LUXAMID NYLON 2/0 RC 3/8 36mm 75cm 12U</t>
        </is>
      </c>
      <c r="C220" t="inlineStr">
        <is>
          <t>חוטים</t>
        </is>
      </c>
      <c r="E220" t="inlineStr">
        <is>
          <t>2026-07</t>
        </is>
      </c>
      <c r="F220" t="n">
        <v>55</v>
      </c>
      <c r="G220" t="n">
        <v>64.90000000000001</v>
      </c>
      <c r="H220">
        <f>הגדרות!B2</f>
        <v/>
      </c>
      <c r="I220">
        <f>F220*(1-H220/100)*1.18</f>
        <v/>
      </c>
      <c r="J220">
        <f>הגדרות!C2</f>
        <v/>
      </c>
      <c r="K220">
        <f>הגדרות!D2</f>
        <v/>
      </c>
      <c r="L220">
        <f>I220*(1+J220/100)+K220</f>
        <v/>
      </c>
    </row>
    <row r="221">
      <c r="A221" t="inlineStr">
        <is>
          <t>בית ארז (מילטין)</t>
        </is>
      </c>
      <c r="B221" t="inlineStr">
        <is>
          <t>חוט LUXAMID NYLON 0 RC 3/8 36mm 75cm 12U</t>
        </is>
      </c>
      <c r="C221" t="inlineStr">
        <is>
          <t>חוטים</t>
        </is>
      </c>
      <c r="E221" t="inlineStr">
        <is>
          <t>2026-07</t>
        </is>
      </c>
      <c r="F221" t="n">
        <v>55</v>
      </c>
      <c r="G221" t="n">
        <v>64.90000000000001</v>
      </c>
      <c r="H221">
        <f>הגדרות!B2</f>
        <v/>
      </c>
      <c r="I221">
        <f>F221*(1-H221/100)*1.18</f>
        <v/>
      </c>
      <c r="J221">
        <f>הגדרות!C2</f>
        <v/>
      </c>
      <c r="K221">
        <f>הגדרות!D2</f>
        <v/>
      </c>
      <c r="L221">
        <f>I221*(1+J221/100)+K221</f>
        <v/>
      </c>
    </row>
    <row r="222">
      <c r="A222" t="inlineStr">
        <is>
          <t>בית ארז (מילטין)</t>
        </is>
      </c>
      <c r="B222" t="inlineStr">
        <is>
          <t>חוט LUXAMID NYLON 1 RC 3/8 40mm 75cm 12U</t>
        </is>
      </c>
      <c r="C222" t="inlineStr">
        <is>
          <t>חוטים</t>
        </is>
      </c>
      <c r="E222" t="inlineStr">
        <is>
          <t>2026-07</t>
        </is>
      </c>
      <c r="F222" t="n">
        <v>55</v>
      </c>
      <c r="G222" t="n">
        <v>64.90000000000001</v>
      </c>
      <c r="H222">
        <f>הגדרות!B2</f>
        <v/>
      </c>
      <c r="I222">
        <f>F222*(1-H222/100)*1.18</f>
        <v/>
      </c>
      <c r="J222">
        <f>הגדרות!C2</f>
        <v/>
      </c>
      <c r="K222">
        <f>הגדרות!D2</f>
        <v/>
      </c>
      <c r="L222">
        <f>I222*(1+J222/100)+K222</f>
        <v/>
      </c>
    </row>
    <row r="223">
      <c r="A223" t="inlineStr">
        <is>
          <t>בית ארז (מילטין)</t>
        </is>
      </c>
      <c r="B223" t="inlineStr">
        <is>
          <t>חוט LUXAMID NYLON 2 RC 3/8 40mm 90cm 12U</t>
        </is>
      </c>
      <c r="C223" t="inlineStr">
        <is>
          <t>חוטים</t>
        </is>
      </c>
      <c r="E223" t="inlineStr">
        <is>
          <t>2026-07</t>
        </is>
      </c>
      <c r="F223" t="n">
        <v>55</v>
      </c>
      <c r="G223" t="n">
        <v>64.90000000000001</v>
      </c>
      <c r="H223">
        <f>הגדרות!B2</f>
        <v/>
      </c>
      <c r="I223">
        <f>F223*(1-H223/100)*1.18</f>
        <v/>
      </c>
      <c r="J223">
        <f>הגדרות!C2</f>
        <v/>
      </c>
      <c r="K223">
        <f>הגדרות!D2</f>
        <v/>
      </c>
      <c r="L223">
        <f>I223*(1+J223/100)+K223</f>
        <v/>
      </c>
    </row>
    <row r="224">
      <c r="A224" t="inlineStr">
        <is>
          <t>בית ארז (מילטין)</t>
        </is>
      </c>
      <c r="B224" t="inlineStr">
        <is>
          <t>חוט LUXCRYL MONOFAST 5/0 RC 3/8 16mm 75cm 12U</t>
        </is>
      </c>
      <c r="C224" t="inlineStr">
        <is>
          <t>חוטים</t>
        </is>
      </c>
      <c r="E224" t="inlineStr">
        <is>
          <t>2026-07</t>
        </is>
      </c>
      <c r="F224" t="n">
        <v>115</v>
      </c>
      <c r="G224" t="n">
        <v>135.7</v>
      </c>
      <c r="H224">
        <f>הגדרות!B2</f>
        <v/>
      </c>
      <c r="I224">
        <f>F224*(1-H224/100)*1.18</f>
        <v/>
      </c>
      <c r="J224">
        <f>הגדרות!C2</f>
        <v/>
      </c>
      <c r="K224">
        <f>הגדרות!D2</f>
        <v/>
      </c>
      <c r="L224">
        <f>I224*(1+J224/100)+K224</f>
        <v/>
      </c>
    </row>
    <row r="225">
      <c r="A225" t="inlineStr">
        <is>
          <t>בית ארז (מילטין)</t>
        </is>
      </c>
      <c r="B225" t="inlineStr">
        <is>
          <t>חוט LUXCRYL MONOFAST 4/0 RC 3/8 19mm 75cm 12U</t>
        </is>
      </c>
      <c r="C225" t="inlineStr">
        <is>
          <t>חוטים</t>
        </is>
      </c>
      <c r="E225" t="inlineStr">
        <is>
          <t>2026-07</t>
        </is>
      </c>
      <c r="F225" t="n">
        <v>115</v>
      </c>
      <c r="G225" t="n">
        <v>135.7</v>
      </c>
      <c r="H225">
        <f>הגדרות!B2</f>
        <v/>
      </c>
      <c r="I225">
        <f>F225*(1-H225/100)*1.18</f>
        <v/>
      </c>
      <c r="J225">
        <f>הגדרות!C2</f>
        <v/>
      </c>
      <c r="K225">
        <f>הגדרות!D2</f>
        <v/>
      </c>
      <c r="L225">
        <f>I225*(1+J225/100)+K225</f>
        <v/>
      </c>
    </row>
    <row r="226">
      <c r="A226" t="inlineStr">
        <is>
          <t>בית ארז (מילטין)</t>
        </is>
      </c>
      <c r="B226" t="inlineStr">
        <is>
          <t>חוט LUXCRYL MONOFAST 3/0 RC 3/8 24mm 75cm 12U</t>
        </is>
      </c>
      <c r="C226" t="inlineStr">
        <is>
          <t>חוטים</t>
        </is>
      </c>
      <c r="E226" t="inlineStr">
        <is>
          <t>2026-07</t>
        </is>
      </c>
      <c r="F226" t="n">
        <v>115</v>
      </c>
      <c r="G226" t="n">
        <v>135.7</v>
      </c>
      <c r="H226">
        <f>הגדרות!B2</f>
        <v/>
      </c>
      <c r="I226">
        <f>F226*(1-H226/100)*1.18</f>
        <v/>
      </c>
      <c r="J226">
        <f>הגדרות!C2</f>
        <v/>
      </c>
      <c r="K226">
        <f>הגדרות!D2</f>
        <v/>
      </c>
      <c r="L226">
        <f>I226*(1+J226/100)+K226</f>
        <v/>
      </c>
    </row>
    <row r="227">
      <c r="A227" t="inlineStr">
        <is>
          <t>בית ארז (מילטין)</t>
        </is>
      </c>
      <c r="B227" t="inlineStr">
        <is>
          <t>חוט LUXCRYL PGA 3/0 TAP 1/2 26mm 75cm 12U</t>
        </is>
      </c>
      <c r="C227" t="inlineStr">
        <is>
          <t>חוטים</t>
        </is>
      </c>
      <c r="E227" t="inlineStr">
        <is>
          <t>2026-07</t>
        </is>
      </c>
      <c r="F227" t="n">
        <v>125</v>
      </c>
      <c r="G227" t="n">
        <v>147.5</v>
      </c>
      <c r="H227">
        <f>הגדרות!B2</f>
        <v/>
      </c>
      <c r="I227">
        <f>F227*(1-H227/100)*1.18</f>
        <v/>
      </c>
      <c r="J227">
        <f>הגדרות!C2</f>
        <v/>
      </c>
      <c r="K227">
        <f>הגדרות!D2</f>
        <v/>
      </c>
      <c r="L227">
        <f>I227*(1+J227/100)+K227</f>
        <v/>
      </c>
    </row>
    <row r="228">
      <c r="A228" t="inlineStr">
        <is>
          <t>בית ארז (מילטין)</t>
        </is>
      </c>
      <c r="B228" t="inlineStr">
        <is>
          <t>חוט LUXCRYL PGA 2/0 TAP 1/2 30mm 75cm 12U</t>
        </is>
      </c>
      <c r="C228" t="inlineStr">
        <is>
          <t>חוטים</t>
        </is>
      </c>
      <c r="E228" t="inlineStr">
        <is>
          <t>2026-07</t>
        </is>
      </c>
      <c r="F228" t="n">
        <v>125</v>
      </c>
      <c r="G228" t="n">
        <v>147.5</v>
      </c>
      <c r="H228">
        <f>הגדרות!B2</f>
        <v/>
      </c>
      <c r="I228">
        <f>F228*(1-H228/100)*1.18</f>
        <v/>
      </c>
      <c r="J228">
        <f>הגדרות!C2</f>
        <v/>
      </c>
      <c r="K228">
        <f>הגדרות!D2</f>
        <v/>
      </c>
      <c r="L228">
        <f>I228*(1+J228/100)+K228</f>
        <v/>
      </c>
    </row>
    <row r="229">
      <c r="A229" t="inlineStr">
        <is>
          <t>בית ארז (מילטין)</t>
        </is>
      </c>
      <c r="B229" t="inlineStr">
        <is>
          <t>חוט LUXCRYL PGA 0 TAP 1/2 40mm 90cm 12U</t>
        </is>
      </c>
      <c r="C229" t="inlineStr">
        <is>
          <t>חוטים</t>
        </is>
      </c>
      <c r="E229" t="inlineStr">
        <is>
          <t>2026-07</t>
        </is>
      </c>
      <c r="F229" t="n">
        <v>125</v>
      </c>
      <c r="G229" t="n">
        <v>147.5</v>
      </c>
      <c r="H229">
        <f>הגדרות!B2</f>
        <v/>
      </c>
      <c r="I229">
        <f>F229*(1-H229/100)*1.18</f>
        <v/>
      </c>
      <c r="J229">
        <f>הגדרות!C2</f>
        <v/>
      </c>
      <c r="K229">
        <f>הגדרות!D2</f>
        <v/>
      </c>
      <c r="L229">
        <f>I229*(1+J229/100)+K229</f>
        <v/>
      </c>
    </row>
    <row r="230">
      <c r="A230" t="inlineStr">
        <is>
          <t>בית ארז (מילטין)</t>
        </is>
      </c>
      <c r="B230" t="inlineStr">
        <is>
          <t>חוט LUXCRYL PDO 5/0 TAP 1/2 17mm 75cm 12U</t>
        </is>
      </c>
      <c r="C230" t="inlineStr">
        <is>
          <t>חוטים</t>
        </is>
      </c>
      <c r="E230" t="inlineStr">
        <is>
          <t>2026-07</t>
        </is>
      </c>
      <c r="F230" t="n">
        <v>125</v>
      </c>
      <c r="G230" t="n">
        <v>147.5</v>
      </c>
      <c r="H230">
        <f>הגדרות!B2</f>
        <v/>
      </c>
      <c r="I230">
        <f>F230*(1-H230/100)*1.18</f>
        <v/>
      </c>
      <c r="J230">
        <f>הגדרות!C2</f>
        <v/>
      </c>
      <c r="K230">
        <f>הגדרות!D2</f>
        <v/>
      </c>
      <c r="L230">
        <f>I230*(1+J230/100)+K230</f>
        <v/>
      </c>
    </row>
    <row r="231">
      <c r="A231" t="inlineStr">
        <is>
          <t>בית ארז (מילטין)</t>
        </is>
      </c>
      <c r="B231" t="inlineStr">
        <is>
          <t>חוט LUXCRYL PDO 4/0 TAP 1/2 26mm 75cm 12U</t>
        </is>
      </c>
      <c r="C231" t="inlineStr">
        <is>
          <t>חוטים</t>
        </is>
      </c>
      <c r="E231" t="inlineStr">
        <is>
          <t>2026-07</t>
        </is>
      </c>
      <c r="F231" t="n">
        <v>125</v>
      </c>
      <c r="G231" t="n">
        <v>147.5</v>
      </c>
      <c r="H231">
        <f>הגדרות!B2</f>
        <v/>
      </c>
      <c r="I231">
        <f>F231*(1-H231/100)*1.18</f>
        <v/>
      </c>
      <c r="J231">
        <f>הגדרות!C2</f>
        <v/>
      </c>
      <c r="K231">
        <f>הגדרות!D2</f>
        <v/>
      </c>
      <c r="L231">
        <f>I231*(1+J231/100)+K231</f>
        <v/>
      </c>
    </row>
    <row r="232">
      <c r="A232" t="inlineStr">
        <is>
          <t>בית ארז (מילטין)</t>
        </is>
      </c>
      <c r="B232" t="inlineStr">
        <is>
          <t>חוט LUXCRYL PDO 3/0 TAP 1/2 26mm 75cm 12U</t>
        </is>
      </c>
      <c r="C232" t="inlineStr">
        <is>
          <t>חוטים</t>
        </is>
      </c>
      <c r="E232" t="inlineStr">
        <is>
          <t>2026-07</t>
        </is>
      </c>
      <c r="F232" t="n">
        <v>125</v>
      </c>
      <c r="G232" t="n">
        <v>147.5</v>
      </c>
      <c r="H232">
        <f>הגדרות!B2</f>
        <v/>
      </c>
      <c r="I232">
        <f>F232*(1-H232/100)*1.18</f>
        <v/>
      </c>
      <c r="J232">
        <f>הגדרות!C2</f>
        <v/>
      </c>
      <c r="K232">
        <f>הגדרות!D2</f>
        <v/>
      </c>
      <c r="L232">
        <f>I232*(1+J232/100)+K232</f>
        <v/>
      </c>
    </row>
    <row r="233">
      <c r="A233" t="inlineStr">
        <is>
          <t>בית ארז (מילטין)</t>
        </is>
      </c>
      <c r="B233" t="inlineStr">
        <is>
          <t>חוט LUXCRYL PDO 2/0 TAP 1/2 26mm 75cm 12U</t>
        </is>
      </c>
      <c r="C233" t="inlineStr">
        <is>
          <t>חוטים</t>
        </is>
      </c>
      <c r="E233" t="inlineStr">
        <is>
          <t>2026-07</t>
        </is>
      </c>
      <c r="F233" t="n">
        <v>125</v>
      </c>
      <c r="G233" t="n">
        <v>147.5</v>
      </c>
      <c r="H233">
        <f>הגדרות!B2</f>
        <v/>
      </c>
      <c r="I233">
        <f>F233*(1-H233/100)*1.18</f>
        <v/>
      </c>
      <c r="J233">
        <f>הגדרות!C2</f>
        <v/>
      </c>
      <c r="K233">
        <f>הגדרות!D2</f>
        <v/>
      </c>
      <c r="L233">
        <f>I233*(1+J233/100)+K233</f>
        <v/>
      </c>
    </row>
    <row r="234">
      <c r="A234" t="inlineStr">
        <is>
          <t>בית ארז (מילטין)</t>
        </is>
      </c>
      <c r="B234" t="inlineStr">
        <is>
          <t>חוט LUXCRYL PDO 2 TAP 1/2 40mm 90cm 12U</t>
        </is>
      </c>
      <c r="C234" t="inlineStr">
        <is>
          <t>חוטים</t>
        </is>
      </c>
      <c r="E234" t="inlineStr">
        <is>
          <t>2026-07</t>
        </is>
      </c>
      <c r="F234" t="n">
        <v>135</v>
      </c>
      <c r="G234" t="n">
        <v>159.3</v>
      </c>
      <c r="H234">
        <f>הגדרות!B2</f>
        <v/>
      </c>
      <c r="I234">
        <f>F234*(1-H234/100)*1.18</f>
        <v/>
      </c>
      <c r="J234">
        <f>הגדרות!C2</f>
        <v/>
      </c>
      <c r="K234">
        <f>הגדרות!D2</f>
        <v/>
      </c>
      <c r="L234">
        <f>I234*(1+J234/100)+K234</f>
        <v/>
      </c>
    </row>
    <row r="235">
      <c r="A235" t="inlineStr">
        <is>
          <t>בית ארז (מילטין)</t>
        </is>
      </c>
      <c r="B235" t="inlineStr">
        <is>
          <t>חוט בקסטה LUXCRYL PGA 2/0 50M</t>
        </is>
      </c>
      <c r="C235" t="inlineStr">
        <is>
          <t>חוטים</t>
        </is>
      </c>
      <c r="E235" t="inlineStr">
        <is>
          <t>2026-07</t>
        </is>
      </c>
      <c r="F235" t="n">
        <v>250</v>
      </c>
      <c r="G235" t="n">
        <v>295</v>
      </c>
      <c r="H235">
        <f>הגדרות!B2</f>
        <v/>
      </c>
      <c r="I235">
        <f>F235*(1-H235/100)*1.18</f>
        <v/>
      </c>
      <c r="J235">
        <f>הגדרות!C2</f>
        <v/>
      </c>
      <c r="K235">
        <f>הגדרות!D2</f>
        <v/>
      </c>
      <c r="L235">
        <f>I235*(1+J235/100)+K235</f>
        <v/>
      </c>
    </row>
    <row r="236">
      <c r="A236" t="inlineStr">
        <is>
          <t>בית ארז (מילטין)</t>
        </is>
      </c>
      <c r="B236" t="inlineStr">
        <is>
          <t>חוט בקסטה LUXCRYL PGA 0 50M</t>
        </is>
      </c>
      <c r="C236" t="inlineStr">
        <is>
          <t>חוטים</t>
        </is>
      </c>
      <c r="E236" t="inlineStr">
        <is>
          <t>2026-07</t>
        </is>
      </c>
      <c r="F236" t="n">
        <v>265</v>
      </c>
      <c r="G236" t="n">
        <v>312.7</v>
      </c>
      <c r="H236">
        <f>הגדרות!B2</f>
        <v/>
      </c>
      <c r="I236">
        <f>F236*(1-H236/100)*1.18</f>
        <v/>
      </c>
      <c r="J236">
        <f>הגדרות!C2</f>
        <v/>
      </c>
      <c r="K236">
        <f>הגדרות!D2</f>
        <v/>
      </c>
      <c r="L236">
        <f>I236*(1+J236/100)+K236</f>
        <v/>
      </c>
    </row>
    <row r="237">
      <c r="A237" t="inlineStr">
        <is>
          <t>בית ארז (מילטין)</t>
        </is>
      </c>
      <c r="B237" t="inlineStr">
        <is>
          <t>חוט בקסטה LUXCRYL PGA 1 50M</t>
        </is>
      </c>
      <c r="C237" t="inlineStr">
        <is>
          <t>חוטים</t>
        </is>
      </c>
      <c r="E237" t="inlineStr">
        <is>
          <t>2026-07</t>
        </is>
      </c>
      <c r="F237" t="n">
        <v>275</v>
      </c>
      <c r="G237" t="n">
        <v>324.5</v>
      </c>
      <c r="H237">
        <f>הגדרות!B2</f>
        <v/>
      </c>
      <c r="I237">
        <f>F237*(1-H237/100)*1.18</f>
        <v/>
      </c>
      <c r="J237">
        <f>הגדרות!C2</f>
        <v/>
      </c>
      <c r="K237">
        <f>הגדרות!D2</f>
        <v/>
      </c>
      <c r="L237">
        <f>I237*(1+J237/100)+K237</f>
        <v/>
      </c>
    </row>
    <row r="238">
      <c r="A238" t="inlineStr">
        <is>
          <t>בית ארז (מילטין)</t>
        </is>
      </c>
      <c r="B238" t="inlineStr">
        <is>
          <t>חוט בקסטה LUXCRYL PGA 2 50M</t>
        </is>
      </c>
      <c r="C238" t="inlineStr">
        <is>
          <t>חוטים</t>
        </is>
      </c>
      <c r="E238" t="inlineStr">
        <is>
          <t>2026-07</t>
        </is>
      </c>
      <c r="F238" t="n">
        <v>320</v>
      </c>
      <c r="G238" t="n">
        <v>377.6</v>
      </c>
      <c r="H238">
        <f>הגדרות!B2</f>
        <v/>
      </c>
      <c r="I238">
        <f>F238*(1-H238/100)*1.18</f>
        <v/>
      </c>
      <c r="J238">
        <f>הגדרות!C2</f>
        <v/>
      </c>
      <c r="K238">
        <f>הגדרות!D2</f>
        <v/>
      </c>
      <c r="L238">
        <f>I238*(1+J238/100)+K238</f>
        <v/>
      </c>
    </row>
    <row r="239">
      <c r="A239" t="inlineStr">
        <is>
          <t>בית ארז (מילטין)</t>
        </is>
      </c>
      <c r="B239" t="inlineStr">
        <is>
          <t>חוט בקסטה LUXCRYL PDO 3/0 25M</t>
        </is>
      </c>
      <c r="C239" t="inlineStr">
        <is>
          <t>חוטים</t>
        </is>
      </c>
      <c r="E239" t="inlineStr">
        <is>
          <t>2026-07</t>
        </is>
      </c>
      <c r="F239" t="n">
        <v>185</v>
      </c>
      <c r="G239" t="n">
        <v>218.3</v>
      </c>
      <c r="H239">
        <f>הגדרות!B2</f>
        <v/>
      </c>
      <c r="I239">
        <f>F239*(1-H239/100)*1.18</f>
        <v/>
      </c>
      <c r="J239">
        <f>הגדרות!C2</f>
        <v/>
      </c>
      <c r="K239">
        <f>הגדרות!D2</f>
        <v/>
      </c>
      <c r="L239">
        <f>I239*(1+J239/100)+K239</f>
        <v/>
      </c>
    </row>
    <row r="240">
      <c r="A240" t="inlineStr">
        <is>
          <t>בית ארז (מילטין)</t>
        </is>
      </c>
      <c r="B240" t="inlineStr">
        <is>
          <t>חוט בקסטה LUXCRYL PDO 2/0 25M</t>
        </is>
      </c>
      <c r="C240" t="inlineStr">
        <is>
          <t>חוטים</t>
        </is>
      </c>
      <c r="E240" t="inlineStr">
        <is>
          <t>2026-07</t>
        </is>
      </c>
      <c r="F240" t="n">
        <v>210</v>
      </c>
      <c r="G240" t="n">
        <v>247.8</v>
      </c>
      <c r="H240">
        <f>הגדרות!B2</f>
        <v/>
      </c>
      <c r="I240">
        <f>F240*(1-H240/100)*1.18</f>
        <v/>
      </c>
      <c r="J240">
        <f>הגדרות!C2</f>
        <v/>
      </c>
      <c r="K240">
        <f>הגדרות!D2</f>
        <v/>
      </c>
      <c r="L240">
        <f>I240*(1+J240/100)+K240</f>
        <v/>
      </c>
    </row>
    <row r="241">
      <c r="A241" t="inlineStr">
        <is>
          <t>בית ארז (מילטין)</t>
        </is>
      </c>
      <c r="B241" t="inlineStr">
        <is>
          <t>חוט בקסטה LUXCRYL PDO 0 25M</t>
        </is>
      </c>
      <c r="C241" t="inlineStr">
        <is>
          <t>חוטים</t>
        </is>
      </c>
      <c r="E241" t="inlineStr">
        <is>
          <t>2026-07</t>
        </is>
      </c>
      <c r="F241" t="n">
        <v>220</v>
      </c>
      <c r="G241" t="n">
        <v>259.6</v>
      </c>
      <c r="H241">
        <f>הגדרות!B2</f>
        <v/>
      </c>
      <c r="I241">
        <f>F241*(1-H241/100)*1.18</f>
        <v/>
      </c>
      <c r="J241">
        <f>הגדרות!C2</f>
        <v/>
      </c>
      <c r="K241">
        <f>הגדרות!D2</f>
        <v/>
      </c>
      <c r="L241">
        <f>I241*(1+J241/100)+K241</f>
        <v/>
      </c>
    </row>
    <row r="242">
      <c r="A242" t="inlineStr">
        <is>
          <t>בית ארז (מילטין)</t>
        </is>
      </c>
      <c r="B242" t="inlineStr">
        <is>
          <t>חוט בקסטה LUXCRYL PDO 1 25M</t>
        </is>
      </c>
      <c r="C242" t="inlineStr">
        <is>
          <t>חוטים</t>
        </is>
      </c>
      <c r="E242" t="inlineStr">
        <is>
          <t>2026-07</t>
        </is>
      </c>
      <c r="F242" t="n">
        <v>220</v>
      </c>
      <c r="G242" t="n">
        <v>259.6</v>
      </c>
      <c r="H242">
        <f>הגדרות!B2</f>
        <v/>
      </c>
      <c r="I242">
        <f>F242*(1-H242/100)*1.18</f>
        <v/>
      </c>
      <c r="J242">
        <f>הגדרות!C2</f>
        <v/>
      </c>
      <c r="K242">
        <f>הגדרות!D2</f>
        <v/>
      </c>
      <c r="L242">
        <f>I242*(1+J242/100)+K242</f>
        <v/>
      </c>
    </row>
    <row r="243">
      <c r="A243" t="inlineStr">
        <is>
          <t>בית ארז (מילטין)</t>
        </is>
      </c>
      <c r="B243" t="inlineStr">
        <is>
          <t>חוט בקסטה LUXCRYL PDO 2 25M</t>
        </is>
      </c>
      <c r="C243" t="inlineStr">
        <is>
          <t>חוטים</t>
        </is>
      </c>
      <c r="E243" t="inlineStr">
        <is>
          <t>2026-07</t>
        </is>
      </c>
      <c r="F243" t="n">
        <v>220</v>
      </c>
      <c r="G243" t="n">
        <v>259.6</v>
      </c>
      <c r="H243">
        <f>הגדרות!B2</f>
        <v/>
      </c>
      <c r="I243">
        <f>F243*(1-H243/100)*1.18</f>
        <v/>
      </c>
      <c r="J243">
        <f>הגדרות!C2</f>
        <v/>
      </c>
      <c r="K243">
        <f>הגדרות!D2</f>
        <v/>
      </c>
      <c r="L243">
        <f>I243*(1+J243/100)+K243</f>
        <v/>
      </c>
    </row>
    <row r="244">
      <c r="A244" t="inlineStr">
        <is>
          <t>בית ארז (מילטין)</t>
        </is>
      </c>
      <c r="B244" t="inlineStr">
        <is>
          <t>חוט בקסטה CATGUT CHROM 3/0 100M</t>
        </is>
      </c>
      <c r="C244" t="inlineStr">
        <is>
          <t>חוטים</t>
        </is>
      </c>
      <c r="E244" t="inlineStr">
        <is>
          <t>2026-07</t>
        </is>
      </c>
      <c r="F244" t="n">
        <v>310</v>
      </c>
      <c r="G244" t="n">
        <v>365.8</v>
      </c>
      <c r="H244">
        <f>הגדרות!B2</f>
        <v/>
      </c>
      <c r="I244">
        <f>F244*(1-H244/100)*1.18</f>
        <v/>
      </c>
      <c r="J244">
        <f>הגדרות!C2</f>
        <v/>
      </c>
      <c r="K244">
        <f>הגדרות!D2</f>
        <v/>
      </c>
      <c r="L244">
        <f>I244*(1+J244/100)+K244</f>
        <v/>
      </c>
    </row>
    <row r="245">
      <c r="A245" t="inlineStr">
        <is>
          <t>בית ארז (מילטין)</t>
        </is>
      </c>
      <c r="B245" t="inlineStr">
        <is>
          <t>חוט בקסטה CATGUT CHROM 2/0 100M</t>
        </is>
      </c>
      <c r="C245" t="inlineStr">
        <is>
          <t>חוטים</t>
        </is>
      </c>
      <c r="E245" t="inlineStr">
        <is>
          <t>2026-07</t>
        </is>
      </c>
      <c r="F245" t="n">
        <v>330</v>
      </c>
      <c r="G245" t="n">
        <v>389.4</v>
      </c>
      <c r="H245">
        <f>הגדרות!B2</f>
        <v/>
      </c>
      <c r="I245">
        <f>F245*(1-H245/100)*1.18</f>
        <v/>
      </c>
      <c r="J245">
        <f>הגדרות!C2</f>
        <v/>
      </c>
      <c r="K245">
        <f>הגדרות!D2</f>
        <v/>
      </c>
      <c r="L245">
        <f>I245*(1+J245/100)+K245</f>
        <v/>
      </c>
    </row>
    <row r="246">
      <c r="A246" t="inlineStr">
        <is>
          <t>בית ארז (מילטין)</t>
        </is>
      </c>
      <c r="B246" t="inlineStr">
        <is>
          <t>חוט בקסטה CATGUT CHROM 0 100M</t>
        </is>
      </c>
      <c r="C246" t="inlineStr">
        <is>
          <t>חוטים</t>
        </is>
      </c>
      <c r="E246" t="inlineStr">
        <is>
          <t>2026-07</t>
        </is>
      </c>
      <c r="F246" t="n">
        <v>355</v>
      </c>
      <c r="G246" t="n">
        <v>418.9</v>
      </c>
      <c r="H246">
        <f>הגדרות!B2</f>
        <v/>
      </c>
      <c r="I246">
        <f>F246*(1-H246/100)*1.18</f>
        <v/>
      </c>
      <c r="J246">
        <f>הגדרות!C2</f>
        <v/>
      </c>
      <c r="K246">
        <f>הגדרות!D2</f>
        <v/>
      </c>
      <c r="L246">
        <f>I246*(1+J246/100)+K246</f>
        <v/>
      </c>
    </row>
    <row r="247">
      <c r="A247" t="inlineStr">
        <is>
          <t>בית ארז (מילטין)</t>
        </is>
      </c>
      <c r="B247" t="inlineStr">
        <is>
          <t>חוט בקסטה CATGUT CHROM 1 75M</t>
        </is>
      </c>
      <c r="C247" t="inlineStr">
        <is>
          <t>חוטים</t>
        </is>
      </c>
      <c r="E247" t="inlineStr">
        <is>
          <t>2026-07</t>
        </is>
      </c>
      <c r="F247" t="n">
        <v>330</v>
      </c>
      <c r="G247" t="n">
        <v>389.4</v>
      </c>
      <c r="H247">
        <f>הגדרות!B2</f>
        <v/>
      </c>
      <c r="I247">
        <f>F247*(1-H247/100)*1.18</f>
        <v/>
      </c>
      <c r="J247">
        <f>הגדרות!C2</f>
        <v/>
      </c>
      <c r="K247">
        <f>הגדרות!D2</f>
        <v/>
      </c>
      <c r="L247">
        <f>I247*(1+J247/100)+K247</f>
        <v/>
      </c>
    </row>
    <row r="248">
      <c r="A248" t="inlineStr">
        <is>
          <t>בית ארז (מילטין)</t>
        </is>
      </c>
      <c r="B248" t="inlineStr">
        <is>
          <t>חוט בקסטה CATGUT CHROM 2 50M</t>
        </is>
      </c>
      <c r="C248" t="inlineStr">
        <is>
          <t>חוטים</t>
        </is>
      </c>
      <c r="E248" t="inlineStr">
        <is>
          <t>2026-07</t>
        </is>
      </c>
      <c r="F248" t="n">
        <v>270</v>
      </c>
      <c r="G248" t="n">
        <v>318.6</v>
      </c>
      <c r="H248">
        <f>הגדרות!B2</f>
        <v/>
      </c>
      <c r="I248">
        <f>F248*(1-H248/100)*1.18</f>
        <v/>
      </c>
      <c r="J248">
        <f>הגדרות!C2</f>
        <v/>
      </c>
      <c r="K248">
        <f>הגדרות!D2</f>
        <v/>
      </c>
      <c r="L248">
        <f>I248*(1+J248/100)+K248</f>
        <v/>
      </c>
    </row>
    <row r="249">
      <c r="A249" t="inlineStr">
        <is>
          <t>בית ארז (מילטין)</t>
        </is>
      </c>
      <c r="B249" t="inlineStr">
        <is>
          <t>חוט בקסטה LUXAMID NYLON 3/0 100M</t>
        </is>
      </c>
      <c r="C249" t="inlineStr">
        <is>
          <t>חוטים</t>
        </is>
      </c>
      <c r="E249" t="inlineStr">
        <is>
          <t>2026-07</t>
        </is>
      </c>
      <c r="F249" t="n">
        <v>75</v>
      </c>
      <c r="G249" t="n">
        <v>88.5</v>
      </c>
      <c r="H249">
        <f>הגדרות!B2</f>
        <v/>
      </c>
      <c r="I249">
        <f>F249*(1-H249/100)*1.18</f>
        <v/>
      </c>
      <c r="J249">
        <f>הגדרות!C2</f>
        <v/>
      </c>
      <c r="K249">
        <f>הגדרות!D2</f>
        <v/>
      </c>
      <c r="L249">
        <f>I249*(1+J249/100)+K249</f>
        <v/>
      </c>
    </row>
    <row r="250">
      <c r="A250" t="inlineStr">
        <is>
          <t>בית ארז (מילטין)</t>
        </is>
      </c>
      <c r="B250" t="inlineStr">
        <is>
          <t>חוט בקסטה LUXAMID NYLON 2/0 100M</t>
        </is>
      </c>
      <c r="C250" t="inlineStr">
        <is>
          <t>חוטים</t>
        </is>
      </c>
      <c r="E250" t="inlineStr">
        <is>
          <t>2026-07</t>
        </is>
      </c>
      <c r="F250" t="n">
        <v>85</v>
      </c>
      <c r="G250" t="n">
        <v>100.3</v>
      </c>
      <c r="H250">
        <f>הגדרות!B2</f>
        <v/>
      </c>
      <c r="I250">
        <f>F250*(1-H250/100)*1.18</f>
        <v/>
      </c>
      <c r="J250">
        <f>הגדרות!C2</f>
        <v/>
      </c>
      <c r="K250">
        <f>הגדרות!D2</f>
        <v/>
      </c>
      <c r="L250">
        <f>I250*(1+J250/100)+K250</f>
        <v/>
      </c>
    </row>
    <row r="251">
      <c r="A251" t="inlineStr">
        <is>
          <t>בית ארז (מילטין)</t>
        </is>
      </c>
      <c r="B251" t="inlineStr">
        <is>
          <t>חוט בקסטה LUXAMID NYLON 0 100M</t>
        </is>
      </c>
      <c r="C251" t="inlineStr">
        <is>
          <t>חוטים</t>
        </is>
      </c>
      <c r="E251" t="inlineStr">
        <is>
          <t>2026-07</t>
        </is>
      </c>
      <c r="F251" t="n">
        <v>90</v>
      </c>
      <c r="G251" t="n">
        <v>106.2</v>
      </c>
      <c r="H251">
        <f>הגדרות!B2</f>
        <v/>
      </c>
      <c r="I251">
        <f>F251*(1-H251/100)*1.18</f>
        <v/>
      </c>
      <c r="J251">
        <f>הגדרות!C2</f>
        <v/>
      </c>
      <c r="K251">
        <f>הגדרות!D2</f>
        <v/>
      </c>
      <c r="L251">
        <f>I251*(1+J251/100)+K251</f>
        <v/>
      </c>
    </row>
    <row r="252">
      <c r="A252" t="inlineStr">
        <is>
          <t>בית ארז (מילטין)</t>
        </is>
      </c>
      <c r="B252" t="inlineStr">
        <is>
          <t>חוט בקסטה LUXAMID NYLON 1 100M</t>
        </is>
      </c>
      <c r="C252" t="inlineStr">
        <is>
          <t>חוטים</t>
        </is>
      </c>
      <c r="E252" t="inlineStr">
        <is>
          <t>2026-07</t>
        </is>
      </c>
      <c r="F252" t="n">
        <v>100</v>
      </c>
      <c r="G252" t="n">
        <v>118</v>
      </c>
      <c r="H252">
        <f>הגדרות!B2</f>
        <v/>
      </c>
      <c r="I252">
        <f>F252*(1-H252/100)*1.18</f>
        <v/>
      </c>
      <c r="J252">
        <f>הגדרות!C2</f>
        <v/>
      </c>
      <c r="K252">
        <f>הגדרות!D2</f>
        <v/>
      </c>
      <c r="L252">
        <f>I252*(1+J252/100)+K252</f>
        <v/>
      </c>
    </row>
    <row r="253">
      <c r="A253" t="inlineStr">
        <is>
          <t>בית ארז (מילטין)</t>
        </is>
      </c>
      <c r="B253" t="inlineStr">
        <is>
          <t>חוט בקסטה LUXAMID NYLON 2 75M</t>
        </is>
      </c>
      <c r="C253" t="inlineStr">
        <is>
          <t>חוטים</t>
        </is>
      </c>
      <c r="E253" t="inlineStr">
        <is>
          <t>2026-07</t>
        </is>
      </c>
      <c r="F253" t="n">
        <v>105</v>
      </c>
      <c r="G253" t="n">
        <v>123.9</v>
      </c>
      <c r="H253">
        <f>הגדרות!B2</f>
        <v/>
      </c>
      <c r="I253">
        <f>F253*(1-H253/100)*1.18</f>
        <v/>
      </c>
      <c r="J253">
        <f>הגדרות!C2</f>
        <v/>
      </c>
      <c r="K253">
        <f>הגדרות!D2</f>
        <v/>
      </c>
      <c r="L253">
        <f>I253*(1+J253/100)+K253</f>
        <v/>
      </c>
    </row>
    <row r="254">
      <c r="A254" t="inlineStr">
        <is>
          <t>בית ארז (מילטין)</t>
        </is>
      </c>
      <c r="B254" t="inlineStr">
        <is>
          <t>ערכת רצועה צולבת CCL 50lb X 500mm XS CN+10mm crimp</t>
        </is>
      </c>
      <c r="C254" t="inlineStr">
        <is>
          <t>חוטים</t>
        </is>
      </c>
      <c r="E254" t="inlineStr">
        <is>
          <t>2026-07</t>
        </is>
      </c>
      <c r="F254" t="n">
        <v>65</v>
      </c>
      <c r="G254" t="n">
        <v>76.7</v>
      </c>
      <c r="H254">
        <f>הגדרות!B2</f>
        <v/>
      </c>
      <c r="I254">
        <f>F254*(1-H254/100)*1.18</f>
        <v/>
      </c>
      <c r="J254">
        <f>הגדרות!C2</f>
        <v/>
      </c>
      <c r="K254">
        <f>הגדרות!D2</f>
        <v/>
      </c>
      <c r="L254">
        <f>I254*(1+J254/100)+K254</f>
        <v/>
      </c>
    </row>
    <row r="255">
      <c r="A255" t="inlineStr">
        <is>
          <t>בית ארז (מילטין)</t>
        </is>
      </c>
      <c r="B255" t="inlineStr">
        <is>
          <t>ערכת רצועה צולבת CCL 80lb X 800mm S CN+12mm crimp</t>
        </is>
      </c>
      <c r="C255" t="inlineStr">
        <is>
          <t>חוטים</t>
        </is>
      </c>
      <c r="E255" t="inlineStr">
        <is>
          <t>2026-07</t>
        </is>
      </c>
      <c r="F255" t="n">
        <v>65</v>
      </c>
      <c r="G255" t="n">
        <v>76.7</v>
      </c>
      <c r="H255">
        <f>הגדרות!B2</f>
        <v/>
      </c>
      <c r="I255">
        <f>F255*(1-H255/100)*1.18</f>
        <v/>
      </c>
      <c r="J255">
        <f>הגדרות!C2</f>
        <v/>
      </c>
      <c r="K255">
        <f>הגדרות!D2</f>
        <v/>
      </c>
      <c r="L255">
        <f>I255*(1+J255/100)+K255</f>
        <v/>
      </c>
    </row>
    <row r="256">
      <c r="A256" t="inlineStr">
        <is>
          <t>בית ארז (מילטין)</t>
        </is>
      </c>
      <c r="B256" t="inlineStr">
        <is>
          <t>ערכת רצועה צולבת CCL 100lb X 800mm M CN+12mm crimp</t>
        </is>
      </c>
      <c r="C256" t="inlineStr">
        <is>
          <t>חוטים</t>
        </is>
      </c>
      <c r="E256" t="inlineStr">
        <is>
          <t>2026-07</t>
        </is>
      </c>
      <c r="F256" t="n">
        <v>65</v>
      </c>
      <c r="G256" t="n">
        <v>76.7</v>
      </c>
      <c r="H256">
        <f>הגדרות!B2</f>
        <v/>
      </c>
      <c r="I256">
        <f>F256*(1-H256/100)*1.18</f>
        <v/>
      </c>
      <c r="J256">
        <f>הגדרות!C2</f>
        <v/>
      </c>
      <c r="K256">
        <f>הגדרות!D2</f>
        <v/>
      </c>
      <c r="L256">
        <f>I256*(1+J256/100)+K256</f>
        <v/>
      </c>
    </row>
    <row r="257">
      <c r="A257" t="inlineStr">
        <is>
          <t>בית ארז (מילטין)</t>
        </is>
      </c>
      <c r="B257" t="inlineStr">
        <is>
          <t>מחט Spring eye 3/8 RC 30mm 12U</t>
        </is>
      </c>
      <c r="C257" t="inlineStr">
        <is>
          <t>חוטים</t>
        </is>
      </c>
      <c r="E257" t="inlineStr">
        <is>
          <t>2026-07</t>
        </is>
      </c>
      <c r="F257" t="n">
        <v>38</v>
      </c>
      <c r="G257" t="n">
        <v>44.84</v>
      </c>
      <c r="H257">
        <f>הגדרות!B2</f>
        <v/>
      </c>
      <c r="I257">
        <f>F257*(1-H257/100)*1.18</f>
        <v/>
      </c>
      <c r="J257">
        <f>הגדרות!C2</f>
        <v/>
      </c>
      <c r="K257">
        <f>הגדרות!D2</f>
        <v/>
      </c>
      <c r="L257">
        <f>I257*(1+J257/100)+K257</f>
        <v/>
      </c>
    </row>
    <row r="258">
      <c r="A258" t="inlineStr">
        <is>
          <t>בית ארז (מילטין)</t>
        </is>
      </c>
      <c r="B258" t="inlineStr">
        <is>
          <t>מחט Spring eye 3/8 RC 40mm 12U</t>
        </is>
      </c>
      <c r="C258" t="inlineStr">
        <is>
          <t>חוטים</t>
        </is>
      </c>
      <c r="E258" t="inlineStr">
        <is>
          <t>2026-07</t>
        </is>
      </c>
      <c r="F258" t="n">
        <v>38</v>
      </c>
      <c r="G258" t="n">
        <v>44.84</v>
      </c>
      <c r="H258">
        <f>הגדרות!B2</f>
        <v/>
      </c>
      <c r="I258">
        <f>F258*(1-H258/100)*1.18</f>
        <v/>
      </c>
      <c r="J258">
        <f>הגדרות!C2</f>
        <v/>
      </c>
      <c r="K258">
        <f>הגדרות!D2</f>
        <v/>
      </c>
      <c r="L258">
        <f>I258*(1+J258/100)+K258</f>
        <v/>
      </c>
    </row>
    <row r="259">
      <c r="A259" t="inlineStr">
        <is>
          <t>בית ארז (מילטין)</t>
        </is>
      </c>
      <c r="B259" t="inlineStr">
        <is>
          <t>מחט Spring eye 3/8 RC 50mm 12U</t>
        </is>
      </c>
      <c r="C259" t="inlineStr">
        <is>
          <t>חוטים</t>
        </is>
      </c>
      <c r="E259" t="inlineStr">
        <is>
          <t>2026-07</t>
        </is>
      </c>
      <c r="F259" t="n">
        <v>38</v>
      </c>
      <c r="G259" t="n">
        <v>44.84</v>
      </c>
      <c r="H259">
        <f>הגדרות!B2</f>
        <v/>
      </c>
      <c r="I259">
        <f>F259*(1-H259/100)*1.18</f>
        <v/>
      </c>
      <c r="J259">
        <f>הגדרות!C2</f>
        <v/>
      </c>
      <c r="K259">
        <f>הגדרות!D2</f>
        <v/>
      </c>
      <c r="L259">
        <f>I259*(1+J259/100)+K259</f>
        <v/>
      </c>
    </row>
    <row r="260">
      <c r="A260" t="inlineStr">
        <is>
          <t>בית ארז (מילטין)</t>
        </is>
      </c>
      <c r="B260" t="inlineStr">
        <is>
          <t>טובוס v-gel לחתול מידה 0.5-1) C0 ק"ג)</t>
        </is>
      </c>
      <c r="C260" t="inlineStr">
        <is>
          <t>טובוסים V-Gel</t>
        </is>
      </c>
      <c r="E260" t="inlineStr">
        <is>
          <t>2026-07</t>
        </is>
      </c>
      <c r="F260" t="n">
        <v>75</v>
      </c>
      <c r="G260" t="n">
        <v>88.5</v>
      </c>
      <c r="H260">
        <f>הגדרות!B2</f>
        <v/>
      </c>
      <c r="I260">
        <f>F260*(1-H260/100)*1.18</f>
        <v/>
      </c>
      <c r="J260">
        <f>הגדרות!C2</f>
        <v/>
      </c>
      <c r="K260">
        <f>הגדרות!D2</f>
        <v/>
      </c>
      <c r="L260">
        <f>I260*(1+J260/100)+K260</f>
        <v/>
      </c>
    </row>
    <row r="261">
      <c r="A261" t="inlineStr">
        <is>
          <t>בית ארז (מילטין)</t>
        </is>
      </c>
      <c r="B261" t="inlineStr">
        <is>
          <t>טובוס v-gel לחתול מידה 1-2) C1 ק"ג)</t>
        </is>
      </c>
      <c r="C261" t="inlineStr">
        <is>
          <t>טובוסים V-Gel</t>
        </is>
      </c>
      <c r="E261" t="inlineStr">
        <is>
          <t>2026-07</t>
        </is>
      </c>
      <c r="F261" t="n">
        <v>75</v>
      </c>
      <c r="G261" t="n">
        <v>88.5</v>
      </c>
      <c r="H261">
        <f>הגדרות!B2</f>
        <v/>
      </c>
      <c r="I261">
        <f>F261*(1-H261/100)*1.18</f>
        <v/>
      </c>
      <c r="J261">
        <f>הגדרות!C2</f>
        <v/>
      </c>
      <c r="K261">
        <f>הגדרות!D2</f>
        <v/>
      </c>
      <c r="L261">
        <f>I261*(1+J261/100)+K261</f>
        <v/>
      </c>
    </row>
    <row r="262">
      <c r="A262" t="inlineStr">
        <is>
          <t>בית ארז (מילטין)</t>
        </is>
      </c>
      <c r="B262" t="inlineStr">
        <is>
          <t>טובוס v-gel לחתול מידה 1.5-3.5) C2 ק"ג)</t>
        </is>
      </c>
      <c r="C262" t="inlineStr">
        <is>
          <t>טובוסים V-Gel</t>
        </is>
      </c>
      <c r="E262" t="inlineStr">
        <is>
          <t>2026-07</t>
        </is>
      </c>
      <c r="F262" t="n">
        <v>77</v>
      </c>
      <c r="G262" t="n">
        <v>90.86</v>
      </c>
      <c r="H262">
        <f>הגדרות!B2</f>
        <v/>
      </c>
      <c r="I262">
        <f>F262*(1-H262/100)*1.18</f>
        <v/>
      </c>
      <c r="J262">
        <f>הגדרות!C2</f>
        <v/>
      </c>
      <c r="K262">
        <f>הגדרות!D2</f>
        <v/>
      </c>
      <c r="L262">
        <f>I262*(1+J262/100)+K262</f>
        <v/>
      </c>
    </row>
    <row r="263">
      <c r="A263" t="inlineStr">
        <is>
          <t>בית ארז (מילטין)</t>
        </is>
      </c>
      <c r="B263" t="inlineStr">
        <is>
          <t>טובוס v-gel לחתול מידה 3-5) C3 ק"ג)</t>
        </is>
      </c>
      <c r="C263" t="inlineStr">
        <is>
          <t>טובוסים V-Gel</t>
        </is>
      </c>
      <c r="E263" t="inlineStr">
        <is>
          <t>2026-07</t>
        </is>
      </c>
      <c r="F263" t="n">
        <v>79</v>
      </c>
      <c r="G263" t="n">
        <v>93.22</v>
      </c>
      <c r="H263">
        <f>הגדרות!B2</f>
        <v/>
      </c>
      <c r="I263">
        <f>F263*(1-H263/100)*1.18</f>
        <v/>
      </c>
      <c r="J263">
        <f>הגדרות!C2</f>
        <v/>
      </c>
      <c r="K263">
        <f>הגדרות!D2</f>
        <v/>
      </c>
      <c r="L263">
        <f>I263*(1+J263/100)+K263</f>
        <v/>
      </c>
    </row>
    <row r="264">
      <c r="A264" t="inlineStr">
        <is>
          <t>בית ארז (מילטין)</t>
        </is>
      </c>
      <c r="B264" t="inlineStr">
        <is>
          <t>טובוס v-gel לחתול מידה 4.5-6) C4 ק"ג)</t>
        </is>
      </c>
      <c r="C264" t="inlineStr">
        <is>
          <t>טובוסים V-Gel</t>
        </is>
      </c>
      <c r="E264" t="inlineStr">
        <is>
          <t>2026-07</t>
        </is>
      </c>
      <c r="F264" t="n">
        <v>87</v>
      </c>
      <c r="G264" t="n">
        <v>102.66</v>
      </c>
      <c r="H264">
        <f>הגדרות!B2</f>
        <v/>
      </c>
      <c r="I264">
        <f>F264*(1-H264/100)*1.18</f>
        <v/>
      </c>
      <c r="J264">
        <f>הגדרות!C2</f>
        <v/>
      </c>
      <c r="K264">
        <f>הגדרות!D2</f>
        <v/>
      </c>
      <c r="L264">
        <f>I264*(1+J264/100)+K264</f>
        <v/>
      </c>
    </row>
    <row r="265">
      <c r="A265" t="inlineStr">
        <is>
          <t>בית ארז (מילטין)</t>
        </is>
      </c>
      <c r="B265" t="inlineStr">
        <is>
          <t>טובוס v-gel לחתול מידה +6) C5 ק"ג)</t>
        </is>
      </c>
      <c r="C265" t="inlineStr">
        <is>
          <t>טובוסים V-Gel</t>
        </is>
      </c>
      <c r="E265" t="inlineStr">
        <is>
          <t>2026-07</t>
        </is>
      </c>
      <c r="F265" t="n">
        <v>99</v>
      </c>
      <c r="G265" t="n">
        <v>116.82</v>
      </c>
      <c r="H265">
        <f>הגדרות!B2</f>
        <v/>
      </c>
      <c r="I265">
        <f>F265*(1-H265/100)*1.18</f>
        <v/>
      </c>
      <c r="J265">
        <f>הגדרות!C2</f>
        <v/>
      </c>
      <c r="K265">
        <f>הגדרות!D2</f>
        <v/>
      </c>
      <c r="L265">
        <f>I265*(1+J265/100)+K265</f>
        <v/>
      </c>
    </row>
    <row r="266">
      <c r="A266" t="inlineStr">
        <is>
          <t>בית ארז (מילטין)</t>
        </is>
      </c>
      <c r="B266" t="inlineStr">
        <is>
          <t>טובוס v-gel לכלב מידה D3</t>
        </is>
      </c>
      <c r="C266" t="inlineStr">
        <is>
          <t>טובוסים V-Gel</t>
        </is>
      </c>
      <c r="E266" t="inlineStr">
        <is>
          <t>2026-07</t>
        </is>
      </c>
      <c r="F266" t="n">
        <v>126</v>
      </c>
      <c r="G266" t="n">
        <v>148.68</v>
      </c>
      <c r="H266">
        <f>הגדרות!B2</f>
        <v/>
      </c>
      <c r="I266">
        <f>F266*(1-H266/100)*1.18</f>
        <v/>
      </c>
      <c r="J266">
        <f>הגדרות!C2</f>
        <v/>
      </c>
      <c r="K266">
        <f>הגדרות!D2</f>
        <v/>
      </c>
      <c r="L266">
        <f>I266*(1+J266/100)+K266</f>
        <v/>
      </c>
    </row>
    <row r="267">
      <c r="A267" t="inlineStr">
        <is>
          <t>בית ארז (מילטין)</t>
        </is>
      </c>
      <c r="B267" t="inlineStr">
        <is>
          <t>טובוס v-gel לכלב מידה D4</t>
        </is>
      </c>
      <c r="C267" t="inlineStr">
        <is>
          <t>טובוסים V-Gel</t>
        </is>
      </c>
      <c r="E267" t="inlineStr">
        <is>
          <t>2026-07</t>
        </is>
      </c>
      <c r="F267" t="n">
        <v>128</v>
      </c>
      <c r="G267" t="n">
        <v>151.04</v>
      </c>
      <c r="H267">
        <f>הגדרות!B2</f>
        <v/>
      </c>
      <c r="I267">
        <f>F267*(1-H267/100)*1.18</f>
        <v/>
      </c>
      <c r="J267">
        <f>הגדרות!C2</f>
        <v/>
      </c>
      <c r="K267">
        <f>הגדרות!D2</f>
        <v/>
      </c>
      <c r="L267">
        <f>I267*(1+J267/100)+K267</f>
        <v/>
      </c>
    </row>
    <row r="268">
      <c r="A268" t="inlineStr">
        <is>
          <t>בית ארז (מילטין)</t>
        </is>
      </c>
      <c r="B268" t="inlineStr">
        <is>
          <t>טובוס v-gel לכלב מידה D5</t>
        </is>
      </c>
      <c r="C268" t="inlineStr">
        <is>
          <t>טובוסים V-Gel</t>
        </is>
      </c>
      <c r="E268" t="inlineStr">
        <is>
          <t>2026-07</t>
        </is>
      </c>
      <c r="F268" t="n">
        <v>135</v>
      </c>
      <c r="G268" t="n">
        <v>159.3</v>
      </c>
      <c r="H268">
        <f>הגדרות!B2</f>
        <v/>
      </c>
      <c r="I268">
        <f>F268*(1-H268/100)*1.18</f>
        <v/>
      </c>
      <c r="J268">
        <f>הגדרות!C2</f>
        <v/>
      </c>
      <c r="K268">
        <f>הגדרות!D2</f>
        <v/>
      </c>
      <c r="L268">
        <f>I268*(1+J268/100)+K268</f>
        <v/>
      </c>
    </row>
    <row r="269">
      <c r="A269" t="inlineStr">
        <is>
          <t>בית ארז (מילטין)</t>
        </is>
      </c>
      <c r="B269" t="inlineStr">
        <is>
          <t>טובוס v-gel לכלב מידה D6</t>
        </is>
      </c>
      <c r="C269" t="inlineStr">
        <is>
          <t>טובוסים V-Gel</t>
        </is>
      </c>
      <c r="E269" t="inlineStr">
        <is>
          <t>2026-07</t>
        </is>
      </c>
      <c r="F269" t="n">
        <v>142</v>
      </c>
      <c r="G269" t="n">
        <v>167.56</v>
      </c>
      <c r="H269">
        <f>הגדרות!B2</f>
        <v/>
      </c>
      <c r="I269">
        <f>F269*(1-H269/100)*1.18</f>
        <v/>
      </c>
      <c r="J269">
        <f>הגדרות!C2</f>
        <v/>
      </c>
      <c r="K269">
        <f>הגדרות!D2</f>
        <v/>
      </c>
      <c r="L269">
        <f>I269*(1+J269/100)+K269</f>
        <v/>
      </c>
    </row>
    <row r="270">
      <c r="A270" t="inlineStr">
        <is>
          <t>בית ארז (מילטין)</t>
        </is>
      </c>
      <c r="B270" t="inlineStr">
        <is>
          <t>צינור קיבה Gastric Tube FR12</t>
        </is>
      </c>
      <c r="C270" t="inlineStr">
        <is>
          <t>טובוסים V-Gel</t>
        </is>
      </c>
      <c r="E270" t="inlineStr">
        <is>
          <t>2026-07</t>
        </is>
      </c>
      <c r="F270" t="n">
        <v>11</v>
      </c>
      <c r="G270" t="n">
        <v>12.98</v>
      </c>
      <c r="H270">
        <f>הגדרות!B2</f>
        <v/>
      </c>
      <c r="I270">
        <f>F270*(1-H270/100)*1.18</f>
        <v/>
      </c>
      <c r="J270">
        <f>הגדרות!C2</f>
        <v/>
      </c>
      <c r="K270">
        <f>הגדרות!D2</f>
        <v/>
      </c>
      <c r="L270">
        <f>I270*(1+J270/100)+K270</f>
        <v/>
      </c>
    </row>
    <row r="271">
      <c r="A271" t="inlineStr">
        <is>
          <t>בית ארז (מילטין)</t>
        </is>
      </c>
      <c r="B271" t="inlineStr">
        <is>
          <t>טובוס ET עם בלונית מידה 2.5</t>
        </is>
      </c>
      <c r="C271" t="inlineStr">
        <is>
          <t>טובוסים</t>
        </is>
      </c>
      <c r="E271" t="inlineStr">
        <is>
          <t>2026-07</t>
        </is>
      </c>
      <c r="F271" t="n">
        <v>6</v>
      </c>
      <c r="G271" t="n">
        <v>7.08</v>
      </c>
      <c r="H271">
        <f>הגדרות!B2</f>
        <v/>
      </c>
      <c r="I271">
        <f>F271*(1-H271/100)*1.18</f>
        <v/>
      </c>
      <c r="J271">
        <f>הגדרות!C2</f>
        <v/>
      </c>
      <c r="K271">
        <f>הגדרות!D2</f>
        <v/>
      </c>
      <c r="L271">
        <f>I271*(1+J271/100)+K271</f>
        <v/>
      </c>
    </row>
    <row r="272">
      <c r="A272" t="inlineStr">
        <is>
          <t>בית ארז (מילטין)</t>
        </is>
      </c>
      <c r="B272" t="inlineStr">
        <is>
          <t>טובוס ET עם בלונית מידה 3</t>
        </is>
      </c>
      <c r="C272" t="inlineStr">
        <is>
          <t>טובוסים</t>
        </is>
      </c>
      <c r="E272" t="inlineStr">
        <is>
          <t>2026-07</t>
        </is>
      </c>
      <c r="F272" t="n">
        <v>6</v>
      </c>
      <c r="G272" t="n">
        <v>7.08</v>
      </c>
      <c r="H272">
        <f>הגדרות!B2</f>
        <v/>
      </c>
      <c r="I272">
        <f>F272*(1-H272/100)*1.18</f>
        <v/>
      </c>
      <c r="J272">
        <f>הגדרות!C2</f>
        <v/>
      </c>
      <c r="K272">
        <f>הגדרות!D2</f>
        <v/>
      </c>
      <c r="L272">
        <f>I272*(1+J272/100)+K272</f>
        <v/>
      </c>
    </row>
    <row r="273">
      <c r="A273" t="inlineStr">
        <is>
          <t>בית ארז (מילטין)</t>
        </is>
      </c>
      <c r="B273" t="inlineStr">
        <is>
          <t>טובוס ET עם בלונית מידה 3.5</t>
        </is>
      </c>
      <c r="C273" t="inlineStr">
        <is>
          <t>טובוסים</t>
        </is>
      </c>
      <c r="E273" t="inlineStr">
        <is>
          <t>2026-07</t>
        </is>
      </c>
      <c r="F273" t="n">
        <v>6</v>
      </c>
      <c r="G273" t="n">
        <v>7.08</v>
      </c>
      <c r="H273">
        <f>הגדרות!B2</f>
        <v/>
      </c>
      <c r="I273">
        <f>F273*(1-H273/100)*1.18</f>
        <v/>
      </c>
      <c r="J273">
        <f>הגדרות!C2</f>
        <v/>
      </c>
      <c r="K273">
        <f>הגדרות!D2</f>
        <v/>
      </c>
      <c r="L273">
        <f>I273*(1+J273/100)+K273</f>
        <v/>
      </c>
    </row>
    <row r="274">
      <c r="A274" t="inlineStr">
        <is>
          <t>בית ארז (מילטין)</t>
        </is>
      </c>
      <c r="B274" t="inlineStr">
        <is>
          <t>טובוס ET עם בלונית מידה 4</t>
        </is>
      </c>
      <c r="C274" t="inlineStr">
        <is>
          <t>טובוסים</t>
        </is>
      </c>
      <c r="E274" t="inlineStr">
        <is>
          <t>2026-07</t>
        </is>
      </c>
      <c r="F274" t="n">
        <v>6</v>
      </c>
      <c r="G274" t="n">
        <v>7.08</v>
      </c>
      <c r="H274">
        <f>הגדרות!B2</f>
        <v/>
      </c>
      <c r="I274">
        <f>F274*(1-H274/100)*1.18</f>
        <v/>
      </c>
      <c r="J274">
        <f>הגדרות!C2</f>
        <v/>
      </c>
      <c r="K274">
        <f>הגדרות!D2</f>
        <v/>
      </c>
      <c r="L274">
        <f>I274*(1+J274/100)+K274</f>
        <v/>
      </c>
    </row>
    <row r="275">
      <c r="A275" t="inlineStr">
        <is>
          <t>בית ארז (מילטין)</t>
        </is>
      </c>
      <c r="B275" t="inlineStr">
        <is>
          <t>טובוס ET עם בלונית מידה 4.5</t>
        </is>
      </c>
      <c r="C275" t="inlineStr">
        <is>
          <t>טובוסים</t>
        </is>
      </c>
      <c r="E275" t="inlineStr">
        <is>
          <t>2026-07</t>
        </is>
      </c>
      <c r="F275" t="n">
        <v>6</v>
      </c>
      <c r="G275" t="n">
        <v>7.08</v>
      </c>
      <c r="H275">
        <f>הגדרות!B2</f>
        <v/>
      </c>
      <c r="I275">
        <f>F275*(1-H275/100)*1.18</f>
        <v/>
      </c>
      <c r="J275">
        <f>הגדרות!C2</f>
        <v/>
      </c>
      <c r="K275">
        <f>הגדרות!D2</f>
        <v/>
      </c>
      <c r="L275">
        <f>I275*(1+J275/100)+K275</f>
        <v/>
      </c>
    </row>
    <row r="276">
      <c r="A276" t="inlineStr">
        <is>
          <t>בית ארז (מילטין)</t>
        </is>
      </c>
      <c r="B276" t="inlineStr">
        <is>
          <t>טובוס ET עם בלונית מידה 5</t>
        </is>
      </c>
      <c r="C276" t="inlineStr">
        <is>
          <t>טובוסים</t>
        </is>
      </c>
      <c r="E276" t="inlineStr">
        <is>
          <t>2026-07</t>
        </is>
      </c>
      <c r="F276" t="n">
        <v>6</v>
      </c>
      <c r="G276" t="n">
        <v>7.08</v>
      </c>
      <c r="H276">
        <f>הגדרות!B2</f>
        <v/>
      </c>
      <c r="I276">
        <f>F276*(1-H276/100)*1.18</f>
        <v/>
      </c>
      <c r="J276">
        <f>הגדרות!C2</f>
        <v/>
      </c>
      <c r="K276">
        <f>הגדרות!D2</f>
        <v/>
      </c>
      <c r="L276">
        <f>I276*(1+J276/100)+K276</f>
        <v/>
      </c>
    </row>
    <row r="277">
      <c r="A277" t="inlineStr">
        <is>
          <t>בית ארז (מילטין)</t>
        </is>
      </c>
      <c r="B277" t="inlineStr">
        <is>
          <t>טובוס ET עם בלונית מידה 5.5</t>
        </is>
      </c>
      <c r="C277" t="inlineStr">
        <is>
          <t>טובוסים</t>
        </is>
      </c>
      <c r="E277" t="inlineStr">
        <is>
          <t>2026-07</t>
        </is>
      </c>
      <c r="F277" t="n">
        <v>6</v>
      </c>
      <c r="G277" t="n">
        <v>7.08</v>
      </c>
      <c r="H277">
        <f>הגדרות!B2</f>
        <v/>
      </c>
      <c r="I277">
        <f>F277*(1-H277/100)*1.18</f>
        <v/>
      </c>
      <c r="J277">
        <f>הגדרות!C2</f>
        <v/>
      </c>
      <c r="K277">
        <f>הגדרות!D2</f>
        <v/>
      </c>
      <c r="L277">
        <f>I277*(1+J277/100)+K277</f>
        <v/>
      </c>
    </row>
    <row r="278">
      <c r="A278" t="inlineStr">
        <is>
          <t>בית ארז (מילטין)</t>
        </is>
      </c>
      <c r="B278" t="inlineStr">
        <is>
          <t>טובוס ET עם בלונית מידה 6</t>
        </is>
      </c>
      <c r="C278" t="inlineStr">
        <is>
          <t>טובוסים</t>
        </is>
      </c>
      <c r="E278" t="inlineStr">
        <is>
          <t>2026-07</t>
        </is>
      </c>
      <c r="F278" t="n">
        <v>6</v>
      </c>
      <c r="G278" t="n">
        <v>7.08</v>
      </c>
      <c r="H278">
        <f>הגדרות!B2</f>
        <v/>
      </c>
      <c r="I278">
        <f>F278*(1-H278/100)*1.18</f>
        <v/>
      </c>
      <c r="J278">
        <f>הגדרות!C2</f>
        <v/>
      </c>
      <c r="K278">
        <f>הגדרות!D2</f>
        <v/>
      </c>
      <c r="L278">
        <f>I278*(1+J278/100)+K278</f>
        <v/>
      </c>
    </row>
    <row r="279">
      <c r="A279" t="inlineStr">
        <is>
          <t>בית ארז (מילטין)</t>
        </is>
      </c>
      <c r="B279" t="inlineStr">
        <is>
          <t>טובוס ET עם בלונית מידה 6.5</t>
        </is>
      </c>
      <c r="C279" t="inlineStr">
        <is>
          <t>טובוסים</t>
        </is>
      </c>
      <c r="E279" t="inlineStr">
        <is>
          <t>2026-07</t>
        </is>
      </c>
      <c r="F279" t="n">
        <v>6</v>
      </c>
      <c r="G279" t="n">
        <v>7.08</v>
      </c>
      <c r="H279">
        <f>הגדרות!B2</f>
        <v/>
      </c>
      <c r="I279">
        <f>F279*(1-H279/100)*1.18</f>
        <v/>
      </c>
      <c r="J279">
        <f>הגדרות!C2</f>
        <v/>
      </c>
      <c r="K279">
        <f>הגדרות!D2</f>
        <v/>
      </c>
      <c r="L279">
        <f>I279*(1+J279/100)+K279</f>
        <v/>
      </c>
    </row>
    <row r="280">
      <c r="A280" t="inlineStr">
        <is>
          <t>בית ארז (מילטין)</t>
        </is>
      </c>
      <c r="B280" t="inlineStr">
        <is>
          <t>טובוס ET עם בלונית מידה 7</t>
        </is>
      </c>
      <c r="C280" t="inlineStr">
        <is>
          <t>טובוסים</t>
        </is>
      </c>
      <c r="E280" t="inlineStr">
        <is>
          <t>2026-07</t>
        </is>
      </c>
      <c r="F280" t="n">
        <v>6</v>
      </c>
      <c r="G280" t="n">
        <v>7.08</v>
      </c>
      <c r="H280">
        <f>הגדרות!B2</f>
        <v/>
      </c>
      <c r="I280">
        <f>F280*(1-H280/100)*1.18</f>
        <v/>
      </c>
      <c r="J280">
        <f>הגדרות!C2</f>
        <v/>
      </c>
      <c r="K280">
        <f>הגדרות!D2</f>
        <v/>
      </c>
      <c r="L280">
        <f>I280*(1+J280/100)+K280</f>
        <v/>
      </c>
    </row>
    <row r="281">
      <c r="A281" t="inlineStr">
        <is>
          <t>בית ארז (מילטין)</t>
        </is>
      </c>
      <c r="B281" t="inlineStr">
        <is>
          <t>טובוס ET עם בלונית מידה 7.5</t>
        </is>
      </c>
      <c r="C281" t="inlineStr">
        <is>
          <t>טובוסים</t>
        </is>
      </c>
      <c r="E281" t="inlineStr">
        <is>
          <t>2026-07</t>
        </is>
      </c>
      <c r="F281" t="n">
        <v>6</v>
      </c>
      <c r="G281" t="n">
        <v>7.08</v>
      </c>
      <c r="H281">
        <f>הגדרות!B2</f>
        <v/>
      </c>
      <c r="I281">
        <f>F281*(1-H281/100)*1.18</f>
        <v/>
      </c>
      <c r="J281">
        <f>הגדרות!C2</f>
        <v/>
      </c>
      <c r="K281">
        <f>הגדרות!D2</f>
        <v/>
      </c>
      <c r="L281">
        <f>I281*(1+J281/100)+K281</f>
        <v/>
      </c>
    </row>
    <row r="282">
      <c r="A282" t="inlineStr">
        <is>
          <t>בית ארז (מילטין)</t>
        </is>
      </c>
      <c r="B282" t="inlineStr">
        <is>
          <t>טובוס ET עם בלונית מידה 8</t>
        </is>
      </c>
      <c r="C282" t="inlineStr">
        <is>
          <t>טובוסים</t>
        </is>
      </c>
      <c r="E282" t="inlineStr">
        <is>
          <t>2026-07</t>
        </is>
      </c>
      <c r="F282" t="n">
        <v>6</v>
      </c>
      <c r="G282" t="n">
        <v>7.08</v>
      </c>
      <c r="H282">
        <f>הגדרות!B2</f>
        <v/>
      </c>
      <c r="I282">
        <f>F282*(1-H282/100)*1.18</f>
        <v/>
      </c>
      <c r="J282">
        <f>הגדרות!C2</f>
        <v/>
      </c>
      <c r="K282">
        <f>הגדרות!D2</f>
        <v/>
      </c>
      <c r="L282">
        <f>I282*(1+J282/100)+K282</f>
        <v/>
      </c>
    </row>
    <row r="283">
      <c r="A283" t="inlineStr">
        <is>
          <t>בית ארז (מילטין)</t>
        </is>
      </c>
      <c r="B283" t="inlineStr">
        <is>
          <t>טובוס ET עם בלונית מידה 8.5</t>
        </is>
      </c>
      <c r="C283" t="inlineStr">
        <is>
          <t>טובוסים</t>
        </is>
      </c>
      <c r="E283" t="inlineStr">
        <is>
          <t>2026-07</t>
        </is>
      </c>
      <c r="F283" t="n">
        <v>6</v>
      </c>
      <c r="G283" t="n">
        <v>7.08</v>
      </c>
      <c r="H283">
        <f>הגדרות!B2</f>
        <v/>
      </c>
      <c r="I283">
        <f>F283*(1-H283/100)*1.18</f>
        <v/>
      </c>
      <c r="J283">
        <f>הגדרות!C2</f>
        <v/>
      </c>
      <c r="K283">
        <f>הגדרות!D2</f>
        <v/>
      </c>
      <c r="L283">
        <f>I283*(1+J283/100)+K283</f>
        <v/>
      </c>
    </row>
    <row r="284">
      <c r="A284" t="inlineStr">
        <is>
          <t>בית ארז (מילטין)</t>
        </is>
      </c>
      <c r="B284" t="inlineStr">
        <is>
          <t>טובוס ET עם בלונית מידה 9</t>
        </is>
      </c>
      <c r="C284" t="inlineStr">
        <is>
          <t>טובוסים</t>
        </is>
      </c>
      <c r="E284" t="inlineStr">
        <is>
          <t>2026-07</t>
        </is>
      </c>
      <c r="F284" t="n">
        <v>6</v>
      </c>
      <c r="G284" t="n">
        <v>7.08</v>
      </c>
      <c r="H284">
        <f>הגדרות!B2</f>
        <v/>
      </c>
      <c r="I284">
        <f>F284*(1-H284/100)*1.18</f>
        <v/>
      </c>
      <c r="J284">
        <f>הגדרות!C2</f>
        <v/>
      </c>
      <c r="K284">
        <f>הגדרות!D2</f>
        <v/>
      </c>
      <c r="L284">
        <f>I284*(1+J284/100)+K284</f>
        <v/>
      </c>
    </row>
    <row r="285">
      <c r="A285" t="inlineStr">
        <is>
          <t>בית ארז (מילטין)</t>
        </is>
      </c>
      <c r="B285" t="inlineStr">
        <is>
          <t>טובוס ET עם בלונית מידה 9.5</t>
        </is>
      </c>
      <c r="C285" t="inlineStr">
        <is>
          <t>טובוסים</t>
        </is>
      </c>
      <c r="E285" t="inlineStr">
        <is>
          <t>2026-07</t>
        </is>
      </c>
      <c r="F285" t="n">
        <v>6</v>
      </c>
      <c r="G285" t="n">
        <v>7.08</v>
      </c>
      <c r="H285">
        <f>הגדרות!B2</f>
        <v/>
      </c>
      <c r="I285">
        <f>F285*(1-H285/100)*1.18</f>
        <v/>
      </c>
      <c r="J285">
        <f>הגדרות!C2</f>
        <v/>
      </c>
      <c r="K285">
        <f>הגדרות!D2</f>
        <v/>
      </c>
      <c r="L285">
        <f>I285*(1+J285/100)+K285</f>
        <v/>
      </c>
    </row>
    <row r="286">
      <c r="A286" t="inlineStr">
        <is>
          <t>בית ארז (מילטין)</t>
        </is>
      </c>
      <c r="B286" t="inlineStr">
        <is>
          <t>תחבושת נצמדת צבעונית 5 ס"מ 36 - יח'</t>
        </is>
      </c>
      <c r="C286" t="inlineStr">
        <is>
          <t>חבישה</t>
        </is>
      </c>
      <c r="E286" t="inlineStr">
        <is>
          <t>2026-07</t>
        </is>
      </c>
      <c r="F286" t="n">
        <v>190</v>
      </c>
      <c r="G286" t="n">
        <v>224.2</v>
      </c>
      <c r="H286">
        <f>הגדרות!B2</f>
        <v/>
      </c>
      <c r="I286">
        <f>F286*(1-H286/100)*1.18</f>
        <v/>
      </c>
      <c r="J286">
        <f>הגדרות!C2</f>
        <v/>
      </c>
      <c r="K286">
        <f>הגדרות!D2</f>
        <v/>
      </c>
      <c r="L286">
        <f>I286*(1+J286/100)+K286</f>
        <v/>
      </c>
    </row>
    <row r="287">
      <c r="A287" t="inlineStr">
        <is>
          <t>בית ארז (מילטין)</t>
        </is>
      </c>
      <c r="B287" t="inlineStr">
        <is>
          <t>תחבושת נצמדת צבעונית 7.5 ס"מ 24 - יח'</t>
        </is>
      </c>
      <c r="C287" t="inlineStr">
        <is>
          <t>חבישה</t>
        </is>
      </c>
      <c r="E287" t="inlineStr">
        <is>
          <t>2026-07</t>
        </is>
      </c>
      <c r="F287" t="n">
        <v>160</v>
      </c>
      <c r="G287" t="n">
        <v>188.8</v>
      </c>
      <c r="H287">
        <f>הגדרות!B2</f>
        <v/>
      </c>
      <c r="I287">
        <f>F287*(1-H287/100)*1.18</f>
        <v/>
      </c>
      <c r="J287">
        <f>הגדרות!C2</f>
        <v/>
      </c>
      <c r="K287">
        <f>הגדרות!D2</f>
        <v/>
      </c>
      <c r="L287">
        <f>I287*(1+J287/100)+K287</f>
        <v/>
      </c>
    </row>
    <row r="288">
      <c r="A288" t="inlineStr">
        <is>
          <t>בית ארז (מילטין)</t>
        </is>
      </c>
      <c r="B288" t="inlineStr">
        <is>
          <t>תחבושת נצמדת צבעונית 10 ס"מ 18 - יח'</t>
        </is>
      </c>
      <c r="C288" t="inlineStr">
        <is>
          <t>חבישה</t>
        </is>
      </c>
      <c r="E288" t="inlineStr">
        <is>
          <t>2026-07</t>
        </is>
      </c>
      <c r="F288" t="n">
        <v>150</v>
      </c>
      <c r="G288" t="n">
        <v>177</v>
      </c>
      <c r="H288">
        <f>הגדרות!B2</f>
        <v/>
      </c>
      <c r="I288">
        <f>F288*(1-H288/100)*1.18</f>
        <v/>
      </c>
      <c r="J288">
        <f>הגדרות!C2</f>
        <v/>
      </c>
      <c r="K288">
        <f>הגדרות!D2</f>
        <v/>
      </c>
      <c r="L288">
        <f>I288*(1+J288/100)+K288</f>
        <v/>
      </c>
    </row>
    <row r="289">
      <c r="A289" t="inlineStr">
        <is>
          <t>בית ארז (מילטין)</t>
        </is>
      </c>
      <c r="B289" t="inlineStr">
        <is>
          <t>תחבושת נצמדת צבעונית הדפס 10 ס"מ 18 - יח'</t>
        </is>
      </c>
      <c r="C289" t="inlineStr">
        <is>
          <t>חבישה</t>
        </is>
      </c>
      <c r="E289" t="inlineStr">
        <is>
          <t>2026-07</t>
        </is>
      </c>
      <c r="F289" t="n">
        <v>155</v>
      </c>
      <c r="G289" t="n">
        <v>182.9</v>
      </c>
      <c r="H289">
        <f>הגדרות!B2</f>
        <v/>
      </c>
      <c r="I289">
        <f>F289*(1-H289/100)*1.18</f>
        <v/>
      </c>
      <c r="J289">
        <f>הגדרות!C2</f>
        <v/>
      </c>
      <c r="K289">
        <f>הגדרות!D2</f>
        <v/>
      </c>
      <c r="L289">
        <f>I289*(1+J289/100)+K289</f>
        <v/>
      </c>
    </row>
    <row r="290">
      <c r="A290" t="inlineStr">
        <is>
          <t>בית ארז (מילטין)</t>
        </is>
      </c>
      <c r="B290" t="inlineStr">
        <is>
          <t>תחבושת נצמדת צבעונית טעם מר 10 ס"מ 18 - יח'</t>
        </is>
      </c>
      <c r="C290" t="inlineStr">
        <is>
          <t>חבישה</t>
        </is>
      </c>
      <c r="E290" t="inlineStr">
        <is>
          <t>2026-07</t>
        </is>
      </c>
      <c r="F290" t="n">
        <v>215</v>
      </c>
      <c r="G290" t="n">
        <v>253.7</v>
      </c>
      <c r="H290">
        <f>הגדרות!B2</f>
        <v/>
      </c>
      <c r="I290">
        <f>F290*(1-H290/100)*1.18</f>
        <v/>
      </c>
      <c r="J290">
        <f>הגדרות!C2</f>
        <v/>
      </c>
      <c r="K290">
        <f>הגדרות!D2</f>
        <v/>
      </c>
      <c r="L290">
        <f>I290*(1+J290/100)+K290</f>
        <v/>
      </c>
    </row>
    <row r="291">
      <c r="A291" t="inlineStr">
        <is>
          <t>בית ארז (מילטין)</t>
        </is>
      </c>
      <c r="B291" t="inlineStr">
        <is>
          <t>תחבושת נצמדת צבעונית טעם מר 7.5 ס"מ 24 - יח'</t>
        </is>
      </c>
      <c r="C291" t="inlineStr">
        <is>
          <t>חבישה</t>
        </is>
      </c>
      <c r="E291" t="inlineStr">
        <is>
          <t>2026-07</t>
        </is>
      </c>
      <c r="F291" t="n">
        <v>215</v>
      </c>
      <c r="G291" t="n">
        <v>253.7</v>
      </c>
      <c r="H291">
        <f>הגדרות!B2</f>
        <v/>
      </c>
      <c r="I291">
        <f>F291*(1-H291/100)*1.18</f>
        <v/>
      </c>
      <c r="J291">
        <f>הגדרות!C2</f>
        <v/>
      </c>
      <c r="K291">
        <f>הגדרות!D2</f>
        <v/>
      </c>
      <c r="L291">
        <f>I291*(1+J291/100)+K291</f>
        <v/>
      </c>
    </row>
    <row r="292">
      <c r="A292" t="inlineStr">
        <is>
          <t>בית ארז (מילטין)</t>
        </is>
      </c>
      <c r="B292" t="inlineStr">
        <is>
          <t>תחבושת אלסטית 10 ס"מ 4.5 * מ' 12 - יח'</t>
        </is>
      </c>
      <c r="C292" t="inlineStr">
        <is>
          <t>חבישה</t>
        </is>
      </c>
      <c r="E292" t="inlineStr">
        <is>
          <t>2026-07</t>
        </is>
      </c>
      <c r="F292" t="n">
        <v>28</v>
      </c>
      <c r="G292" t="n">
        <v>33.04</v>
      </c>
      <c r="H292">
        <f>הגדרות!B2</f>
        <v/>
      </c>
      <c r="I292">
        <f>F292*(1-H292/100)*1.18</f>
        <v/>
      </c>
      <c r="J292">
        <f>הגדרות!C2</f>
        <v/>
      </c>
      <c r="K292">
        <f>הגדרות!D2</f>
        <v/>
      </c>
      <c r="L292">
        <f>I292*(1+J292/100)+K292</f>
        <v/>
      </c>
    </row>
    <row r="293">
      <c r="A293" t="inlineStr">
        <is>
          <t>בית ארז (מילטין)</t>
        </is>
      </c>
      <c r="B293" t="inlineStr">
        <is>
          <t>תחבושת אלסטית 15 ס"מ 4.5 * מ' 12 - יח'</t>
        </is>
      </c>
      <c r="C293" t="inlineStr">
        <is>
          <t>חבישה</t>
        </is>
      </c>
      <c r="E293" t="inlineStr">
        <is>
          <t>2026-07</t>
        </is>
      </c>
      <c r="F293" t="n">
        <v>43</v>
      </c>
      <c r="G293" t="n">
        <v>50.74</v>
      </c>
      <c r="H293">
        <f>הגדרות!B2</f>
        <v/>
      </c>
      <c r="I293">
        <f>F293*(1-H293/100)*1.18</f>
        <v/>
      </c>
      <c r="J293">
        <f>הגדרות!C2</f>
        <v/>
      </c>
      <c r="K293">
        <f>הגדרות!D2</f>
        <v/>
      </c>
      <c r="L293">
        <f>I293*(1+J293/100)+K293</f>
        <v/>
      </c>
    </row>
    <row r="294">
      <c r="A294" t="inlineStr">
        <is>
          <t>בית ארז (מילטין)</t>
        </is>
      </c>
      <c r="B294" t="inlineStr">
        <is>
          <t>אגד מתמתח (חצי אלסטי) 10 ס"מ 2.7 * מ' 5 - יח'</t>
        </is>
      </c>
      <c r="C294" t="inlineStr">
        <is>
          <t>חבישה</t>
        </is>
      </c>
      <c r="E294" t="inlineStr">
        <is>
          <t>2026-07</t>
        </is>
      </c>
      <c r="F294" t="n">
        <v>3</v>
      </c>
      <c r="G294" t="n">
        <v>3.54</v>
      </c>
      <c r="H294">
        <f>הגדרות!B2</f>
        <v/>
      </c>
      <c r="I294">
        <f>F294*(1-H294/100)*1.18</f>
        <v/>
      </c>
      <c r="J294">
        <f>הגדרות!C2</f>
        <v/>
      </c>
      <c r="K294">
        <f>הגדרות!D2</f>
        <v/>
      </c>
      <c r="L294">
        <f>I294*(1+J294/100)+K294</f>
        <v/>
      </c>
    </row>
    <row r="295">
      <c r="A295" t="inlineStr">
        <is>
          <t>בית ארז (מילטין)</t>
        </is>
      </c>
      <c r="B295" t="inlineStr">
        <is>
          <t>ספריי מסיר דבק 50 מל' Eaze-Off spray</t>
        </is>
      </c>
      <c r="C295" t="inlineStr">
        <is>
          <t>חבישה</t>
        </is>
      </c>
      <c r="E295" t="inlineStr">
        <is>
          <t>2026-07</t>
        </is>
      </c>
      <c r="F295" t="n">
        <v>59</v>
      </c>
      <c r="G295" t="n">
        <v>69.62</v>
      </c>
      <c r="H295">
        <f>הגדרות!B2</f>
        <v/>
      </c>
      <c r="I295">
        <f>F295*(1-H295/100)*1.18</f>
        <v/>
      </c>
      <c r="J295">
        <f>הגדרות!C2</f>
        <v/>
      </c>
      <c r="K295">
        <f>הגדרות!D2</f>
        <v/>
      </c>
      <c r="L295">
        <f>I295*(1+J295/100)+K295</f>
        <v/>
      </c>
    </row>
    <row r="296">
      <c r="A296" t="inlineStr">
        <is>
          <t>בית ארז (מילטין)</t>
        </is>
      </c>
      <c r="B296" t="inlineStr">
        <is>
          <t>דבק ביולוגי 2.5 ג' LUXBOND ו- 6 אפליקטורים</t>
        </is>
      </c>
      <c r="C296" t="inlineStr">
        <is>
          <t>חבישה</t>
        </is>
      </c>
      <c r="E296" t="inlineStr">
        <is>
          <t>2026-07</t>
        </is>
      </c>
      <c r="F296" t="n">
        <v>80</v>
      </c>
      <c r="G296" t="n">
        <v>94.40000000000001</v>
      </c>
      <c r="H296">
        <f>הגדרות!B2</f>
        <v/>
      </c>
      <c r="I296">
        <f>F296*(1-H296/100)*1.18</f>
        <v/>
      </c>
      <c r="J296">
        <f>הגדרות!C2</f>
        <v/>
      </c>
      <c r="K296">
        <f>הגדרות!D2</f>
        <v/>
      </c>
      <c r="L296">
        <f>I296*(1+J296/100)+K296</f>
        <v/>
      </c>
    </row>
    <row r="297">
      <c r="A297" t="inlineStr">
        <is>
          <t>בית ארז (מילטין)</t>
        </is>
      </c>
      <c r="B297" t="inlineStr">
        <is>
          <t>LUXBOND -אפליקטורים ל 6</t>
        </is>
      </c>
      <c r="C297" t="inlineStr">
        <is>
          <t>חבישה</t>
        </is>
      </c>
      <c r="E297" t="inlineStr">
        <is>
          <t>2026-07</t>
        </is>
      </c>
      <c r="F297" t="n">
        <v>9</v>
      </c>
      <c r="G297" t="n">
        <v>10.62</v>
      </c>
      <c r="H297">
        <f>הגדרות!B2</f>
        <v/>
      </c>
      <c r="I297">
        <f>F297*(1-H297/100)*1.18</f>
        <v/>
      </c>
      <c r="J297">
        <f>הגדרות!C2</f>
        <v/>
      </c>
      <c r="K297">
        <f>הגדרות!D2</f>
        <v/>
      </c>
      <c r="L297">
        <f>I297*(1+J297/100)+K297</f>
        <v/>
      </c>
    </row>
    <row r="298">
      <c r="A298" t="inlineStr">
        <is>
          <t>בית ארז (מילטין)</t>
        </is>
      </c>
      <c r="B298" t="inlineStr">
        <is>
          <t>אקדח סיכות סטרילי 35) סיכות)</t>
        </is>
      </c>
      <c r="C298" t="inlineStr">
        <is>
          <t>חבישה</t>
        </is>
      </c>
      <c r="E298" t="inlineStr">
        <is>
          <t>2026-07</t>
        </is>
      </c>
      <c r="F298" t="n">
        <v>29</v>
      </c>
      <c r="G298" t="n">
        <v>34.22</v>
      </c>
      <c r="H298">
        <f>הגדרות!B2</f>
        <v/>
      </c>
      <c r="I298">
        <f>F298*(1-H298/100)*1.18</f>
        <v/>
      </c>
      <c r="J298">
        <f>הגדרות!C2</f>
        <v/>
      </c>
      <c r="K298">
        <f>הגדרות!D2</f>
        <v/>
      </c>
      <c r="L298">
        <f>I298*(1+J298/100)+K298</f>
        <v/>
      </c>
    </row>
    <row r="299">
      <c r="A299" t="inlineStr">
        <is>
          <t>בית ארז (מילטין)</t>
        </is>
      </c>
      <c r="B299" t="inlineStr">
        <is>
          <t>כלי להסרת סיכות</t>
        </is>
      </c>
      <c r="C299" t="inlineStr">
        <is>
          <t>חבישה</t>
        </is>
      </c>
      <c r="E299" t="inlineStr">
        <is>
          <t>2026-07</t>
        </is>
      </c>
      <c r="F299" t="n">
        <v>14</v>
      </c>
      <c r="G299" t="n">
        <v>16.52</v>
      </c>
      <c r="H299">
        <f>הגדרות!B2</f>
        <v/>
      </c>
      <c r="I299">
        <f>F299*(1-H299/100)*1.18</f>
        <v/>
      </c>
      <c r="J299">
        <f>הגדרות!C2</f>
        <v/>
      </c>
      <c r="K299">
        <f>הגדרות!D2</f>
        <v/>
      </c>
      <c r="L299">
        <f>I299*(1+J299/100)+K299</f>
        <v/>
      </c>
    </row>
    <row r="300">
      <c r="A300" t="inlineStr">
        <is>
          <t>בית ארז (מילטין)</t>
        </is>
      </c>
      <c r="B300" t="inlineStr">
        <is>
          <t>קולר אליזבת קלאסי 7.5 ס"מ - סט 10 יח'</t>
        </is>
      </c>
      <c r="C300" t="inlineStr">
        <is>
          <t>קולרים</t>
        </is>
      </c>
      <c r="E300" t="inlineStr">
        <is>
          <t>2026-07</t>
        </is>
      </c>
      <c r="F300" t="n">
        <v>55</v>
      </c>
      <c r="G300" t="n">
        <v>64.90000000000001</v>
      </c>
      <c r="H300">
        <f>הגדרות!B2</f>
        <v/>
      </c>
      <c r="I300">
        <f>F300*(1-H300/100)*1.18</f>
        <v/>
      </c>
      <c r="J300">
        <f>הגדרות!C2</f>
        <v/>
      </c>
      <c r="K300">
        <f>הגדרות!D2</f>
        <v/>
      </c>
      <c r="L300">
        <f>I300*(1+J300/100)+K300</f>
        <v/>
      </c>
    </row>
    <row r="301">
      <c r="A301" t="inlineStr">
        <is>
          <t>בית ארז (מילטין)</t>
        </is>
      </c>
      <c r="B301" t="inlineStr">
        <is>
          <t>קולר אליזבת קלאסי 10 ס"מ - סט 10 יח'</t>
        </is>
      </c>
      <c r="C301" t="inlineStr">
        <is>
          <t>קולרים</t>
        </is>
      </c>
      <c r="E301" t="inlineStr">
        <is>
          <t>2026-07</t>
        </is>
      </c>
      <c r="F301" t="n">
        <v>65</v>
      </c>
      <c r="G301" t="n">
        <v>76.7</v>
      </c>
      <c r="H301">
        <f>הגדרות!B2</f>
        <v/>
      </c>
      <c r="I301">
        <f>F301*(1-H301/100)*1.18</f>
        <v/>
      </c>
      <c r="J301">
        <f>הגדרות!C2</f>
        <v/>
      </c>
      <c r="K301">
        <f>הגדרות!D2</f>
        <v/>
      </c>
      <c r="L301">
        <f>I301*(1+J301/100)+K301</f>
        <v/>
      </c>
    </row>
    <row r="302">
      <c r="A302" t="inlineStr">
        <is>
          <t>בית ארז (מילטין)</t>
        </is>
      </c>
      <c r="B302" t="inlineStr">
        <is>
          <t>קולר אליזבת קלאסי 12.5 ס"מ - סט 10 יח'</t>
        </is>
      </c>
      <c r="C302" t="inlineStr">
        <is>
          <t>קולרים</t>
        </is>
      </c>
      <c r="E302" t="inlineStr">
        <is>
          <t>2026-07</t>
        </is>
      </c>
      <c r="F302" t="n">
        <v>80</v>
      </c>
      <c r="G302" t="n">
        <v>94.40000000000001</v>
      </c>
      <c r="H302">
        <f>הגדרות!B2</f>
        <v/>
      </c>
      <c r="I302">
        <f>F302*(1-H302/100)*1.18</f>
        <v/>
      </c>
      <c r="J302">
        <f>הגדרות!C2</f>
        <v/>
      </c>
      <c r="K302">
        <f>הגדרות!D2</f>
        <v/>
      </c>
      <c r="L302">
        <f>I302*(1+J302/100)+K302</f>
        <v/>
      </c>
    </row>
    <row r="303">
      <c r="A303" t="inlineStr">
        <is>
          <t>בית ארז (מילטין)</t>
        </is>
      </c>
      <c r="B303" t="inlineStr">
        <is>
          <t>קולר אליזבת קלאסי 15 ס"מ - סט 10 יח'</t>
        </is>
      </c>
      <c r="C303" t="inlineStr">
        <is>
          <t>קולרים</t>
        </is>
      </c>
      <c r="E303" t="inlineStr">
        <is>
          <t>2026-07</t>
        </is>
      </c>
      <c r="F303" t="n">
        <v>125</v>
      </c>
      <c r="G303" t="n">
        <v>147.5</v>
      </c>
      <c r="H303">
        <f>הגדרות!B2</f>
        <v/>
      </c>
      <c r="I303">
        <f>F303*(1-H303/100)*1.18</f>
        <v/>
      </c>
      <c r="J303">
        <f>הגדרות!C2</f>
        <v/>
      </c>
      <c r="K303">
        <f>הגדרות!D2</f>
        <v/>
      </c>
      <c r="L303">
        <f>I303*(1+J303/100)+K303</f>
        <v/>
      </c>
    </row>
    <row r="304">
      <c r="A304" t="inlineStr">
        <is>
          <t>בית ארז (מילטין)</t>
        </is>
      </c>
      <c r="B304" t="inlineStr">
        <is>
          <t>קולר אליזבת קלאסי 20 ס"מ - סט 10 יח'</t>
        </is>
      </c>
      <c r="C304" t="inlineStr">
        <is>
          <t>קולרים</t>
        </is>
      </c>
      <c r="E304" t="inlineStr">
        <is>
          <t>2026-07</t>
        </is>
      </c>
      <c r="F304" t="n">
        <v>155</v>
      </c>
      <c r="G304" t="n">
        <v>182.9</v>
      </c>
      <c r="H304">
        <f>הגדרות!B2</f>
        <v/>
      </c>
      <c r="I304">
        <f>F304*(1-H304/100)*1.18</f>
        <v/>
      </c>
      <c r="J304">
        <f>הגדרות!C2</f>
        <v/>
      </c>
      <c r="K304">
        <f>הגדרות!D2</f>
        <v/>
      </c>
      <c r="L304">
        <f>I304*(1+J304/100)+K304</f>
        <v/>
      </c>
    </row>
    <row r="305">
      <c r="A305" t="inlineStr">
        <is>
          <t>בית ארז (מילטין)</t>
        </is>
      </c>
      <c r="B305" t="inlineStr">
        <is>
          <t>קולר אליזבת קלאסי 25 ס"מ - סט 10 יח'</t>
        </is>
      </c>
      <c r="C305" t="inlineStr">
        <is>
          <t>קולרים</t>
        </is>
      </c>
      <c r="E305" t="inlineStr">
        <is>
          <t>2026-07</t>
        </is>
      </c>
      <c r="F305" t="n">
        <v>205</v>
      </c>
      <c r="G305" t="n">
        <v>241.9</v>
      </c>
      <c r="H305">
        <f>הגדרות!B2</f>
        <v/>
      </c>
      <c r="I305">
        <f>F305*(1-H305/100)*1.18</f>
        <v/>
      </c>
      <c r="J305">
        <f>הגדרות!C2</f>
        <v/>
      </c>
      <c r="K305">
        <f>הגדרות!D2</f>
        <v/>
      </c>
      <c r="L305">
        <f>I305*(1+J305/100)+K305</f>
        <v/>
      </c>
    </row>
    <row r="306">
      <c r="A306" t="inlineStr">
        <is>
          <t>בית ארז (מילטין)</t>
        </is>
      </c>
      <c r="B306" t="inlineStr">
        <is>
          <t>קולר אליזבת קלאסי 30 ס"מ - סט 10 יח'</t>
        </is>
      </c>
      <c r="C306" t="inlineStr">
        <is>
          <t>קולרים</t>
        </is>
      </c>
      <c r="E306" t="inlineStr">
        <is>
          <t>2026-07</t>
        </is>
      </c>
      <c r="F306" t="n">
        <v>260</v>
      </c>
      <c r="G306" t="n">
        <v>306.8</v>
      </c>
      <c r="H306">
        <f>הגדרות!B2</f>
        <v/>
      </c>
      <c r="I306">
        <f>F306*(1-H306/100)*1.18</f>
        <v/>
      </c>
      <c r="J306">
        <f>הגדרות!C2</f>
        <v/>
      </c>
      <c r="K306">
        <f>הגדרות!D2</f>
        <v/>
      </c>
      <c r="L306">
        <f>I306*(1+J306/100)+K306</f>
        <v/>
      </c>
    </row>
    <row r="307">
      <c r="A307" t="inlineStr">
        <is>
          <t>בית ארז (מילטין)</t>
        </is>
      </c>
      <c r="B307" t="inlineStr">
        <is>
          <t>קולר אליזבת קלאסי 35 ס"מ - סט 10 יח'</t>
        </is>
      </c>
      <c r="C307" t="inlineStr">
        <is>
          <t>קולרים</t>
        </is>
      </c>
      <c r="E307" t="inlineStr">
        <is>
          <t>2026-07</t>
        </is>
      </c>
      <c r="F307" t="n">
        <v>350</v>
      </c>
      <c r="G307" t="n">
        <v>413</v>
      </c>
      <c r="H307">
        <f>הגדרות!B2</f>
        <v/>
      </c>
      <c r="I307">
        <f>F307*(1-H307/100)*1.18</f>
        <v/>
      </c>
      <c r="J307">
        <f>הגדרות!C2</f>
        <v/>
      </c>
      <c r="K307">
        <f>הגדרות!D2</f>
        <v/>
      </c>
      <c r="L307">
        <f>I307*(1+J307/100)+K307</f>
        <v/>
      </c>
    </row>
    <row r="308">
      <c r="A308" t="inlineStr">
        <is>
          <t>בית ארז (מילטין)</t>
        </is>
      </c>
      <c r="B308" t="inlineStr">
        <is>
          <t>קולר אליזבת קלאסי 40 ס"מ - סט 10 יח'</t>
        </is>
      </c>
      <c r="C308" t="inlineStr">
        <is>
          <t>קולרים</t>
        </is>
      </c>
      <c r="E308" t="inlineStr">
        <is>
          <t>2026-07</t>
        </is>
      </c>
      <c r="F308" t="n">
        <v>420</v>
      </c>
      <c r="G308" t="n">
        <v>495.6</v>
      </c>
      <c r="H308">
        <f>הגדרות!B2</f>
        <v/>
      </c>
      <c r="I308">
        <f>F308*(1-H308/100)*1.18</f>
        <v/>
      </c>
      <c r="J308">
        <f>הגדרות!C2</f>
        <v/>
      </c>
      <c r="K308">
        <f>הגדרות!D2</f>
        <v/>
      </c>
      <c r="L308">
        <f>I308*(1+J308/100)+K308</f>
        <v/>
      </c>
    </row>
    <row r="309">
      <c r="A309" t="inlineStr">
        <is>
          <t>בית ארז (מילטין)</t>
        </is>
      </c>
      <c r="B309" t="inlineStr">
        <is>
          <t>ערכה לזיהוי סוג דם A+B חתול 1 - יח'</t>
        </is>
      </c>
      <c r="C309" t="inlineStr">
        <is>
          <t>בדיקות מעבדה - סיווג דם</t>
        </is>
      </c>
      <c r="E309" t="inlineStr">
        <is>
          <t>2026-07</t>
        </is>
      </c>
      <c r="F309" t="n">
        <v>95</v>
      </c>
      <c r="G309" t="n">
        <v>112.1</v>
      </c>
      <c r="H309">
        <f>הגדרות!B2</f>
        <v/>
      </c>
      <c r="I309">
        <f>F309*(1-H309/100)*1.18</f>
        <v/>
      </c>
      <c r="J309">
        <f>הגדרות!C2</f>
        <v/>
      </c>
      <c r="K309">
        <f>הגדרות!D2</f>
        <v/>
      </c>
      <c r="L309">
        <f>I309*(1+J309/100)+K309</f>
        <v/>
      </c>
    </row>
    <row r="310">
      <c r="A310" t="inlineStr">
        <is>
          <t>בית ארז (מילטין)</t>
        </is>
      </c>
      <c r="B310" t="inlineStr">
        <is>
          <t>ערכה לזיהוי סוג דם A+B חתול 20 - יח'</t>
        </is>
      </c>
      <c r="C310" t="inlineStr">
        <is>
          <t>בדיקות מעבדה - סיווג דם</t>
        </is>
      </c>
      <c r="E310" t="inlineStr">
        <is>
          <t>2026-07</t>
        </is>
      </c>
      <c r="F310" t="n">
        <v>1250</v>
      </c>
      <c r="G310" t="n">
        <v>1475</v>
      </c>
      <c r="H310">
        <f>הגדרות!B2</f>
        <v/>
      </c>
      <c r="I310">
        <f>F310*(1-H310/100)*1.18</f>
        <v/>
      </c>
      <c r="J310">
        <f>הגדרות!C2</f>
        <v/>
      </c>
      <c r="K310">
        <f>הגדרות!D2</f>
        <v/>
      </c>
      <c r="L310">
        <f>I310*(1+J310/100)+K310</f>
        <v/>
      </c>
    </row>
    <row r="311">
      <c r="A311" t="inlineStr">
        <is>
          <t>בית ארז (מילטין)</t>
        </is>
      </c>
      <c r="B311" t="inlineStr">
        <is>
          <t>ערכה לזיהוי סוג דם DEA1 כלב 20 - יח'</t>
        </is>
      </c>
      <c r="C311" t="inlineStr">
        <is>
          <t>בדיקות מעבדה - סיווג דם</t>
        </is>
      </c>
      <c r="E311" t="inlineStr">
        <is>
          <t>2026-07</t>
        </is>
      </c>
      <c r="F311" t="n">
        <v>1250</v>
      </c>
      <c r="G311" t="n">
        <v>1475</v>
      </c>
      <c r="H311">
        <f>הגדרות!B2</f>
        <v/>
      </c>
      <c r="I311">
        <f>F311*(1-H311/100)*1.18</f>
        <v/>
      </c>
      <c r="J311">
        <f>הגדרות!C2</f>
        <v/>
      </c>
      <c r="K311">
        <f>הגדרות!D2</f>
        <v/>
      </c>
      <c r="L311">
        <f>I311*(1+J311/100)+K311</f>
        <v/>
      </c>
    </row>
    <row r="312">
      <c r="A312" t="inlineStr">
        <is>
          <t>בית ארז (מילטין)</t>
        </is>
      </c>
      <c r="B312" t="inlineStr">
        <is>
          <t>ערכה ל- Cross Match כלב 5 - יח'</t>
        </is>
      </c>
      <c r="C312" t="inlineStr">
        <is>
          <t>בדיקות מעבדה - סיווג דם</t>
        </is>
      </c>
      <c r="E312" t="inlineStr">
        <is>
          <t>2026-07</t>
        </is>
      </c>
      <c r="F312" t="n">
        <v>530</v>
      </c>
      <c r="G312" t="n">
        <v>625.4</v>
      </c>
      <c r="H312">
        <f>הגדרות!B2</f>
        <v/>
      </c>
      <c r="I312">
        <f>F312*(1-H312/100)*1.18</f>
        <v/>
      </c>
      <c r="J312">
        <f>הגדרות!C2</f>
        <v/>
      </c>
      <c r="K312">
        <f>הגדרות!D2</f>
        <v/>
      </c>
      <c r="L312">
        <f>I312*(1+J312/100)+K312</f>
        <v/>
      </c>
    </row>
    <row r="313">
      <c r="A313" t="inlineStr">
        <is>
          <t>בית ארז (מילטין)</t>
        </is>
      </c>
      <c r="B313" t="inlineStr">
        <is>
          <t>ערכה ל- DAT כלב 10 - יח'</t>
        </is>
      </c>
      <c r="C313" t="inlineStr">
        <is>
          <t>בדיקות מעבדה - סיווג דם</t>
        </is>
      </c>
      <c r="E313" t="inlineStr">
        <is>
          <t>2026-07</t>
        </is>
      </c>
      <c r="F313" t="n">
        <v>750</v>
      </c>
      <c r="G313" t="n">
        <v>885</v>
      </c>
      <c r="H313">
        <f>הגדרות!B2</f>
        <v/>
      </c>
      <c r="I313">
        <f>F313*(1-H313/100)*1.18</f>
        <v/>
      </c>
      <c r="J313">
        <f>הגדרות!C2</f>
        <v/>
      </c>
      <c r="K313">
        <f>הגדרות!D2</f>
        <v/>
      </c>
      <c r="L313">
        <f>I313*(1+J313/100)+K313</f>
        <v/>
      </c>
    </row>
    <row r="314">
      <c r="A314" t="inlineStr">
        <is>
          <t>בית ארז (מילטין)</t>
        </is>
      </c>
      <c r="B314" t="inlineStr">
        <is>
          <t>שקית איסוף דם כפולה לחתול</t>
        </is>
      </c>
      <c r="C314" t="inlineStr">
        <is>
          <t>בדיקות מעבדה - סיווג דם</t>
        </is>
      </c>
      <c r="E314" t="inlineStr">
        <is>
          <t>2026-07</t>
        </is>
      </c>
      <c r="F314" t="n">
        <v>110</v>
      </c>
      <c r="G314" t="n">
        <v>129.8</v>
      </c>
      <c r="H314">
        <f>הגדרות!B2</f>
        <v/>
      </c>
      <c r="I314">
        <f>F314*(1-H314/100)*1.18</f>
        <v/>
      </c>
      <c r="J314">
        <f>הגדרות!C2</f>
        <v/>
      </c>
      <c r="K314">
        <f>הגדרות!D2</f>
        <v/>
      </c>
      <c r="L314">
        <f>I314*(1+J314/100)+K314</f>
        <v/>
      </c>
    </row>
    <row r="315">
      <c r="A315" t="inlineStr">
        <is>
          <t>בית ארז (מילטין)</t>
        </is>
      </c>
      <c r="B315" t="inlineStr">
        <is>
          <t>סט ריאגנטים VetPack למכשיר iVET-5</t>
        </is>
      </c>
      <c r="C315" t="inlineStr">
        <is>
          <t>מעבדה - ספירת דם</t>
        </is>
      </c>
      <c r="E315" t="inlineStr">
        <is>
          <t>2026-07</t>
        </is>
      </c>
      <c r="F315" t="n">
        <v>2000</v>
      </c>
      <c r="G315" t="n">
        <v>2360</v>
      </c>
      <c r="H315">
        <f>הגדרות!B2</f>
        <v/>
      </c>
      <c r="I315">
        <f>F315*(1-H315/100)*1.18</f>
        <v/>
      </c>
      <c r="J315">
        <f>הגדרות!C2</f>
        <v/>
      </c>
      <c r="K315">
        <f>הגדרות!D2</f>
        <v/>
      </c>
      <c r="L315">
        <f>I315*(1+J315/100)+K315</f>
        <v/>
      </c>
    </row>
    <row r="316">
      <c r="A316" t="inlineStr">
        <is>
          <t>בית ארז (מילטין)</t>
        </is>
      </c>
      <c r="B316" t="inlineStr">
        <is>
          <t>סט ריאגנטים 50 - בדיקות למכשיר VET POCT</t>
        </is>
      </c>
      <c r="C316" t="inlineStr">
        <is>
          <t>מעבדה - ספירת דם</t>
        </is>
      </c>
      <c r="E316" t="inlineStr">
        <is>
          <t>2026-07</t>
        </is>
      </c>
      <c r="F316" t="n">
        <v>1667</v>
      </c>
      <c r="G316" t="n">
        <v>1967.06</v>
      </c>
      <c r="H316">
        <f>הגדרות!B2</f>
        <v/>
      </c>
      <c r="I316">
        <f>F316*(1-H316/100)*1.18</f>
        <v/>
      </c>
      <c r="J316">
        <f>הגדרות!C2</f>
        <v/>
      </c>
      <c r="K316">
        <f>הגדרות!D2</f>
        <v/>
      </c>
      <c r="L316">
        <f>I316*(1+J316/100)+K316</f>
        <v/>
      </c>
    </row>
    <row r="317">
      <c r="A317" t="inlineStr">
        <is>
          <t>בית ארז (מילטין)</t>
        </is>
      </c>
      <c r="B317" t="inlineStr">
        <is>
          <t>סט ריאגנטים למכשיר ABX MICROS ESV60</t>
        </is>
      </c>
      <c r="C317" t="inlineStr">
        <is>
          <t>מעבדה - ספירת דם</t>
        </is>
      </c>
      <c r="E317" t="inlineStr">
        <is>
          <t>2026-07</t>
        </is>
      </c>
      <c r="F317" t="n">
        <v>950</v>
      </c>
      <c r="G317" t="n">
        <v>1121</v>
      </c>
      <c r="H317">
        <f>הגדרות!B2</f>
        <v/>
      </c>
      <c r="I317">
        <f>F317*(1-H317/100)*1.18</f>
        <v/>
      </c>
      <c r="J317">
        <f>הגדרות!C2</f>
        <v/>
      </c>
      <c r="K317">
        <f>הגדרות!D2</f>
        <v/>
      </c>
      <c r="L317">
        <f>I317*(1+J317/100)+K317</f>
        <v/>
      </c>
    </row>
    <row r="318">
      <c r="A318" t="inlineStr">
        <is>
          <t>בית ארז (מילטין)</t>
        </is>
      </c>
      <c r="B318" t="inlineStr">
        <is>
          <t>רוטור ביוכימיה - (20) Health Check Plus סט 10 יח'</t>
        </is>
      </c>
      <c r="C318" t="inlineStr">
        <is>
          <t>מעבדה - ביוכימיה</t>
        </is>
      </c>
      <c r="E318" t="inlineStr">
        <is>
          <t>2026-07</t>
        </is>
      </c>
      <c r="F318" t="n">
        <v>770</v>
      </c>
      <c r="G318" t="n">
        <v>908.6</v>
      </c>
      <c r="H318">
        <f>הגדרות!B2</f>
        <v/>
      </c>
      <c r="I318">
        <f>F318*(1-H318/100)*1.18</f>
        <v/>
      </c>
      <c r="J318">
        <f>הגדרות!C2</f>
        <v/>
      </c>
      <c r="K318">
        <f>הגדרות!D2</f>
        <v/>
      </c>
      <c r="L318">
        <f>I318*(1+J318/100)+K318</f>
        <v/>
      </c>
    </row>
    <row r="319">
      <c r="A319" t="inlineStr">
        <is>
          <t>בית ארז (מילטין)</t>
        </is>
      </c>
      <c r="B319" t="inlineStr">
        <is>
          <t>רוטור ביוכימיה - (43) Full biochemistry סט 10 יח'</t>
        </is>
      </c>
      <c r="C319" t="inlineStr">
        <is>
          <t>מעבדה - ביוכימיה</t>
        </is>
      </c>
      <c r="E319" t="inlineStr">
        <is>
          <t>2026-07</t>
        </is>
      </c>
      <c r="F319" t="n">
        <v>1130</v>
      </c>
      <c r="G319" t="n">
        <v>1333.4</v>
      </c>
      <c r="H319">
        <f>הגדרות!B2</f>
        <v/>
      </c>
      <c r="I319">
        <f>F319*(1-H319/100)*1.18</f>
        <v/>
      </c>
      <c r="J319">
        <f>הגדרות!C2</f>
        <v/>
      </c>
      <c r="K319">
        <f>הגדרות!D2</f>
        <v/>
      </c>
      <c r="L319">
        <f>I319*(1+J319/100)+K319</f>
        <v/>
      </c>
    </row>
    <row r="320">
      <c r="A320" t="inlineStr">
        <is>
          <t>בית ארז (מילטין)</t>
        </is>
      </c>
      <c r="B320" t="inlineStr">
        <is>
          <t>רוטור ביוכימיה - (4) Coagulation סט 10 יח'</t>
        </is>
      </c>
      <c r="C320" t="inlineStr">
        <is>
          <t>מעבדה - ביוכימיה</t>
        </is>
      </c>
      <c r="E320" t="inlineStr">
        <is>
          <t>2026-07</t>
        </is>
      </c>
      <c r="F320" t="n">
        <v>580</v>
      </c>
      <c r="G320" t="n">
        <v>684.4</v>
      </c>
      <c r="H320">
        <f>הגדרות!B2</f>
        <v/>
      </c>
      <c r="I320">
        <f>F320*(1-H320/100)*1.18</f>
        <v/>
      </c>
      <c r="J320">
        <f>הגדרות!C2</f>
        <v/>
      </c>
      <c r="K320">
        <f>הגדרות!D2</f>
        <v/>
      </c>
      <c r="L320">
        <f>I320*(1+J320/100)+K320</f>
        <v/>
      </c>
    </row>
    <row r="321">
      <c r="A321" t="inlineStr">
        <is>
          <t>בית ארז (מילטין)</t>
        </is>
      </c>
      <c r="B321" t="inlineStr">
        <is>
          <t>רוטור ביוכימיה - (13) Canine Inflammation plus סט 10 יח'</t>
        </is>
      </c>
      <c r="C321" t="inlineStr">
        <is>
          <t>מעבדה - ביוכימיה</t>
        </is>
      </c>
      <c r="E321" t="inlineStr">
        <is>
          <t>2026-07</t>
        </is>
      </c>
      <c r="F321" t="n">
        <v>700</v>
      </c>
      <c r="G321" t="n">
        <v>826</v>
      </c>
      <c r="H321">
        <f>הגדרות!B2</f>
        <v/>
      </c>
      <c r="I321">
        <f>F321*(1-H321/100)*1.18</f>
        <v/>
      </c>
      <c r="J321">
        <f>הגדרות!C2</f>
        <v/>
      </c>
      <c r="K321">
        <f>הגדרות!D2</f>
        <v/>
      </c>
      <c r="L321">
        <f>I321*(1+J321/100)+K321</f>
        <v/>
      </c>
    </row>
    <row r="322">
      <c r="A322" t="inlineStr">
        <is>
          <t>בית ארז (מילטין)</t>
        </is>
      </c>
      <c r="B322" t="inlineStr">
        <is>
          <t>רוטור ביוכימיה - (16) Feline Inflammation plus סט 10 יח'</t>
        </is>
      </c>
      <c r="C322" t="inlineStr">
        <is>
          <t>מעבדה - ביוכימיה</t>
        </is>
      </c>
      <c r="E322" t="inlineStr">
        <is>
          <t>2026-07</t>
        </is>
      </c>
      <c r="F322" t="n">
        <v>700</v>
      </c>
      <c r="G322" t="n">
        <v>826</v>
      </c>
      <c r="H322">
        <f>הגדרות!B2</f>
        <v/>
      </c>
      <c r="I322">
        <f>F322*(1-H322/100)*1.18</f>
        <v/>
      </c>
      <c r="J322">
        <f>הגדרות!C2</f>
        <v/>
      </c>
      <c r="K322">
        <f>הגדרות!D2</f>
        <v/>
      </c>
      <c r="L322">
        <f>I322*(1+J322/100)+K322</f>
        <v/>
      </c>
    </row>
    <row r="323">
      <c r="A323" t="inlineStr">
        <is>
          <t>בית ארז (מילטין)</t>
        </is>
      </c>
      <c r="B323" t="inlineStr">
        <is>
          <t>רוטור ביוכימיה - (26) Comprehensive Diagnostic סט 10 יח'</t>
        </is>
      </c>
      <c r="C323" t="inlineStr">
        <is>
          <t>מעבדה - ביוכימיה</t>
        </is>
      </c>
      <c r="E323" t="inlineStr">
        <is>
          <t>2026-07</t>
        </is>
      </c>
      <c r="F323" t="n">
        <v>770</v>
      </c>
      <c r="G323" t="n">
        <v>908.6</v>
      </c>
      <c r="H323">
        <f>הגדרות!B2</f>
        <v/>
      </c>
      <c r="I323">
        <f>F323*(1-H323/100)*1.18</f>
        <v/>
      </c>
      <c r="J323">
        <f>הגדרות!C2</f>
        <v/>
      </c>
      <c r="K323">
        <f>הגדרות!D2</f>
        <v/>
      </c>
      <c r="L323">
        <f>I323*(1+J323/100)+K323</f>
        <v/>
      </c>
    </row>
    <row r="324">
      <c r="A324" t="inlineStr">
        <is>
          <t>בית ארז (מילטין)</t>
        </is>
      </c>
      <c r="B324" t="inlineStr">
        <is>
          <t>נייר טרמי למכשיר ביוכימיה Noahcali-100</t>
        </is>
      </c>
      <c r="C324" t="inlineStr">
        <is>
          <t>מעבדה - ביוכימיה</t>
        </is>
      </c>
      <c r="E324" t="inlineStr">
        <is>
          <t>2026-07</t>
        </is>
      </c>
      <c r="F324" t="n">
        <v>10</v>
      </c>
      <c r="G324" t="n">
        <v>11.8</v>
      </c>
      <c r="H324">
        <f>הגדרות!B2</f>
        <v/>
      </c>
      <c r="I324">
        <f>F324*(1-H324/100)*1.18</f>
        <v/>
      </c>
      <c r="J324">
        <f>הגדרות!C2</f>
        <v/>
      </c>
      <c r="K324">
        <f>הגדרות!D2</f>
        <v/>
      </c>
      <c r="L324">
        <f>I324*(1+J324/100)+K324</f>
        <v/>
      </c>
    </row>
    <row r="325">
      <c r="A325" t="inlineStr">
        <is>
          <t>בית ארז (מילטין)</t>
        </is>
      </c>
      <c r="B325" t="inlineStr">
        <is>
          <t>בדיקת - Vechek Plus cCRP מארז 10 בדיקות</t>
        </is>
      </c>
      <c r="C325" t="inlineStr">
        <is>
          <t>מעבדה - מכשיר אימונופלורנציה</t>
        </is>
      </c>
      <c r="E325" t="inlineStr">
        <is>
          <t>2026-07</t>
        </is>
      </c>
      <c r="F325" t="n">
        <v>340</v>
      </c>
      <c r="G325" t="n">
        <v>401.2</v>
      </c>
      <c r="H325">
        <f>הגדרות!B2</f>
        <v/>
      </c>
      <c r="I325">
        <f>F325*(1-H325/100)*1.18</f>
        <v/>
      </c>
      <c r="J325">
        <f>הגדרות!C2</f>
        <v/>
      </c>
      <c r="K325">
        <f>הגדרות!D2</f>
        <v/>
      </c>
      <c r="L325">
        <f>I325*(1+J325/100)+K325</f>
        <v/>
      </c>
    </row>
    <row r="326">
      <c r="A326" t="inlineStr">
        <is>
          <t>בית ארז (מילטין)</t>
        </is>
      </c>
      <c r="B326" t="inlineStr">
        <is>
          <t>בדיקת - Vechek Plus cCysC Ag מארז 10 בדיקות</t>
        </is>
      </c>
      <c r="C326" t="inlineStr">
        <is>
          <t>מעבדה - מכשיר אימונופלורנציה</t>
        </is>
      </c>
      <c r="E326" t="inlineStr">
        <is>
          <t>2026-07</t>
        </is>
      </c>
      <c r="F326" t="n">
        <v>460</v>
      </c>
      <c r="G326" t="n">
        <v>542.8</v>
      </c>
      <c r="H326">
        <f>הגדרות!B2</f>
        <v/>
      </c>
      <c r="I326">
        <f>F326*(1-H326/100)*1.18</f>
        <v/>
      </c>
      <c r="J326">
        <f>הגדרות!C2</f>
        <v/>
      </c>
      <c r="K326">
        <f>הגדרות!D2</f>
        <v/>
      </c>
      <c r="L326">
        <f>I326*(1+J326/100)+K326</f>
        <v/>
      </c>
    </row>
    <row r="327">
      <c r="A327" t="inlineStr">
        <is>
          <t>בית ארז (מילטין)</t>
        </is>
      </c>
      <c r="B327" t="inlineStr">
        <is>
          <t>בדיקת - Vechek Plus fCysC Ag מארז 10 בדיקות</t>
        </is>
      </c>
      <c r="C327" t="inlineStr">
        <is>
          <t>מעבדה - מכשיר אימונופלורנציה</t>
        </is>
      </c>
      <c r="E327" t="inlineStr">
        <is>
          <t>2026-07</t>
        </is>
      </c>
      <c r="F327" t="n">
        <v>570</v>
      </c>
      <c r="G327" t="n">
        <v>672.6</v>
      </c>
      <c r="H327">
        <f>הגדרות!B2</f>
        <v/>
      </c>
      <c r="I327">
        <f>F327*(1-H327/100)*1.18</f>
        <v/>
      </c>
      <c r="J327">
        <f>הגדרות!C2</f>
        <v/>
      </c>
      <c r="K327">
        <f>הגדרות!D2</f>
        <v/>
      </c>
      <c r="L327">
        <f>I327*(1+J327/100)+K327</f>
        <v/>
      </c>
    </row>
    <row r="328">
      <c r="A328" t="inlineStr">
        <is>
          <t>בית ארז (מילטין)</t>
        </is>
      </c>
      <c r="B328" t="inlineStr">
        <is>
          <t>בדיקת - Vechek Plus cPL מארז 10 בדיקות</t>
        </is>
      </c>
      <c r="C328" t="inlineStr">
        <is>
          <t>מעבדה - מכשיר אימונופלורנציה</t>
        </is>
      </c>
      <c r="E328" t="inlineStr">
        <is>
          <t>2026-07</t>
        </is>
      </c>
      <c r="F328" t="n">
        <v>460</v>
      </c>
      <c r="G328" t="n">
        <v>542.8</v>
      </c>
      <c r="H328">
        <f>הגדרות!B2</f>
        <v/>
      </c>
      <c r="I328">
        <f>F328*(1-H328/100)*1.18</f>
        <v/>
      </c>
      <c r="J328">
        <f>הגדרות!C2</f>
        <v/>
      </c>
      <c r="K328">
        <f>הגדרות!D2</f>
        <v/>
      </c>
      <c r="L328">
        <f>I328*(1+J328/100)+K328</f>
        <v/>
      </c>
    </row>
    <row r="329">
      <c r="A329" t="inlineStr">
        <is>
          <t>בית ארז (מילטין)</t>
        </is>
      </c>
      <c r="B329" t="inlineStr">
        <is>
          <t>בדיקת - Vechek Plus cT4 מארז 10 בדיקות</t>
        </is>
      </c>
      <c r="C329" t="inlineStr">
        <is>
          <t>מעבדה - מכשיר אימונופלורנציה</t>
        </is>
      </c>
      <c r="E329" t="inlineStr">
        <is>
          <t>2026-07</t>
        </is>
      </c>
      <c r="F329" t="n">
        <v>390</v>
      </c>
      <c r="G329" t="n">
        <v>460.2</v>
      </c>
      <c r="H329">
        <f>הגדרות!B2</f>
        <v/>
      </c>
      <c r="I329">
        <f>F329*(1-H329/100)*1.18</f>
        <v/>
      </c>
      <c r="J329">
        <f>הגדרות!C2</f>
        <v/>
      </c>
      <c r="K329">
        <f>הגדרות!D2</f>
        <v/>
      </c>
      <c r="L329">
        <f>I329*(1+J329/100)+K329</f>
        <v/>
      </c>
    </row>
    <row r="330">
      <c r="A330" t="inlineStr">
        <is>
          <t>בית ארז (מילטין)</t>
        </is>
      </c>
      <c r="B330" t="inlineStr">
        <is>
          <t>בדיקת - Vechek Plus cTSH מארז 10 בדיקות</t>
        </is>
      </c>
      <c r="C330" t="inlineStr">
        <is>
          <t>מעבדה - מכשיר אימונופלורנציה</t>
        </is>
      </c>
      <c r="E330" t="inlineStr">
        <is>
          <t>2026-07</t>
        </is>
      </c>
      <c r="F330" t="n">
        <v>390</v>
      </c>
      <c r="G330" t="n">
        <v>460.2</v>
      </c>
      <c r="H330">
        <f>הגדרות!B2</f>
        <v/>
      </c>
      <c r="I330">
        <f>F330*(1-H330/100)*1.18</f>
        <v/>
      </c>
      <c r="J330">
        <f>הגדרות!C2</f>
        <v/>
      </c>
      <c r="K330">
        <f>הגדרות!D2</f>
        <v/>
      </c>
      <c r="L330">
        <f>I330*(1+J330/100)+K330</f>
        <v/>
      </c>
    </row>
    <row r="331">
      <c r="A331" t="inlineStr">
        <is>
          <t>בית ארז (מילטין)</t>
        </is>
      </c>
      <c r="B331" t="inlineStr">
        <is>
          <t>בדיקת - Vechek Plus Cortisol Ag מארז 10 בדיקות</t>
        </is>
      </c>
      <c r="C331" t="inlineStr">
        <is>
          <t>מעבדה - מכשיר אימונופלורנציה</t>
        </is>
      </c>
      <c r="E331" t="inlineStr">
        <is>
          <t>2026-07</t>
        </is>
      </c>
      <c r="F331" t="n">
        <v>390</v>
      </c>
      <c r="G331" t="n">
        <v>460.2</v>
      </c>
      <c r="H331">
        <f>הגדרות!B2</f>
        <v/>
      </c>
      <c r="I331">
        <f>F331*(1-H331/100)*1.18</f>
        <v/>
      </c>
      <c r="J331">
        <f>הגדרות!C2</f>
        <v/>
      </c>
      <c r="K331">
        <f>הגדרות!D2</f>
        <v/>
      </c>
      <c r="L331">
        <f>I331*(1+J331/100)+K331</f>
        <v/>
      </c>
    </row>
    <row r="332">
      <c r="A332" t="inlineStr">
        <is>
          <t>בית ארז (מילטין)</t>
        </is>
      </c>
      <c r="B332" t="inlineStr">
        <is>
          <t>בדיקת - Vechek Plus Cortisol Ag מארז 10 בדיקות</t>
        </is>
      </c>
      <c r="C332" t="inlineStr">
        <is>
          <t>מעבדה - מכשיר אימונופלורנציה</t>
        </is>
      </c>
      <c r="E332" t="inlineStr">
        <is>
          <t>2026-07</t>
        </is>
      </c>
      <c r="F332" t="n">
        <v>390</v>
      </c>
      <c r="G332" t="n">
        <v>460.2</v>
      </c>
      <c r="H332">
        <f>הגדרות!B2</f>
        <v/>
      </c>
      <c r="I332">
        <f>F332*(1-H332/100)*1.18</f>
        <v/>
      </c>
      <c r="J332">
        <f>הגדרות!C2</f>
        <v/>
      </c>
      <c r="K332">
        <f>הגדרות!D2</f>
        <v/>
      </c>
      <c r="L332">
        <f>I332*(1+J332/100)+K332</f>
        <v/>
      </c>
    </row>
    <row r="333">
      <c r="A333" t="inlineStr">
        <is>
          <t>בית ארז (מילטין)</t>
        </is>
      </c>
      <c r="B333" t="inlineStr">
        <is>
          <t>בדיקת - Vechek Plus CPV/CDV/CAV Ab מארז 10 בדיקות</t>
        </is>
      </c>
      <c r="C333" t="inlineStr">
        <is>
          <t>מעבדה - מכשיר אימונופלורנציה</t>
        </is>
      </c>
      <c r="E333" t="inlineStr">
        <is>
          <t>2026-07</t>
        </is>
      </c>
      <c r="F333" t="n">
        <v>480</v>
      </c>
      <c r="G333" t="n">
        <v>566.4</v>
      </c>
      <c r="H333">
        <f>הגדרות!B2</f>
        <v/>
      </c>
      <c r="I333">
        <f>F333*(1-H333/100)*1.18</f>
        <v/>
      </c>
      <c r="J333">
        <f>הגדרות!C2</f>
        <v/>
      </c>
      <c r="K333">
        <f>הגדרות!D2</f>
        <v/>
      </c>
      <c r="L333">
        <f>I333*(1+J333/100)+K333</f>
        <v/>
      </c>
    </row>
    <row r="334">
      <c r="A334" t="inlineStr">
        <is>
          <t>בית ארז (מילטין)</t>
        </is>
      </c>
      <c r="B334" t="inlineStr">
        <is>
          <t>בדיקת - Vechek Plus FPV/FHV/FCV Ab מארז 10 בדיקות</t>
        </is>
      </c>
      <c r="C334" t="inlineStr">
        <is>
          <t>מעבדה - מכשיר אימונופלורנציה</t>
        </is>
      </c>
      <c r="E334" t="inlineStr">
        <is>
          <t>2026-07</t>
        </is>
      </c>
      <c r="F334" t="n">
        <v>990</v>
      </c>
      <c r="G334" t="n">
        <v>1168.2</v>
      </c>
      <c r="H334">
        <f>הגדרות!B2</f>
        <v/>
      </c>
      <c r="I334">
        <f>F334*(1-H334/100)*1.18</f>
        <v/>
      </c>
      <c r="J334">
        <f>הגדרות!C2</f>
        <v/>
      </c>
      <c r="K334">
        <f>הגדרות!D2</f>
        <v/>
      </c>
      <c r="L334">
        <f>I334*(1+J334/100)+K334</f>
        <v/>
      </c>
    </row>
    <row r="335">
      <c r="A335" t="inlineStr">
        <is>
          <t>בית ארז (מילטין)</t>
        </is>
      </c>
      <c r="B335" t="inlineStr">
        <is>
          <t>בדיקת - Vechek Plus Rabies Ag מארז 10 בדיקות</t>
        </is>
      </c>
      <c r="C335" t="inlineStr">
        <is>
          <t>מעבדה - מכשיר אימונופלורנציה</t>
        </is>
      </c>
      <c r="E335" t="inlineStr">
        <is>
          <t>2026-07</t>
        </is>
      </c>
      <c r="F335" t="n">
        <v>450</v>
      </c>
      <c r="G335" t="n">
        <v>531</v>
      </c>
      <c r="H335">
        <f>הגדרות!B2</f>
        <v/>
      </c>
      <c r="I335">
        <f>F335*(1-H335/100)*1.18</f>
        <v/>
      </c>
      <c r="J335">
        <f>הגדרות!C2</f>
        <v/>
      </c>
      <c r="K335">
        <f>הגדרות!D2</f>
        <v/>
      </c>
      <c r="L335">
        <f>I335*(1+J335/100)+K335</f>
        <v/>
      </c>
    </row>
    <row r="336">
      <c r="A336" t="inlineStr">
        <is>
          <t>בית ארז (מילטין)</t>
        </is>
      </c>
      <c r="B336" t="inlineStr">
        <is>
          <t>FIV Ab + FeLV Ag בדיקות מהירות 10</t>
        </is>
      </c>
      <c r="C336" t="inlineStr">
        <is>
          <t>בדיקות מהירות</t>
        </is>
      </c>
      <c r="E336" t="inlineStr">
        <is>
          <t>2026-07</t>
        </is>
      </c>
      <c r="F336" t="n">
        <v>450</v>
      </c>
      <c r="G336" t="n">
        <v>531</v>
      </c>
      <c r="H336">
        <f>הגדרות!B2</f>
        <v/>
      </c>
      <c r="I336">
        <f>F336*(1-H336/100)*1.18</f>
        <v/>
      </c>
      <c r="J336">
        <f>הגדרות!C2</f>
        <v/>
      </c>
      <c r="K336">
        <f>הגדרות!D2</f>
        <v/>
      </c>
      <c r="L336">
        <f>I336*(1+J336/100)+K336</f>
        <v/>
      </c>
    </row>
    <row r="337">
      <c r="A337" t="inlineStr">
        <is>
          <t>בית ארז (מילטין)</t>
        </is>
      </c>
      <c r="B337" t="inlineStr">
        <is>
          <t>FHV + FCV Ag בדיקות מהירות 10</t>
        </is>
      </c>
      <c r="C337" t="inlineStr">
        <is>
          <t>בדיקות מהירות</t>
        </is>
      </c>
      <c r="E337" t="inlineStr">
        <is>
          <t>2026-07</t>
        </is>
      </c>
      <c r="F337" t="n">
        <v>520</v>
      </c>
      <c r="G337" t="n">
        <v>613.6</v>
      </c>
      <c r="H337">
        <f>הגדרות!B2</f>
        <v/>
      </c>
      <c r="I337">
        <f>F337*(1-H337/100)*1.18</f>
        <v/>
      </c>
      <c r="J337">
        <f>הגדרות!C2</f>
        <v/>
      </c>
      <c r="K337">
        <f>הגדרות!D2</f>
        <v/>
      </c>
      <c r="L337">
        <f>I337*(1+J337/100)+K337</f>
        <v/>
      </c>
    </row>
    <row r="338">
      <c r="A338" t="inlineStr">
        <is>
          <t>בית ארז (מילטין)</t>
        </is>
      </c>
      <c r="B338" t="inlineStr">
        <is>
          <t>FPV Ag בדיקות מהירות 10</t>
        </is>
      </c>
      <c r="C338" t="inlineStr">
        <is>
          <t>בדיקות מהירות</t>
        </is>
      </c>
      <c r="E338" t="inlineStr">
        <is>
          <t>2026-07</t>
        </is>
      </c>
      <c r="F338" t="n">
        <v>290</v>
      </c>
      <c r="G338" t="n">
        <v>342.2</v>
      </c>
      <c r="H338">
        <f>הגדרות!B2</f>
        <v/>
      </c>
      <c r="I338">
        <f>F338*(1-H338/100)*1.18</f>
        <v/>
      </c>
      <c r="J338">
        <f>הגדרות!C2</f>
        <v/>
      </c>
      <c r="K338">
        <f>הגדרות!D2</f>
        <v/>
      </c>
      <c r="L338">
        <f>I338*(1+J338/100)+K338</f>
        <v/>
      </c>
    </row>
    <row r="339">
      <c r="A339" t="inlineStr">
        <is>
          <t>בית ארז (מילטין)</t>
        </is>
      </c>
      <c r="B339" t="inlineStr">
        <is>
          <t>FCoV Ag בדיקות מהירות 10</t>
        </is>
      </c>
      <c r="C339" t="inlineStr">
        <is>
          <t>בדיקות מהירות</t>
        </is>
      </c>
      <c r="E339" t="inlineStr">
        <is>
          <t>2026-07</t>
        </is>
      </c>
      <c r="F339" t="n">
        <v>340</v>
      </c>
      <c r="G339" t="n">
        <v>401.2</v>
      </c>
      <c r="H339">
        <f>הגדרות!B2</f>
        <v/>
      </c>
      <c r="I339">
        <f>F339*(1-H339/100)*1.18</f>
        <v/>
      </c>
      <c r="J339">
        <f>הגדרות!C2</f>
        <v/>
      </c>
      <c r="K339">
        <f>הגדרות!D2</f>
        <v/>
      </c>
      <c r="L339">
        <f>I339*(1+J339/100)+K339</f>
        <v/>
      </c>
    </row>
    <row r="340">
      <c r="A340" t="inlineStr">
        <is>
          <t>בית ארז (מילטין)</t>
        </is>
      </c>
      <c r="B340" t="inlineStr">
        <is>
          <t>FCoV Ab בדיקות מהירות 10</t>
        </is>
      </c>
      <c r="C340" t="inlineStr">
        <is>
          <t>בדיקות מהירות</t>
        </is>
      </c>
      <c r="E340" t="inlineStr">
        <is>
          <t>2026-07</t>
        </is>
      </c>
      <c r="F340" t="n">
        <v>480</v>
      </c>
      <c r="G340" t="n">
        <v>566.4</v>
      </c>
      <c r="H340">
        <f>הגדרות!B2</f>
        <v/>
      </c>
      <c r="I340">
        <f>F340*(1-H340/100)*1.18</f>
        <v/>
      </c>
      <c r="J340">
        <f>הגדרות!C2</f>
        <v/>
      </c>
      <c r="K340">
        <f>הגדרות!D2</f>
        <v/>
      </c>
      <c r="L340">
        <f>I340*(1+J340/100)+K340</f>
        <v/>
      </c>
    </row>
    <row r="341">
      <c r="A341" t="inlineStr">
        <is>
          <t>בית ארז (מילטין)</t>
        </is>
      </c>
      <c r="B341" t="inlineStr">
        <is>
          <t>FCoV + FPV + Giardia Ag בדיקות מהירות 10</t>
        </is>
      </c>
      <c r="C341" t="inlineStr">
        <is>
          <t>בדיקות מהירות</t>
        </is>
      </c>
      <c r="E341" t="inlineStr">
        <is>
          <t>2026-07</t>
        </is>
      </c>
      <c r="F341" t="n">
        <v>790</v>
      </c>
      <c r="G341" t="n">
        <v>932.2</v>
      </c>
      <c r="H341">
        <f>הגדרות!B2</f>
        <v/>
      </c>
      <c r="I341">
        <f>F341*(1-H341/100)*1.18</f>
        <v/>
      </c>
      <c r="J341">
        <f>הגדרות!C2</f>
        <v/>
      </c>
      <c r="K341">
        <f>הגדרות!D2</f>
        <v/>
      </c>
      <c r="L341">
        <f>I341*(1+J341/100)+K341</f>
        <v/>
      </c>
    </row>
    <row r="342">
      <c r="A342" t="inlineStr">
        <is>
          <t>בית ארז (מילטין)</t>
        </is>
      </c>
      <c r="B342" t="inlineStr">
        <is>
          <t>Toxoplasma Ab בדיקות מהירות 10</t>
        </is>
      </c>
      <c r="C342" t="inlineStr">
        <is>
          <t>בדיקות מהירות</t>
        </is>
      </c>
      <c r="E342" t="inlineStr">
        <is>
          <t>2026-07</t>
        </is>
      </c>
      <c r="F342" t="n">
        <v>340</v>
      </c>
      <c r="G342" t="n">
        <v>401.2</v>
      </c>
      <c r="H342">
        <f>הגדרות!B2</f>
        <v/>
      </c>
      <c r="I342">
        <f>F342*(1-H342/100)*1.18</f>
        <v/>
      </c>
      <c r="J342">
        <f>הגדרות!C2</f>
        <v/>
      </c>
      <c r="K342">
        <f>הגדרות!D2</f>
        <v/>
      </c>
      <c r="L342">
        <f>I342*(1+J342/100)+K342</f>
        <v/>
      </c>
    </row>
    <row r="343">
      <c r="A343" t="inlineStr">
        <is>
          <t>בית ארז (מילטין)</t>
        </is>
      </c>
      <c r="B343" t="inlineStr">
        <is>
          <t>Giardia Ag בדיקות מהירות 10</t>
        </is>
      </c>
      <c r="C343" t="inlineStr">
        <is>
          <t>בדיקות מהירות</t>
        </is>
      </c>
      <c r="E343" t="inlineStr">
        <is>
          <t>2026-07</t>
        </is>
      </c>
      <c r="F343" t="n">
        <v>330</v>
      </c>
      <c r="G343" t="n">
        <v>389.4</v>
      </c>
      <c r="H343">
        <f>הגדרות!B2</f>
        <v/>
      </c>
      <c r="I343">
        <f>F343*(1-H343/100)*1.18</f>
        <v/>
      </c>
      <c r="J343">
        <f>הגדרות!C2</f>
        <v/>
      </c>
      <c r="K343">
        <f>הגדרות!D2</f>
        <v/>
      </c>
      <c r="L343">
        <f>I343*(1+J343/100)+K343</f>
        <v/>
      </c>
    </row>
    <row r="344">
      <c r="A344" t="inlineStr">
        <is>
          <t>בית ארז (מילטין)</t>
        </is>
      </c>
      <c r="B344" t="inlineStr">
        <is>
          <t>CPV + CDV Ag בדיקות מהירות 10</t>
        </is>
      </c>
      <c r="C344" t="inlineStr">
        <is>
          <t>בדיקות מהירות</t>
        </is>
      </c>
      <c r="E344" t="inlineStr">
        <is>
          <t>2026-07</t>
        </is>
      </c>
      <c r="F344" t="n">
        <v>270</v>
      </c>
      <c r="G344" t="n">
        <v>318.6</v>
      </c>
      <c r="H344">
        <f>הגדרות!B2</f>
        <v/>
      </c>
      <c r="I344">
        <f>F344*(1-H344/100)*1.18</f>
        <v/>
      </c>
      <c r="J344">
        <f>הגדרות!C2</f>
        <v/>
      </c>
      <c r="K344">
        <f>הגדרות!D2</f>
        <v/>
      </c>
      <c r="L344">
        <f>I344*(1+J344/100)+K344</f>
        <v/>
      </c>
    </row>
    <row r="345">
      <c r="A345" t="inlineStr">
        <is>
          <t>בית ארז (מילטין)</t>
        </is>
      </c>
      <c r="B345" t="inlineStr">
        <is>
          <t>CPV + CCV + Giardia Ag בדיקות מהירות 10</t>
        </is>
      </c>
      <c r="C345" t="inlineStr">
        <is>
          <t>בדיקות מהירות</t>
        </is>
      </c>
      <c r="E345" t="inlineStr">
        <is>
          <t>2026-07</t>
        </is>
      </c>
      <c r="F345" t="n">
        <v>690</v>
      </c>
      <c r="G345" t="n">
        <v>814.2</v>
      </c>
      <c r="H345">
        <f>הגדרות!B2</f>
        <v/>
      </c>
      <c r="I345">
        <f>F345*(1-H345/100)*1.18</f>
        <v/>
      </c>
      <c r="J345">
        <f>הגדרות!C2</f>
        <v/>
      </c>
      <c r="K345">
        <f>הגדרות!D2</f>
        <v/>
      </c>
      <c r="L345">
        <f>I345*(1+J345/100)+K345</f>
        <v/>
      </c>
    </row>
    <row r="346">
      <c r="A346" t="inlineStr">
        <is>
          <t>בית ארז (מילטין)</t>
        </is>
      </c>
      <c r="B346" t="inlineStr">
        <is>
          <t>Ehrlichia Ab בדיקות מהירות 10</t>
        </is>
      </c>
      <c r="C346" t="inlineStr">
        <is>
          <t>בדיקות מהירות</t>
        </is>
      </c>
      <c r="E346" t="inlineStr">
        <is>
          <t>2026-07</t>
        </is>
      </c>
      <c r="F346" t="n">
        <v>290</v>
      </c>
      <c r="G346" t="n">
        <v>342.2</v>
      </c>
      <c r="H346">
        <f>הגדרות!B2</f>
        <v/>
      </c>
      <c r="I346">
        <f>F346*(1-H346/100)*1.18</f>
        <v/>
      </c>
      <c r="J346">
        <f>הגדרות!C2</f>
        <v/>
      </c>
      <c r="K346">
        <f>הגדרות!D2</f>
        <v/>
      </c>
      <c r="L346">
        <f>I346*(1+J346/100)+K346</f>
        <v/>
      </c>
    </row>
    <row r="347">
      <c r="A347" t="inlineStr">
        <is>
          <t>בית ארז (מילטין)</t>
        </is>
      </c>
      <c r="B347" t="inlineStr">
        <is>
          <t>C. Leishmania Ab בדיקות מהירות 10</t>
        </is>
      </c>
      <c r="C347" t="inlineStr">
        <is>
          <t>בדיקות מהירות</t>
        </is>
      </c>
      <c r="E347" t="inlineStr">
        <is>
          <t>2026-07</t>
        </is>
      </c>
      <c r="F347" t="n">
        <v>440</v>
      </c>
      <c r="G347" t="n">
        <v>519.2</v>
      </c>
      <c r="H347">
        <f>הגדרות!B2</f>
        <v/>
      </c>
      <c r="I347">
        <f>F347*(1-H347/100)*1.18</f>
        <v/>
      </c>
      <c r="J347">
        <f>הגדרות!C2</f>
        <v/>
      </c>
      <c r="K347">
        <f>הגדרות!D2</f>
        <v/>
      </c>
      <c r="L347">
        <f>I347*(1+J347/100)+K347</f>
        <v/>
      </c>
    </row>
    <row r="348">
      <c r="A348" t="inlineStr">
        <is>
          <t>בית ארז (מילטין)</t>
        </is>
      </c>
      <c r="B348" t="inlineStr">
        <is>
          <t>C.Bru + LPS Ab בדיקות מהירות 10</t>
        </is>
      </c>
      <c r="C348" t="inlineStr">
        <is>
          <t>בדיקות מהירות</t>
        </is>
      </c>
      <c r="E348" t="inlineStr">
        <is>
          <t>2026-07</t>
        </is>
      </c>
      <c r="F348" t="n">
        <v>430</v>
      </c>
      <c r="G348" t="n">
        <v>507.4</v>
      </c>
      <c r="H348">
        <f>הגדרות!B2</f>
        <v/>
      </c>
      <c r="I348">
        <f>F348*(1-H348/100)*1.18</f>
        <v/>
      </c>
      <c r="J348">
        <f>הגדרות!C2</f>
        <v/>
      </c>
      <c r="K348">
        <f>הגדרות!D2</f>
        <v/>
      </c>
      <c r="L348">
        <f>I348*(1+J348/100)+K348</f>
        <v/>
      </c>
    </row>
    <row r="349">
      <c r="A349" t="inlineStr">
        <is>
          <t>בית ארז (מילטין)</t>
        </is>
      </c>
      <c r="B349" t="inlineStr">
        <is>
          <t>Leptospira IgG/IgM Ab בדיקות מהירות 10</t>
        </is>
      </c>
      <c r="C349" t="inlineStr">
        <is>
          <t>בדיקות מהירות</t>
        </is>
      </c>
      <c r="E349" t="inlineStr">
        <is>
          <t>2026-07</t>
        </is>
      </c>
      <c r="F349" t="n">
        <v>380</v>
      </c>
      <c r="G349" t="n">
        <v>448.4</v>
      </c>
      <c r="H349">
        <f>הגדרות!B2</f>
        <v/>
      </c>
      <c r="I349">
        <f>F349*(1-H349/100)*1.18</f>
        <v/>
      </c>
      <c r="J349">
        <f>הגדרות!C2</f>
        <v/>
      </c>
      <c r="K349">
        <f>הגדרות!D2</f>
        <v/>
      </c>
      <c r="L349">
        <f>I349*(1+J349/100)+K349</f>
        <v/>
      </c>
    </row>
    <row r="350">
      <c r="A350" t="inlineStr">
        <is>
          <t>בית ארז (מילטין)</t>
        </is>
      </c>
      <c r="B350" t="inlineStr">
        <is>
          <t>ג'ל לובריקציה 1 ל' Vet Lubigel</t>
        </is>
      </c>
      <c r="C350" t="inlineStr">
        <is>
          <t>מעבדה - שונות</t>
        </is>
      </c>
      <c r="E350" t="inlineStr">
        <is>
          <t>2026-07</t>
        </is>
      </c>
      <c r="F350" t="n">
        <v>32</v>
      </c>
      <c r="G350" t="n">
        <v>37.76</v>
      </c>
      <c r="H350">
        <f>הגדרות!B2</f>
        <v/>
      </c>
      <c r="I350">
        <f>F350*(1-H350/100)*1.18</f>
        <v/>
      </c>
      <c r="J350">
        <f>הגדרות!C2</f>
        <v/>
      </c>
      <c r="K350">
        <f>הגדרות!D2</f>
        <v/>
      </c>
      <c r="L350">
        <f>I350*(1+J350/100)+K350</f>
        <v/>
      </c>
    </row>
    <row r="351">
      <c r="A351" t="inlineStr">
        <is>
          <t>בית ארז (מילטין)</t>
        </is>
      </c>
      <c r="B351" t="inlineStr">
        <is>
          <t>טיפים 200 מיקרוליטר בקופסא 96 - טיפים</t>
        </is>
      </c>
      <c r="C351" t="inlineStr">
        <is>
          <t>מעבדה - שונות</t>
        </is>
      </c>
      <c r="E351" t="inlineStr">
        <is>
          <t>2026-07</t>
        </is>
      </c>
      <c r="F351" t="n">
        <v>35</v>
      </c>
      <c r="G351" t="n">
        <v>41.3</v>
      </c>
      <c r="H351">
        <f>הגדרות!B2</f>
        <v/>
      </c>
      <c r="I351">
        <f>F351*(1-H351/100)*1.18</f>
        <v/>
      </c>
      <c r="J351">
        <f>הגדרות!C2</f>
        <v/>
      </c>
      <c r="K351">
        <f>הגדרות!D2</f>
        <v/>
      </c>
      <c r="L351">
        <f>I351*(1+J351/100)+K351</f>
        <v/>
      </c>
    </row>
    <row r="352">
      <c r="A352" t="inlineStr">
        <is>
          <t>בית ארז (מילטין)</t>
        </is>
      </c>
      <c r="B352" t="inlineStr">
        <is>
          <t>מבחנת אפנדורף 1.5 מ"ל 500 - יח'</t>
        </is>
      </c>
      <c r="C352" t="inlineStr">
        <is>
          <t>מעבדה - שונות</t>
        </is>
      </c>
      <c r="E352" t="inlineStr">
        <is>
          <t>2026-07</t>
        </is>
      </c>
      <c r="F352" t="n">
        <v>95</v>
      </c>
      <c r="G352" t="n">
        <v>112.1</v>
      </c>
      <c r="H352">
        <f>הגדרות!B2</f>
        <v/>
      </c>
      <c r="I352">
        <f>F352*(1-H352/100)*1.18</f>
        <v/>
      </c>
      <c r="J352">
        <f>הגדרות!C2</f>
        <v/>
      </c>
      <c r="K352">
        <f>הגדרות!D2</f>
        <v/>
      </c>
      <c r="L352">
        <f>I352*(1+J352/100)+K352</f>
        <v/>
      </c>
    </row>
    <row r="353">
      <c r="A353" t="inlineStr">
        <is>
          <t>בית ארז (מילטין)</t>
        </is>
      </c>
      <c r="B353" t="inlineStr">
        <is>
          <t>פיפטות פסטר 3 מ"ל 500 - יח'</t>
        </is>
      </c>
      <c r="C353" t="inlineStr">
        <is>
          <t>מעבדה - שונות</t>
        </is>
      </c>
      <c r="E353" t="inlineStr">
        <is>
          <t>2026-07</t>
        </is>
      </c>
      <c r="F353" t="n">
        <v>50</v>
      </c>
      <c r="G353" t="n">
        <v>59</v>
      </c>
      <c r="H353">
        <f>הגדרות!B2</f>
        <v/>
      </c>
      <c r="I353">
        <f>F353*(1-H353/100)*1.18</f>
        <v/>
      </c>
      <c r="J353">
        <f>הגדרות!C2</f>
        <v/>
      </c>
      <c r="K353">
        <f>הגדרות!D2</f>
        <v/>
      </c>
      <c r="L353">
        <f>I353*(1+J353/100)+K353</f>
        <v/>
      </c>
    </row>
    <row r="354">
      <c r="A354" t="inlineStr">
        <is>
          <t>בית ארז (מילטין)</t>
        </is>
      </c>
      <c r="B354" t="inlineStr">
        <is>
          <t>מיקרו מבחנות דם 1.3 מל פקק סגול 100 - יח' בשקית EDTA K3 -</t>
        </is>
      </c>
      <c r="C354" t="inlineStr">
        <is>
          <t>מעבדה - שונות</t>
        </is>
      </c>
      <c r="E354" t="inlineStr">
        <is>
          <t>2026-07</t>
        </is>
      </c>
      <c r="F354" t="n">
        <v>150</v>
      </c>
      <c r="G354" t="n">
        <v>177</v>
      </c>
      <c r="H354">
        <f>הגדרות!B2</f>
        <v/>
      </c>
      <c r="I354">
        <f>F354*(1-H354/100)*1.18</f>
        <v/>
      </c>
      <c r="J354">
        <f>הגדרות!C2</f>
        <v/>
      </c>
      <c r="K354">
        <f>הגדרות!D2</f>
        <v/>
      </c>
      <c r="L354">
        <f>I354*(1+J354/100)+K354</f>
        <v/>
      </c>
    </row>
    <row r="355">
      <c r="A355" t="inlineStr">
        <is>
          <t>בית ארז (מילטין)</t>
        </is>
      </c>
      <c r="B355" t="inlineStr">
        <is>
          <t>מיקרו מבחנות דם 1.3 מל פקק ירוק 100 - יח' בשקית Lithium h -</t>
        </is>
      </c>
      <c r="C355" t="inlineStr">
        <is>
          <t>מעבדה - שונות</t>
        </is>
      </c>
      <c r="E355" t="inlineStr">
        <is>
          <t>2026-07</t>
        </is>
      </c>
      <c r="F355" t="n">
        <v>150</v>
      </c>
      <c r="G355" t="n">
        <v>177</v>
      </c>
      <c r="H355">
        <f>הגדרות!B2</f>
        <v/>
      </c>
      <c r="I355">
        <f>F355*(1-H355/100)*1.18</f>
        <v/>
      </c>
      <c r="J355">
        <f>הגדרות!C2</f>
        <v/>
      </c>
      <c r="K355">
        <f>הגדרות!D2</f>
        <v/>
      </c>
      <c r="L355">
        <f>I355*(1+J355/100)+K355</f>
        <v/>
      </c>
    </row>
    <row r="356">
      <c r="A356" t="inlineStr">
        <is>
          <t>בית ארז (מילטין)</t>
        </is>
      </c>
      <c r="B356" t="inlineStr">
        <is>
          <t>טיפים 200 מיקרוליטר בשקית 1000 - טיפים</t>
        </is>
      </c>
      <c r="C356" t="inlineStr">
        <is>
          <t>מעבדה - שונות</t>
        </is>
      </c>
      <c r="E356" t="inlineStr">
        <is>
          <t>2026-07</t>
        </is>
      </c>
      <c r="F356" t="n">
        <v>99</v>
      </c>
      <c r="G356" t="n">
        <v>116.82</v>
      </c>
      <c r="H356">
        <f>הגדרות!B2</f>
        <v/>
      </c>
      <c r="I356">
        <f>F356*(1-H356/100)*1.18</f>
        <v/>
      </c>
      <c r="J356">
        <f>הגדרות!C2</f>
        <v/>
      </c>
      <c r="K356">
        <f>הגדרות!D2</f>
        <v/>
      </c>
      <c r="L356">
        <f>I356*(1+J356/100)+K356</f>
        <v/>
      </c>
    </row>
    <row r="357">
      <c r="A357" t="inlineStr">
        <is>
          <t>בית ארז (מילטין)</t>
        </is>
      </c>
      <c r="B357" t="inlineStr">
        <is>
          <t>קופרו קיט לבדיקת צואה 50 - יח'</t>
        </is>
      </c>
      <c r="C357" t="inlineStr">
        <is>
          <t>מעבדה - שונות</t>
        </is>
      </c>
      <c r="E357" t="inlineStr">
        <is>
          <t>2026-07</t>
        </is>
      </c>
      <c r="F357" t="n">
        <v>220</v>
      </c>
      <c r="G357" t="n">
        <v>259.6</v>
      </c>
      <c r="H357">
        <f>הגדרות!B2</f>
        <v/>
      </c>
      <c r="I357">
        <f>F357*(1-H357/100)*1.18</f>
        <v/>
      </c>
      <c r="J357">
        <f>הגדרות!C2</f>
        <v/>
      </c>
      <c r="K357">
        <f>הגדרות!D2</f>
        <v/>
      </c>
      <c r="L357">
        <f>I357*(1+J357/100)+K357</f>
        <v/>
      </c>
    </row>
    <row r="358">
      <c r="A358" t="inlineStr">
        <is>
          <t>בית ארז (מילטין)</t>
        </is>
      </c>
      <c r="B358" t="inlineStr">
        <is>
          <t>קופרוסול - נוזל להצפת צואה 2 - ל'</t>
        </is>
      </c>
      <c r="C358" t="inlineStr">
        <is>
          <t>מעבדה - שונות</t>
        </is>
      </c>
      <c r="E358" t="inlineStr">
        <is>
          <t>2026-07</t>
        </is>
      </c>
      <c r="F358" t="n">
        <v>90</v>
      </c>
      <c r="G358" t="n">
        <v>106.2</v>
      </c>
      <c r="H358">
        <f>הגדרות!B2</f>
        <v/>
      </c>
      <c r="I358">
        <f>F358*(1-H358/100)*1.18</f>
        <v/>
      </c>
      <c r="J358">
        <f>הגדרות!C2</f>
        <v/>
      </c>
      <c r="K358">
        <f>הגדרות!D2</f>
        <v/>
      </c>
      <c r="L358">
        <f>I358*(1+J358/100)+K358</f>
        <v/>
      </c>
    </row>
    <row r="359">
      <c r="A359" t="inlineStr">
        <is>
          <t>בית ארז (מילטין)</t>
        </is>
      </c>
      <c r="B359" t="inlineStr">
        <is>
          <t>כלי ללקיחת ביופסיה עורית Biopsy Punch 4mm</t>
        </is>
      </c>
      <c r="C359" t="inlineStr">
        <is>
          <t>מעבדה - שונות</t>
        </is>
      </c>
      <c r="E359" t="inlineStr">
        <is>
          <t>2026-07</t>
        </is>
      </c>
      <c r="F359" t="n">
        <v>10</v>
      </c>
      <c r="G359" t="n">
        <v>11.8</v>
      </c>
      <c r="H359">
        <f>הגדרות!B2</f>
        <v/>
      </c>
      <c r="I359">
        <f>F359*(1-H359/100)*1.18</f>
        <v/>
      </c>
      <c r="J359">
        <f>הגדרות!C2</f>
        <v/>
      </c>
      <c r="K359">
        <f>הגדרות!D2</f>
        <v/>
      </c>
      <c r="L359">
        <f>I359*(1+J359/100)+K359</f>
        <v/>
      </c>
    </row>
    <row r="360">
      <c r="A360" t="inlineStr">
        <is>
          <t>בית ארז (מילטין)</t>
        </is>
      </c>
      <c r="B360" t="inlineStr">
        <is>
          <t>כלי ללקיחת ביופסיה עורית Biopsy Punch 6mm</t>
        </is>
      </c>
      <c r="C360" t="inlineStr">
        <is>
          <t>מעבדה - שונות</t>
        </is>
      </c>
      <c r="E360" t="inlineStr">
        <is>
          <t>2026-07</t>
        </is>
      </c>
      <c r="F360" t="n">
        <v>10</v>
      </c>
      <c r="G360" t="n">
        <v>11.8</v>
      </c>
      <c r="H360">
        <f>הגדרות!B2</f>
        <v/>
      </c>
      <c r="I360">
        <f>F360*(1-H360/100)*1.18</f>
        <v/>
      </c>
      <c r="J360">
        <f>הגדרות!C2</f>
        <v/>
      </c>
      <c r="K360">
        <f>הגדרות!D2</f>
        <v/>
      </c>
      <c r="L360">
        <f>I360*(1+J360/100)+K360</f>
        <v/>
      </c>
    </row>
    <row r="361">
      <c r="A361" t="inlineStr">
        <is>
          <t>בית ארז (מילטין)</t>
        </is>
      </c>
      <c r="B361" t="inlineStr">
        <is>
          <t>ג'ל אולטרסאונד 260 - ג'</t>
        </is>
      </c>
      <c r="C361" t="inlineStr">
        <is>
          <t>מעבדה - שונות</t>
        </is>
      </c>
      <c r="E361" t="inlineStr">
        <is>
          <t>2026-07</t>
        </is>
      </c>
      <c r="F361" t="n">
        <v>8</v>
      </c>
      <c r="G361" t="n">
        <v>9.44</v>
      </c>
      <c r="H361">
        <f>הגדרות!B2</f>
        <v/>
      </c>
      <c r="I361">
        <f>F361*(1-H361/100)*1.18</f>
        <v/>
      </c>
      <c r="J361">
        <f>הגדרות!C2</f>
        <v/>
      </c>
      <c r="K361">
        <f>הגדרות!D2</f>
        <v/>
      </c>
      <c r="L361">
        <f>I361*(1+J361/100)+K361</f>
        <v/>
      </c>
    </row>
    <row r="362">
      <c r="A362" t="inlineStr">
        <is>
          <t>בית ארז (מילטין)</t>
        </is>
      </c>
      <c r="B362" t="inlineStr">
        <is>
          <t>ג'ל אולטרסאונד 5 - ליטר</t>
        </is>
      </c>
      <c r="C362" t="inlineStr">
        <is>
          <t>מעבדה - שונות</t>
        </is>
      </c>
      <c r="E362" t="inlineStr">
        <is>
          <t>2026-07</t>
        </is>
      </c>
      <c r="F362" t="n">
        <v>110</v>
      </c>
      <c r="G362" t="n">
        <v>129.8</v>
      </c>
      <c r="H362">
        <f>הגדרות!B2</f>
        <v/>
      </c>
      <c r="I362">
        <f>F362*(1-H362/100)*1.18</f>
        <v/>
      </c>
      <c r="J362">
        <f>הגדרות!C2</f>
        <v/>
      </c>
      <c r="K362">
        <f>הגדרות!D2</f>
        <v/>
      </c>
      <c r="L362">
        <f>I362*(1+J362/100)+K362</f>
        <v/>
      </c>
    </row>
    <row r="363">
      <c r="A363" t="inlineStr">
        <is>
          <t>בית ארז (מילטין)</t>
        </is>
      </c>
      <c r="B363" t="inlineStr">
        <is>
          <t>יוריצ'ק - סטיקים לבדיקת שתן 100 - יח'</t>
        </is>
      </c>
      <c r="C363" t="inlineStr">
        <is>
          <t>מעבדה - שונות</t>
        </is>
      </c>
      <c r="E363" t="inlineStr">
        <is>
          <t>2026-07</t>
        </is>
      </c>
      <c r="F363" t="n">
        <v>88</v>
      </c>
      <c r="G363" t="n">
        <v>103.84</v>
      </c>
      <c r="H363">
        <f>הגדרות!B2</f>
        <v/>
      </c>
      <c r="I363">
        <f>F363*(1-H363/100)*1.18</f>
        <v/>
      </c>
      <c r="J363">
        <f>הגדרות!C2</f>
        <v/>
      </c>
      <c r="K363">
        <f>הגדרות!D2</f>
        <v/>
      </c>
      <c r="L363">
        <f>I363*(1+J363/100)+K363</f>
        <v/>
      </c>
    </row>
    <row r="364">
      <c r="A364" t="inlineStr">
        <is>
          <t>בית ארז (מילטין)</t>
        </is>
      </c>
      <c r="B364" t="inlineStr">
        <is>
          <t>מד סוכר (גלוקומטר) Accu-Chek Instant Roche</t>
        </is>
      </c>
      <c r="C364" t="inlineStr">
        <is>
          <t>מעבדה - שונות</t>
        </is>
      </c>
      <c r="E364" t="inlineStr">
        <is>
          <t>2026-07</t>
        </is>
      </c>
      <c r="F364" t="n">
        <v>70</v>
      </c>
      <c r="G364" t="n">
        <v>82.59999999999999</v>
      </c>
      <c r="H364">
        <f>הגדרות!B2</f>
        <v/>
      </c>
      <c r="I364">
        <f>F364*(1-H364/100)*1.18</f>
        <v/>
      </c>
      <c r="J364">
        <f>הגדרות!C2</f>
        <v/>
      </c>
      <c r="K364">
        <f>הגדרות!D2</f>
        <v/>
      </c>
      <c r="L364">
        <f>I364*(1+J364/100)+K364</f>
        <v/>
      </c>
    </row>
    <row r="365">
      <c r="A365" t="inlineStr">
        <is>
          <t>בית ארז (מילטין)</t>
        </is>
      </c>
      <c r="B365" t="inlineStr">
        <is>
          <t>מכשיר בדיקת קטונים בדם</t>
        </is>
      </c>
      <c r="C365" t="inlineStr">
        <is>
          <t>מעבדה - שונות</t>
        </is>
      </c>
      <c r="E365" t="inlineStr">
        <is>
          <t>2026-07</t>
        </is>
      </c>
      <c r="F365" t="n">
        <v>110</v>
      </c>
      <c r="G365" t="n">
        <v>129.8</v>
      </c>
      <c r="H365">
        <f>הגדרות!B2</f>
        <v/>
      </c>
      <c r="I365">
        <f>F365*(1-H365/100)*1.18</f>
        <v/>
      </c>
      <c r="J365">
        <f>הגדרות!C2</f>
        <v/>
      </c>
      <c r="K365">
        <f>הגדרות!D2</f>
        <v/>
      </c>
      <c r="L365">
        <f>I365*(1+J365/100)+K365</f>
        <v/>
      </c>
    </row>
    <row r="366">
      <c r="A366" t="inlineStr">
        <is>
          <t>בית ארז (מילטין)</t>
        </is>
      </c>
      <c r="B366" t="inlineStr">
        <is>
          <t>סטריפים למכשיר בדיקת קטונים בדם 20 - יח'</t>
        </is>
      </c>
      <c r="C366" t="inlineStr">
        <is>
          <t>מעבדה - שונות</t>
        </is>
      </c>
      <c r="E366" t="inlineStr">
        <is>
          <t>2026-07</t>
        </is>
      </c>
      <c r="F366" t="n">
        <v>250</v>
      </c>
      <c r="G366" t="n">
        <v>295</v>
      </c>
      <c r="H366">
        <f>הגדרות!B2</f>
        <v/>
      </c>
      <c r="I366">
        <f>F366*(1-H366/100)*1.18</f>
        <v/>
      </c>
      <c r="J366">
        <f>הגדרות!C2</f>
        <v/>
      </c>
      <c r="K366">
        <f>הגדרות!D2</f>
        <v/>
      </c>
      <c r="L366">
        <f>I366*(1+J366/100)+K366</f>
        <v/>
      </c>
    </row>
    <row r="367">
      <c r="A367" t="inlineStr">
        <is>
          <t>בית ארז (מילטין)</t>
        </is>
      </c>
      <c r="B367" t="inlineStr">
        <is>
          <t>צנרת סקשיין 2 מטר</t>
        </is>
      </c>
      <c r="C367" t="inlineStr">
        <is>
          <t>ניתוח</t>
        </is>
      </c>
      <c r="E367" t="inlineStr">
        <is>
          <t>2026-07</t>
        </is>
      </c>
      <c r="F367" t="n">
        <v>7</v>
      </c>
      <c r="G367" t="n">
        <v>8.26</v>
      </c>
      <c r="H367">
        <f>הגדרות!B2</f>
        <v/>
      </c>
      <c r="I367">
        <f>F367*(1-H367/100)*1.18</f>
        <v/>
      </c>
      <c r="J367">
        <f>הגדרות!C2</f>
        <v/>
      </c>
      <c r="K367">
        <f>הגדרות!D2</f>
        <v/>
      </c>
      <c r="L367">
        <f>I367*(1+J367/100)+K367</f>
        <v/>
      </c>
    </row>
    <row r="368">
      <c r="A368" t="inlineStr">
        <is>
          <t>בית ארז (מילטין)</t>
        </is>
      </c>
      <c r="B368" t="inlineStr">
        <is>
          <t>נקז אקטיבי שטוח Reservoir 100ml - 7mm flat drain</t>
        </is>
      </c>
      <c r="C368" t="inlineStr">
        <is>
          <t>ניתוח</t>
        </is>
      </c>
      <c r="E368" t="inlineStr">
        <is>
          <t>2026-07</t>
        </is>
      </c>
      <c r="F368" t="n">
        <v>59</v>
      </c>
      <c r="G368" t="n">
        <v>69.62</v>
      </c>
      <c r="H368">
        <f>הגדרות!B2</f>
        <v/>
      </c>
      <c r="I368">
        <f>F368*(1-H368/100)*1.18</f>
        <v/>
      </c>
      <c r="J368">
        <f>הגדרות!C2</f>
        <v/>
      </c>
      <c r="K368">
        <f>הגדרות!D2</f>
        <v/>
      </c>
      <c r="L368">
        <f>I368*(1+J368/100)+K368</f>
        <v/>
      </c>
    </row>
    <row r="369">
      <c r="A369" t="inlineStr">
        <is>
          <t>בית ארז (מילטין)</t>
        </is>
      </c>
      <c r="B369" t="inlineStr">
        <is>
          <t>פד גזה לא ארוג 10X10 ס"מ 4 שכבות 100 - יח'</t>
        </is>
      </c>
      <c r="C369" t="inlineStr">
        <is>
          <t>ניתוח</t>
        </is>
      </c>
      <c r="E369" t="inlineStr">
        <is>
          <t>2026-07</t>
        </is>
      </c>
      <c r="F369" t="n">
        <v>6</v>
      </c>
      <c r="G369" t="n">
        <v>7.08</v>
      </c>
      <c r="H369">
        <f>הגדרות!B2</f>
        <v/>
      </c>
      <c r="I369">
        <f>F369*(1-H369/100)*1.18</f>
        <v/>
      </c>
      <c r="J369">
        <f>הגדרות!C2</f>
        <v/>
      </c>
      <c r="K369">
        <f>הגדרות!D2</f>
        <v/>
      </c>
      <c r="L369">
        <f>I369*(1+J369/100)+K369</f>
        <v/>
      </c>
    </row>
    <row r="370">
      <c r="A370" t="inlineStr">
        <is>
          <t>בית ארז (מילטין)</t>
        </is>
      </c>
      <c r="B370" t="inlineStr">
        <is>
          <t>פד גזה ארוג 10X10 ס"מ 8 שכבות 100 - יח'</t>
        </is>
      </c>
      <c r="C370" t="inlineStr">
        <is>
          <t>ניתוח</t>
        </is>
      </c>
      <c r="E370" t="inlineStr">
        <is>
          <t>2026-07</t>
        </is>
      </c>
      <c r="F370" t="n">
        <v>10</v>
      </c>
      <c r="G370" t="n">
        <v>11.8</v>
      </c>
      <c r="H370">
        <f>הגדרות!B2</f>
        <v/>
      </c>
      <c r="I370">
        <f>F370*(1-H370/100)*1.18</f>
        <v/>
      </c>
      <c r="J370">
        <f>הגדרות!C2</f>
        <v/>
      </c>
      <c r="K370">
        <f>הגדרות!D2</f>
        <v/>
      </c>
      <c r="L370">
        <f>I370*(1+J370/100)+K370</f>
        <v/>
      </c>
    </row>
    <row r="371">
      <c r="A371" t="inlineStr">
        <is>
          <t>בית ארז (מילטין)</t>
        </is>
      </c>
      <c r="B371" t="inlineStr">
        <is>
          <t>פד גזה לניתוח (פס כחול) 10X10 ס"מ 12 שכבות 1 - ק"ג</t>
        </is>
      </c>
      <c r="C371" t="inlineStr">
        <is>
          <t>ניתוח</t>
        </is>
      </c>
      <c r="E371" t="inlineStr">
        <is>
          <t>2026-07</t>
        </is>
      </c>
      <c r="F371" t="n">
        <v>58</v>
      </c>
      <c r="G371" t="n">
        <v>68.44</v>
      </c>
      <c r="H371">
        <f>הגדרות!B2</f>
        <v/>
      </c>
      <c r="I371">
        <f>F371*(1-H371/100)*1.18</f>
        <v/>
      </c>
      <c r="J371">
        <f>הגדרות!C2</f>
        <v/>
      </c>
      <c r="K371">
        <f>הגדרות!D2</f>
        <v/>
      </c>
      <c r="L371">
        <f>I371*(1+J371/100)+K371</f>
        <v/>
      </c>
    </row>
    <row r="372">
      <c r="A372" t="inlineStr">
        <is>
          <t>בית ארז (מילטין)</t>
        </is>
      </c>
      <c r="B372" t="inlineStr">
        <is>
          <t>פד גזה סטרילי לניתוח (פס כחול) 10X10 ס"מ 12 שכבות</t>
        </is>
      </c>
      <c r="C372" t="inlineStr">
        <is>
          <t>ניתוח</t>
        </is>
      </c>
      <c r="E372" t="inlineStr">
        <is>
          <t>2026-07</t>
        </is>
      </c>
      <c r="F372" t="n">
        <v>3</v>
      </c>
      <c r="G372" t="n">
        <v>3.54</v>
      </c>
      <c r="H372">
        <f>הגדרות!B2</f>
        <v/>
      </c>
      <c r="I372">
        <f>F372*(1-H372/100)*1.18</f>
        <v/>
      </c>
      <c r="J372">
        <f>הגדרות!C2</f>
        <v/>
      </c>
      <c r="K372">
        <f>הגדרות!D2</f>
        <v/>
      </c>
      <c r="L372">
        <f>I372*(1+J372/100)+K372</f>
        <v/>
      </c>
    </row>
    <row r="373">
      <c r="A373" t="inlineStr">
        <is>
          <t>בית ארז (מילטין)</t>
        </is>
      </c>
      <c r="B373" t="inlineStr">
        <is>
          <t>פד גזה אבדומינלי 30X30 ס"מ 5 - יח'</t>
        </is>
      </c>
      <c r="C373" t="inlineStr">
        <is>
          <t>ניתוח</t>
        </is>
      </c>
      <c r="E373" t="inlineStr">
        <is>
          <t>2026-07</t>
        </is>
      </c>
      <c r="F373" t="n">
        <v>13</v>
      </c>
      <c r="G373" t="n">
        <v>15.34</v>
      </c>
      <c r="H373">
        <f>הגדרות!B2</f>
        <v/>
      </c>
      <c r="I373">
        <f>F373*(1-H373/100)*1.18</f>
        <v/>
      </c>
      <c r="J373">
        <f>הגדרות!C2</f>
        <v/>
      </c>
      <c r="K373">
        <f>הגדרות!D2</f>
        <v/>
      </c>
      <c r="L373">
        <f>I373*(1+J373/100)+K373</f>
        <v/>
      </c>
    </row>
    <row r="374">
      <c r="A374" t="inlineStr">
        <is>
          <t>בית ארז (מילטין)</t>
        </is>
      </c>
      <c r="B374" t="inlineStr">
        <is>
          <t>פד גזה אבדומינלי 45X45 ס"מ 5 - יח'</t>
        </is>
      </c>
      <c r="C374" t="inlineStr">
        <is>
          <t>ניתוח</t>
        </is>
      </c>
      <c r="E374" t="inlineStr">
        <is>
          <t>2026-07</t>
        </is>
      </c>
      <c r="F374" t="n">
        <v>21</v>
      </c>
      <c r="G374" t="n">
        <v>24.78</v>
      </c>
      <c r="H374">
        <f>הגדרות!B2</f>
        <v/>
      </c>
      <c r="I374">
        <f>F374*(1-H374/100)*1.18</f>
        <v/>
      </c>
      <c r="J374">
        <f>הגדרות!C2</f>
        <v/>
      </c>
      <c r="K374">
        <f>הגדרות!D2</f>
        <v/>
      </c>
      <c r="L374">
        <f>I374*(1+J374/100)+K374</f>
        <v/>
      </c>
    </row>
    <row r="375">
      <c r="A375" t="inlineStr">
        <is>
          <t>בית ארז (מילטין)</t>
        </is>
      </c>
      <c r="B375" t="inlineStr">
        <is>
          <t>פילטר סטרילי 22/15 מ"מ למע' הנשמה HMEF</t>
        </is>
      </c>
      <c r="C375" t="inlineStr">
        <is>
          <t>ניתוח</t>
        </is>
      </c>
      <c r="E375" t="inlineStr">
        <is>
          <t>2026-07</t>
        </is>
      </c>
      <c r="F375" t="n">
        <v>12</v>
      </c>
      <c r="G375" t="n">
        <v>14.16</v>
      </c>
      <c r="H375">
        <f>הגדרות!B2</f>
        <v/>
      </c>
      <c r="I375">
        <f>F375*(1-H375/100)*1.18</f>
        <v/>
      </c>
      <c r="J375">
        <f>הגדרות!C2</f>
        <v/>
      </c>
      <c r="K375">
        <f>הגדרות!D2</f>
        <v/>
      </c>
      <c r="L375">
        <f>I375*(1+J375/100)+K375</f>
        <v/>
      </c>
    </row>
    <row r="376">
      <c r="A376" t="inlineStr">
        <is>
          <t>בית ארז (מילטין)</t>
        </is>
      </c>
      <c r="B376" t="inlineStr">
        <is>
          <t>עיפרון ניתוח סטרילי (דיאטרמיה) - כבל 3 מטרים</t>
        </is>
      </c>
      <c r="C376" t="inlineStr">
        <is>
          <t>ניתוח</t>
        </is>
      </c>
      <c r="E376" t="inlineStr">
        <is>
          <t>2026-07</t>
        </is>
      </c>
      <c r="F376" t="n">
        <v>14</v>
      </c>
      <c r="G376" t="n">
        <v>16.52</v>
      </c>
      <c r="H376">
        <f>הגדרות!B2</f>
        <v/>
      </c>
      <c r="I376">
        <f>F376*(1-H376/100)*1.18</f>
        <v/>
      </c>
      <c r="J376">
        <f>הגדרות!C2</f>
        <v/>
      </c>
      <c r="K376">
        <f>הגדרות!D2</f>
        <v/>
      </c>
      <c r="L376">
        <f>I376*(1+J376/100)+K376</f>
        <v/>
      </c>
    </row>
    <row r="377">
      <c r="A377" t="inlineStr">
        <is>
          <t>בית ארז (מילטין)</t>
        </is>
      </c>
      <c r="B377" t="inlineStr">
        <is>
          <t>בלון הנשמה מסיליקון 0.5 ליטר</t>
        </is>
      </c>
      <c r="C377" t="inlineStr">
        <is>
          <t>ניתוח</t>
        </is>
      </c>
      <c r="E377" t="inlineStr">
        <is>
          <t>2026-07</t>
        </is>
      </c>
      <c r="F377" t="n">
        <v>130</v>
      </c>
      <c r="G377" t="n">
        <v>153.4</v>
      </c>
      <c r="H377">
        <f>הגדרות!B2</f>
        <v/>
      </c>
      <c r="I377">
        <f>F377*(1-H377/100)*1.18</f>
        <v/>
      </c>
      <c r="J377">
        <f>הגדרות!C2</f>
        <v/>
      </c>
      <c r="K377">
        <f>הגדרות!D2</f>
        <v/>
      </c>
      <c r="L377">
        <f>I377*(1+J377/100)+K377</f>
        <v/>
      </c>
    </row>
    <row r="378">
      <c r="A378" t="inlineStr">
        <is>
          <t>בית ארז (מילטין)</t>
        </is>
      </c>
      <c r="B378" t="inlineStr">
        <is>
          <t>בלון הנשמה מסיליקון 1 ליטר</t>
        </is>
      </c>
      <c r="C378" t="inlineStr">
        <is>
          <t>ניתוח</t>
        </is>
      </c>
      <c r="E378" t="inlineStr">
        <is>
          <t>2026-07</t>
        </is>
      </c>
      <c r="F378" t="n">
        <v>140</v>
      </c>
      <c r="G378" t="n">
        <v>165.2</v>
      </c>
      <c r="H378">
        <f>הגדרות!B2</f>
        <v/>
      </c>
      <c r="I378">
        <f>F378*(1-H378/100)*1.18</f>
        <v/>
      </c>
      <c r="J378">
        <f>הגדרות!C2</f>
        <v/>
      </c>
      <c r="K378">
        <f>הגדרות!D2</f>
        <v/>
      </c>
      <c r="L378">
        <f>I378*(1+J378/100)+K378</f>
        <v/>
      </c>
    </row>
    <row r="379">
      <c r="A379" t="inlineStr">
        <is>
          <t>בית ארז (מילטין)</t>
        </is>
      </c>
      <c r="B379" t="inlineStr">
        <is>
          <t>בלון הנשמה מסיליקון 2 ליטר</t>
        </is>
      </c>
      <c r="C379" t="inlineStr">
        <is>
          <t>ניתוח</t>
        </is>
      </c>
      <c r="E379" t="inlineStr">
        <is>
          <t>2026-07</t>
        </is>
      </c>
      <c r="F379" t="n">
        <v>160</v>
      </c>
      <c r="G379" t="n">
        <v>188.8</v>
      </c>
      <c r="H379">
        <f>הגדרות!B2</f>
        <v/>
      </c>
      <c r="I379">
        <f>F379*(1-H379/100)*1.18</f>
        <v/>
      </c>
      <c r="J379">
        <f>הגדרות!C2</f>
        <v/>
      </c>
      <c r="K379">
        <f>הגדרות!D2</f>
        <v/>
      </c>
      <c r="L379">
        <f>I379*(1+J379/100)+K379</f>
        <v/>
      </c>
    </row>
    <row r="380">
      <c r="A380" t="inlineStr">
        <is>
          <t>בית ארז (מילטין)</t>
        </is>
      </c>
      <c r="B380" t="inlineStr">
        <is>
          <t>נקז לטקס סטרילי עם סמן רנטגן PENROSE DRAIN "1/4</t>
        </is>
      </c>
      <c r="C380" t="inlineStr">
        <is>
          <t>ניתוח</t>
        </is>
      </c>
      <c r="E380" t="inlineStr">
        <is>
          <t>2026-07</t>
        </is>
      </c>
      <c r="F380" t="n">
        <v>4</v>
      </c>
      <c r="G380" t="n">
        <v>4.72</v>
      </c>
      <c r="H380">
        <f>הגדרות!B2</f>
        <v/>
      </c>
      <c r="I380">
        <f>F380*(1-H380/100)*1.18</f>
        <v/>
      </c>
      <c r="J380">
        <f>הגדרות!C2</f>
        <v/>
      </c>
      <c r="K380">
        <f>הגדרות!D2</f>
        <v/>
      </c>
      <c r="L380">
        <f>I380*(1+J380/100)+K380</f>
        <v/>
      </c>
    </row>
    <row r="381">
      <c r="A381" t="inlineStr">
        <is>
          <t>בית ארז (מילטין)</t>
        </is>
      </c>
      <c r="B381" t="inlineStr">
        <is>
          <t>נקז לטקס סטרילי עם סמן רנטגן PENROSE DRAIN "1/2</t>
        </is>
      </c>
      <c r="C381" t="inlineStr">
        <is>
          <t>ניתוח</t>
        </is>
      </c>
      <c r="E381" t="inlineStr">
        <is>
          <t>2026-07</t>
        </is>
      </c>
      <c r="F381" t="n">
        <v>4</v>
      </c>
      <c r="G381" t="n">
        <v>4.72</v>
      </c>
      <c r="H381">
        <f>הגדרות!B2</f>
        <v/>
      </c>
      <c r="I381">
        <f>F381*(1-H381/100)*1.18</f>
        <v/>
      </c>
      <c r="J381">
        <f>הגדרות!C2</f>
        <v/>
      </c>
      <c r="K381">
        <f>הגדרות!D2</f>
        <v/>
      </c>
      <c r="L381">
        <f>I381*(1+J381/100)+K381</f>
        <v/>
      </c>
    </row>
    <row r="382">
      <c r="A382" t="inlineStr">
        <is>
          <t>בית ארז (מילטין)</t>
        </is>
      </c>
      <c r="B382" t="inlineStr">
        <is>
          <t>סדיניות ניתוח/אשפוז 60X90 ס"מ 30 - יח' SERENITY</t>
        </is>
      </c>
      <c r="C382" t="inlineStr">
        <is>
          <t>ניתוח</t>
        </is>
      </c>
      <c r="E382" t="inlineStr">
        <is>
          <t>2026-07</t>
        </is>
      </c>
      <c r="F382" t="n">
        <v>57</v>
      </c>
      <c r="G382" t="n">
        <v>67.26000000000001</v>
      </c>
      <c r="H382">
        <f>הגדרות!B2</f>
        <v/>
      </c>
      <c r="I382">
        <f>F382*(1-H382/100)*1.18</f>
        <v/>
      </c>
      <c r="J382">
        <f>הגדרות!C2</f>
        <v/>
      </c>
      <c r="K382">
        <f>הגדרות!D2</f>
        <v/>
      </c>
      <c r="L382">
        <f>I382*(1+J382/100)+K382</f>
        <v/>
      </c>
    </row>
    <row r="383">
      <c r="A383" t="inlineStr">
        <is>
          <t>בית ארז (מילטין)</t>
        </is>
      </c>
      <c r="B383" t="inlineStr">
        <is>
          <t>מרקר עורי (קצה דק ורגיל) + סרגל - ערכה סטרילית</t>
        </is>
      </c>
      <c r="C383" t="inlineStr">
        <is>
          <t>ניתוח</t>
        </is>
      </c>
      <c r="E383" t="inlineStr">
        <is>
          <t>2026-07</t>
        </is>
      </c>
      <c r="F383" t="n">
        <v>10</v>
      </c>
      <c r="G383" t="n">
        <v>11.8</v>
      </c>
      <c r="H383">
        <f>הגדרות!B2</f>
        <v/>
      </c>
      <c r="I383">
        <f>F383*(1-H383/100)*1.18</f>
        <v/>
      </c>
      <c r="J383">
        <f>הגדרות!C2</f>
        <v/>
      </c>
      <c r="K383">
        <f>הגדרות!D2</f>
        <v/>
      </c>
      <c r="L383">
        <f>I383*(1+J383/100)+K383</f>
        <v/>
      </c>
    </row>
    <row r="384">
      <c r="A384" t="inlineStr">
        <is>
          <t>בית ארז (מילטין)</t>
        </is>
      </c>
      <c r="B384" t="inlineStr">
        <is>
          <t>סדין ניתוח סטרילי 45x60cm</t>
        </is>
      </c>
      <c r="C384" t="inlineStr">
        <is>
          <t>ניתוח</t>
        </is>
      </c>
      <c r="E384" t="inlineStr">
        <is>
          <t>2026-07</t>
        </is>
      </c>
      <c r="F384" t="n">
        <v>3</v>
      </c>
      <c r="G384" t="n">
        <v>3.54</v>
      </c>
      <c r="H384">
        <f>הגדרות!B2</f>
        <v/>
      </c>
      <c r="I384">
        <f>F384*(1-H384/100)*1.18</f>
        <v/>
      </c>
      <c r="J384">
        <f>הגדרות!C2</f>
        <v/>
      </c>
      <c r="K384">
        <f>הגדרות!D2</f>
        <v/>
      </c>
      <c r="L384">
        <f>I384*(1+J384/100)+K384</f>
        <v/>
      </c>
    </row>
    <row r="385">
      <c r="A385" t="inlineStr">
        <is>
          <t>בית ארז (מילטין)</t>
        </is>
      </c>
      <c r="B385" t="inlineStr">
        <is>
          <t>סדין ניתוח סטרילי 60x90cm</t>
        </is>
      </c>
      <c r="C385" t="inlineStr">
        <is>
          <t>ניתוח</t>
        </is>
      </c>
      <c r="E385" t="inlineStr">
        <is>
          <t>2026-07</t>
        </is>
      </c>
      <c r="F385" t="n">
        <v>4</v>
      </c>
      <c r="G385" t="n">
        <v>4.72</v>
      </c>
      <c r="H385">
        <f>הגדרות!B2</f>
        <v/>
      </c>
      <c r="I385">
        <f>F385*(1-H385/100)*1.18</f>
        <v/>
      </c>
      <c r="J385">
        <f>הגדרות!C2</f>
        <v/>
      </c>
      <c r="K385">
        <f>הגדרות!D2</f>
        <v/>
      </c>
      <c r="L385">
        <f>I385*(1+J385/100)+K385</f>
        <v/>
      </c>
    </row>
    <row r="386">
      <c r="A386" t="inlineStr">
        <is>
          <t>בית ארז (מילטין)</t>
        </is>
      </c>
      <c r="B386" t="inlineStr">
        <is>
          <t>סדין ניתוח סטרילי 90x120cm</t>
        </is>
      </c>
      <c r="C386" t="inlineStr">
        <is>
          <t>ניתוח</t>
        </is>
      </c>
      <c r="E386" t="inlineStr">
        <is>
          <t>2026-07</t>
        </is>
      </c>
      <c r="F386" t="n">
        <v>6</v>
      </c>
      <c r="G386" t="n">
        <v>7.08</v>
      </c>
      <c r="H386">
        <f>הגדרות!B2</f>
        <v/>
      </c>
      <c r="I386">
        <f>F386*(1-H386/100)*1.18</f>
        <v/>
      </c>
      <c r="J386">
        <f>הגדרות!C2</f>
        <v/>
      </c>
      <c r="K386">
        <f>הגדרות!D2</f>
        <v/>
      </c>
      <c r="L386">
        <f>I386*(1+J386/100)+K386</f>
        <v/>
      </c>
    </row>
    <row r="387">
      <c r="A387" t="inlineStr">
        <is>
          <t>בית ארז (מילטין)</t>
        </is>
      </c>
      <c r="B387" t="inlineStr">
        <is>
          <t>סדין ניתוח סטרילי 31x44cm עם חור 3.5X9cm</t>
        </is>
      </c>
      <c r="C387" t="inlineStr">
        <is>
          <t>ניתוח</t>
        </is>
      </c>
      <c r="E387" t="inlineStr">
        <is>
          <t>2026-07</t>
        </is>
      </c>
      <c r="F387" t="n">
        <v>3</v>
      </c>
      <c r="G387" t="n">
        <v>3.54</v>
      </c>
      <c r="H387">
        <f>הגדרות!B2</f>
        <v/>
      </c>
      <c r="I387">
        <f>F387*(1-H387/100)*1.18</f>
        <v/>
      </c>
      <c r="J387">
        <f>הגדרות!C2</f>
        <v/>
      </c>
      <c r="K387">
        <f>הגדרות!D2</f>
        <v/>
      </c>
      <c r="L387">
        <f>I387*(1+J387/100)+K387</f>
        <v/>
      </c>
    </row>
    <row r="388">
      <c r="A388" t="inlineStr">
        <is>
          <t>בית ארז (מילטין)</t>
        </is>
      </c>
      <c r="B388" t="inlineStr">
        <is>
          <t>סדין ניתוח סטרילי 44x74cm עם חור 7X20cm</t>
        </is>
      </c>
      <c r="C388" t="inlineStr">
        <is>
          <t>ניתוח</t>
        </is>
      </c>
      <c r="E388" t="inlineStr">
        <is>
          <t>2026-07</t>
        </is>
      </c>
      <c r="F388" t="n">
        <v>5</v>
      </c>
      <c r="G388" t="n">
        <v>5.9</v>
      </c>
      <c r="H388">
        <f>הגדרות!B2</f>
        <v/>
      </c>
      <c r="I388">
        <f>F388*(1-H388/100)*1.18</f>
        <v/>
      </c>
      <c r="J388">
        <f>הגדרות!C2</f>
        <v/>
      </c>
      <c r="K388">
        <f>הגדרות!D2</f>
        <v/>
      </c>
      <c r="L388">
        <f>I388*(1+J388/100)+K388</f>
        <v/>
      </c>
    </row>
    <row r="389">
      <c r="A389" t="inlineStr">
        <is>
          <t>בית ארז (מילטין)</t>
        </is>
      </c>
      <c r="B389" t="inlineStr">
        <is>
          <t>נקז לטקס סטרילי עם סמן רנטגן PENROSE DRAIN ''1</t>
        </is>
      </c>
      <c r="C389" t="inlineStr">
        <is>
          <t>ניתוח</t>
        </is>
      </c>
      <c r="E389" t="inlineStr">
        <is>
          <t>2026-07</t>
        </is>
      </c>
      <c r="F389" t="n">
        <v>4</v>
      </c>
      <c r="G389" t="n">
        <v>4.72</v>
      </c>
      <c r="H389">
        <f>הגדרות!B2</f>
        <v/>
      </c>
      <c r="I389">
        <f>F389*(1-H389/100)*1.18</f>
        <v/>
      </c>
      <c r="J389">
        <f>הגדרות!C2</f>
        <v/>
      </c>
      <c r="K389">
        <f>הגדרות!D2</f>
        <v/>
      </c>
      <c r="L389">
        <f>I389*(1+J389/100)+K389</f>
        <v/>
      </c>
    </row>
    <row r="390">
      <c r="A390" t="inlineStr">
        <is>
          <t>בית ארז (מילטין)</t>
        </is>
      </c>
      <c r="B390" t="inlineStr">
        <is>
          <t>מחזיק צנרת הרדמה/טובוס d-grip</t>
        </is>
      </c>
      <c r="C390" t="inlineStr">
        <is>
          <t>שונות</t>
        </is>
      </c>
      <c r="E390" t="inlineStr">
        <is>
          <t>2026-07</t>
        </is>
      </c>
      <c r="F390" t="n">
        <v>450</v>
      </c>
      <c r="G390" t="n">
        <v>531</v>
      </c>
      <c r="H390">
        <f>הגדרות!B2</f>
        <v/>
      </c>
      <c r="I390">
        <f>F390*(1-H390/100)*1.18</f>
        <v/>
      </c>
      <c r="J390">
        <f>הגדרות!C2</f>
        <v/>
      </c>
      <c r="K390">
        <f>הגדרות!D2</f>
        <v/>
      </c>
      <c r="L390">
        <f>I390*(1+J390/100)+K390</f>
        <v/>
      </c>
    </row>
    <row r="391">
      <c r="A391" t="inlineStr">
        <is>
          <t>בית ארז (מילטין)</t>
        </is>
      </c>
      <c r="B391" t="inlineStr">
        <is>
          <t>מים מזוקקים 5 - ליטר</t>
        </is>
      </c>
      <c r="C391" t="inlineStr">
        <is>
          <t>שונות</t>
        </is>
      </c>
      <c r="E391" t="inlineStr">
        <is>
          <t>2026-07</t>
        </is>
      </c>
      <c r="F391" t="n">
        <v>22</v>
      </c>
      <c r="G391" t="n">
        <v>25.96</v>
      </c>
      <c r="H391">
        <f>הגדרות!B2</f>
        <v/>
      </c>
      <c r="I391">
        <f>F391*(1-H391/100)*1.18</f>
        <v/>
      </c>
      <c r="J391">
        <f>הגדרות!C2</f>
        <v/>
      </c>
      <c r="K391">
        <f>הגדרות!D2</f>
        <v/>
      </c>
      <c r="L391">
        <f>I391*(1+J391/100)+K391</f>
        <v/>
      </c>
    </row>
    <row r="392">
      <c r="A392" t="inlineStr">
        <is>
          <t>בית ארז (מילטין)</t>
        </is>
      </c>
      <c r="B392" t="inlineStr">
        <is>
          <t>מזרק MS מיקרוציפ 8.3*1.5 מ"מ (0409984)</t>
        </is>
      </c>
      <c r="C392" t="inlineStr">
        <is>
          <t>שונות</t>
        </is>
      </c>
      <c r="E392" t="inlineStr">
        <is>
          <t>2026-07</t>
        </is>
      </c>
      <c r="F392" t="n">
        <v>12</v>
      </c>
      <c r="G392" t="n">
        <v>14.16</v>
      </c>
      <c r="H392">
        <f>הגדרות!B2</f>
        <v/>
      </c>
      <c r="I392">
        <f>F392*(1-H392/100)*1.18</f>
        <v/>
      </c>
      <c r="J392">
        <f>הגדרות!C2</f>
        <v/>
      </c>
      <c r="K392">
        <f>הגדרות!D2</f>
        <v/>
      </c>
      <c r="L392">
        <f>I392*(1+J392/100)+K392</f>
        <v/>
      </c>
    </row>
    <row r="393">
      <c r="A393" t="inlineStr">
        <is>
          <t>בית ארז (מילטין)</t>
        </is>
      </c>
      <c r="B393" t="inlineStr">
        <is>
          <t>סטטוסקופ MDF Acoustica 747</t>
        </is>
      </c>
      <c r="C393" t="inlineStr">
        <is>
          <t>שונות</t>
        </is>
      </c>
      <c r="E393" t="inlineStr">
        <is>
          <t>2026-07</t>
        </is>
      </c>
      <c r="F393" t="n">
        <v>270</v>
      </c>
      <c r="G393" t="n">
        <v>318.6</v>
      </c>
      <c r="H393">
        <f>הגדרות!B2</f>
        <v/>
      </c>
      <c r="I393">
        <f>F393*(1-H393/100)*1.18</f>
        <v/>
      </c>
      <c r="J393">
        <f>הגדרות!C2</f>
        <v/>
      </c>
      <c r="K393">
        <f>הגדרות!D2</f>
        <v/>
      </c>
      <c r="L393">
        <f>I393*(1+J393/100)+K393</f>
        <v/>
      </c>
    </row>
    <row r="394">
      <c r="A394" t="inlineStr">
        <is>
          <t>בית ארז (מילטין)</t>
        </is>
      </c>
      <c r="B394" t="inlineStr">
        <is>
          <t>סטטוסקופ MDF Acoustica 747X</t>
        </is>
      </c>
      <c r="C394" t="inlineStr">
        <is>
          <t>שונות</t>
        </is>
      </c>
      <c r="E394" t="inlineStr">
        <is>
          <t>2026-07</t>
        </is>
      </c>
      <c r="F394" t="n">
        <v>450</v>
      </c>
      <c r="G394" t="n">
        <v>531</v>
      </c>
      <c r="H394">
        <f>הגדרות!B2</f>
        <v/>
      </c>
      <c r="I394">
        <f>F394*(1-H394/100)*1.18</f>
        <v/>
      </c>
      <c r="J394">
        <f>הגדרות!C2</f>
        <v/>
      </c>
      <c r="K394">
        <f>הגדרות!D2</f>
        <v/>
      </c>
      <c r="L394">
        <f>I394*(1+J394/100)+K394</f>
        <v/>
      </c>
    </row>
    <row r="395">
      <c r="A395" t="inlineStr">
        <is>
          <t>בית ארז (מילטין)</t>
        </is>
      </c>
      <c r="B395" t="inlineStr">
        <is>
          <t>מד חום דיגיטלי גמיש 10 שניות</t>
        </is>
      </c>
      <c r="C395" t="inlineStr">
        <is>
          <t>שונות</t>
        </is>
      </c>
      <c r="E395" t="inlineStr">
        <is>
          <t>2026-07</t>
        </is>
      </c>
      <c r="F395" t="n">
        <v>20</v>
      </c>
      <c r="G395" t="n">
        <v>23.6</v>
      </c>
      <c r="H395">
        <f>הגדרות!B2</f>
        <v/>
      </c>
      <c r="I395">
        <f>F395*(1-H395/100)*1.18</f>
        <v/>
      </c>
      <c r="J395">
        <f>הגדרות!C2</f>
        <v/>
      </c>
      <c r="K395">
        <f>הגדרות!D2</f>
        <v/>
      </c>
      <c r="L395">
        <f>I395*(1+J395/100)+K395</f>
        <v/>
      </c>
    </row>
    <row r="396">
      <c r="A396" t="inlineStr">
        <is>
          <t>בית ארז (מילטין)</t>
        </is>
      </c>
      <c r="B396" t="inlineStr">
        <is>
          <t>חסם ורידים רחב - שחרור מהיר</t>
        </is>
      </c>
      <c r="C396" t="inlineStr">
        <is>
          <t>שונות</t>
        </is>
      </c>
      <c r="E396" t="inlineStr">
        <is>
          <t>2026-07</t>
        </is>
      </c>
      <c r="F396" t="n">
        <v>7</v>
      </c>
      <c r="G396" t="n">
        <v>8.26</v>
      </c>
      <c r="H396">
        <f>הגדרות!B2</f>
        <v/>
      </c>
      <c r="I396">
        <f>F396*(1-H396/100)*1.18</f>
        <v/>
      </c>
      <c r="J396">
        <f>הגדרות!C2</f>
        <v/>
      </c>
      <c r="K396">
        <f>הגדרות!D2</f>
        <v/>
      </c>
      <c r="L396">
        <f>I396*(1+J396/100)+K396</f>
        <v/>
      </c>
    </row>
    <row r="397">
      <c r="A397" t="inlineStr">
        <is>
          <t>בית ארז (מילטין)</t>
        </is>
      </c>
      <c r="B397" t="inlineStr">
        <is>
          <t>נייר סיטרול 60X60 ס"מ 500 - יח'</t>
        </is>
      </c>
      <c r="C397" t="inlineStr">
        <is>
          <t>שונות</t>
        </is>
      </c>
      <c r="E397" t="inlineStr">
        <is>
          <t>2026-07</t>
        </is>
      </c>
      <c r="F397" t="n">
        <v>285</v>
      </c>
      <c r="G397" t="n">
        <v>336.3</v>
      </c>
      <c r="H397">
        <f>הגדרות!B2</f>
        <v/>
      </c>
      <c r="I397">
        <f>F397*(1-H397/100)*1.18</f>
        <v/>
      </c>
      <c r="J397">
        <f>הגדרות!C2</f>
        <v/>
      </c>
      <c r="K397">
        <f>הגדרות!D2</f>
        <v/>
      </c>
      <c r="L397">
        <f>I397*(1+J397/100)+K397</f>
        <v/>
      </c>
    </row>
    <row r="398">
      <c r="A398" t="inlineStr">
        <is>
          <t>בית ארז (מילטין)</t>
        </is>
      </c>
      <c r="B398" t="inlineStr">
        <is>
          <t>שקיות סיטרול 29X13.5 ס"מ 200 - יח'</t>
        </is>
      </c>
      <c r="C398" t="inlineStr">
        <is>
          <t>שונות</t>
        </is>
      </c>
      <c r="E398" t="inlineStr">
        <is>
          <t>2026-07</t>
        </is>
      </c>
      <c r="F398" t="n">
        <v>50</v>
      </c>
      <c r="G398" t="n">
        <v>59</v>
      </c>
      <c r="H398">
        <f>הגדרות!B2</f>
        <v/>
      </c>
      <c r="I398">
        <f>F398*(1-H398/100)*1.18</f>
        <v/>
      </c>
      <c r="J398">
        <f>הגדרות!C2</f>
        <v/>
      </c>
      <c r="K398">
        <f>הגדרות!D2</f>
        <v/>
      </c>
      <c r="L398">
        <f>I398*(1+J398/100)+K398</f>
        <v/>
      </c>
    </row>
    <row r="399">
      <c r="A399" t="inlineStr">
        <is>
          <t>בית ארז (מילטין)</t>
        </is>
      </c>
      <c r="B399" t="inlineStr">
        <is>
          <t>גליל סיטרול רוחב 10 ס"מ 200 - מ'</t>
        </is>
      </c>
      <c r="C399" t="inlineStr">
        <is>
          <t>שונות</t>
        </is>
      </c>
      <c r="E399" t="inlineStr">
        <is>
          <t>2026-07</t>
        </is>
      </c>
      <c r="F399" t="n">
        <v>90</v>
      </c>
      <c r="G399" t="n">
        <v>106.2</v>
      </c>
      <c r="H399">
        <f>הגדרות!B2</f>
        <v/>
      </c>
      <c r="I399">
        <f>F399*(1-H399/100)*1.18</f>
        <v/>
      </c>
      <c r="J399">
        <f>הגדרות!C2</f>
        <v/>
      </c>
      <c r="K399">
        <f>הגדרות!D2</f>
        <v/>
      </c>
      <c r="L399">
        <f>I399*(1+J399/100)+K399</f>
        <v/>
      </c>
    </row>
    <row r="400">
      <c r="A400" t="inlineStr">
        <is>
          <t>בית ארז (מילטין)</t>
        </is>
      </c>
      <c r="B400" t="inlineStr">
        <is>
          <t>סרט דבק אינדיקטור לאוטוקלאב רוחב 19 מ"מ 50 - מ'</t>
        </is>
      </c>
      <c r="C400" t="inlineStr">
        <is>
          <t>שונות</t>
        </is>
      </c>
      <c r="E400" t="inlineStr">
        <is>
          <t>2026-07</t>
        </is>
      </c>
      <c r="F400" t="n">
        <v>21</v>
      </c>
      <c r="G400" t="n">
        <v>24.78</v>
      </c>
      <c r="H400">
        <f>הגדרות!B2</f>
        <v/>
      </c>
      <c r="I400">
        <f>F400*(1-H400/100)*1.18</f>
        <v/>
      </c>
      <c r="J400">
        <f>הגדרות!C2</f>
        <v/>
      </c>
      <c r="K400">
        <f>הגדרות!D2</f>
        <v/>
      </c>
      <c r="L400">
        <f>I400*(1+J400/100)+K400</f>
        <v/>
      </c>
    </row>
    <row r="401">
      <c r="A401" t="inlineStr">
        <is>
          <t>בית ארז (מילטין)</t>
        </is>
      </c>
      <c r="B401" t="inlineStr">
        <is>
          <t>מקלות עץ לניקוי אוזניים (אפליקטור) 6" וצמר גפן 100 - יח'</t>
        </is>
      </c>
      <c r="C401" t="inlineStr">
        <is>
          <t>שונות</t>
        </is>
      </c>
      <c r="E401" t="inlineStr">
        <is>
          <t>2026-07</t>
        </is>
      </c>
      <c r="F401" t="n">
        <v>3</v>
      </c>
      <c r="G401" t="n">
        <v>3.54</v>
      </c>
      <c r="H401">
        <f>הגדרות!B2</f>
        <v/>
      </c>
      <c r="I401">
        <f>F401*(1-H401/100)*1.18</f>
        <v/>
      </c>
      <c r="J401">
        <f>הגדרות!C2</f>
        <v/>
      </c>
      <c r="K401">
        <f>הגדרות!D2</f>
        <v/>
      </c>
      <c r="L401">
        <f>I401*(1+J401/100)+K401</f>
        <v/>
      </c>
    </row>
    <row r="402">
      <c r="A402" t="inlineStr">
        <is>
          <t>בית ארז (מילטין)</t>
        </is>
      </c>
      <c r="B402" t="inlineStr">
        <is>
          <t>מקלות עץ לבדיקת גרון (שפדלים) 100 - יח'</t>
        </is>
      </c>
      <c r="C402" t="inlineStr">
        <is>
          <t>שונות</t>
        </is>
      </c>
      <c r="E402" t="inlineStr">
        <is>
          <t>2026-07</t>
        </is>
      </c>
      <c r="F402" t="n">
        <v>5</v>
      </c>
      <c r="G402" t="n">
        <v>5.9</v>
      </c>
      <c r="H402">
        <f>הגדרות!B2</f>
        <v/>
      </c>
      <c r="I402">
        <f>F402*(1-H402/100)*1.18</f>
        <v/>
      </c>
      <c r="J402">
        <f>הגדרות!C2</f>
        <v/>
      </c>
      <c r="K402">
        <f>הגדרות!D2</f>
        <v/>
      </c>
      <c r="L402">
        <f>I402*(1+J402/100)+K402</f>
        <v/>
      </c>
    </row>
    <row r="403">
      <c r="A403" t="inlineStr">
        <is>
          <t>בית ארז (מילטין)</t>
        </is>
      </c>
      <c r="B403" t="inlineStr">
        <is>
          <t>כוס שתן סטרילי 125 מ"ל מכסה הברגה אדום 5 - יח'</t>
        </is>
      </c>
      <c r="C403" t="inlineStr">
        <is>
          <t>שונות</t>
        </is>
      </c>
      <c r="E403" t="inlineStr">
        <is>
          <t>2026-07</t>
        </is>
      </c>
      <c r="F403" t="n">
        <v>4</v>
      </c>
      <c r="G403" t="n">
        <v>4.72</v>
      </c>
      <c r="H403">
        <f>הגדרות!B2</f>
        <v/>
      </c>
      <c r="I403">
        <f>F403*(1-H403/100)*1.18</f>
        <v/>
      </c>
      <c r="J403">
        <f>הגדרות!C2</f>
        <v/>
      </c>
      <c r="K403">
        <f>הגדרות!D2</f>
        <v/>
      </c>
      <c r="L403">
        <f>I403*(1+J403/100)+K403</f>
        <v/>
      </c>
    </row>
    <row r="404">
      <c r="A404" t="inlineStr">
        <is>
          <t>בית ארז (מילטין)</t>
        </is>
      </c>
      <c r="B404" t="inlineStr">
        <is>
          <t>מחזיק קסטות 3 - קסטות</t>
        </is>
      </c>
      <c r="C404" t="inlineStr">
        <is>
          <t>שונות</t>
        </is>
      </c>
      <c r="E404" t="inlineStr">
        <is>
          <t>2026-07</t>
        </is>
      </c>
      <c r="F404" t="n">
        <v>120</v>
      </c>
      <c r="G404" t="n">
        <v>141.6</v>
      </c>
      <c r="H404">
        <f>הגדרות!B2</f>
        <v/>
      </c>
      <c r="I404">
        <f>F404*(1-H404/100)*1.18</f>
        <v/>
      </c>
      <c r="J404">
        <f>הגדרות!C2</f>
        <v/>
      </c>
      <c r="K404">
        <f>הגדרות!D2</f>
        <v/>
      </c>
      <c r="L404">
        <f>I404*(1+J404/100)+K404</f>
        <v/>
      </c>
    </row>
    <row r="405">
      <c r="A405" t="inlineStr">
        <is>
          <t>בית ארז (מילטין)</t>
        </is>
      </c>
      <c r="B405" t="inlineStr">
        <is>
          <t>חוצה טבליות</t>
        </is>
      </c>
      <c r="C405" t="inlineStr">
        <is>
          <t>שונות</t>
        </is>
      </c>
      <c r="E405" t="inlineStr">
        <is>
          <t>2026-07</t>
        </is>
      </c>
      <c r="F405" t="n">
        <v>14</v>
      </c>
      <c r="G405" t="n">
        <v>16.52</v>
      </c>
      <c r="H405">
        <f>הגדרות!B2</f>
        <v/>
      </c>
      <c r="I405">
        <f>F405*(1-H405/100)*1.18</f>
        <v/>
      </c>
      <c r="J405">
        <f>הגדרות!C2</f>
        <v/>
      </c>
      <c r="K405">
        <f>הגדרות!D2</f>
        <v/>
      </c>
      <c r="L405">
        <f>I405*(1+J405/100)+K405</f>
        <v/>
      </c>
    </row>
    <row r="406">
      <c r="A406" t="inlineStr">
        <is>
          <t>בית ארז (מילטין)</t>
        </is>
      </c>
      <c r="B406" t="inlineStr">
        <is>
          <t>מועך טבליות</t>
        </is>
      </c>
      <c r="C406" t="inlineStr">
        <is>
          <t>שונות</t>
        </is>
      </c>
      <c r="E406" t="inlineStr">
        <is>
          <t>2026-07</t>
        </is>
      </c>
      <c r="F406" t="n">
        <v>14</v>
      </c>
      <c r="G406" t="n">
        <v>16.52</v>
      </c>
      <c r="H406">
        <f>הגדרות!B2</f>
        <v/>
      </c>
      <c r="I406">
        <f>F406*(1-H406/100)*1.18</f>
        <v/>
      </c>
      <c r="J406">
        <f>הגדרות!C2</f>
        <v/>
      </c>
      <c r="K406">
        <f>הגדרות!D2</f>
        <v/>
      </c>
      <c r="L406">
        <f>I406*(1+J406/100)+K406</f>
        <v/>
      </c>
    </row>
    <row r="407">
      <c r="A407" t="inlineStr">
        <is>
          <t>בית ארז (מילטין)</t>
        </is>
      </c>
      <c r="B407" t="inlineStr">
        <is>
          <t>אקדח סיכות סטרילי 35) סיכות)</t>
        </is>
      </c>
      <c r="C407" t="inlineStr">
        <is>
          <t>שונות</t>
        </is>
      </c>
      <c r="E407" t="inlineStr">
        <is>
          <t>2026-07</t>
        </is>
      </c>
      <c r="F407" t="n">
        <v>29</v>
      </c>
      <c r="G407" t="n">
        <v>34.22</v>
      </c>
      <c r="H407">
        <f>הגדרות!B2</f>
        <v/>
      </c>
      <c r="I407">
        <f>F407*(1-H407/100)*1.18</f>
        <v/>
      </c>
      <c r="J407">
        <f>הגדרות!C2</f>
        <v/>
      </c>
      <c r="K407">
        <f>הגדרות!D2</f>
        <v/>
      </c>
      <c r="L407">
        <f>I407*(1+J407/100)+K407</f>
        <v/>
      </c>
    </row>
    <row r="408">
      <c r="A408" t="inlineStr">
        <is>
          <t>בית ארז (מילטין)</t>
        </is>
      </c>
      <c r="B408" t="inlineStr">
        <is>
          <t>כלי להסרת סיכות</t>
        </is>
      </c>
      <c r="C408" t="inlineStr">
        <is>
          <t>שונות</t>
        </is>
      </c>
      <c r="E408" t="inlineStr">
        <is>
          <t>2026-07</t>
        </is>
      </c>
      <c r="F408" t="n">
        <v>14</v>
      </c>
      <c r="G408" t="n">
        <v>16.52</v>
      </c>
      <c r="H408">
        <f>הגדרות!B2</f>
        <v/>
      </c>
      <c r="I408">
        <f>F408*(1-H408/100)*1.18</f>
        <v/>
      </c>
      <c r="J408">
        <f>הגדרות!C2</f>
        <v/>
      </c>
      <c r="K408">
        <f>הגדרות!D2</f>
        <v/>
      </c>
      <c r="L408">
        <f>I408*(1+J408/100)+K408</f>
        <v/>
      </c>
    </row>
    <row r="409">
      <c r="A409" t="inlineStr">
        <is>
          <t>בית ארז (מילטין)</t>
        </is>
      </c>
      <c r="B409" t="inlineStr">
        <is>
          <t>מזרק למתן טבליות קצה גמיש 10 - יח'</t>
        </is>
      </c>
      <c r="C409" t="inlineStr">
        <is>
          <t>שונות</t>
        </is>
      </c>
      <c r="E409" t="inlineStr">
        <is>
          <t>2026-07</t>
        </is>
      </c>
      <c r="F409" t="n">
        <v>50</v>
      </c>
      <c r="G409" t="n">
        <v>59</v>
      </c>
      <c r="H409">
        <f>הגדרות!B2</f>
        <v/>
      </c>
      <c r="I409">
        <f>F409*(1-H409/100)*1.18</f>
        <v/>
      </c>
      <c r="J409">
        <f>הגדרות!C2</f>
        <v/>
      </c>
      <c r="K409">
        <f>הגדרות!D2</f>
        <v/>
      </c>
      <c r="L409">
        <f>I409*(1+J409/100)+K409</f>
        <v/>
      </c>
    </row>
    <row r="410">
      <c r="A410" t="inlineStr">
        <is>
          <t>בית ארז (מילטין)</t>
        </is>
      </c>
      <c r="B410" t="inlineStr">
        <is>
          <t>מיני ספייק 50 - יח'</t>
        </is>
      </c>
      <c r="C410" t="inlineStr">
        <is>
          <t>שונות</t>
        </is>
      </c>
      <c r="E410" t="inlineStr">
        <is>
          <t>2026-07</t>
        </is>
      </c>
      <c r="F410" t="n">
        <v>160</v>
      </c>
      <c r="G410" t="n">
        <v>188.8</v>
      </c>
      <c r="H410">
        <f>הגדרות!B2</f>
        <v/>
      </c>
      <c r="I410">
        <f>F410*(1-H410/100)*1.18</f>
        <v/>
      </c>
      <c r="J410">
        <f>הגדרות!C2</f>
        <v/>
      </c>
      <c r="K410">
        <f>הגדרות!D2</f>
        <v/>
      </c>
      <c r="L410">
        <f>I410*(1+J410/100)+K410</f>
        <v/>
      </c>
    </row>
    <row r="411">
      <c r="A411" t="inlineStr">
        <is>
          <t>בית ארז (מילטין)</t>
        </is>
      </c>
      <c r="B411" t="inlineStr">
        <is>
          <t>טרנסופיקס ספייק 50 - יח'</t>
        </is>
      </c>
      <c r="C411" t="inlineStr">
        <is>
          <t>שונות</t>
        </is>
      </c>
      <c r="E411" t="inlineStr">
        <is>
          <t>2026-07</t>
        </is>
      </c>
      <c r="F411" t="n">
        <v>70</v>
      </c>
      <c r="G411" t="n">
        <v>82.59999999999999</v>
      </c>
      <c r="H411">
        <f>הגדרות!B2</f>
        <v/>
      </c>
      <c r="I411">
        <f>F411*(1-H411/100)*1.18</f>
        <v/>
      </c>
      <c r="J411">
        <f>הגדרות!C2</f>
        <v/>
      </c>
      <c r="K411">
        <f>הגדרות!D2</f>
        <v/>
      </c>
      <c r="L411">
        <f>I411*(1+J411/100)+K411</f>
        <v/>
      </c>
    </row>
    <row r="412">
      <c r="A412" t="inlineStr">
        <is>
          <t>MSD (ברווקטו)</t>
        </is>
      </c>
      <c r="B412" t="inlineStr">
        <is>
          <t>ברבקטו 112.5 מ"ג · 2-4.5 ק"ג</t>
        </is>
      </c>
      <c r="C412" t="inlineStr">
        <is>
          <t>הדברה / טפילים</t>
        </is>
      </c>
      <c r="D412" t="inlineStr">
        <is>
          <t>122154</t>
        </is>
      </c>
      <c r="E412" t="inlineStr">
        <is>
          <t>2026</t>
        </is>
      </c>
      <c r="F412" t="n">
        <v>156</v>
      </c>
      <c r="G412" t="n">
        <v>184.08</v>
      </c>
      <c r="H412">
        <f>הגדרות!B3</f>
        <v/>
      </c>
      <c r="I412">
        <f>F412*(1-H412/100)*1.18</f>
        <v/>
      </c>
      <c r="J412">
        <f>הגדרות!C3</f>
        <v/>
      </c>
      <c r="K412">
        <f>הגדרות!D3</f>
        <v/>
      </c>
      <c r="L412">
        <f>I412*(1+J412/100)+K412</f>
        <v/>
      </c>
    </row>
    <row r="413">
      <c r="A413" t="inlineStr">
        <is>
          <t>MSD (ברווקטו)</t>
        </is>
      </c>
      <c r="B413" t="inlineStr">
        <is>
          <t>ברבקטו 250 מ"ג · 4.5-10 ק"ג</t>
        </is>
      </c>
      <c r="C413" t="inlineStr">
        <is>
          <t>הדברה / טפילים</t>
        </is>
      </c>
      <c r="D413" t="inlineStr">
        <is>
          <t>122155</t>
        </is>
      </c>
      <c r="E413" t="inlineStr">
        <is>
          <t>2026</t>
        </is>
      </c>
      <c r="F413" t="n">
        <v>166</v>
      </c>
      <c r="G413" t="n">
        <v>195.88</v>
      </c>
      <c r="H413">
        <f>הגדרות!B3</f>
        <v/>
      </c>
      <c r="I413">
        <f>F413*(1-H413/100)*1.18</f>
        <v/>
      </c>
      <c r="J413">
        <f>הגדרות!C3</f>
        <v/>
      </c>
      <c r="K413">
        <f>הגדרות!D3</f>
        <v/>
      </c>
      <c r="L413">
        <f>I413*(1+J413/100)+K413</f>
        <v/>
      </c>
    </row>
    <row r="414">
      <c r="A414" t="inlineStr">
        <is>
          <t>MSD (ברווקטו)</t>
        </is>
      </c>
      <c r="B414" t="inlineStr">
        <is>
          <t>ברבקטו 500 מ"ג · 10-20 ק"ג</t>
        </is>
      </c>
      <c r="C414" t="inlineStr">
        <is>
          <t>הדברה / טפילים</t>
        </is>
      </c>
      <c r="D414" t="inlineStr">
        <is>
          <t>122156</t>
        </is>
      </c>
      <c r="E414" t="inlineStr">
        <is>
          <t>2026</t>
        </is>
      </c>
      <c r="F414" t="n">
        <v>177</v>
      </c>
      <c r="G414" t="n">
        <v>208.86</v>
      </c>
      <c r="H414">
        <f>הגדרות!B3</f>
        <v/>
      </c>
      <c r="I414">
        <f>F414*(1-H414/100)*1.18</f>
        <v/>
      </c>
      <c r="J414">
        <f>הגדרות!C3</f>
        <v/>
      </c>
      <c r="K414">
        <f>הגדרות!D3</f>
        <v/>
      </c>
      <c r="L414">
        <f>I414*(1+J414/100)+K414</f>
        <v/>
      </c>
    </row>
    <row r="415">
      <c r="A415" t="inlineStr">
        <is>
          <t>MSD (ברווקטו)</t>
        </is>
      </c>
      <c r="B415" t="inlineStr">
        <is>
          <t>ברבקטו 1000 מ"ג · 20-40 ק"ג</t>
        </is>
      </c>
      <c r="C415" t="inlineStr">
        <is>
          <t>הדברה / טפילים</t>
        </is>
      </c>
      <c r="D415" t="inlineStr">
        <is>
          <t>122158</t>
        </is>
      </c>
      <c r="E415" t="inlineStr">
        <is>
          <t>2026</t>
        </is>
      </c>
      <c r="F415" t="n">
        <v>190</v>
      </c>
      <c r="G415" t="n">
        <v>224.2</v>
      </c>
      <c r="H415">
        <f>הגדרות!B3</f>
        <v/>
      </c>
      <c r="I415">
        <f>F415*(1-H415/100)*1.18</f>
        <v/>
      </c>
      <c r="J415">
        <f>הגדרות!C3</f>
        <v/>
      </c>
      <c r="K415">
        <f>הגדרות!D3</f>
        <v/>
      </c>
      <c r="L415">
        <f>I415*(1+J415/100)+K415</f>
        <v/>
      </c>
    </row>
    <row r="416">
      <c r="A416" t="inlineStr">
        <is>
          <t>MSD (ברווקטו)</t>
        </is>
      </c>
      <c r="B416" t="inlineStr">
        <is>
          <t>ברבקטו 1400 מ"ג · 40-56 ק"ג</t>
        </is>
      </c>
      <c r="C416" t="inlineStr">
        <is>
          <t>הדברה / טפילים</t>
        </is>
      </c>
      <c r="D416" t="inlineStr">
        <is>
          <t>122159</t>
        </is>
      </c>
      <c r="E416" t="inlineStr">
        <is>
          <t>2026</t>
        </is>
      </c>
      <c r="F416" t="n">
        <v>208</v>
      </c>
      <c r="G416" t="n">
        <v>245.44</v>
      </c>
      <c r="H416">
        <f>הגדרות!B3</f>
        <v/>
      </c>
      <c r="I416">
        <f>F416*(1-H416/100)*1.18</f>
        <v/>
      </c>
      <c r="J416">
        <f>הגדרות!C3</f>
        <v/>
      </c>
      <c r="K416">
        <f>הגדרות!D3</f>
        <v/>
      </c>
      <c r="L416">
        <f>I416*(1+J416/100)+K416</f>
        <v/>
      </c>
    </row>
    <row r="417">
      <c r="A417" t="inlineStr">
        <is>
          <t>MSD (ברווקטו)</t>
        </is>
      </c>
      <c r="B417" t="inlineStr">
        <is>
          <t>ברבקטו ספוט-און 112.5 מ"ג · 2-4.5 ק"ג</t>
        </is>
      </c>
      <c r="C417" t="inlineStr">
        <is>
          <t>הדברה / טפילים</t>
        </is>
      </c>
      <c r="D417" t="inlineStr">
        <is>
          <t>120030</t>
        </is>
      </c>
      <c r="E417" t="inlineStr">
        <is>
          <t>2026</t>
        </is>
      </c>
      <c r="F417" t="n">
        <v>156</v>
      </c>
      <c r="G417" t="n">
        <v>184.08</v>
      </c>
      <c r="H417">
        <f>הגדרות!B3</f>
        <v/>
      </c>
      <c r="I417">
        <f>F417*(1-H417/100)*1.18</f>
        <v/>
      </c>
      <c r="J417">
        <f>הגדרות!C3</f>
        <v/>
      </c>
      <c r="K417">
        <f>הגדרות!D3</f>
        <v/>
      </c>
      <c r="L417">
        <f>I417*(1+J417/100)+K417</f>
        <v/>
      </c>
    </row>
    <row r="418">
      <c r="A418" t="inlineStr">
        <is>
          <t>MSD (ברווקטו)</t>
        </is>
      </c>
      <c r="B418" t="inlineStr">
        <is>
          <t>ברבקטו ספוט-און 250 מ"ג · 4.5-10 ק"ג</t>
        </is>
      </c>
      <c r="C418" t="inlineStr">
        <is>
          <t>הדברה / טפילים</t>
        </is>
      </c>
      <c r="D418" t="inlineStr">
        <is>
          <t>120031</t>
        </is>
      </c>
      <c r="E418" t="inlineStr">
        <is>
          <t>2026</t>
        </is>
      </c>
      <c r="F418" t="n">
        <v>166</v>
      </c>
      <c r="G418" t="n">
        <v>195.88</v>
      </c>
      <c r="H418">
        <f>הגדרות!B3</f>
        <v/>
      </c>
      <c r="I418">
        <f>F418*(1-H418/100)*1.18</f>
        <v/>
      </c>
      <c r="J418">
        <f>הגדרות!C3</f>
        <v/>
      </c>
      <c r="K418">
        <f>הגדרות!D3</f>
        <v/>
      </c>
      <c r="L418">
        <f>I418*(1+J418/100)+K418</f>
        <v/>
      </c>
    </row>
    <row r="419">
      <c r="A419" t="inlineStr">
        <is>
          <t>MSD (ברווקטו)</t>
        </is>
      </c>
      <c r="B419" t="inlineStr">
        <is>
          <t>ברבקטו ספוט-און 500 מ"ג · 10-20 ק"ג</t>
        </is>
      </c>
      <c r="C419" t="inlineStr">
        <is>
          <t>הדברה / טפילים</t>
        </is>
      </c>
      <c r="D419" t="inlineStr">
        <is>
          <t>120032</t>
        </is>
      </c>
      <c r="E419" t="inlineStr">
        <is>
          <t>2026</t>
        </is>
      </c>
      <c r="F419" t="n">
        <v>177</v>
      </c>
      <c r="G419" t="n">
        <v>208.86</v>
      </c>
      <c r="H419">
        <f>הגדרות!B3</f>
        <v/>
      </c>
      <c r="I419">
        <f>F419*(1-H419/100)*1.18</f>
        <v/>
      </c>
      <c r="J419">
        <f>הגדרות!C3</f>
        <v/>
      </c>
      <c r="K419">
        <f>הגדרות!D3</f>
        <v/>
      </c>
      <c r="L419">
        <f>I419*(1+J419/100)+K419</f>
        <v/>
      </c>
    </row>
    <row r="420">
      <c r="A420" t="inlineStr">
        <is>
          <t>MSD (ברווקטו)</t>
        </is>
      </c>
      <c r="B420" t="inlineStr">
        <is>
          <t>ברבקטו ספוט-און 1000 מ"ג · 20-40 ק"ג</t>
        </is>
      </c>
      <c r="C420" t="inlineStr">
        <is>
          <t>הדברה / טפילים</t>
        </is>
      </c>
      <c r="D420" t="inlineStr">
        <is>
          <t>120033</t>
        </is>
      </c>
      <c r="E420" t="inlineStr">
        <is>
          <t>2026</t>
        </is>
      </c>
      <c r="F420" t="n">
        <v>190</v>
      </c>
      <c r="G420" t="n">
        <v>224.2</v>
      </c>
      <c r="H420">
        <f>הגדרות!B3</f>
        <v/>
      </c>
      <c r="I420">
        <f>F420*(1-H420/100)*1.18</f>
        <v/>
      </c>
      <c r="J420">
        <f>הגדרות!C3</f>
        <v/>
      </c>
      <c r="K420">
        <f>הגדרות!D3</f>
        <v/>
      </c>
      <c r="L420">
        <f>I420*(1+J420/100)+K420</f>
        <v/>
      </c>
    </row>
    <row r="421">
      <c r="A421" t="inlineStr">
        <is>
          <t>MSD (ברווקטו)</t>
        </is>
      </c>
      <c r="B421" t="inlineStr">
        <is>
          <t>ברבקטו ספוט-און 1400 מ"ג · 40-56 ק"ג</t>
        </is>
      </c>
      <c r="C421" t="inlineStr">
        <is>
          <t>הדברה / טפילים</t>
        </is>
      </c>
      <c r="D421" t="inlineStr">
        <is>
          <t>120034</t>
        </is>
      </c>
      <c r="E421" t="inlineStr">
        <is>
          <t>2026</t>
        </is>
      </c>
      <c r="F421" t="n">
        <v>208</v>
      </c>
      <c r="G421" t="n">
        <v>245.44</v>
      </c>
      <c r="H421">
        <f>הגדרות!B3</f>
        <v/>
      </c>
      <c r="I421">
        <f>F421*(1-H421/100)*1.18</f>
        <v/>
      </c>
      <c r="J421">
        <f>הגדרות!C3</f>
        <v/>
      </c>
      <c r="K421">
        <f>הגדרות!D3</f>
        <v/>
      </c>
      <c r="L421">
        <f>I421*(1+J421/100)+K421</f>
        <v/>
      </c>
    </row>
    <row r="422">
      <c r="A422" t="inlineStr">
        <is>
          <t>MSD (ברווקטו)</t>
        </is>
      </c>
      <c r="B422" t="inlineStr">
        <is>
          <t>ברבקטו ספוט-און 112.5 מ"ג · 1.2-2.8 ק"ג</t>
        </is>
      </c>
      <c r="C422" t="inlineStr">
        <is>
          <t>הדברה / טפילים</t>
        </is>
      </c>
      <c r="D422" t="inlineStr">
        <is>
          <t>122259</t>
        </is>
      </c>
      <c r="E422" t="inlineStr">
        <is>
          <t>2026</t>
        </is>
      </c>
      <c r="F422" t="n">
        <v>144</v>
      </c>
      <c r="G422" t="n">
        <v>169.92</v>
      </c>
      <c r="H422">
        <f>הגדרות!B3</f>
        <v/>
      </c>
      <c r="I422">
        <f>F422*(1-H422/100)*1.18</f>
        <v/>
      </c>
      <c r="J422">
        <f>הגדרות!C3</f>
        <v/>
      </c>
      <c r="K422">
        <f>הגדרות!D3</f>
        <v/>
      </c>
      <c r="L422">
        <f>I422*(1+J422/100)+K422</f>
        <v/>
      </c>
    </row>
    <row r="423">
      <c r="A423" t="inlineStr">
        <is>
          <t>MSD (ברווקטו)</t>
        </is>
      </c>
      <c r="B423" t="inlineStr">
        <is>
          <t>ברבקטו ספוט-און 250 מ"ג · 2.8-6.25 ק"ג</t>
        </is>
      </c>
      <c r="C423" t="inlineStr">
        <is>
          <t>הדברה / טפילים</t>
        </is>
      </c>
      <c r="D423" t="inlineStr">
        <is>
          <t>122258</t>
        </is>
      </c>
      <c r="E423" t="inlineStr">
        <is>
          <t>2026</t>
        </is>
      </c>
      <c r="F423" t="n">
        <v>160</v>
      </c>
      <c r="G423" t="n">
        <v>188.8</v>
      </c>
      <c r="H423">
        <f>הגדרות!B3</f>
        <v/>
      </c>
      <c r="I423">
        <f>F423*(1-H423/100)*1.18</f>
        <v/>
      </c>
      <c r="J423">
        <f>הגדרות!C3</f>
        <v/>
      </c>
      <c r="K423">
        <f>הגדרות!D3</f>
        <v/>
      </c>
      <c r="L423">
        <f>I423*(1+J423/100)+K423</f>
        <v/>
      </c>
    </row>
    <row r="424">
      <c r="A424" t="inlineStr">
        <is>
          <t>MSD (ברווקטו)</t>
        </is>
      </c>
      <c r="B424" t="inlineStr">
        <is>
          <t>ברבקטו ספוט-און 500 מ"ג · 6.25-12.25 ק"ג</t>
        </is>
      </c>
      <c r="C424" t="inlineStr">
        <is>
          <t>הדברה / טפילים</t>
        </is>
      </c>
      <c r="D424" t="inlineStr">
        <is>
          <t>122280</t>
        </is>
      </c>
      <c r="E424" t="inlineStr">
        <is>
          <t>2026</t>
        </is>
      </c>
      <c r="F424" t="n">
        <v>178</v>
      </c>
      <c r="G424" t="n">
        <v>210.04</v>
      </c>
      <c r="H424">
        <f>הגדרות!B3</f>
        <v/>
      </c>
      <c r="I424">
        <f>F424*(1-H424/100)*1.18</f>
        <v/>
      </c>
      <c r="J424">
        <f>הגדרות!C3</f>
        <v/>
      </c>
      <c r="K424">
        <f>הגדרות!D3</f>
        <v/>
      </c>
      <c r="L424">
        <f>I424*(1+J424/100)+K424</f>
        <v/>
      </c>
    </row>
    <row r="425">
      <c r="A425" t="inlineStr">
        <is>
          <t>MSD (ברווקטו)</t>
        </is>
      </c>
      <c r="B425" t="inlineStr">
        <is>
          <t>ברבקטו ספוט-און פלוס 112.5 מ"ג · 1.2-2.8 ק"ג</t>
        </is>
      </c>
      <c r="C425" t="inlineStr">
        <is>
          <t>הדברה / טפילים</t>
        </is>
      </c>
      <c r="D425" t="inlineStr">
        <is>
          <t>122355</t>
        </is>
      </c>
      <c r="E425" t="inlineStr">
        <is>
          <t>2026</t>
        </is>
      </c>
      <c r="F425" t="n">
        <v>150</v>
      </c>
      <c r="G425" t="n">
        <v>177</v>
      </c>
      <c r="H425">
        <f>הגדרות!B3</f>
        <v/>
      </c>
      <c r="I425">
        <f>F425*(1-H425/100)*1.18</f>
        <v/>
      </c>
      <c r="J425">
        <f>הגדרות!C3</f>
        <v/>
      </c>
      <c r="K425">
        <f>הגדרות!D3</f>
        <v/>
      </c>
      <c r="L425">
        <f>I425*(1+J425/100)+K425</f>
        <v/>
      </c>
    </row>
    <row r="426">
      <c r="A426" t="inlineStr">
        <is>
          <t>MSD (ברווקטו)</t>
        </is>
      </c>
      <c r="B426" t="inlineStr">
        <is>
          <t>ברבקטו ספוט-און פלוס 250 מ"ג · 2.8-6.25 ק"ג</t>
        </is>
      </c>
      <c r="C426" t="inlineStr">
        <is>
          <t>הדברה / טפילים</t>
        </is>
      </c>
      <c r="D426" t="inlineStr">
        <is>
          <t>122354</t>
        </is>
      </c>
      <c r="E426" t="inlineStr">
        <is>
          <t>2026</t>
        </is>
      </c>
      <c r="F426" t="n">
        <v>173</v>
      </c>
      <c r="G426" t="n">
        <v>204.14</v>
      </c>
      <c r="H426">
        <f>הגדרות!B3</f>
        <v/>
      </c>
      <c r="I426">
        <f>F426*(1-H426/100)*1.18</f>
        <v/>
      </c>
      <c r="J426">
        <f>הגדרות!C3</f>
        <v/>
      </c>
      <c r="K426">
        <f>הגדרות!D3</f>
        <v/>
      </c>
      <c r="L426">
        <f>I426*(1+J426/100)+K426</f>
        <v/>
      </c>
    </row>
    <row r="427">
      <c r="A427" t="inlineStr">
        <is>
          <t>MSD (ברווקטו)</t>
        </is>
      </c>
      <c r="B427" t="inlineStr">
        <is>
          <t>ברבקטו ספוט-און פלוס 500 מ"ג · 6.25-12.25 ק"ג</t>
        </is>
      </c>
      <c r="C427" t="inlineStr">
        <is>
          <t>הדברה / טפילים</t>
        </is>
      </c>
      <c r="D427" t="inlineStr">
        <is>
          <t>122353</t>
        </is>
      </c>
      <c r="E427" t="inlineStr">
        <is>
          <t>2026</t>
        </is>
      </c>
      <c r="F427" t="n">
        <v>190</v>
      </c>
      <c r="G427" t="n">
        <v>224.2</v>
      </c>
      <c r="H427">
        <f>הגדרות!B3</f>
        <v/>
      </c>
      <c r="I427">
        <f>F427*(1-H427/100)*1.18</f>
        <v/>
      </c>
      <c r="J427">
        <f>הגדרות!C3</f>
        <v/>
      </c>
      <c r="K427">
        <f>הגדרות!D3</f>
        <v/>
      </c>
      <c r="L427">
        <f>I427*(1+J427/100)+K427</f>
        <v/>
      </c>
    </row>
    <row r="428">
      <c r="A428" t="inlineStr">
        <is>
          <t>בית ארז — ציוד מתכלה</t>
        </is>
      </c>
      <c r="B428" t="inlineStr">
        <is>
          <t>מפוח חד פעמי (אמבו) PVC ADULT</t>
        </is>
      </c>
      <c r="C428" t="inlineStr">
        <is>
          <t>הרדמה</t>
        </is>
      </c>
      <c r="D428" t="inlineStr">
        <is>
          <t>5801640</t>
        </is>
      </c>
      <c r="E428" t="inlineStr">
        <is>
          <t>2025-11</t>
        </is>
      </c>
      <c r="F428" t="n">
        <v>70</v>
      </c>
      <c r="G428" t="n">
        <v>82.59999999999999</v>
      </c>
      <c r="H428">
        <f>הגדרות!B4</f>
        <v/>
      </c>
      <c r="I428">
        <f>F428*(1-H428/100)*1.18</f>
        <v/>
      </c>
      <c r="J428">
        <f>הגדרות!C4</f>
        <v/>
      </c>
      <c r="K428">
        <f>הגדרות!D4</f>
        <v/>
      </c>
      <c r="L428">
        <f>I428*(1+J428/100)+K428</f>
        <v/>
      </c>
    </row>
    <row r="429">
      <c r="A429" t="inlineStr">
        <is>
          <t>בית ארז — ציוד מתכלה</t>
        </is>
      </c>
      <c r="B429" t="inlineStr">
        <is>
          <t>פילטר סטרילי 22/15 מ"מ למע' הנשמה HMEF</t>
        </is>
      </c>
      <c r="C429" t="inlineStr">
        <is>
          <t>ציוד רפואי מתכלה</t>
        </is>
      </c>
      <c r="D429" t="inlineStr">
        <is>
          <t>5801650</t>
        </is>
      </c>
      <c r="E429" t="inlineStr">
        <is>
          <t>2025-11</t>
        </is>
      </c>
      <c r="F429" t="n">
        <v>12</v>
      </c>
      <c r="G429" t="n">
        <v>14.16</v>
      </c>
      <c r="H429">
        <f>הגדרות!B4</f>
        <v/>
      </c>
      <c r="I429">
        <f>F429*(1-H429/100)*1.18</f>
        <v/>
      </c>
      <c r="J429">
        <f>הגדרות!C4</f>
        <v/>
      </c>
      <c r="K429">
        <f>הגדרות!D4</f>
        <v/>
      </c>
      <c r="L429">
        <f>I429*(1+J429/100)+K429</f>
        <v/>
      </c>
    </row>
    <row r="430">
      <c r="A430" t="inlineStr">
        <is>
          <t>בית ארז — ציוד מתכלה</t>
        </is>
      </c>
      <c r="B430" t="inlineStr">
        <is>
          <t>מחזיק צנרת הרדמה/טובוס d-grip</t>
        </is>
      </c>
      <c r="C430" t="inlineStr">
        <is>
          <t>הרדמה</t>
        </is>
      </c>
      <c r="D430" t="inlineStr">
        <is>
          <t>5700001</t>
        </is>
      </c>
      <c r="E430" t="inlineStr">
        <is>
          <t>2025-11</t>
        </is>
      </c>
      <c r="F430" t="n">
        <v>395</v>
      </c>
      <c r="G430" t="n">
        <v>466.1</v>
      </c>
      <c r="H430">
        <f>הגדרות!B4</f>
        <v/>
      </c>
      <c r="I430">
        <f>F430*(1-H430/100)*1.18</f>
        <v/>
      </c>
      <c r="J430">
        <f>הגדרות!C4</f>
        <v/>
      </c>
      <c r="K430">
        <f>הגדרות!D4</f>
        <v/>
      </c>
      <c r="L430">
        <f>I430*(1+J430/100)+K430</f>
        <v/>
      </c>
    </row>
    <row r="431">
      <c r="A431" t="inlineStr">
        <is>
          <t>בית ארז — ציוד מתכלה</t>
        </is>
      </c>
      <c r="B431" t="inlineStr">
        <is>
          <t>צינור קיבה Gastric Tube FR12</t>
        </is>
      </c>
      <c r="C431" t="inlineStr">
        <is>
          <t>ציוד רפואי מתכלה</t>
        </is>
      </c>
      <c r="D431" t="inlineStr">
        <is>
          <t>5700020</t>
        </is>
      </c>
      <c r="E431" t="inlineStr">
        <is>
          <t>2025-11</t>
        </is>
      </c>
      <c r="F431" t="n">
        <v>11</v>
      </c>
      <c r="G431" t="n">
        <v>12.98</v>
      </c>
      <c r="H431">
        <f>הגדרות!B4</f>
        <v/>
      </c>
      <c r="I431">
        <f>F431*(1-H431/100)*1.18</f>
        <v/>
      </c>
      <c r="J431">
        <f>הגדרות!C4</f>
        <v/>
      </c>
      <c r="K431">
        <f>הגדרות!D4</f>
        <v/>
      </c>
      <c r="L431">
        <f>I431*(1+J431/100)+K431</f>
        <v/>
      </c>
    </row>
    <row r="432">
      <c r="A432" t="inlineStr">
        <is>
          <t>בית ארז — ציוד מתכלה</t>
        </is>
      </c>
      <c r="B432" t="inlineStr">
        <is>
          <t>טובוס v-gel לכלב מידה D3</t>
        </is>
      </c>
      <c r="C432" t="inlineStr">
        <is>
          <t>הרדמה</t>
        </is>
      </c>
      <c r="D432" t="inlineStr">
        <is>
          <t>5700023</t>
        </is>
      </c>
      <c r="E432" t="inlineStr">
        <is>
          <t>2025-11</t>
        </is>
      </c>
      <c r="F432" t="n">
        <v>106</v>
      </c>
      <c r="G432" t="n">
        <v>125.08</v>
      </c>
      <c r="H432">
        <f>הגדרות!B4</f>
        <v/>
      </c>
      <c r="I432">
        <f>F432*(1-H432/100)*1.18</f>
        <v/>
      </c>
      <c r="J432">
        <f>הגדרות!C4</f>
        <v/>
      </c>
      <c r="K432">
        <f>הגדרות!D4</f>
        <v/>
      </c>
      <c r="L432">
        <f>I432*(1+J432/100)+K432</f>
        <v/>
      </c>
    </row>
    <row r="433">
      <c r="A433" t="inlineStr">
        <is>
          <t>בית ארז — ציוד מתכלה</t>
        </is>
      </c>
      <c r="B433" t="inlineStr">
        <is>
          <t>טובוס v-gel לכלב מידה D4</t>
        </is>
      </c>
      <c r="C433" t="inlineStr">
        <is>
          <t>ציוד רפואי מתכלה</t>
        </is>
      </c>
      <c r="D433" t="inlineStr">
        <is>
          <t>5700024</t>
        </is>
      </c>
      <c r="E433" t="inlineStr">
        <is>
          <t>2025-11</t>
        </is>
      </c>
      <c r="F433" t="n">
        <v>108</v>
      </c>
      <c r="G433" t="n">
        <v>127.44</v>
      </c>
      <c r="H433">
        <f>הגדרות!B4</f>
        <v/>
      </c>
      <c r="I433">
        <f>F433*(1-H433/100)*1.18</f>
        <v/>
      </c>
      <c r="J433">
        <f>הגדרות!C4</f>
        <v/>
      </c>
      <c r="K433">
        <f>הגדרות!D4</f>
        <v/>
      </c>
      <c r="L433">
        <f>I433*(1+J433/100)+K433</f>
        <v/>
      </c>
    </row>
    <row r="434">
      <c r="A434" t="inlineStr">
        <is>
          <t>בית ארז — ציוד מתכלה</t>
        </is>
      </c>
      <c r="B434" t="inlineStr">
        <is>
          <t>טובוס v-gel לכלב מידה D5</t>
        </is>
      </c>
      <c r="C434" t="inlineStr">
        <is>
          <t>הרדמה</t>
        </is>
      </c>
      <c r="D434" t="inlineStr">
        <is>
          <t>5700025</t>
        </is>
      </c>
      <c r="E434" t="inlineStr">
        <is>
          <t>2025-11</t>
        </is>
      </c>
      <c r="F434" t="n">
        <v>113</v>
      </c>
      <c r="G434" t="n">
        <v>133.34</v>
      </c>
      <c r="H434">
        <f>הגדרות!B4</f>
        <v/>
      </c>
      <c r="I434">
        <f>F434*(1-H434/100)*1.18</f>
        <v/>
      </c>
      <c r="J434">
        <f>הגדרות!C4</f>
        <v/>
      </c>
      <c r="K434">
        <f>הגדרות!D4</f>
        <v/>
      </c>
      <c r="L434">
        <f>I434*(1+J434/100)+K434</f>
        <v/>
      </c>
    </row>
    <row r="435">
      <c r="A435" t="inlineStr">
        <is>
          <t>בית ארז — ציוד מתכלה</t>
        </is>
      </c>
      <c r="B435" t="inlineStr">
        <is>
          <t>טובוס v-gel לכלב מידה D6</t>
        </is>
      </c>
      <c r="C435" t="inlineStr">
        <is>
          <t>ציוד רפואי מתכלה</t>
        </is>
      </c>
      <c r="D435" t="inlineStr">
        <is>
          <t>5700026</t>
        </is>
      </c>
      <c r="E435" t="inlineStr">
        <is>
          <t>2025-11</t>
        </is>
      </c>
      <c r="F435" t="n">
        <v>119</v>
      </c>
      <c r="G435" t="n">
        <v>140.42</v>
      </c>
      <c r="H435">
        <f>הגדרות!B4</f>
        <v/>
      </c>
      <c r="I435">
        <f>F435*(1-H435/100)*1.18</f>
        <v/>
      </c>
      <c r="J435">
        <f>הגדרות!C4</f>
        <v/>
      </c>
      <c r="K435">
        <f>הגדרות!D4</f>
        <v/>
      </c>
      <c r="L435">
        <f>I435*(1+J435/100)+K435</f>
        <v/>
      </c>
    </row>
    <row r="436">
      <c r="A436" t="inlineStr">
        <is>
          <t>בית ארז — ציוד מתכלה</t>
        </is>
      </c>
      <c r="B436" t="inlineStr">
        <is>
          <t>טובוס v-gel לחתול מידה 0.5-1( C0 ק"ג)</t>
        </is>
      </c>
      <c r="C436" t="inlineStr">
        <is>
          <t>הרדמה</t>
        </is>
      </c>
      <c r="D436" t="inlineStr">
        <is>
          <t>5700040</t>
        </is>
      </c>
      <c r="E436" t="inlineStr">
        <is>
          <t>2025-11</t>
        </is>
      </c>
      <c r="F436" t="n">
        <v>62</v>
      </c>
      <c r="G436" t="n">
        <v>73.16</v>
      </c>
      <c r="H436">
        <f>הגדרות!B4</f>
        <v/>
      </c>
      <c r="I436">
        <f>F436*(1-H436/100)*1.18</f>
        <v/>
      </c>
      <c r="J436">
        <f>הגדרות!C4</f>
        <v/>
      </c>
      <c r="K436">
        <f>הגדרות!D4</f>
        <v/>
      </c>
      <c r="L436">
        <f>I436*(1+J436/100)+K436</f>
        <v/>
      </c>
    </row>
    <row r="437">
      <c r="A437" t="inlineStr">
        <is>
          <t>בית ארז — ציוד מתכלה</t>
        </is>
      </c>
      <c r="B437" t="inlineStr">
        <is>
          <t>טובוס v-gel לחתול מידה 1-2( C1 ק"ג)</t>
        </is>
      </c>
      <c r="C437" t="inlineStr">
        <is>
          <t>ציוד רפואי מתכלה</t>
        </is>
      </c>
      <c r="D437" t="inlineStr">
        <is>
          <t>5700041</t>
        </is>
      </c>
      <c r="E437" t="inlineStr">
        <is>
          <t>2025-11</t>
        </is>
      </c>
      <c r="F437" t="n">
        <v>62</v>
      </c>
      <c r="G437" t="n">
        <v>73.16</v>
      </c>
      <c r="H437">
        <f>הגדרות!B4</f>
        <v/>
      </c>
      <c r="I437">
        <f>F437*(1-H437/100)*1.18</f>
        <v/>
      </c>
      <c r="J437">
        <f>הגדרות!C4</f>
        <v/>
      </c>
      <c r="K437">
        <f>הגדרות!D4</f>
        <v/>
      </c>
      <c r="L437">
        <f>I437*(1+J437/100)+K437</f>
        <v/>
      </c>
    </row>
    <row r="438">
      <c r="A438" t="inlineStr">
        <is>
          <t>בית ארז — ציוד מתכלה</t>
        </is>
      </c>
      <c r="B438" t="inlineStr">
        <is>
          <t>טובוס v-gel לחתול מידה 1.5-3.5( C2 ק"ג)</t>
        </is>
      </c>
      <c r="C438" t="inlineStr">
        <is>
          <t>הרדמה</t>
        </is>
      </c>
      <c r="D438" t="inlineStr">
        <is>
          <t>5700042</t>
        </is>
      </c>
      <c r="E438" t="inlineStr">
        <is>
          <t>2025-11</t>
        </is>
      </c>
      <c r="F438" t="n">
        <v>66</v>
      </c>
      <c r="G438" t="n">
        <v>77.88</v>
      </c>
      <c r="H438">
        <f>הגדרות!B4</f>
        <v/>
      </c>
      <c r="I438">
        <f>F438*(1-H438/100)*1.18</f>
        <v/>
      </c>
      <c r="J438">
        <f>הגדרות!C4</f>
        <v/>
      </c>
      <c r="K438">
        <f>הגדרות!D4</f>
        <v/>
      </c>
      <c r="L438">
        <f>I438*(1+J438/100)+K438</f>
        <v/>
      </c>
    </row>
    <row r="439">
      <c r="A439" t="inlineStr">
        <is>
          <t>בית ארז — ציוד מתכלה</t>
        </is>
      </c>
      <c r="B439" t="inlineStr">
        <is>
          <t>טובוס v-gel לחתול מידה 3-5( C3 ק"ג)</t>
        </is>
      </c>
      <c r="C439" t="inlineStr">
        <is>
          <t>ציוד רפואי מתכלה</t>
        </is>
      </c>
      <c r="D439" t="inlineStr">
        <is>
          <t>5700043</t>
        </is>
      </c>
      <c r="E439" t="inlineStr">
        <is>
          <t>2025-11</t>
        </is>
      </c>
      <c r="F439" t="n">
        <v>69</v>
      </c>
      <c r="G439" t="n">
        <v>81.42</v>
      </c>
      <c r="H439">
        <f>הגדרות!B4</f>
        <v/>
      </c>
      <c r="I439">
        <f>F439*(1-H439/100)*1.18</f>
        <v/>
      </c>
      <c r="J439">
        <f>הגדרות!C4</f>
        <v/>
      </c>
      <c r="K439">
        <f>הגדרות!D4</f>
        <v/>
      </c>
      <c r="L439">
        <f>I439*(1+J439/100)+K439</f>
        <v/>
      </c>
    </row>
    <row r="440">
      <c r="A440" t="inlineStr">
        <is>
          <t>בית ארז — ציוד מתכלה</t>
        </is>
      </c>
      <c r="B440" t="inlineStr">
        <is>
          <t>טובוס v-gel לחתול מידה 4.5-6( C4 ק"ג)</t>
        </is>
      </c>
      <c r="C440" t="inlineStr">
        <is>
          <t>הרדמה</t>
        </is>
      </c>
      <c r="D440" t="inlineStr">
        <is>
          <t>5700044</t>
        </is>
      </c>
      <c r="E440" t="inlineStr">
        <is>
          <t>2025-11</t>
        </is>
      </c>
      <c r="F440" t="n">
        <v>76</v>
      </c>
      <c r="G440" t="n">
        <v>89.68000000000001</v>
      </c>
      <c r="H440">
        <f>הגדרות!B4</f>
        <v/>
      </c>
      <c r="I440">
        <f>F440*(1-H440/100)*1.18</f>
        <v/>
      </c>
      <c r="J440">
        <f>הגדרות!C4</f>
        <v/>
      </c>
      <c r="K440">
        <f>הגדרות!D4</f>
        <v/>
      </c>
      <c r="L440">
        <f>I440*(1+J440/100)+K440</f>
        <v/>
      </c>
    </row>
    <row r="441">
      <c r="A441" t="inlineStr">
        <is>
          <t>בית ארז — ציוד מתכלה</t>
        </is>
      </c>
      <c r="B441" t="inlineStr">
        <is>
          <t>טובוס v-gel לחתול מידה 6( C5+ ק"ג)</t>
        </is>
      </c>
      <c r="C441" t="inlineStr">
        <is>
          <t>ציוד רפואי מתכלה</t>
        </is>
      </c>
      <c r="D441" t="inlineStr">
        <is>
          <t>5700045</t>
        </is>
      </c>
      <c r="E441" t="inlineStr">
        <is>
          <t>2025-11</t>
        </is>
      </c>
      <c r="F441" t="n">
        <v>83</v>
      </c>
      <c r="G441" t="n">
        <v>97.94</v>
      </c>
      <c r="H441">
        <f>הגדרות!B4</f>
        <v/>
      </c>
      <c r="I441">
        <f>F441*(1-H441/100)*1.18</f>
        <v/>
      </c>
      <c r="J441">
        <f>הגדרות!C4</f>
        <v/>
      </c>
      <c r="K441">
        <f>הגדרות!D4</f>
        <v/>
      </c>
      <c r="L441">
        <f>I441*(1+J441/100)+K441</f>
        <v/>
      </c>
    </row>
    <row r="442">
      <c r="A442" t="inlineStr">
        <is>
          <t>בית ארז — ציוד מתכלה</t>
        </is>
      </c>
      <c r="B442" t="inlineStr">
        <is>
          <t>טובוס v-gel לארנבון מידה 0.6-1.5( R1 ק"ג)</t>
        </is>
      </c>
      <c r="C442" t="inlineStr">
        <is>
          <t>הרדמה</t>
        </is>
      </c>
      <c r="D442" t="inlineStr">
        <is>
          <t>5700061</t>
        </is>
      </c>
      <c r="E442" t="inlineStr">
        <is>
          <t>2025-11</t>
        </is>
      </c>
      <c r="F442" t="n">
        <v>75</v>
      </c>
      <c r="G442" t="n">
        <v>88.5</v>
      </c>
      <c r="H442">
        <f>הגדרות!B4</f>
        <v/>
      </c>
      <c r="I442">
        <f>F442*(1-H442/100)*1.18</f>
        <v/>
      </c>
      <c r="J442">
        <f>הגדרות!C4</f>
        <v/>
      </c>
      <c r="K442">
        <f>הגדרות!D4</f>
        <v/>
      </c>
      <c r="L442">
        <f>I442*(1+J442/100)+K442</f>
        <v/>
      </c>
    </row>
    <row r="443">
      <c r="A443" t="inlineStr">
        <is>
          <t>בית ארז — ציוד מתכלה</t>
        </is>
      </c>
      <c r="B443" t="inlineStr">
        <is>
          <t>טובוס v-gel לארנבון מידה 1-2( R2 ק"ג)</t>
        </is>
      </c>
      <c r="C443" t="inlineStr">
        <is>
          <t>ציוד רפואי מתכלה</t>
        </is>
      </c>
      <c r="D443" t="inlineStr">
        <is>
          <t>5700062</t>
        </is>
      </c>
      <c r="E443" t="inlineStr">
        <is>
          <t>2025-11</t>
        </is>
      </c>
      <c r="F443" t="n">
        <v>75</v>
      </c>
      <c r="G443" t="n">
        <v>88.5</v>
      </c>
      <c r="H443">
        <f>הגדרות!B4</f>
        <v/>
      </c>
      <c r="I443">
        <f>F443*(1-H443/100)*1.18</f>
        <v/>
      </c>
      <c r="J443">
        <f>הגדרות!C4</f>
        <v/>
      </c>
      <c r="K443">
        <f>הגדרות!D4</f>
        <v/>
      </c>
      <c r="L443">
        <f>I443*(1+J443/100)+K443</f>
        <v/>
      </c>
    </row>
    <row r="444">
      <c r="A444" t="inlineStr">
        <is>
          <t>בית ארז — ציוד מתכלה</t>
        </is>
      </c>
      <c r="B444" t="inlineStr">
        <is>
          <t>טובוס v-gel לארנבון מידה 1.8-3.5( R3 ק"ג)</t>
        </is>
      </c>
      <c r="C444" t="inlineStr">
        <is>
          <t>הרדמה</t>
        </is>
      </c>
      <c r="D444" t="inlineStr">
        <is>
          <t>5700063</t>
        </is>
      </c>
      <c r="E444" t="inlineStr">
        <is>
          <t>2025-11</t>
        </is>
      </c>
      <c r="F444" t="n">
        <v>78</v>
      </c>
      <c r="G444" t="n">
        <v>92.04000000000001</v>
      </c>
      <c r="H444">
        <f>הגדרות!B4</f>
        <v/>
      </c>
      <c r="I444">
        <f>F444*(1-H444/100)*1.18</f>
        <v/>
      </c>
      <c r="J444">
        <f>הגדרות!C4</f>
        <v/>
      </c>
      <c r="K444">
        <f>הגדרות!D4</f>
        <v/>
      </c>
      <c r="L444">
        <f>I444*(1+J444/100)+K444</f>
        <v/>
      </c>
    </row>
    <row r="445">
      <c r="A445" t="inlineStr">
        <is>
          <t>בית ארז — ציוד מתכלה</t>
        </is>
      </c>
      <c r="B445" t="inlineStr">
        <is>
          <t>טובוס v-gel לארנבון מידה 2.5-4( R4 ק"ג)</t>
        </is>
      </c>
      <c r="C445" t="inlineStr">
        <is>
          <t>ציוד רפואי מתכלה</t>
        </is>
      </c>
      <c r="D445" t="inlineStr">
        <is>
          <t>5700064</t>
        </is>
      </c>
      <c r="E445" t="inlineStr">
        <is>
          <t>2025-11</t>
        </is>
      </c>
      <c r="F445" t="n">
        <v>83</v>
      </c>
      <c r="G445" t="n">
        <v>97.94</v>
      </c>
      <c r="H445">
        <f>הגדרות!B4</f>
        <v/>
      </c>
      <c r="I445">
        <f>F445*(1-H445/100)*1.18</f>
        <v/>
      </c>
      <c r="J445">
        <f>הגדרות!C4</f>
        <v/>
      </c>
      <c r="K445">
        <f>הגדרות!D4</f>
        <v/>
      </c>
      <c r="L445">
        <f>I445*(1+J445/100)+K445</f>
        <v/>
      </c>
    </row>
    <row r="446">
      <c r="A446" t="inlineStr">
        <is>
          <t>בית ארז — ציוד מתכלה</t>
        </is>
      </c>
      <c r="B446" t="inlineStr">
        <is>
          <t>טובוס v-gel לארנבון מידה 3.5-5( R5 ק"ג)</t>
        </is>
      </c>
      <c r="C446" t="inlineStr">
        <is>
          <t>הרדמה</t>
        </is>
      </c>
      <c r="D446" t="inlineStr">
        <is>
          <t>5700065</t>
        </is>
      </c>
      <c r="E446" t="inlineStr">
        <is>
          <t>2025-11</t>
        </is>
      </c>
      <c r="F446" t="n">
        <v>89</v>
      </c>
      <c r="G446" t="n">
        <v>105.02</v>
      </c>
      <c r="H446">
        <f>הגדרות!B4</f>
        <v/>
      </c>
      <c r="I446">
        <f>F446*(1-H446/100)*1.18</f>
        <v/>
      </c>
      <c r="J446">
        <f>הגדרות!C4</f>
        <v/>
      </c>
      <c r="K446">
        <f>הגדרות!D4</f>
        <v/>
      </c>
      <c r="L446">
        <f>I446*(1+J446/100)+K446</f>
        <v/>
      </c>
    </row>
    <row r="447">
      <c r="A447" t="inlineStr">
        <is>
          <t>בית ארז — ציוד מתכלה</t>
        </is>
      </c>
      <c r="B447" t="inlineStr">
        <is>
          <t>טובוס v-gel לארנבון מידה 4.5( R6+ ק"ג)</t>
        </is>
      </c>
      <c r="C447" t="inlineStr">
        <is>
          <t>ציוד רפואי מתכלה</t>
        </is>
      </c>
      <c r="D447" t="inlineStr">
        <is>
          <t>5700066</t>
        </is>
      </c>
      <c r="E447" t="inlineStr">
        <is>
          <t>2025-11</t>
        </is>
      </c>
      <c r="F447" t="n">
        <v>91</v>
      </c>
      <c r="G447" t="n">
        <v>107.38</v>
      </c>
      <c r="H447">
        <f>הגדרות!B4</f>
        <v/>
      </c>
      <c r="I447">
        <f>F447*(1-H447/100)*1.18</f>
        <v/>
      </c>
      <c r="J447">
        <f>הגדרות!C4</f>
        <v/>
      </c>
      <c r="K447">
        <f>הגדרות!D4</f>
        <v/>
      </c>
      <c r="L447">
        <f>I447*(1+J447/100)+K447</f>
        <v/>
      </c>
    </row>
    <row r="448">
      <c r="A448" t="inlineStr">
        <is>
          <t>בית ארז — ציוד מתכלה</t>
        </is>
      </c>
      <c r="B448" t="inlineStr">
        <is>
          <t>טובוס ET עם בלונית מידה 2.5</t>
        </is>
      </c>
      <c r="C448" t="inlineStr">
        <is>
          <t>הרדמה</t>
        </is>
      </c>
      <c r="D448" t="inlineStr">
        <is>
          <t>5800325</t>
        </is>
      </c>
      <c r="E448" t="inlineStr">
        <is>
          <t>2025-11</t>
        </is>
      </c>
      <c r="F448" t="n">
        <v>4</v>
      </c>
      <c r="G448" t="n">
        <v>4.72</v>
      </c>
      <c r="H448">
        <f>הגדרות!B4</f>
        <v/>
      </c>
      <c r="I448">
        <f>F448*(1-H448/100)*1.18</f>
        <v/>
      </c>
      <c r="J448">
        <f>הגדרות!C4</f>
        <v/>
      </c>
      <c r="K448">
        <f>הגדרות!D4</f>
        <v/>
      </c>
      <c r="L448">
        <f>I448*(1+J448/100)+K448</f>
        <v/>
      </c>
    </row>
    <row r="449">
      <c r="A449" t="inlineStr">
        <is>
          <t>בית ארז — ציוד מתכלה</t>
        </is>
      </c>
      <c r="B449" t="inlineStr">
        <is>
          <t>טובוס ET עם בלונית מידה 3</t>
        </is>
      </c>
      <c r="C449" t="inlineStr">
        <is>
          <t>ציוד רפואי מתכלה</t>
        </is>
      </c>
      <c r="D449" t="inlineStr">
        <is>
          <t>5800330</t>
        </is>
      </c>
      <c r="E449" t="inlineStr">
        <is>
          <t>2025-11</t>
        </is>
      </c>
      <c r="F449" t="n">
        <v>4</v>
      </c>
      <c r="G449" t="n">
        <v>4.72</v>
      </c>
      <c r="H449">
        <f>הגדרות!B4</f>
        <v/>
      </c>
      <c r="I449">
        <f>F449*(1-H449/100)*1.18</f>
        <v/>
      </c>
      <c r="J449">
        <f>הגדרות!C4</f>
        <v/>
      </c>
      <c r="K449">
        <f>הגדרות!D4</f>
        <v/>
      </c>
      <c r="L449">
        <f>I449*(1+J449/100)+K449</f>
        <v/>
      </c>
    </row>
    <row r="450">
      <c r="A450" t="inlineStr">
        <is>
          <t>בית ארז — ציוד מתכלה</t>
        </is>
      </c>
      <c r="B450" t="inlineStr">
        <is>
          <t>טובוס ET עם בלונית מידה 3.5</t>
        </is>
      </c>
      <c r="C450" t="inlineStr">
        <is>
          <t>הרדמה</t>
        </is>
      </c>
      <c r="D450" t="inlineStr">
        <is>
          <t>5800335</t>
        </is>
      </c>
      <c r="E450" t="inlineStr">
        <is>
          <t>2025-11</t>
        </is>
      </c>
      <c r="F450" t="n">
        <v>4</v>
      </c>
      <c r="G450" t="n">
        <v>4.72</v>
      </c>
      <c r="H450">
        <f>הגדרות!B4</f>
        <v/>
      </c>
      <c r="I450">
        <f>F450*(1-H450/100)*1.18</f>
        <v/>
      </c>
      <c r="J450">
        <f>הגדרות!C4</f>
        <v/>
      </c>
      <c r="K450">
        <f>הגדרות!D4</f>
        <v/>
      </c>
      <c r="L450">
        <f>I450*(1+J450/100)+K450</f>
        <v/>
      </c>
    </row>
    <row r="451">
      <c r="A451" t="inlineStr">
        <is>
          <t>בית ארז — ציוד מתכלה</t>
        </is>
      </c>
      <c r="B451" t="inlineStr">
        <is>
          <t>טובוס ET עם בלונית מידה 4</t>
        </is>
      </c>
      <c r="C451" t="inlineStr">
        <is>
          <t>ציוד רפואי מתכלה</t>
        </is>
      </c>
      <c r="D451" t="inlineStr">
        <is>
          <t>5800340</t>
        </is>
      </c>
      <c r="E451" t="inlineStr">
        <is>
          <t>2025-11</t>
        </is>
      </c>
      <c r="F451" t="n">
        <v>4</v>
      </c>
      <c r="G451" t="n">
        <v>4.72</v>
      </c>
      <c r="H451">
        <f>הגדרות!B4</f>
        <v/>
      </c>
      <c r="I451">
        <f>F451*(1-H451/100)*1.18</f>
        <v/>
      </c>
      <c r="J451">
        <f>הגדרות!C4</f>
        <v/>
      </c>
      <c r="K451">
        <f>הגדרות!D4</f>
        <v/>
      </c>
      <c r="L451">
        <f>I451*(1+J451/100)+K451</f>
        <v/>
      </c>
    </row>
    <row r="452">
      <c r="A452" t="inlineStr">
        <is>
          <t>בית ארז — ציוד מתכלה</t>
        </is>
      </c>
      <c r="B452" t="inlineStr">
        <is>
          <t>טובוס ET עם בלונית מידה 4.5</t>
        </is>
      </c>
      <c r="C452" t="inlineStr">
        <is>
          <t>הרדמה</t>
        </is>
      </c>
      <c r="D452" t="inlineStr">
        <is>
          <t>5800345</t>
        </is>
      </c>
      <c r="E452" t="inlineStr">
        <is>
          <t>2025-11</t>
        </is>
      </c>
      <c r="F452" t="n">
        <v>4</v>
      </c>
      <c r="G452" t="n">
        <v>4.72</v>
      </c>
      <c r="H452">
        <f>הגדרות!B4</f>
        <v/>
      </c>
      <c r="I452">
        <f>F452*(1-H452/100)*1.18</f>
        <v/>
      </c>
      <c r="J452">
        <f>הגדרות!C4</f>
        <v/>
      </c>
      <c r="K452">
        <f>הגדרות!D4</f>
        <v/>
      </c>
      <c r="L452">
        <f>I452*(1+J452/100)+K452</f>
        <v/>
      </c>
    </row>
    <row r="453">
      <c r="A453" t="inlineStr">
        <is>
          <t>בית ארז — ציוד מתכלה</t>
        </is>
      </c>
      <c r="B453" t="inlineStr">
        <is>
          <t>טובוס ET עם בלונית מידה 5</t>
        </is>
      </c>
      <c r="C453" t="inlineStr">
        <is>
          <t>ציוד רפואי מתכלה</t>
        </is>
      </c>
      <c r="D453" t="inlineStr">
        <is>
          <t>5800350</t>
        </is>
      </c>
      <c r="E453" t="inlineStr">
        <is>
          <t>2025-11</t>
        </is>
      </c>
      <c r="F453" t="n">
        <v>4</v>
      </c>
      <c r="G453" t="n">
        <v>4.72</v>
      </c>
      <c r="H453">
        <f>הגדרות!B4</f>
        <v/>
      </c>
      <c r="I453">
        <f>F453*(1-H453/100)*1.18</f>
        <v/>
      </c>
      <c r="J453">
        <f>הגדרות!C4</f>
        <v/>
      </c>
      <c r="K453">
        <f>הגדרות!D4</f>
        <v/>
      </c>
      <c r="L453">
        <f>I453*(1+J453/100)+K453</f>
        <v/>
      </c>
    </row>
    <row r="454">
      <c r="A454" t="inlineStr">
        <is>
          <t>בית ארז — ציוד מתכלה</t>
        </is>
      </c>
      <c r="B454" t="inlineStr">
        <is>
          <t>טובוס ET עם בלונית מידה 5.5</t>
        </is>
      </c>
      <c r="C454" t="inlineStr">
        <is>
          <t>הרדמה</t>
        </is>
      </c>
      <c r="D454" t="inlineStr">
        <is>
          <t>5800355</t>
        </is>
      </c>
      <c r="E454" t="inlineStr">
        <is>
          <t>2025-11</t>
        </is>
      </c>
      <c r="F454" t="n">
        <v>4</v>
      </c>
      <c r="G454" t="n">
        <v>4.72</v>
      </c>
      <c r="H454">
        <f>הגדרות!B4</f>
        <v/>
      </c>
      <c r="I454">
        <f>F454*(1-H454/100)*1.18</f>
        <v/>
      </c>
      <c r="J454">
        <f>הגדרות!C4</f>
        <v/>
      </c>
      <c r="K454">
        <f>הגדרות!D4</f>
        <v/>
      </c>
      <c r="L454">
        <f>I454*(1+J454/100)+K454</f>
        <v/>
      </c>
    </row>
    <row r="455">
      <c r="A455" t="inlineStr">
        <is>
          <t>בית ארז — ציוד מתכלה</t>
        </is>
      </c>
      <c r="B455" t="inlineStr">
        <is>
          <t>טובוס ET עם בלונית מידה 6</t>
        </is>
      </c>
      <c r="C455" t="inlineStr">
        <is>
          <t>ציוד רפואי מתכלה</t>
        </is>
      </c>
      <c r="D455" t="inlineStr">
        <is>
          <t>5800360</t>
        </is>
      </c>
      <c r="E455" t="inlineStr">
        <is>
          <t>2025-11</t>
        </is>
      </c>
      <c r="F455" t="n">
        <v>4</v>
      </c>
      <c r="G455" t="n">
        <v>4.72</v>
      </c>
      <c r="H455">
        <f>הגדרות!B4</f>
        <v/>
      </c>
      <c r="I455">
        <f>F455*(1-H455/100)*1.18</f>
        <v/>
      </c>
      <c r="J455">
        <f>הגדרות!C4</f>
        <v/>
      </c>
      <c r="K455">
        <f>הגדרות!D4</f>
        <v/>
      </c>
      <c r="L455">
        <f>I455*(1+J455/100)+K455</f>
        <v/>
      </c>
    </row>
    <row r="456">
      <c r="A456" t="inlineStr">
        <is>
          <t>בית ארז — ציוד מתכלה</t>
        </is>
      </c>
      <c r="B456" t="inlineStr">
        <is>
          <t>טובוס ET עם בלונית מידה 6.5</t>
        </is>
      </c>
      <c r="C456" t="inlineStr">
        <is>
          <t>הרדמה</t>
        </is>
      </c>
      <c r="D456" t="inlineStr">
        <is>
          <t>5800365</t>
        </is>
      </c>
      <c r="E456" t="inlineStr">
        <is>
          <t>2025-11</t>
        </is>
      </c>
      <c r="F456" t="n">
        <v>4</v>
      </c>
      <c r="G456" t="n">
        <v>4.72</v>
      </c>
      <c r="H456">
        <f>הגדרות!B4</f>
        <v/>
      </c>
      <c r="I456">
        <f>F456*(1-H456/100)*1.18</f>
        <v/>
      </c>
      <c r="J456">
        <f>הגדרות!C4</f>
        <v/>
      </c>
      <c r="K456">
        <f>הגדרות!D4</f>
        <v/>
      </c>
      <c r="L456">
        <f>I456*(1+J456/100)+K456</f>
        <v/>
      </c>
    </row>
    <row r="457">
      <c r="A457" t="inlineStr">
        <is>
          <t>בית ארז — ציוד מתכלה</t>
        </is>
      </c>
      <c r="B457" t="inlineStr">
        <is>
          <t>טובוס ET עם בלונית מידה 7</t>
        </is>
      </c>
      <c r="C457" t="inlineStr">
        <is>
          <t>ציוד רפואי מתכלה</t>
        </is>
      </c>
      <c r="D457" t="inlineStr">
        <is>
          <t>5800370</t>
        </is>
      </c>
      <c r="E457" t="inlineStr">
        <is>
          <t>2025-11</t>
        </is>
      </c>
      <c r="F457" t="n">
        <v>4</v>
      </c>
      <c r="G457" t="n">
        <v>4.72</v>
      </c>
      <c r="H457">
        <f>הגדרות!B4</f>
        <v/>
      </c>
      <c r="I457">
        <f>F457*(1-H457/100)*1.18</f>
        <v/>
      </c>
      <c r="J457">
        <f>הגדרות!C4</f>
        <v/>
      </c>
      <c r="K457">
        <f>הגדרות!D4</f>
        <v/>
      </c>
      <c r="L457">
        <f>I457*(1+J457/100)+K457</f>
        <v/>
      </c>
    </row>
    <row r="458">
      <c r="A458" t="inlineStr">
        <is>
          <t>בית ארז — ציוד מתכלה</t>
        </is>
      </c>
      <c r="B458" t="inlineStr">
        <is>
          <t>טובוס ET עם בלונית מידה 7.5</t>
        </is>
      </c>
      <c r="C458" t="inlineStr">
        <is>
          <t>הרדמה</t>
        </is>
      </c>
      <c r="D458" t="inlineStr">
        <is>
          <t>5800375</t>
        </is>
      </c>
      <c r="E458" t="inlineStr">
        <is>
          <t>2025-11</t>
        </is>
      </c>
      <c r="F458" t="n">
        <v>4</v>
      </c>
      <c r="G458" t="n">
        <v>4.72</v>
      </c>
      <c r="H458">
        <f>הגדרות!B4</f>
        <v/>
      </c>
      <c r="I458">
        <f>F458*(1-H458/100)*1.18</f>
        <v/>
      </c>
      <c r="J458">
        <f>הגדרות!C4</f>
        <v/>
      </c>
      <c r="K458">
        <f>הגדרות!D4</f>
        <v/>
      </c>
      <c r="L458">
        <f>I458*(1+J458/100)+K458</f>
        <v/>
      </c>
    </row>
    <row r="459">
      <c r="A459" t="inlineStr">
        <is>
          <t>בית ארז — ציוד מתכלה</t>
        </is>
      </c>
      <c r="B459" t="inlineStr">
        <is>
          <t>טובוס ET עם בלונית מידה 8</t>
        </is>
      </c>
      <c r="C459" t="inlineStr">
        <is>
          <t>ציוד רפואי מתכלה</t>
        </is>
      </c>
      <c r="D459" t="inlineStr">
        <is>
          <t>5800380</t>
        </is>
      </c>
      <c r="E459" t="inlineStr">
        <is>
          <t>2025-11</t>
        </is>
      </c>
      <c r="F459" t="n">
        <v>4</v>
      </c>
      <c r="G459" t="n">
        <v>4.72</v>
      </c>
      <c r="H459">
        <f>הגדרות!B4</f>
        <v/>
      </c>
      <c r="I459">
        <f>F459*(1-H459/100)*1.18</f>
        <v/>
      </c>
      <c r="J459">
        <f>הגדרות!C4</f>
        <v/>
      </c>
      <c r="K459">
        <f>הגדרות!D4</f>
        <v/>
      </c>
      <c r="L459">
        <f>I459*(1+J459/100)+K459</f>
        <v/>
      </c>
    </row>
    <row r="460">
      <c r="A460" t="inlineStr">
        <is>
          <t>בית ארז — ציוד מתכלה</t>
        </is>
      </c>
      <c r="B460" t="inlineStr">
        <is>
          <t>טובוס ET עם בלונית מידה 8.5</t>
        </is>
      </c>
      <c r="C460" t="inlineStr">
        <is>
          <t>הרדמה</t>
        </is>
      </c>
      <c r="D460" t="inlineStr">
        <is>
          <t>5800385</t>
        </is>
      </c>
      <c r="E460" t="inlineStr">
        <is>
          <t>2025-11</t>
        </is>
      </c>
      <c r="F460" t="n">
        <v>4</v>
      </c>
      <c r="G460" t="n">
        <v>4.72</v>
      </c>
      <c r="H460">
        <f>הגדרות!B4</f>
        <v/>
      </c>
      <c r="I460">
        <f>F460*(1-H460/100)*1.18</f>
        <v/>
      </c>
      <c r="J460">
        <f>הגדרות!C4</f>
        <v/>
      </c>
      <c r="K460">
        <f>הגדרות!D4</f>
        <v/>
      </c>
      <c r="L460">
        <f>I460*(1+J460/100)+K460</f>
        <v/>
      </c>
    </row>
    <row r="461">
      <c r="A461" t="inlineStr">
        <is>
          <t>בית ארז — ציוד מתכלה</t>
        </is>
      </c>
      <c r="B461" t="inlineStr">
        <is>
          <t>טובוס ET עם בלונית מידה 9</t>
        </is>
      </c>
      <c r="C461" t="inlineStr">
        <is>
          <t>ציוד רפואי מתכלה</t>
        </is>
      </c>
      <c r="D461" t="inlineStr">
        <is>
          <t>5800390</t>
        </is>
      </c>
      <c r="E461" t="inlineStr">
        <is>
          <t>2025-11</t>
        </is>
      </c>
      <c r="F461" t="n">
        <v>4</v>
      </c>
      <c r="G461" t="n">
        <v>4.72</v>
      </c>
      <c r="H461">
        <f>הגדרות!B4</f>
        <v/>
      </c>
      <c r="I461">
        <f>F461*(1-H461/100)*1.18</f>
        <v/>
      </c>
      <c r="J461">
        <f>הגדרות!C4</f>
        <v/>
      </c>
      <c r="K461">
        <f>הגדרות!D4</f>
        <v/>
      </c>
      <c r="L461">
        <f>I461*(1+J461/100)+K461</f>
        <v/>
      </c>
    </row>
    <row r="462">
      <c r="A462" t="inlineStr">
        <is>
          <t>בית ארז — ציוד מתכלה</t>
        </is>
      </c>
      <c r="B462" t="inlineStr">
        <is>
          <t>טובוס ET עם בלונית מידה 9.5</t>
        </is>
      </c>
      <c r="C462" t="inlineStr">
        <is>
          <t>הרדמה</t>
        </is>
      </c>
      <c r="D462" t="inlineStr">
        <is>
          <t>5800395</t>
        </is>
      </c>
      <c r="E462" t="inlineStr">
        <is>
          <t>2025-11</t>
        </is>
      </c>
      <c r="F462" t="n">
        <v>5</v>
      </c>
      <c r="G462" t="n">
        <v>5.9</v>
      </c>
      <c r="H462">
        <f>הגדרות!B4</f>
        <v/>
      </c>
      <c r="I462">
        <f>F462*(1-H462/100)*1.18</f>
        <v/>
      </c>
      <c r="J462">
        <f>הגדרות!C4</f>
        <v/>
      </c>
      <c r="K462">
        <f>הגדרות!D4</f>
        <v/>
      </c>
      <c r="L462">
        <f>I462*(1+J462/100)+K462</f>
        <v/>
      </c>
    </row>
    <row r="463">
      <c r="A463" t="inlineStr">
        <is>
          <t>בית ארז — ציוד מתכלה</t>
        </is>
      </c>
      <c r="B463" t="inlineStr">
        <is>
          <t>טובוס ET עם בלונית מידה 10</t>
        </is>
      </c>
      <c r="C463" t="inlineStr">
        <is>
          <t>ציוד רפואי מתכלה</t>
        </is>
      </c>
      <c r="D463" t="inlineStr">
        <is>
          <t>5800400</t>
        </is>
      </c>
      <c r="E463" t="inlineStr">
        <is>
          <t>2025-11</t>
        </is>
      </c>
      <c r="F463" t="n">
        <v>5</v>
      </c>
      <c r="G463" t="n">
        <v>5.9</v>
      </c>
      <c r="H463">
        <f>הגדרות!B4</f>
        <v/>
      </c>
      <c r="I463">
        <f>F463*(1-H463/100)*1.18</f>
        <v/>
      </c>
      <c r="J463">
        <f>הגדרות!C4</f>
        <v/>
      </c>
      <c r="K463">
        <f>הגדרות!D4</f>
        <v/>
      </c>
      <c r="L463">
        <f>I463*(1+J463/100)+K463</f>
        <v/>
      </c>
    </row>
    <row r="464">
      <c r="A464" t="inlineStr">
        <is>
          <t>בית ארז — ציוד מתכלה</t>
        </is>
      </c>
      <c r="B464" t="inlineStr">
        <is>
          <t>בלון הנשמה מסיליקון 0.5 ליטר</t>
        </is>
      </c>
      <c r="C464" t="inlineStr">
        <is>
          <t>הרדמה</t>
        </is>
      </c>
      <c r="D464" t="inlineStr">
        <is>
          <t>5806470</t>
        </is>
      </c>
      <c r="E464" t="inlineStr">
        <is>
          <t>2025-11</t>
        </is>
      </c>
      <c r="F464" t="n">
        <v>130</v>
      </c>
      <c r="G464" t="n">
        <v>153.4</v>
      </c>
      <c r="H464">
        <f>הגדרות!B4</f>
        <v/>
      </c>
      <c r="I464">
        <f>F464*(1-H464/100)*1.18</f>
        <v/>
      </c>
      <c r="J464">
        <f>הגדרות!C4</f>
        <v/>
      </c>
      <c r="K464">
        <f>הגדרות!D4</f>
        <v/>
      </c>
      <c r="L464">
        <f>I464*(1+J464/100)+K464</f>
        <v/>
      </c>
    </row>
    <row r="465">
      <c r="A465" t="inlineStr">
        <is>
          <t>בית ארז — ציוד מתכלה</t>
        </is>
      </c>
      <c r="B465" t="inlineStr">
        <is>
          <t>בלון הנשמה מסיליקון 1 ליטר</t>
        </is>
      </c>
      <c r="C465" t="inlineStr">
        <is>
          <t>ציוד רפואי מתכלה</t>
        </is>
      </c>
      <c r="D465" t="inlineStr">
        <is>
          <t>5800471</t>
        </is>
      </c>
      <c r="E465" t="inlineStr">
        <is>
          <t>2025-11</t>
        </is>
      </c>
      <c r="F465" t="n">
        <v>140</v>
      </c>
      <c r="G465" t="n">
        <v>165.2</v>
      </c>
      <c r="H465">
        <f>הגדרות!B4</f>
        <v/>
      </c>
      <c r="I465">
        <f>F465*(1-H465/100)*1.18</f>
        <v/>
      </c>
      <c r="J465">
        <f>הגדרות!C4</f>
        <v/>
      </c>
      <c r="K465">
        <f>הגדרות!D4</f>
        <v/>
      </c>
      <c r="L465">
        <f>I465*(1+J465/100)+K465</f>
        <v/>
      </c>
    </row>
    <row r="466">
      <c r="A466" t="inlineStr">
        <is>
          <t>בית ארז — ציוד מתכלה</t>
        </is>
      </c>
      <c r="B466" t="inlineStr">
        <is>
          <t>בלון הנשמה מסיליקון 2 ליטר</t>
        </is>
      </c>
      <c r="C466" t="inlineStr">
        <is>
          <t>הרדמה</t>
        </is>
      </c>
      <c r="D466" t="inlineStr">
        <is>
          <t>5800472</t>
        </is>
      </c>
      <c r="E466" t="inlineStr">
        <is>
          <t>2025-11</t>
        </is>
      </c>
      <c r="F466" t="n">
        <v>160</v>
      </c>
      <c r="G466" t="n">
        <v>188.8</v>
      </c>
      <c r="H466">
        <f>הגדרות!B4</f>
        <v/>
      </c>
      <c r="I466">
        <f>F466*(1-H466/100)*1.18</f>
        <v/>
      </c>
      <c r="J466">
        <f>הגדרות!C4</f>
        <v/>
      </c>
      <c r="K466">
        <f>הגדרות!D4</f>
        <v/>
      </c>
      <c r="L466">
        <f>I466*(1+J466/100)+K466</f>
        <v/>
      </c>
    </row>
    <row r="467">
      <c r="A467" t="inlineStr">
        <is>
          <t>בית ארז — ציוד מתכלה</t>
        </is>
      </c>
      <c r="B467" t="inlineStr">
        <is>
          <t>מקלות עץ לניקוי אוזניים (אפליקטור) "6 וצמר גפן - 100 יח'</t>
        </is>
      </c>
      <c r="C467" t="inlineStr">
        <is>
          <t>אוזניים</t>
        </is>
      </c>
      <c r="D467" t="inlineStr">
        <is>
          <t>5910150</t>
        </is>
      </c>
      <c r="E467" t="inlineStr">
        <is>
          <t>2025-11</t>
        </is>
      </c>
      <c r="F467" t="n">
        <v>2.8</v>
      </c>
      <c r="G467" t="n">
        <v>3.3</v>
      </c>
      <c r="H467">
        <f>הגדרות!B4</f>
        <v/>
      </c>
      <c r="I467">
        <f>F467*(1-H467/100)*1.18</f>
        <v/>
      </c>
      <c r="J467">
        <f>הגדרות!C4</f>
        <v/>
      </c>
      <c r="K467">
        <f>הגדרות!D4</f>
        <v/>
      </c>
      <c r="L467">
        <f>I467*(1+J467/100)+K467</f>
        <v/>
      </c>
    </row>
    <row r="468">
      <c r="A468" t="inlineStr">
        <is>
          <t>בית ארז — ציוד מתכלה</t>
        </is>
      </c>
      <c r="B468" t="inlineStr">
        <is>
          <t>חבישת אוזניים XS 13-18cm, 25-36cm כחול</t>
        </is>
      </c>
      <c r="C468" t="inlineStr">
        <is>
          <t>ציוד רפואי</t>
        </is>
      </c>
      <c r="D468" t="inlineStr">
        <is>
          <t>6300420</t>
        </is>
      </c>
      <c r="E468" t="inlineStr">
        <is>
          <t>2025-11</t>
        </is>
      </c>
      <c r="F468" t="n">
        <v>149</v>
      </c>
      <c r="G468" t="n">
        <v>175.82</v>
      </c>
      <c r="H468">
        <f>הגדרות!B4</f>
        <v/>
      </c>
      <c r="I468">
        <f>F468*(1-H468/100)*1.18</f>
        <v/>
      </c>
      <c r="J468">
        <f>הגדרות!C4</f>
        <v/>
      </c>
      <c r="K468">
        <f>הגדרות!D4</f>
        <v/>
      </c>
      <c r="L468">
        <f>I468*(1+J468/100)+K468</f>
        <v/>
      </c>
    </row>
    <row r="469">
      <c r="A469" t="inlineStr">
        <is>
          <t>בית ארז — ציוד מתכלה</t>
        </is>
      </c>
      <c r="B469" t="inlineStr">
        <is>
          <t>חבישת אוזניים S 15-20cm, 33-43cm כחול</t>
        </is>
      </c>
      <c r="C469" t="inlineStr">
        <is>
          <t>אוזניים</t>
        </is>
      </c>
      <c r="D469" t="inlineStr">
        <is>
          <t>6300421</t>
        </is>
      </c>
      <c r="E469" t="inlineStr">
        <is>
          <t>2025-11</t>
        </is>
      </c>
      <c r="F469" t="n">
        <v>149</v>
      </c>
      <c r="G469" t="n">
        <v>175.82</v>
      </c>
      <c r="H469">
        <f>הגדרות!B4</f>
        <v/>
      </c>
      <c r="I469">
        <f>F469*(1-H469/100)*1.18</f>
        <v/>
      </c>
      <c r="J469">
        <f>הגדרות!C4</f>
        <v/>
      </c>
      <c r="K469">
        <f>הגדרות!D4</f>
        <v/>
      </c>
      <c r="L469">
        <f>I469*(1+J469/100)+K469</f>
        <v/>
      </c>
    </row>
    <row r="470">
      <c r="A470" t="inlineStr">
        <is>
          <t>בית ארז — ציוד מתכלה</t>
        </is>
      </c>
      <c r="B470" t="inlineStr">
        <is>
          <t>חבישת אוזניים S/M 18-23cm, 38-48cm כחול</t>
        </is>
      </c>
      <c r="C470" t="inlineStr">
        <is>
          <t>ציוד רפואי</t>
        </is>
      </c>
      <c r="D470" t="inlineStr">
        <is>
          <t>6300422</t>
        </is>
      </c>
      <c r="E470" t="inlineStr">
        <is>
          <t>2025-11</t>
        </is>
      </c>
      <c r="F470" t="n">
        <v>149</v>
      </c>
      <c r="G470" t="n">
        <v>175.82</v>
      </c>
      <c r="H470">
        <f>הגדרות!B4</f>
        <v/>
      </c>
      <c r="I470">
        <f>F470*(1-H470/100)*1.18</f>
        <v/>
      </c>
      <c r="J470">
        <f>הגדרות!C4</f>
        <v/>
      </c>
      <c r="K470">
        <f>הגדרות!D4</f>
        <v/>
      </c>
      <c r="L470">
        <f>I470*(1+J470/100)+K470</f>
        <v/>
      </c>
    </row>
    <row r="471">
      <c r="A471" t="inlineStr">
        <is>
          <t>בית ארז — ציוד מתכלה</t>
        </is>
      </c>
      <c r="B471" t="inlineStr">
        <is>
          <t>חבישת אוזניים M 20-25cm, 43-56cm כחול</t>
        </is>
      </c>
      <c r="C471" t="inlineStr">
        <is>
          <t>אוזניים</t>
        </is>
      </c>
      <c r="D471" t="inlineStr">
        <is>
          <t>6300423</t>
        </is>
      </c>
      <c r="E471" t="inlineStr">
        <is>
          <t>2025-11</t>
        </is>
      </c>
      <c r="F471" t="n">
        <v>149</v>
      </c>
      <c r="G471" t="n">
        <v>175.82</v>
      </c>
      <c r="H471">
        <f>הגדרות!B4</f>
        <v/>
      </c>
      <c r="I471">
        <f>F471*(1-H471/100)*1.18</f>
        <v/>
      </c>
      <c r="J471">
        <f>הגדרות!C4</f>
        <v/>
      </c>
      <c r="K471">
        <f>הגדרות!D4</f>
        <v/>
      </c>
      <c r="L471">
        <f>I471*(1+J471/100)+K471</f>
        <v/>
      </c>
    </row>
    <row r="472">
      <c r="A472" t="inlineStr">
        <is>
          <t>בית ארז — ציוד מתכלה</t>
        </is>
      </c>
      <c r="B472" t="inlineStr">
        <is>
          <t>חבישת אוזניים L 25-30cm, 46-58cm כחול</t>
        </is>
      </c>
      <c r="C472" t="inlineStr">
        <is>
          <t>ציוד רפואי</t>
        </is>
      </c>
      <c r="D472" t="inlineStr">
        <is>
          <t>6300424</t>
        </is>
      </c>
      <c r="E472" t="inlineStr">
        <is>
          <t>2025-11</t>
        </is>
      </c>
      <c r="F472" t="n">
        <v>149</v>
      </c>
      <c r="G472" t="n">
        <v>175.82</v>
      </c>
      <c r="H472">
        <f>הגדרות!B4</f>
        <v/>
      </c>
      <c r="I472">
        <f>F472*(1-H472/100)*1.18</f>
        <v/>
      </c>
      <c r="J472">
        <f>הגדרות!C4</f>
        <v/>
      </c>
      <c r="K472">
        <f>הגדרות!D4</f>
        <v/>
      </c>
      <c r="L472">
        <f>I472*(1+J472/100)+K472</f>
        <v/>
      </c>
    </row>
    <row r="473">
      <c r="A473" t="inlineStr">
        <is>
          <t>בית ארז — ציוד מתכלה</t>
        </is>
      </c>
      <c r="B473" t="inlineStr">
        <is>
          <t>חבישת אוזניים XL 30-36cm, 53-66cm כחול</t>
        </is>
      </c>
      <c r="C473" t="inlineStr">
        <is>
          <t>אוזניים</t>
        </is>
      </c>
      <c r="D473" t="inlineStr">
        <is>
          <t>6300425</t>
        </is>
      </c>
      <c r="E473" t="inlineStr">
        <is>
          <t>2025-11</t>
        </is>
      </c>
      <c r="F473" t="n">
        <v>149</v>
      </c>
      <c r="G473" t="n">
        <v>175.82</v>
      </c>
      <c r="H473">
        <f>הגדרות!B4</f>
        <v/>
      </c>
      <c r="I473">
        <f>F473*(1-H473/100)*1.18</f>
        <v/>
      </c>
      <c r="J473">
        <f>הגדרות!C4</f>
        <v/>
      </c>
      <c r="K473">
        <f>הגדרות!D4</f>
        <v/>
      </c>
      <c r="L473">
        <f>I473*(1+J473/100)+K473</f>
        <v/>
      </c>
    </row>
    <row r="474">
      <c r="A474" t="inlineStr">
        <is>
          <t>בית ארז — ציוד מתכלה</t>
        </is>
      </c>
      <c r="B474" t="inlineStr">
        <is>
          <t>חבישת אוזניים XS 13-18cm, 25-36cm ירוק</t>
        </is>
      </c>
      <c r="C474" t="inlineStr">
        <is>
          <t>ציוד רפואי</t>
        </is>
      </c>
      <c r="D474" t="inlineStr">
        <is>
          <t>6300430</t>
        </is>
      </c>
      <c r="E474" t="inlineStr">
        <is>
          <t>2025-11</t>
        </is>
      </c>
      <c r="F474" t="n">
        <v>149</v>
      </c>
      <c r="G474" t="n">
        <v>175.82</v>
      </c>
      <c r="H474">
        <f>הגדרות!B4</f>
        <v/>
      </c>
      <c r="I474">
        <f>F474*(1-H474/100)*1.18</f>
        <v/>
      </c>
      <c r="J474">
        <f>הגדרות!C4</f>
        <v/>
      </c>
      <c r="K474">
        <f>הגדרות!D4</f>
        <v/>
      </c>
      <c r="L474">
        <f>I474*(1+J474/100)+K474</f>
        <v/>
      </c>
    </row>
    <row r="475">
      <c r="A475" t="inlineStr">
        <is>
          <t>בית ארז — ציוד מתכלה</t>
        </is>
      </c>
      <c r="B475" t="inlineStr">
        <is>
          <t>חבישת אוזניים S 15-20cm, 33-43cm ירוק</t>
        </is>
      </c>
      <c r="C475" t="inlineStr">
        <is>
          <t>אוזניים</t>
        </is>
      </c>
      <c r="D475" t="inlineStr">
        <is>
          <t>6300431</t>
        </is>
      </c>
      <c r="E475" t="inlineStr">
        <is>
          <t>2025-11</t>
        </is>
      </c>
      <c r="F475" t="n">
        <v>149</v>
      </c>
      <c r="G475" t="n">
        <v>175.82</v>
      </c>
      <c r="H475">
        <f>הגדרות!B4</f>
        <v/>
      </c>
      <c r="I475">
        <f>F475*(1-H475/100)*1.18</f>
        <v/>
      </c>
      <c r="J475">
        <f>הגדרות!C4</f>
        <v/>
      </c>
      <c r="K475">
        <f>הגדרות!D4</f>
        <v/>
      </c>
      <c r="L475">
        <f>I475*(1+J475/100)+K475</f>
        <v/>
      </c>
    </row>
    <row r="476">
      <c r="A476" t="inlineStr">
        <is>
          <t>בית ארז — ציוד מתכלה</t>
        </is>
      </c>
      <c r="B476" t="inlineStr">
        <is>
          <t>חבישת אוזניים S/M 18-23cm, 38-48cm ירוק</t>
        </is>
      </c>
      <c r="C476" t="inlineStr">
        <is>
          <t>ציוד רפואי</t>
        </is>
      </c>
      <c r="D476" t="inlineStr">
        <is>
          <t>6300432</t>
        </is>
      </c>
      <c r="E476" t="inlineStr">
        <is>
          <t>2025-11</t>
        </is>
      </c>
      <c r="F476" t="n">
        <v>149</v>
      </c>
      <c r="G476" t="n">
        <v>175.82</v>
      </c>
      <c r="H476">
        <f>הגדרות!B4</f>
        <v/>
      </c>
      <c r="I476">
        <f>F476*(1-H476/100)*1.18</f>
        <v/>
      </c>
      <c r="J476">
        <f>הגדרות!C4</f>
        <v/>
      </c>
      <c r="K476">
        <f>הגדרות!D4</f>
        <v/>
      </c>
      <c r="L476">
        <f>I476*(1+J476/100)+K476</f>
        <v/>
      </c>
    </row>
    <row r="477">
      <c r="A477" t="inlineStr">
        <is>
          <t>בית ארז — ציוד מתכלה</t>
        </is>
      </c>
      <c r="B477" t="inlineStr">
        <is>
          <t>חבישת אוזניים M 20-25cm, 43-56cm ירוק</t>
        </is>
      </c>
      <c r="C477" t="inlineStr">
        <is>
          <t>אוזניים</t>
        </is>
      </c>
      <c r="D477" t="inlineStr">
        <is>
          <t>6300433</t>
        </is>
      </c>
      <c r="E477" t="inlineStr">
        <is>
          <t>2025-11</t>
        </is>
      </c>
      <c r="F477" t="n">
        <v>149</v>
      </c>
      <c r="G477" t="n">
        <v>175.82</v>
      </c>
      <c r="H477">
        <f>הגדרות!B4</f>
        <v/>
      </c>
      <c r="I477">
        <f>F477*(1-H477/100)*1.18</f>
        <v/>
      </c>
      <c r="J477">
        <f>הגדרות!C4</f>
        <v/>
      </c>
      <c r="K477">
        <f>הגדרות!D4</f>
        <v/>
      </c>
      <c r="L477">
        <f>I477*(1+J477/100)+K477</f>
        <v/>
      </c>
    </row>
    <row r="478">
      <c r="A478" t="inlineStr">
        <is>
          <t>בית ארז — ציוד מתכלה</t>
        </is>
      </c>
      <c r="B478" t="inlineStr">
        <is>
          <t>חבישת אוזניים L 25-30cm, 46-58cm ירוק</t>
        </is>
      </c>
      <c r="C478" t="inlineStr">
        <is>
          <t>ציוד רפואי</t>
        </is>
      </c>
      <c r="D478" t="inlineStr">
        <is>
          <t>6300434</t>
        </is>
      </c>
      <c r="E478" t="inlineStr">
        <is>
          <t>2025-11</t>
        </is>
      </c>
      <c r="F478" t="n">
        <v>149</v>
      </c>
      <c r="G478" t="n">
        <v>175.82</v>
      </c>
      <c r="H478">
        <f>הגדרות!B4</f>
        <v/>
      </c>
      <c r="I478">
        <f>F478*(1-H478/100)*1.18</f>
        <v/>
      </c>
      <c r="J478">
        <f>הגדרות!C4</f>
        <v/>
      </c>
      <c r="K478">
        <f>הגדרות!D4</f>
        <v/>
      </c>
      <c r="L478">
        <f>I478*(1+J478/100)+K478</f>
        <v/>
      </c>
    </row>
    <row r="479">
      <c r="A479" t="inlineStr">
        <is>
          <t>בית ארז — ציוד מתכלה</t>
        </is>
      </c>
      <c r="B479" t="inlineStr">
        <is>
          <t>חבישת אוזניים XL 30-36cm, 53-66cm ירוק</t>
        </is>
      </c>
      <c r="C479" t="inlineStr">
        <is>
          <t>אוזניים</t>
        </is>
      </c>
      <c r="D479" t="inlineStr">
        <is>
          <t>6300435</t>
        </is>
      </c>
      <c r="E479" t="inlineStr">
        <is>
          <t>2025-11</t>
        </is>
      </c>
      <c r="F479" t="n">
        <v>149</v>
      </c>
      <c r="G479" t="n">
        <v>175.82</v>
      </c>
      <c r="H479">
        <f>הגדרות!B4</f>
        <v/>
      </c>
      <c r="I479">
        <f>F479*(1-H479/100)*1.18</f>
        <v/>
      </c>
      <c r="J479">
        <f>הגדרות!C4</f>
        <v/>
      </c>
      <c r="K479">
        <f>הגדרות!D4</f>
        <v/>
      </c>
      <c r="L479">
        <f>I479*(1+J479/100)+K479</f>
        <v/>
      </c>
    </row>
    <row r="480">
      <c r="A480" t="inlineStr">
        <is>
          <t>בית ארז — ציוד מתכלה</t>
        </is>
      </c>
      <c r="B480" t="inlineStr">
        <is>
          <t>חבישת אוזניים לחתול S 9-14cm, 18-25cm ירוק</t>
        </is>
      </c>
      <c r="C480" t="inlineStr">
        <is>
          <t>ציוד רפואי</t>
        </is>
      </c>
      <c r="D480" t="inlineStr">
        <is>
          <t>6300440</t>
        </is>
      </c>
      <c r="E480" t="inlineStr">
        <is>
          <t>2025-11</t>
        </is>
      </c>
      <c r="F480" t="n">
        <v>135</v>
      </c>
      <c r="G480" t="n">
        <v>159.3</v>
      </c>
      <c r="H480">
        <f>הגדרות!B4</f>
        <v/>
      </c>
      <c r="I480">
        <f>F480*(1-H480/100)*1.18</f>
        <v/>
      </c>
      <c r="J480">
        <f>הגדרות!C4</f>
        <v/>
      </c>
      <c r="K480">
        <f>הגדרות!D4</f>
        <v/>
      </c>
      <c r="L480">
        <f>I480*(1+J480/100)+K480</f>
        <v/>
      </c>
    </row>
    <row r="481">
      <c r="A481" t="inlineStr">
        <is>
          <t>בית ארז — ציוד מתכלה</t>
        </is>
      </c>
      <c r="B481" t="inlineStr">
        <is>
          <t>חבישת אוזניים לחתול L 13-18cm, 23-33cm ירוק</t>
        </is>
      </c>
      <c r="C481" t="inlineStr">
        <is>
          <t>אוזניים</t>
        </is>
      </c>
      <c r="D481" t="inlineStr">
        <is>
          <t>6300441</t>
        </is>
      </c>
      <c r="E481" t="inlineStr">
        <is>
          <t>2025-11</t>
        </is>
      </c>
      <c r="F481" t="n">
        <v>135</v>
      </c>
      <c r="G481" t="n">
        <v>159.3</v>
      </c>
      <c r="H481">
        <f>הגדרות!B4</f>
        <v/>
      </c>
      <c r="I481">
        <f>F481*(1-H481/100)*1.18</f>
        <v/>
      </c>
      <c r="J481">
        <f>הגדרות!C4</f>
        <v/>
      </c>
      <c r="K481">
        <f>הגדרות!D4</f>
        <v/>
      </c>
      <c r="L481">
        <f>I481*(1+J481/100)+K481</f>
        <v/>
      </c>
    </row>
    <row r="482">
      <c r="A482" t="inlineStr">
        <is>
          <t>בית ארז — ציוד מתכלה</t>
        </is>
      </c>
      <c r="B482" t="inlineStr">
        <is>
          <t>קטטר אורטרה קצה זית 6 יח' 1.3/2.5/3.8cmX22G-1.4mm KVP</t>
        </is>
      </c>
      <c r="C482" t="inlineStr">
        <is>
          <t>כליות ושתן</t>
        </is>
      </c>
      <c r="D482" t="inlineStr">
        <is>
          <t>6300400</t>
        </is>
      </c>
      <c r="E482" t="inlineStr">
        <is>
          <t>2025-11</t>
        </is>
      </c>
      <c r="F482" t="n">
        <v>395</v>
      </c>
      <c r="G482" t="n">
        <v>466.1</v>
      </c>
      <c r="H482">
        <f>הגדרות!B4</f>
        <v/>
      </c>
      <c r="I482">
        <f>F482*(1-H482/100)*1.18</f>
        <v/>
      </c>
      <c r="J482">
        <f>הגדרות!C4</f>
        <v/>
      </c>
      <c r="K482">
        <f>הגדרות!D4</f>
        <v/>
      </c>
      <c r="L482">
        <f>I482*(1+J482/100)+K482</f>
        <v/>
      </c>
    </row>
    <row r="483">
      <c r="A483" t="inlineStr">
        <is>
          <t>בית ארז — ציוד מתכלה</t>
        </is>
      </c>
      <c r="B483" t="inlineStr">
        <is>
          <t>קטטר שתן לחתול קצה סגור 3F 1.0mmx13cm</t>
        </is>
      </c>
      <c r="C483" t="inlineStr">
        <is>
          <t>ציוד רפואי מתכלה</t>
        </is>
      </c>
      <c r="D483" t="inlineStr">
        <is>
          <t>6101405</t>
        </is>
      </c>
      <c r="E483" t="inlineStr">
        <is>
          <t>2025-11</t>
        </is>
      </c>
      <c r="F483" t="n">
        <v>13</v>
      </c>
      <c r="G483" t="n">
        <v>15.34</v>
      </c>
      <c r="H483">
        <f>הגדרות!B4</f>
        <v/>
      </c>
      <c r="I483">
        <f>F483*(1-H483/100)*1.18</f>
        <v/>
      </c>
      <c r="J483">
        <f>הגדרות!C4</f>
        <v/>
      </c>
      <c r="K483">
        <f>הגדרות!D4</f>
        <v/>
      </c>
      <c r="L483">
        <f>I483*(1+J483/100)+K483</f>
        <v/>
      </c>
    </row>
    <row r="484">
      <c r="A484" t="inlineStr">
        <is>
          <t>בית ארז — ציוד מתכלה</t>
        </is>
      </c>
      <c r="B484" t="inlineStr">
        <is>
          <t>קטטר שתן לחתול קצה סגור 4F 1.3mmx13cm</t>
        </is>
      </c>
      <c r="C484" t="inlineStr">
        <is>
          <t>כליות ושתן</t>
        </is>
      </c>
      <c r="D484" t="inlineStr">
        <is>
          <t>6101407</t>
        </is>
      </c>
      <c r="E484" t="inlineStr">
        <is>
          <t>2025-11</t>
        </is>
      </c>
      <c r="F484" t="n">
        <v>13</v>
      </c>
      <c r="G484" t="n">
        <v>15.34</v>
      </c>
      <c r="H484">
        <f>הגדרות!B4</f>
        <v/>
      </c>
      <c r="I484">
        <f>F484*(1-H484/100)*1.18</f>
        <v/>
      </c>
      <c r="J484">
        <f>הגדרות!C4</f>
        <v/>
      </c>
      <c r="K484">
        <f>הגדרות!D4</f>
        <v/>
      </c>
      <c r="L484">
        <f>I484*(1+J484/100)+K484</f>
        <v/>
      </c>
    </row>
    <row r="485">
      <c r="A485" t="inlineStr">
        <is>
          <t>בית ארז — ציוד מתכלה</t>
        </is>
      </c>
      <c r="B485" t="inlineStr">
        <is>
          <t>קטטר שתן לחתול קצה סגור עם מוליך 3F 1.0mmx13cm</t>
        </is>
      </c>
      <c r="C485" t="inlineStr">
        <is>
          <t>ציוד רפואי מתכלה</t>
        </is>
      </c>
      <c r="D485" t="inlineStr">
        <is>
          <t>6101410</t>
        </is>
      </c>
      <c r="E485" t="inlineStr">
        <is>
          <t>2025-11</t>
        </is>
      </c>
      <c r="F485" t="n">
        <v>13</v>
      </c>
      <c r="G485" t="n">
        <v>15.34</v>
      </c>
      <c r="H485">
        <f>הגדרות!B4</f>
        <v/>
      </c>
      <c r="I485">
        <f>F485*(1-H485/100)*1.18</f>
        <v/>
      </c>
      <c r="J485">
        <f>הגדרות!C4</f>
        <v/>
      </c>
      <c r="K485">
        <f>הגדרות!D4</f>
        <v/>
      </c>
      <c r="L485">
        <f>I485*(1+J485/100)+K485</f>
        <v/>
      </c>
    </row>
    <row r="486">
      <c r="A486" t="inlineStr">
        <is>
          <t>בית ארז — ציוד מתכלה</t>
        </is>
      </c>
      <c r="B486" t="inlineStr">
        <is>
          <t>קטטר שתן לחתול קצה סגור עם מוליך 4F 1.3mmx13cm</t>
        </is>
      </c>
      <c r="C486" t="inlineStr">
        <is>
          <t>כליות ושתן</t>
        </is>
      </c>
      <c r="D486" t="inlineStr">
        <is>
          <t>6101412</t>
        </is>
      </c>
      <c r="E486" t="inlineStr">
        <is>
          <t>2025-11</t>
        </is>
      </c>
      <c r="F486" t="n">
        <v>13</v>
      </c>
      <c r="G486" t="n">
        <v>15.34</v>
      </c>
      <c r="H486">
        <f>הגדרות!B4</f>
        <v/>
      </c>
      <c r="I486">
        <f>F486*(1-H486/100)*1.18</f>
        <v/>
      </c>
      <c r="J486">
        <f>הגדרות!C4</f>
        <v/>
      </c>
      <c r="K486">
        <f>הגדרות!D4</f>
        <v/>
      </c>
      <c r="L486">
        <f>I486*(1+J486/100)+K486</f>
        <v/>
      </c>
    </row>
    <row r="487">
      <c r="A487" t="inlineStr">
        <is>
          <t>בית ארז — ציוד מתכלה</t>
        </is>
      </c>
      <c r="B487" t="inlineStr">
        <is>
          <t>קטטר שתן לכלב קצה סגור 4F 1.3mmx50cm</t>
        </is>
      </c>
      <c r="C487" t="inlineStr">
        <is>
          <t>ציוד רפואי מתכלה</t>
        </is>
      </c>
      <c r="D487" t="inlineStr">
        <is>
          <t>6101420</t>
        </is>
      </c>
      <c r="E487" t="inlineStr">
        <is>
          <t>2025-11</t>
        </is>
      </c>
      <c r="F487" t="n">
        <v>14</v>
      </c>
      <c r="G487" t="n">
        <v>16.52</v>
      </c>
      <c r="H487">
        <f>הגדרות!B4</f>
        <v/>
      </c>
      <c r="I487">
        <f>F487*(1-H487/100)*1.18</f>
        <v/>
      </c>
      <c r="J487">
        <f>הגדרות!C4</f>
        <v/>
      </c>
      <c r="K487">
        <f>הגדרות!D4</f>
        <v/>
      </c>
      <c r="L487">
        <f>I487*(1+J487/100)+K487</f>
        <v/>
      </c>
    </row>
    <row r="488">
      <c r="A488" t="inlineStr">
        <is>
          <t>בית ארז — ציוד מתכלה</t>
        </is>
      </c>
      <c r="B488" t="inlineStr">
        <is>
          <t>קטטר שתן לכלב קצה סגור 6F 2.0mmx50cm</t>
        </is>
      </c>
      <c r="C488" t="inlineStr">
        <is>
          <t>כליות ושתן</t>
        </is>
      </c>
      <c r="D488" t="inlineStr">
        <is>
          <t>6101422</t>
        </is>
      </c>
      <c r="E488" t="inlineStr">
        <is>
          <t>2025-11</t>
        </is>
      </c>
      <c r="F488" t="n">
        <v>14</v>
      </c>
      <c r="G488" t="n">
        <v>16.52</v>
      </c>
      <c r="H488">
        <f>הגדרות!B4</f>
        <v/>
      </c>
      <c r="I488">
        <f>F488*(1-H488/100)*1.18</f>
        <v/>
      </c>
      <c r="J488">
        <f>הגדרות!C4</f>
        <v/>
      </c>
      <c r="K488">
        <f>הגדרות!D4</f>
        <v/>
      </c>
      <c r="L488">
        <f>I488*(1+J488/100)+K488</f>
        <v/>
      </c>
    </row>
    <row r="489">
      <c r="A489" t="inlineStr">
        <is>
          <t>בית ארז — ציוד מתכלה</t>
        </is>
      </c>
      <c r="B489" t="inlineStr">
        <is>
          <t>קטטר שתן לכלב קצה סגור 8F 2.6mmx50cm</t>
        </is>
      </c>
      <c r="C489" t="inlineStr">
        <is>
          <t>ציוד רפואי מתכלה</t>
        </is>
      </c>
      <c r="D489" t="inlineStr">
        <is>
          <t>6101424</t>
        </is>
      </c>
      <c r="E489" t="inlineStr">
        <is>
          <t>2025-11</t>
        </is>
      </c>
      <c r="F489" t="n">
        <v>14</v>
      </c>
      <c r="G489" t="n">
        <v>16.52</v>
      </c>
      <c r="H489">
        <f>הגדרות!B4</f>
        <v/>
      </c>
      <c r="I489">
        <f>F489*(1-H489/100)*1.18</f>
        <v/>
      </c>
      <c r="J489">
        <f>הגדרות!C4</f>
        <v/>
      </c>
      <c r="K489">
        <f>הגדרות!D4</f>
        <v/>
      </c>
      <c r="L489">
        <f>I489*(1+J489/100)+K489</f>
        <v/>
      </c>
    </row>
    <row r="490">
      <c r="A490" t="inlineStr">
        <is>
          <t>בית ארז — ציוד מתכלה</t>
        </is>
      </c>
      <c r="B490" t="inlineStr">
        <is>
          <t>קטטר שתן לכלב קצה סגור 10F 3.3mmx50cm</t>
        </is>
      </c>
      <c r="C490" t="inlineStr">
        <is>
          <t>כליות ושתן</t>
        </is>
      </c>
      <c r="D490" t="inlineStr">
        <is>
          <t>6101426</t>
        </is>
      </c>
      <c r="E490" t="inlineStr">
        <is>
          <t>2025-11</t>
        </is>
      </c>
      <c r="F490" t="n">
        <v>14</v>
      </c>
      <c r="G490" t="n">
        <v>16.52</v>
      </c>
      <c r="H490">
        <f>הגדרות!B4</f>
        <v/>
      </c>
      <c r="I490">
        <f>F490*(1-H490/100)*1.18</f>
        <v/>
      </c>
      <c r="J490">
        <f>הגדרות!C4</f>
        <v/>
      </c>
      <c r="K490">
        <f>הגדרות!D4</f>
        <v/>
      </c>
      <c r="L490">
        <f>I490*(1+J490/100)+K490</f>
        <v/>
      </c>
    </row>
    <row r="491">
      <c r="A491" t="inlineStr">
        <is>
          <t>בית ארז — ציוד מתכלה</t>
        </is>
      </c>
      <c r="B491" t="inlineStr">
        <is>
          <t>כוס שתן סטרילי 125 מ"ל מכסה הברגה אדום - 5 יח'</t>
        </is>
      </c>
      <c r="C491" t="inlineStr">
        <is>
          <t>ציוד רפואי מתכלה</t>
        </is>
      </c>
      <c r="D491" t="inlineStr">
        <is>
          <t>5910250</t>
        </is>
      </c>
      <c r="E491" t="inlineStr">
        <is>
          <t>2025-11</t>
        </is>
      </c>
      <c r="F491" t="n">
        <v>4</v>
      </c>
      <c r="G491" t="n">
        <v>4.72</v>
      </c>
      <c r="H491">
        <f>הגדרות!B4</f>
        <v/>
      </c>
      <c r="I491">
        <f>F491*(1-H491/100)*1.18</f>
        <v/>
      </c>
      <c r="J491">
        <f>הגדרות!C4</f>
        <v/>
      </c>
      <c r="K491">
        <f>הגדרות!D4</f>
        <v/>
      </c>
      <c r="L491">
        <f>I491*(1+J491/100)+K491</f>
        <v/>
      </c>
    </row>
    <row r="492">
      <c r="A492" t="inlineStr">
        <is>
          <t>בית ארז — ציוד מתכלה</t>
        </is>
      </c>
      <c r="B492" t="inlineStr">
        <is>
          <t>סט 3 מחטי האכלה מעוקלות KVP</t>
        </is>
      </c>
      <c r="C492" t="inlineStr">
        <is>
          <t>מערכת עיכול</t>
        </is>
      </c>
      <c r="D492" t="inlineStr">
        <is>
          <t>6300250</t>
        </is>
      </c>
      <c r="E492" t="inlineStr">
        <is>
          <t>2025-11</t>
        </is>
      </c>
      <c r="F492" t="n">
        <v>160</v>
      </c>
      <c r="G492" t="n">
        <v>188.8</v>
      </c>
      <c r="H492">
        <f>הגדרות!B4</f>
        <v/>
      </c>
      <c r="I492">
        <f>F492*(1-H492/100)*1.18</f>
        <v/>
      </c>
      <c r="J492">
        <f>הגדרות!C4</f>
        <v/>
      </c>
      <c r="K492">
        <f>הגדרות!D4</f>
        <v/>
      </c>
      <c r="L492">
        <f>I492*(1+J492/100)+K492</f>
        <v/>
      </c>
    </row>
    <row r="493">
      <c r="A493" t="inlineStr">
        <is>
          <t>בית ארז — ציוד מתכלה</t>
        </is>
      </c>
      <c r="B493" t="inlineStr">
        <is>
          <t>מחט האכלה מעוקלת 2 יח' 4cmX22G-2.4mm KVP</t>
        </is>
      </c>
      <c r="C493" t="inlineStr">
        <is>
          <t>ציוד רפואי</t>
        </is>
      </c>
      <c r="D493" t="inlineStr">
        <is>
          <t>6300251</t>
        </is>
      </c>
      <c r="E493" t="inlineStr">
        <is>
          <t>2025-11</t>
        </is>
      </c>
      <c r="F493" t="n">
        <v>85</v>
      </c>
      <c r="G493" t="n">
        <v>100.3</v>
      </c>
      <c r="H493">
        <f>הגדרות!B4</f>
        <v/>
      </c>
      <c r="I493">
        <f>F493*(1-H493/100)*1.18</f>
        <v/>
      </c>
      <c r="J493">
        <f>הגדרות!C4</f>
        <v/>
      </c>
      <c r="K493">
        <f>הגדרות!D4</f>
        <v/>
      </c>
      <c r="L493">
        <f>I493*(1+J493/100)+K493</f>
        <v/>
      </c>
    </row>
    <row r="494">
      <c r="A494" t="inlineStr">
        <is>
          <t>בית ארז — ציוד מתכלה</t>
        </is>
      </c>
      <c r="B494" t="inlineStr">
        <is>
          <t>מחט האכלה מעוקלת 2 יח' 4cmX20G-2.4mm KVP</t>
        </is>
      </c>
      <c r="C494" t="inlineStr">
        <is>
          <t>מערכת עיכול</t>
        </is>
      </c>
      <c r="D494" t="inlineStr">
        <is>
          <t>6300252</t>
        </is>
      </c>
      <c r="E494" t="inlineStr">
        <is>
          <t>2025-11</t>
        </is>
      </c>
      <c r="F494" t="n">
        <v>85</v>
      </c>
      <c r="G494" t="n">
        <v>100.3</v>
      </c>
      <c r="H494">
        <f>הגדרות!B4</f>
        <v/>
      </c>
      <c r="I494">
        <f>F494*(1-H494/100)*1.18</f>
        <v/>
      </c>
      <c r="J494">
        <f>הגדרות!C4</f>
        <v/>
      </c>
      <c r="K494">
        <f>הגדרות!D4</f>
        <v/>
      </c>
      <c r="L494">
        <f>I494*(1+J494/100)+K494</f>
        <v/>
      </c>
    </row>
    <row r="495">
      <c r="A495" t="inlineStr">
        <is>
          <t>בית ארז — ציוד מתכלה</t>
        </is>
      </c>
      <c r="B495" t="inlineStr">
        <is>
          <t>מחט האכלה מעוקלת 2 יח' 10cmX18G-2.4mm KVP</t>
        </is>
      </c>
      <c r="C495" t="inlineStr">
        <is>
          <t>ציוד רפואי</t>
        </is>
      </c>
      <c r="D495" t="inlineStr">
        <is>
          <t>6300255</t>
        </is>
      </c>
      <c r="E495" t="inlineStr">
        <is>
          <t>2025-11</t>
        </is>
      </c>
      <c r="F495" t="n">
        <v>85</v>
      </c>
      <c r="G495" t="n">
        <v>100.3</v>
      </c>
      <c r="H495">
        <f>הגדרות!B4</f>
        <v/>
      </c>
      <c r="I495">
        <f>F495*(1-H495/100)*1.18</f>
        <v/>
      </c>
      <c r="J495">
        <f>הגדרות!C4</f>
        <v/>
      </c>
      <c r="K495">
        <f>הגדרות!D4</f>
        <v/>
      </c>
      <c r="L495">
        <f>I495*(1+J495/100)+K495</f>
        <v/>
      </c>
    </row>
    <row r="496">
      <c r="A496" t="inlineStr">
        <is>
          <t>בית ארז — ציוד מתכלה</t>
        </is>
      </c>
      <c r="B496" t="inlineStr">
        <is>
          <t>מחט האכלה מעוקלת 2 יח' 10cmX16G-3mm KVP</t>
        </is>
      </c>
      <c r="C496" t="inlineStr">
        <is>
          <t>מערכת עיכול</t>
        </is>
      </c>
      <c r="D496" t="inlineStr">
        <is>
          <t>6300258</t>
        </is>
      </c>
      <c r="E496" t="inlineStr">
        <is>
          <t>2025-11</t>
        </is>
      </c>
      <c r="F496" t="n">
        <v>85</v>
      </c>
      <c r="G496" t="n">
        <v>100.3</v>
      </c>
      <c r="H496">
        <f>הגדרות!B4</f>
        <v/>
      </c>
      <c r="I496">
        <f>F496*(1-H496/100)*1.18</f>
        <v/>
      </c>
      <c r="J496">
        <f>הגדרות!C4</f>
        <v/>
      </c>
      <c r="K496">
        <f>הגדרות!D4</f>
        <v/>
      </c>
      <c r="L496">
        <f>I496*(1+J496/100)+K496</f>
        <v/>
      </c>
    </row>
    <row r="497">
      <c r="A497" t="inlineStr">
        <is>
          <t>בית ארז — ציוד מתכלה</t>
        </is>
      </c>
      <c r="B497" t="inlineStr">
        <is>
          <t>מחט האכלה מעוקלת 2 יח' 10cmX12G-4mm KVP</t>
        </is>
      </c>
      <c r="C497" t="inlineStr">
        <is>
          <t>ציוד רפואי</t>
        </is>
      </c>
      <c r="D497" t="inlineStr">
        <is>
          <t>6300265</t>
        </is>
      </c>
      <c r="E497" t="inlineStr">
        <is>
          <t>2025-11</t>
        </is>
      </c>
      <c r="F497" t="n">
        <v>115</v>
      </c>
      <c r="G497" t="n">
        <v>135.7</v>
      </c>
      <c r="H497">
        <f>הגדרות!B4</f>
        <v/>
      </c>
      <c r="I497">
        <f>F497*(1-H497/100)*1.18</f>
        <v/>
      </c>
      <c r="J497">
        <f>הגדרות!C4</f>
        <v/>
      </c>
      <c r="K497">
        <f>הגדרות!D4</f>
        <v/>
      </c>
      <c r="L497">
        <f>I497*(1+J497/100)+K497</f>
        <v/>
      </c>
    </row>
    <row r="498">
      <c r="A498" t="inlineStr">
        <is>
          <t>בית ארז — ציוד מתכלה</t>
        </is>
      </c>
      <c r="B498" t="inlineStr">
        <is>
          <t>מחט האכלה מעוקלת 2 יח' 10cmX10G-6.4mm KVP</t>
        </is>
      </c>
      <c r="C498" t="inlineStr">
        <is>
          <t>מערכת עיכול</t>
        </is>
      </c>
      <c r="D498" t="inlineStr">
        <is>
          <t>6300266</t>
        </is>
      </c>
      <c r="E498" t="inlineStr">
        <is>
          <t>2025-11</t>
        </is>
      </c>
      <c r="F498" t="n">
        <v>150</v>
      </c>
      <c r="G498" t="n">
        <v>177</v>
      </c>
      <c r="H498">
        <f>הגדרות!B4</f>
        <v/>
      </c>
      <c r="I498">
        <f>F498*(1-H498/100)*1.18</f>
        <v/>
      </c>
      <c r="J498">
        <f>הגדרות!C4</f>
        <v/>
      </c>
      <c r="K498">
        <f>הגדרות!D4</f>
        <v/>
      </c>
      <c r="L498">
        <f>I498*(1+J498/100)+K498</f>
        <v/>
      </c>
    </row>
    <row r="499">
      <c r="A499" t="inlineStr">
        <is>
          <t>בית ארז — ציוד מתכלה</t>
        </is>
      </c>
      <c r="B499" t="inlineStr">
        <is>
          <t>סט 3 מחטי האכלה ישרות KVP</t>
        </is>
      </c>
      <c r="C499" t="inlineStr">
        <is>
          <t>ציוד רפואי</t>
        </is>
      </c>
      <c r="D499" t="inlineStr">
        <is>
          <t>6300270</t>
        </is>
      </c>
      <c r="E499" t="inlineStr">
        <is>
          <t>2025-11</t>
        </is>
      </c>
      <c r="F499" t="n">
        <v>160</v>
      </c>
      <c r="G499" t="n">
        <v>188.8</v>
      </c>
      <c r="H499">
        <f>הגדרות!B4</f>
        <v/>
      </c>
      <c r="I499">
        <f>F499*(1-H499/100)*1.18</f>
        <v/>
      </c>
      <c r="J499">
        <f>הגדרות!C4</f>
        <v/>
      </c>
      <c r="K499">
        <f>הגדרות!D4</f>
        <v/>
      </c>
      <c r="L499">
        <f>I499*(1+J499/100)+K499</f>
        <v/>
      </c>
    </row>
    <row r="500">
      <c r="A500" t="inlineStr">
        <is>
          <t>בית ארז — ציוד מתכלה</t>
        </is>
      </c>
      <c r="B500" t="inlineStr">
        <is>
          <t>מחט האכלה ישרה 2 יח' 4cmX22G-2.4mm KVP</t>
        </is>
      </c>
      <c r="C500" t="inlineStr">
        <is>
          <t>מערכת עיכול</t>
        </is>
      </c>
      <c r="D500" t="inlineStr">
        <is>
          <t>6300271</t>
        </is>
      </c>
      <c r="E500" t="inlineStr">
        <is>
          <t>2025-11</t>
        </is>
      </c>
      <c r="F500" t="n">
        <v>85</v>
      </c>
      <c r="G500" t="n">
        <v>100.3</v>
      </c>
      <c r="H500">
        <f>הגדרות!B4</f>
        <v/>
      </c>
      <c r="I500">
        <f>F500*(1-H500/100)*1.18</f>
        <v/>
      </c>
      <c r="J500">
        <f>הגדרות!C4</f>
        <v/>
      </c>
      <c r="K500">
        <f>הגדרות!D4</f>
        <v/>
      </c>
      <c r="L500">
        <f>I500*(1+J500/100)+K500</f>
        <v/>
      </c>
    </row>
    <row r="501">
      <c r="A501" t="inlineStr">
        <is>
          <t>בית ארז — ציוד מתכלה</t>
        </is>
      </c>
      <c r="B501" t="inlineStr">
        <is>
          <t>מחט האכלה ישרה 2 יח' 4cmX20G-2.4mm KVP</t>
        </is>
      </c>
      <c r="C501" t="inlineStr">
        <is>
          <t>ציוד רפואי</t>
        </is>
      </c>
      <c r="D501" t="inlineStr">
        <is>
          <t>6300272</t>
        </is>
      </c>
      <c r="E501" t="inlineStr">
        <is>
          <t>2025-11</t>
        </is>
      </c>
      <c r="F501" t="n">
        <v>85</v>
      </c>
      <c r="G501" t="n">
        <v>100.3</v>
      </c>
      <c r="H501">
        <f>הגדרות!B4</f>
        <v/>
      </c>
      <c r="I501">
        <f>F501*(1-H501/100)*1.18</f>
        <v/>
      </c>
      <c r="J501">
        <f>הגדרות!C4</f>
        <v/>
      </c>
      <c r="K501">
        <f>הגדרות!D4</f>
        <v/>
      </c>
      <c r="L501">
        <f>I501*(1+J501/100)+K501</f>
        <v/>
      </c>
    </row>
    <row r="502">
      <c r="A502" t="inlineStr">
        <is>
          <t>בית ארז — ציוד מתכלה</t>
        </is>
      </c>
      <c r="B502" t="inlineStr">
        <is>
          <t>מחט האכלה ישרה 2 יח' 5cmX16G-3mm KVP</t>
        </is>
      </c>
      <c r="C502" t="inlineStr">
        <is>
          <t>מערכת עיכול</t>
        </is>
      </c>
      <c r="D502" t="inlineStr">
        <is>
          <t>6300276</t>
        </is>
      </c>
      <c r="E502" t="inlineStr">
        <is>
          <t>2025-11</t>
        </is>
      </c>
      <c r="F502" t="n">
        <v>85</v>
      </c>
      <c r="G502" t="n">
        <v>100.3</v>
      </c>
      <c r="H502">
        <f>הגדרות!B4</f>
        <v/>
      </c>
      <c r="I502">
        <f>F502*(1-H502/100)*1.18</f>
        <v/>
      </c>
      <c r="J502">
        <f>הגדרות!C4</f>
        <v/>
      </c>
      <c r="K502">
        <f>הגדרות!D4</f>
        <v/>
      </c>
      <c r="L502">
        <f>I502*(1+J502/100)+K502</f>
        <v/>
      </c>
    </row>
    <row r="503">
      <c r="A503" t="inlineStr">
        <is>
          <t>בית ארז — ציוד מתכלה</t>
        </is>
      </c>
      <c r="B503" t="inlineStr">
        <is>
          <t>מחט האכלה ישרה 2 יח' 10cmX12G-4mm KVP</t>
        </is>
      </c>
      <c r="C503" t="inlineStr">
        <is>
          <t>ציוד רפואי</t>
        </is>
      </c>
      <c r="D503" t="inlineStr">
        <is>
          <t>6300285</t>
        </is>
      </c>
      <c r="E503" t="inlineStr">
        <is>
          <t>2025-11</t>
        </is>
      </c>
      <c r="F503" t="n">
        <v>115</v>
      </c>
      <c r="G503" t="n">
        <v>135.7</v>
      </c>
      <c r="H503">
        <f>הגדרות!B4</f>
        <v/>
      </c>
      <c r="I503">
        <f>F503*(1-H503/100)*1.18</f>
        <v/>
      </c>
      <c r="J503">
        <f>הגדרות!C4</f>
        <v/>
      </c>
      <c r="K503">
        <f>הגדרות!D4</f>
        <v/>
      </c>
      <c r="L503">
        <f>I503*(1+J503/100)+K503</f>
        <v/>
      </c>
    </row>
    <row r="504">
      <c r="A504" t="inlineStr">
        <is>
          <t>בית ארז — ציוד מתכלה</t>
        </is>
      </c>
      <c r="B504" t="inlineStr">
        <is>
          <t>מחט האכלה ישרה 2 יח' 10cmX10G-6.4mm KVP</t>
        </is>
      </c>
      <c r="C504" t="inlineStr">
        <is>
          <t>מערכת עיכול</t>
        </is>
      </c>
      <c r="D504" t="inlineStr">
        <is>
          <t>6300286</t>
        </is>
      </c>
      <c r="E504" t="inlineStr">
        <is>
          <t>2025-11</t>
        </is>
      </c>
      <c r="F504" t="n">
        <v>150</v>
      </c>
      <c r="G504" t="n">
        <v>177</v>
      </c>
      <c r="H504">
        <f>הגדרות!B4</f>
        <v/>
      </c>
      <c r="I504">
        <f>F504*(1-H504/100)*1.18</f>
        <v/>
      </c>
      <c r="J504">
        <f>הגדרות!C4</f>
        <v/>
      </c>
      <c r="K504">
        <f>הגדרות!D4</f>
        <v/>
      </c>
      <c r="L504">
        <f>I504*(1+J504/100)+K504</f>
        <v/>
      </c>
    </row>
    <row r="505">
      <c r="A505" t="inlineStr">
        <is>
          <t>בית ארז — ציוד מתכלה</t>
        </is>
      </c>
      <c r="B505" t="inlineStr">
        <is>
          <t>סטטוסקופ 747( MDF Acoustica)</t>
        </is>
      </c>
      <c r="C505" t="inlineStr">
        <is>
          <t>מערכת קרדיווסקולרית</t>
        </is>
      </c>
      <c r="D505" t="inlineStr">
        <is>
          <t>5800747</t>
        </is>
      </c>
      <c r="E505" t="inlineStr">
        <is>
          <t>2025-11</t>
        </is>
      </c>
      <c r="F505" t="n">
        <v>270</v>
      </c>
      <c r="G505" t="n">
        <v>318.6</v>
      </c>
      <c r="H505">
        <f>הגדרות!B4</f>
        <v/>
      </c>
      <c r="I505">
        <f>F505*(1-H505/100)*1.18</f>
        <v/>
      </c>
      <c r="J505">
        <f>הגדרות!C4</f>
        <v/>
      </c>
      <c r="K505">
        <f>הגדרות!D4</f>
        <v/>
      </c>
      <c r="L505">
        <f>I505*(1+J505/100)+K505</f>
        <v/>
      </c>
    </row>
    <row r="506">
      <c r="A506" t="inlineStr">
        <is>
          <t>בית ארז — ציוד מתכלה</t>
        </is>
      </c>
      <c r="B506" t="inlineStr">
        <is>
          <t>סטטוסקופ 777( MDF S.steel)</t>
        </is>
      </c>
      <c r="C506" t="inlineStr">
        <is>
          <t>ציוד איבחון</t>
        </is>
      </c>
      <c r="D506" t="inlineStr">
        <is>
          <t>5800777</t>
        </is>
      </c>
      <c r="E506" t="inlineStr">
        <is>
          <t>2025-11</t>
        </is>
      </c>
      <c r="F506" t="n">
        <v>490</v>
      </c>
      <c r="G506" t="n">
        <v>578.2</v>
      </c>
      <c r="H506">
        <f>הגדרות!B4</f>
        <v/>
      </c>
      <c r="I506">
        <f>F506*(1-H506/100)*1.18</f>
        <v/>
      </c>
      <c r="J506">
        <f>הגדרות!C4</f>
        <v/>
      </c>
      <c r="K506">
        <f>הגדרות!D4</f>
        <v/>
      </c>
      <c r="L506">
        <f>I506*(1+J506/100)+K506</f>
        <v/>
      </c>
    </row>
    <row r="507">
      <c r="A507" t="inlineStr">
        <is>
          <t>בית ארז — ציוד מתכלה</t>
        </is>
      </c>
      <c r="B507" t="inlineStr">
        <is>
          <t>סטטוסקופ 797( MDF ProCardial ERA)</t>
        </is>
      </c>
      <c r="C507" t="inlineStr">
        <is>
          <t>מערכת קרדיווסקולרית</t>
        </is>
      </c>
      <c r="D507" t="inlineStr">
        <is>
          <t>5800797</t>
        </is>
      </c>
      <c r="E507" t="inlineStr">
        <is>
          <t>2025-11</t>
        </is>
      </c>
      <c r="F507" t="n">
        <v>990</v>
      </c>
      <c r="G507" t="n">
        <v>1168.2</v>
      </c>
      <c r="H507">
        <f>הגדרות!B4</f>
        <v/>
      </c>
      <c r="I507">
        <f>F507*(1-H507/100)*1.18</f>
        <v/>
      </c>
      <c r="J507">
        <f>הגדרות!C4</f>
        <v/>
      </c>
      <c r="K507">
        <f>הגדרות!D4</f>
        <v/>
      </c>
      <c r="L507">
        <f>I507*(1+J507/100)+K507</f>
        <v/>
      </c>
    </row>
    <row r="508">
      <c r="A508" t="inlineStr">
        <is>
          <t>בית ארז — ציוד מתכלה</t>
        </is>
      </c>
      <c r="B508" t="inlineStr">
        <is>
          <t>חסם ורידים רחב - שחרור מהיר</t>
        </is>
      </c>
      <c r="C508" t="inlineStr">
        <is>
          <t>המטולוגיה ונוזלים</t>
        </is>
      </c>
      <c r="D508" t="inlineStr">
        <is>
          <t>5802700</t>
        </is>
      </c>
      <c r="E508" t="inlineStr">
        <is>
          <t>2025-11</t>
        </is>
      </c>
      <c r="F508" t="n">
        <v>7</v>
      </c>
      <c r="G508" t="n">
        <v>8.26</v>
      </c>
      <c r="H508">
        <f>הגדרות!B4</f>
        <v/>
      </c>
      <c r="I508">
        <f>F508*(1-H508/100)*1.18</f>
        <v/>
      </c>
      <c r="J508">
        <f>הגדרות!C4</f>
        <v/>
      </c>
      <c r="K508">
        <f>הגדרות!D4</f>
        <v/>
      </c>
      <c r="L508">
        <f>I508*(1+J508/100)+K508</f>
        <v/>
      </c>
    </row>
    <row r="509">
      <c r="A509" t="inlineStr">
        <is>
          <t>בית ארז — ציוד מתכלה</t>
        </is>
      </c>
      <c r="B509" t="inlineStr">
        <is>
          <t>חסם ורידים דק Niplok</t>
        </is>
      </c>
      <c r="C509" t="inlineStr">
        <is>
          <t>ציוד רפואי</t>
        </is>
      </c>
      <c r="D509" t="inlineStr">
        <is>
          <t>7100150</t>
        </is>
      </c>
      <c r="E509" t="inlineStr">
        <is>
          <t>2025-11</t>
        </is>
      </c>
      <c r="F509" t="n">
        <v>9</v>
      </c>
      <c r="G509" t="n">
        <v>10.62</v>
      </c>
      <c r="H509">
        <f>הגדרות!B4</f>
        <v/>
      </c>
      <c r="I509">
        <f>F509*(1-H509/100)*1.18</f>
        <v/>
      </c>
      <c r="J509">
        <f>הגדרות!C4</f>
        <v/>
      </c>
      <c r="K509">
        <f>הגדרות!D4</f>
        <v/>
      </c>
      <c r="L509">
        <f>I509*(1+J509/100)+K509</f>
        <v/>
      </c>
    </row>
    <row r="510">
      <c r="A510" t="inlineStr">
        <is>
          <t>בית ארז — ציוד מתכלה</t>
        </is>
      </c>
      <c r="B510" t="inlineStr">
        <is>
          <t>מיקרו מבחנות דם 1.3 מל פקק סגול - 100 יח' בשקית - EDTA K3</t>
        </is>
      </c>
      <c r="C510" t="inlineStr">
        <is>
          <t>המטולוגיה ונוזלים</t>
        </is>
      </c>
      <c r="D510" t="inlineStr">
        <is>
          <t>5920010</t>
        </is>
      </c>
      <c r="E510" t="inlineStr">
        <is>
          <t>2025-11</t>
        </is>
      </c>
      <c r="F510" t="n">
        <v>150</v>
      </c>
      <c r="G510" t="n">
        <v>177</v>
      </c>
      <c r="H510">
        <f>הגדרות!B4</f>
        <v/>
      </c>
      <c r="I510">
        <f>F510*(1-H510/100)*1.18</f>
        <v/>
      </c>
      <c r="J510">
        <f>הגדרות!C4</f>
        <v/>
      </c>
      <c r="K510">
        <f>הגדרות!D4</f>
        <v/>
      </c>
      <c r="L510">
        <f>I510*(1+J510/100)+K510</f>
        <v/>
      </c>
    </row>
    <row r="511">
      <c r="A511" t="inlineStr">
        <is>
          <t>בית ארז — ציוד מתכלה</t>
        </is>
      </c>
      <c r="B511" t="inlineStr">
        <is>
          <t>מיקרו מבחנות דם 1.3 מל פקק ירוק - 100 יח' בשקית - Lithium heparin</t>
        </is>
      </c>
      <c r="C511" t="inlineStr">
        <is>
          <t>ציוד רפואי מתכלה</t>
        </is>
      </c>
      <c r="D511" t="inlineStr">
        <is>
          <t>5920020</t>
        </is>
      </c>
      <c r="E511" t="inlineStr">
        <is>
          <t>2025-11</t>
        </is>
      </c>
      <c r="F511" t="n">
        <v>150</v>
      </c>
      <c r="G511" t="n">
        <v>177</v>
      </c>
      <c r="H511">
        <f>הגדרות!B4</f>
        <v/>
      </c>
      <c r="I511">
        <f>F511*(1-H511/100)*1.18</f>
        <v/>
      </c>
      <c r="J511">
        <f>הגדרות!C4</f>
        <v/>
      </c>
      <c r="K511">
        <f>הגדרות!D4</f>
        <v/>
      </c>
      <c r="L511">
        <f>I511*(1+J511/100)+K511</f>
        <v/>
      </c>
    </row>
    <row r="512">
      <c r="A512" t="inlineStr">
        <is>
          <t>בית ארז — ציוד מתכלה</t>
        </is>
      </c>
      <c r="B512" t="inlineStr">
        <is>
          <t>קטטר IV צהוב (ונפלון 24G) דלתא - 50 יח'</t>
        </is>
      </c>
      <c r="C512" t="inlineStr">
        <is>
          <t>המטולוגיה ונוזלים</t>
        </is>
      </c>
      <c r="D512" t="inlineStr">
        <is>
          <t>5910071</t>
        </is>
      </c>
      <c r="E512" t="inlineStr">
        <is>
          <t>2025-11</t>
        </is>
      </c>
      <c r="F512" t="n">
        <v>140</v>
      </c>
      <c r="G512" t="n">
        <v>165.2</v>
      </c>
      <c r="H512">
        <f>הגדרות!B4</f>
        <v/>
      </c>
      <c r="I512">
        <f>F512*(1-H512/100)*1.18</f>
        <v/>
      </c>
      <c r="J512">
        <f>הגדרות!C4</f>
        <v/>
      </c>
      <c r="K512">
        <f>הגדרות!D4</f>
        <v/>
      </c>
      <c r="L512">
        <f>I512*(1+J512/100)+K512</f>
        <v/>
      </c>
    </row>
    <row r="513">
      <c r="A513" t="inlineStr">
        <is>
          <t>בית ארז — ציוד מתכלה</t>
        </is>
      </c>
      <c r="B513" t="inlineStr">
        <is>
          <t>קטטר IV כחול (ונפלון 22G) דלתא - 50 יח'</t>
        </is>
      </c>
      <c r="C513" t="inlineStr">
        <is>
          <t>ציוד רפואי מתכלה</t>
        </is>
      </c>
      <c r="D513" t="inlineStr">
        <is>
          <t>5910072</t>
        </is>
      </c>
      <c r="E513" t="inlineStr">
        <is>
          <t>2025-11</t>
        </is>
      </c>
      <c r="F513" t="n">
        <v>140</v>
      </c>
      <c r="G513" t="n">
        <v>165.2</v>
      </c>
      <c r="H513">
        <f>הגדרות!B4</f>
        <v/>
      </c>
      <c r="I513">
        <f>F513*(1-H513/100)*1.18</f>
        <v/>
      </c>
      <c r="J513">
        <f>הגדרות!C4</f>
        <v/>
      </c>
      <c r="K513">
        <f>הגדרות!D4</f>
        <v/>
      </c>
      <c r="L513">
        <f>I513*(1+J513/100)+K513</f>
        <v/>
      </c>
    </row>
    <row r="514">
      <c r="A514" t="inlineStr">
        <is>
          <t>בית ארז — ציוד מתכלה</t>
        </is>
      </c>
      <c r="B514" t="inlineStr">
        <is>
          <t>קטטר IV ורוד (ונפלון 20G) דלתא - 50 יח'</t>
        </is>
      </c>
      <c r="C514" t="inlineStr">
        <is>
          <t>המטולוגיה ונוזלים</t>
        </is>
      </c>
      <c r="D514" t="inlineStr">
        <is>
          <t>5910073</t>
        </is>
      </c>
      <c r="E514" t="inlineStr">
        <is>
          <t>2025-11</t>
        </is>
      </c>
      <c r="F514" t="n">
        <v>140</v>
      </c>
      <c r="G514" t="n">
        <v>165.2</v>
      </c>
      <c r="H514">
        <f>הגדרות!B4</f>
        <v/>
      </c>
      <c r="I514">
        <f>F514*(1-H514/100)*1.18</f>
        <v/>
      </c>
      <c r="J514">
        <f>הגדרות!C4</f>
        <v/>
      </c>
      <c r="K514">
        <f>הגדרות!D4</f>
        <v/>
      </c>
      <c r="L514">
        <f>I514*(1+J514/100)+K514</f>
        <v/>
      </c>
    </row>
    <row r="515">
      <c r="A515" t="inlineStr">
        <is>
          <t>בית ארז — ציוד מתכלה</t>
        </is>
      </c>
      <c r="B515" t="inlineStr">
        <is>
          <t>קטטר IV ירוק (ונפלון 18G) דלתא - 50 יח'</t>
        </is>
      </c>
      <c r="C515" t="inlineStr">
        <is>
          <t>ציוד רפואי מתכלה</t>
        </is>
      </c>
      <c r="D515" t="inlineStr">
        <is>
          <t>5910075</t>
        </is>
      </c>
      <c r="E515" t="inlineStr">
        <is>
          <t>2025-11</t>
        </is>
      </c>
      <c r="F515" t="n">
        <v>140</v>
      </c>
      <c r="G515" t="n">
        <v>165.2</v>
      </c>
      <c r="H515">
        <f>הגדרות!B4</f>
        <v/>
      </c>
      <c r="I515">
        <f>F515*(1-H515/100)*1.18</f>
        <v/>
      </c>
      <c r="J515">
        <f>הגדרות!C4</f>
        <v/>
      </c>
      <c r="K515">
        <f>הגדרות!D4</f>
        <v/>
      </c>
      <c r="L515">
        <f>I515*(1+J515/100)+K515</f>
        <v/>
      </c>
    </row>
    <row r="516">
      <c r="A516" t="inlineStr">
        <is>
          <t>בית ארז — ציוד מתכלה</t>
        </is>
      </c>
      <c r="B516" t="inlineStr">
        <is>
          <t>קטטר IV (ונפלון צהוב) Anicath Xtra 24gx19mm</t>
        </is>
      </c>
      <c r="C516" t="inlineStr">
        <is>
          <t>המטולוגיה ונוזלים</t>
        </is>
      </c>
      <c r="D516" t="inlineStr">
        <is>
          <t>5900171</t>
        </is>
      </c>
      <c r="E516" t="inlineStr">
        <is>
          <t>2025-11</t>
        </is>
      </c>
      <c r="F516" t="n">
        <v>2.9</v>
      </c>
      <c r="G516" t="n">
        <v>3.42</v>
      </c>
      <c r="H516">
        <f>הגדרות!B4</f>
        <v/>
      </c>
      <c r="I516">
        <f>F516*(1-H516/100)*1.18</f>
        <v/>
      </c>
      <c r="J516">
        <f>הגדרות!C4</f>
        <v/>
      </c>
      <c r="K516">
        <f>הגדרות!D4</f>
        <v/>
      </c>
      <c r="L516">
        <f>I516*(1+J516/100)+K516</f>
        <v/>
      </c>
    </row>
    <row r="517">
      <c r="A517" t="inlineStr">
        <is>
          <t>בית ארז — ציוד מתכלה</t>
        </is>
      </c>
      <c r="B517" t="inlineStr">
        <is>
          <t>קטטר IV (ונפלון כחול) Anicath Xtra 22gx25mm</t>
        </is>
      </c>
      <c r="C517" t="inlineStr">
        <is>
          <t>ציוד רפואי מתכלה</t>
        </is>
      </c>
      <c r="D517" t="inlineStr">
        <is>
          <t>5900172</t>
        </is>
      </c>
      <c r="E517" t="inlineStr">
        <is>
          <t>2025-11</t>
        </is>
      </c>
      <c r="F517" t="n">
        <v>2.9</v>
      </c>
      <c r="G517" t="n">
        <v>3.42</v>
      </c>
      <c r="H517">
        <f>הגדרות!B4</f>
        <v/>
      </c>
      <c r="I517">
        <f>F517*(1-H517/100)*1.18</f>
        <v/>
      </c>
      <c r="J517">
        <f>הגדרות!C4</f>
        <v/>
      </c>
      <c r="K517">
        <f>הגדרות!D4</f>
        <v/>
      </c>
      <c r="L517">
        <f>I517*(1+J517/100)+K517</f>
        <v/>
      </c>
    </row>
    <row r="518">
      <c r="A518" t="inlineStr">
        <is>
          <t>בית ארז — ציוד מתכלה</t>
        </is>
      </c>
      <c r="B518" t="inlineStr">
        <is>
          <t>קטטר IV (ונפלון ורוד) Anicath Xtra 20gx32mm</t>
        </is>
      </c>
      <c r="C518" t="inlineStr">
        <is>
          <t>המטולוגיה ונוזלים</t>
        </is>
      </c>
      <c r="D518" t="inlineStr">
        <is>
          <t>5900173</t>
        </is>
      </c>
      <c r="E518" t="inlineStr">
        <is>
          <t>2025-11</t>
        </is>
      </c>
      <c r="F518" t="n">
        <v>2.9</v>
      </c>
      <c r="G518" t="n">
        <v>3.42</v>
      </c>
      <c r="H518">
        <f>הגדרות!B4</f>
        <v/>
      </c>
      <c r="I518">
        <f>F518*(1-H518/100)*1.18</f>
        <v/>
      </c>
      <c r="J518">
        <f>הגדרות!C4</f>
        <v/>
      </c>
      <c r="K518">
        <f>הגדרות!D4</f>
        <v/>
      </c>
      <c r="L518">
        <f>I518*(1+J518/100)+K518</f>
        <v/>
      </c>
    </row>
    <row r="519">
      <c r="A519" t="inlineStr">
        <is>
          <t>בית ארז — ציוד מתכלה</t>
        </is>
      </c>
      <c r="B519" t="inlineStr">
        <is>
          <t>קטטר IV (ונפלון ירוק קצר) Anicath Xtra 18gx32mm</t>
        </is>
      </c>
      <c r="C519" t="inlineStr">
        <is>
          <t>ציוד רפואי מתכלה</t>
        </is>
      </c>
      <c r="D519" t="inlineStr">
        <is>
          <t>5900174</t>
        </is>
      </c>
      <c r="E519" t="inlineStr">
        <is>
          <t>2025-11</t>
        </is>
      </c>
      <c r="F519" t="n">
        <v>2.9</v>
      </c>
      <c r="G519" t="n">
        <v>3.42</v>
      </c>
      <c r="H519">
        <f>הגדרות!B4</f>
        <v/>
      </c>
      <c r="I519">
        <f>F519*(1-H519/100)*1.18</f>
        <v/>
      </c>
      <c r="J519">
        <f>הגדרות!C4</f>
        <v/>
      </c>
      <c r="K519">
        <f>הגדרות!D4</f>
        <v/>
      </c>
      <c r="L519">
        <f>I519*(1+J519/100)+K519</f>
        <v/>
      </c>
    </row>
    <row r="520">
      <c r="A520" t="inlineStr">
        <is>
          <t>בית ארז — ציוד מתכלה</t>
        </is>
      </c>
      <c r="B520" t="inlineStr">
        <is>
          <t>קטטר IV (ונפלון ירוק) Anicath Xtra 18gx45mm</t>
        </is>
      </c>
      <c r="C520" t="inlineStr">
        <is>
          <t>המטולוגיה ונוזלים</t>
        </is>
      </c>
      <c r="D520" t="inlineStr">
        <is>
          <t>5900175</t>
        </is>
      </c>
      <c r="E520" t="inlineStr">
        <is>
          <t>2025-11</t>
        </is>
      </c>
      <c r="F520" t="n">
        <v>2.9</v>
      </c>
      <c r="G520" t="n">
        <v>3.42</v>
      </c>
      <c r="H520">
        <f>הגדרות!B4</f>
        <v/>
      </c>
      <c r="I520">
        <f>F520*(1-H520/100)*1.18</f>
        <v/>
      </c>
      <c r="J520">
        <f>הגדרות!C4</f>
        <v/>
      </c>
      <c r="K520">
        <f>הגדרות!D4</f>
        <v/>
      </c>
      <c r="L520">
        <f>I520*(1+J520/100)+K520</f>
        <v/>
      </c>
    </row>
    <row r="521">
      <c r="A521" t="inlineStr">
        <is>
          <t>בית ארז — ציוד מתכלה</t>
        </is>
      </c>
      <c r="B521" t="inlineStr">
        <is>
          <t>מגן קטטר וריד חכם M</t>
        </is>
      </c>
      <c r="C521" t="inlineStr">
        <is>
          <t>ציוד רפואי</t>
        </is>
      </c>
      <c r="D521" t="inlineStr">
        <is>
          <t>7100171</t>
        </is>
      </c>
      <c r="E521" t="inlineStr">
        <is>
          <t>2025-11</t>
        </is>
      </c>
      <c r="F521" t="n">
        <v>24</v>
      </c>
      <c r="G521" t="n">
        <v>28.32</v>
      </c>
      <c r="H521">
        <f>הגדרות!B4</f>
        <v/>
      </c>
      <c r="I521">
        <f>F521*(1-H521/100)*1.18</f>
        <v/>
      </c>
      <c r="J521">
        <f>הגדרות!C4</f>
        <v/>
      </c>
      <c r="K521">
        <f>הגדרות!D4</f>
        <v/>
      </c>
      <c r="L521">
        <f>I521*(1+J521/100)+K521</f>
        <v/>
      </c>
    </row>
    <row r="522">
      <c r="A522" t="inlineStr">
        <is>
          <t>בית ארז — ציוד מתכלה</t>
        </is>
      </c>
      <c r="B522" t="inlineStr">
        <is>
          <t>מגן קטטר וריד חכם L</t>
        </is>
      </c>
      <c r="C522" t="inlineStr">
        <is>
          <t>המטולוגיה ונוזלים</t>
        </is>
      </c>
      <c r="D522" t="inlineStr">
        <is>
          <t>7100172</t>
        </is>
      </c>
      <c r="E522" t="inlineStr">
        <is>
          <t>2025-11</t>
        </is>
      </c>
      <c r="F522" t="n">
        <v>27</v>
      </c>
      <c r="G522" t="n">
        <v>31.86</v>
      </c>
      <c r="H522">
        <f>הגדרות!B4</f>
        <v/>
      </c>
      <c r="I522">
        <f>F522*(1-H522/100)*1.18</f>
        <v/>
      </c>
      <c r="J522">
        <f>הגדרות!C4</f>
        <v/>
      </c>
      <c r="K522">
        <f>הגדרות!D4</f>
        <v/>
      </c>
      <c r="L522">
        <f>I522*(1+J522/100)+K522</f>
        <v/>
      </c>
    </row>
    <row r="523">
      <c r="A523" t="inlineStr">
        <is>
          <t>בית ארז — ציוד מתכלה</t>
        </is>
      </c>
      <c r="B523" t="inlineStr">
        <is>
          <t>מגן קטטר וריד חכם XL</t>
        </is>
      </c>
      <c r="C523" t="inlineStr">
        <is>
          <t>ציוד רפואי</t>
        </is>
      </c>
      <c r="D523" t="inlineStr">
        <is>
          <t>7100173</t>
        </is>
      </c>
      <c r="E523" t="inlineStr">
        <is>
          <t>2025-11</t>
        </is>
      </c>
      <c r="F523" t="n">
        <v>29</v>
      </c>
      <c r="G523" t="n">
        <v>34.22</v>
      </c>
      <c r="H523">
        <f>הגדרות!B4</f>
        <v/>
      </c>
      <c r="I523">
        <f>F523*(1-H523/100)*1.18</f>
        <v/>
      </c>
      <c r="J523">
        <f>הגדרות!C4</f>
        <v/>
      </c>
      <c r="K523">
        <f>הגדרות!D4</f>
        <v/>
      </c>
      <c r="L523">
        <f>I523*(1+J523/100)+K523</f>
        <v/>
      </c>
    </row>
    <row r="524">
      <c r="A524" t="inlineStr">
        <is>
          <t>בית ארז — ציוד מתכלה</t>
        </is>
      </c>
      <c r="B524" t="inlineStr">
        <is>
          <t>קטטר IV לחיות גדולות Anicath L/A IV Cannulae 16gx75mm</t>
        </is>
      </c>
      <c r="C524" t="inlineStr">
        <is>
          <t>המטולוגיה ונוזלים</t>
        </is>
      </c>
      <c r="D524" t="inlineStr">
        <is>
          <t>5900180</t>
        </is>
      </c>
      <c r="E524" t="inlineStr">
        <is>
          <t>2025-11</t>
        </is>
      </c>
      <c r="F524" t="n">
        <v>29</v>
      </c>
      <c r="G524" t="n">
        <v>34.22</v>
      </c>
      <c r="H524">
        <f>הגדרות!B4</f>
        <v/>
      </c>
      <c r="I524">
        <f>F524*(1-H524/100)*1.18</f>
        <v/>
      </c>
      <c r="J524">
        <f>הגדרות!C4</f>
        <v/>
      </c>
      <c r="K524">
        <f>הגדרות!D4</f>
        <v/>
      </c>
      <c r="L524">
        <f>I524*(1+J524/100)+K524</f>
        <v/>
      </c>
    </row>
    <row r="525">
      <c r="A525" t="inlineStr">
        <is>
          <t>בית ארז — ציוד מתכלה</t>
        </is>
      </c>
      <c r="B525" t="inlineStr">
        <is>
          <t>קטטר IV לחיות גדולות Anicath L/A IV Cannulae 16gx133mm</t>
        </is>
      </c>
      <c r="C525" t="inlineStr">
        <is>
          <t>ציוד רפואי מתכלה</t>
        </is>
      </c>
      <c r="D525" t="inlineStr">
        <is>
          <t>5900181</t>
        </is>
      </c>
      <c r="E525" t="inlineStr">
        <is>
          <t>2025-11</t>
        </is>
      </c>
      <c r="F525" t="n">
        <v>29</v>
      </c>
      <c r="G525" t="n">
        <v>34.22</v>
      </c>
      <c r="H525">
        <f>הגדרות!B4</f>
        <v/>
      </c>
      <c r="I525">
        <f>F525*(1-H525/100)*1.18</f>
        <v/>
      </c>
      <c r="J525">
        <f>הגדרות!C4</f>
        <v/>
      </c>
      <c r="K525">
        <f>הגדרות!D4</f>
        <v/>
      </c>
      <c r="L525">
        <f>I525*(1+J525/100)+K525</f>
        <v/>
      </c>
    </row>
    <row r="526">
      <c r="A526" t="inlineStr">
        <is>
          <t>בית ארז — ציוד מתכלה</t>
        </is>
      </c>
      <c r="B526" t="inlineStr">
        <is>
          <t>קטטר IV לחיות גדולות Anicath L/A IV Cannulae 14gx83mm</t>
        </is>
      </c>
      <c r="C526" t="inlineStr">
        <is>
          <t>המטולוגיה ונוזלים</t>
        </is>
      </c>
      <c r="D526" t="inlineStr">
        <is>
          <t>5900185</t>
        </is>
      </c>
      <c r="E526" t="inlineStr">
        <is>
          <t>2025-11</t>
        </is>
      </c>
      <c r="F526" t="n">
        <v>29</v>
      </c>
      <c r="G526" t="n">
        <v>34.22</v>
      </c>
      <c r="H526">
        <f>הגדרות!B4</f>
        <v/>
      </c>
      <c r="I526">
        <f>F526*(1-H526/100)*1.18</f>
        <v/>
      </c>
      <c r="J526">
        <f>הגדרות!C4</f>
        <v/>
      </c>
      <c r="K526">
        <f>הגדרות!D4</f>
        <v/>
      </c>
      <c r="L526">
        <f>I526*(1+J526/100)+K526</f>
        <v/>
      </c>
    </row>
    <row r="527">
      <c r="A527" t="inlineStr">
        <is>
          <t>בית ארז — ציוד מתכלה</t>
        </is>
      </c>
      <c r="B527" t="inlineStr">
        <is>
          <t>קטטר IV לחיות גדולות Anicath L/A IV Cannulae 14gx133mm</t>
        </is>
      </c>
      <c r="C527" t="inlineStr">
        <is>
          <t>ציוד רפואי מתכלה</t>
        </is>
      </c>
      <c r="D527" t="inlineStr">
        <is>
          <t>5900187</t>
        </is>
      </c>
      <c r="E527" t="inlineStr">
        <is>
          <t>2025-11</t>
        </is>
      </c>
      <c r="F527" t="n">
        <v>29</v>
      </c>
      <c r="G527" t="n">
        <v>34.22</v>
      </c>
      <c r="H527">
        <f>הגדרות!B4</f>
        <v/>
      </c>
      <c r="I527">
        <f>F527*(1-H527/100)*1.18</f>
        <v/>
      </c>
      <c r="J527">
        <f>הגדרות!C4</f>
        <v/>
      </c>
      <c r="K527">
        <f>הגדרות!D4</f>
        <v/>
      </c>
      <c r="L527">
        <f>I527*(1+J527/100)+K527</f>
        <v/>
      </c>
    </row>
    <row r="528">
      <c r="A528" t="inlineStr">
        <is>
          <t>בית ארז — ציוד מתכלה</t>
        </is>
      </c>
      <c r="B528" t="inlineStr">
        <is>
          <t>פרפרית 100 יח' G25</t>
        </is>
      </c>
      <c r="C528" t="inlineStr">
        <is>
          <t>המטולוגיה ונוזלים</t>
        </is>
      </c>
      <c r="D528" t="inlineStr">
        <is>
          <t>5800091</t>
        </is>
      </c>
      <c r="E528" t="inlineStr">
        <is>
          <t>2025-11</t>
        </is>
      </c>
      <c r="F528" t="n">
        <v>37</v>
      </c>
      <c r="G528" t="n">
        <v>43.66</v>
      </c>
      <c r="H528">
        <f>הגדרות!B4</f>
        <v/>
      </c>
      <c r="I528">
        <f>F528*(1-H528/100)*1.18</f>
        <v/>
      </c>
      <c r="J528">
        <f>הגדרות!C4</f>
        <v/>
      </c>
      <c r="K528">
        <f>הגדרות!D4</f>
        <v/>
      </c>
      <c r="L528">
        <f>I528*(1+J528/100)+K528</f>
        <v/>
      </c>
    </row>
    <row r="529">
      <c r="A529" t="inlineStr">
        <is>
          <t>בית ארז — ציוד מתכלה</t>
        </is>
      </c>
      <c r="B529" t="inlineStr">
        <is>
          <t>פרפרית 100 יח' G23</t>
        </is>
      </c>
      <c r="C529" t="inlineStr">
        <is>
          <t>ציוד רפואי מתכלה</t>
        </is>
      </c>
      <c r="D529" t="inlineStr">
        <is>
          <t>5800092</t>
        </is>
      </c>
      <c r="E529" t="inlineStr">
        <is>
          <t>2025-11</t>
        </is>
      </c>
      <c r="F529" t="n">
        <v>37</v>
      </c>
      <c r="G529" t="n">
        <v>43.66</v>
      </c>
      <c r="H529">
        <f>הגדרות!B4</f>
        <v/>
      </c>
      <c r="I529">
        <f>F529*(1-H529/100)*1.18</f>
        <v/>
      </c>
      <c r="J529">
        <f>הגדרות!C4</f>
        <v/>
      </c>
      <c r="K529">
        <f>הגדרות!D4</f>
        <v/>
      </c>
      <c r="L529">
        <f>I529*(1+J529/100)+K529</f>
        <v/>
      </c>
    </row>
    <row r="530">
      <c r="A530" t="inlineStr">
        <is>
          <t>בית ארז — ציוד מתכלה</t>
        </is>
      </c>
      <c r="B530" t="inlineStr">
        <is>
          <t>פרפרית 100 יח' G21</t>
        </is>
      </c>
      <c r="C530" t="inlineStr">
        <is>
          <t>המטולוגיה ונוזלים</t>
        </is>
      </c>
      <c r="D530" t="inlineStr">
        <is>
          <t>5800093</t>
        </is>
      </c>
      <c r="E530" t="inlineStr">
        <is>
          <t>2025-11</t>
        </is>
      </c>
      <c r="F530" t="n">
        <v>37</v>
      </c>
      <c r="G530" t="n">
        <v>43.66</v>
      </c>
      <c r="H530">
        <f>הגדרות!B4</f>
        <v/>
      </c>
      <c r="I530">
        <f>F530*(1-H530/100)*1.18</f>
        <v/>
      </c>
      <c r="J530">
        <f>הגדרות!C4</f>
        <v/>
      </c>
      <c r="K530">
        <f>הגדרות!D4</f>
        <v/>
      </c>
      <c r="L530">
        <f>I530*(1+J530/100)+K530</f>
        <v/>
      </c>
    </row>
    <row r="531">
      <c r="A531" t="inlineStr">
        <is>
          <t>בית ארז — ציוד מתכלה</t>
        </is>
      </c>
      <c r="B531" t="inlineStr">
        <is>
          <t>פרפרית והולדין 100 יח' G23</t>
        </is>
      </c>
      <c r="C531" t="inlineStr">
        <is>
          <t>ציוד רפואי מתכלה</t>
        </is>
      </c>
      <c r="D531" t="inlineStr">
        <is>
          <t>5800097</t>
        </is>
      </c>
      <c r="E531" t="inlineStr">
        <is>
          <t>2025-11</t>
        </is>
      </c>
      <c r="F531" t="n">
        <v>65</v>
      </c>
      <c r="G531" t="n">
        <v>76.7</v>
      </c>
      <c r="H531">
        <f>הגדרות!B4</f>
        <v/>
      </c>
      <c r="I531">
        <f>F531*(1-H531/100)*1.18</f>
        <v/>
      </c>
      <c r="J531">
        <f>הגדרות!C4</f>
        <v/>
      </c>
      <c r="K531">
        <f>הגדרות!D4</f>
        <v/>
      </c>
      <c r="L531">
        <f>I531*(1+J531/100)+K531</f>
        <v/>
      </c>
    </row>
    <row r="532">
      <c r="A532" t="inlineStr">
        <is>
          <t>בית ארז — ציוד מתכלה</t>
        </is>
      </c>
      <c r="B532" t="inlineStr">
        <is>
          <t>פרפרית והולדין 100 יח' G21</t>
        </is>
      </c>
      <c r="C532" t="inlineStr">
        <is>
          <t>המטולוגיה ונוזלים</t>
        </is>
      </c>
      <c r="D532" t="inlineStr">
        <is>
          <t>5800098</t>
        </is>
      </c>
      <c r="E532" t="inlineStr">
        <is>
          <t>2025-11</t>
        </is>
      </c>
      <c r="F532" t="n">
        <v>65</v>
      </c>
      <c r="G532" t="n">
        <v>76.7</v>
      </c>
      <c r="H532">
        <f>הגדרות!B4</f>
        <v/>
      </c>
      <c r="I532">
        <f>F532*(1-H532/100)*1.18</f>
        <v/>
      </c>
      <c r="J532">
        <f>הגדרות!C4</f>
        <v/>
      </c>
      <c r="K532">
        <f>הגדרות!D4</f>
        <v/>
      </c>
      <c r="L532">
        <f>I532*(1+J532/100)+K532</f>
        <v/>
      </c>
    </row>
    <row r="533">
      <c r="A533" t="inlineStr">
        <is>
          <t>בית ארז — ציוד מתכלה</t>
        </is>
      </c>
      <c r="B533" t="inlineStr">
        <is>
          <t>סט עירוי אנטי קינק + מאריך ו-2 נק' הזרקה Aniset</t>
        </is>
      </c>
      <c r="C533" t="inlineStr">
        <is>
          <t>ציוד רפואי מתכלה</t>
        </is>
      </c>
      <c r="D533" t="inlineStr">
        <is>
          <t>5900100</t>
        </is>
      </c>
      <c r="E533" t="inlineStr">
        <is>
          <t>2025-11</t>
        </is>
      </c>
      <c r="F533" t="n">
        <v>9</v>
      </c>
      <c r="G533" t="n">
        <v>10.62</v>
      </c>
      <c r="H533">
        <f>הגדרות!B4</f>
        <v/>
      </c>
      <c r="I533">
        <f>F533*(1-H533/100)*1.18</f>
        <v/>
      </c>
      <c r="J533">
        <f>הגדרות!C4</f>
        <v/>
      </c>
      <c r="K533">
        <f>הגדרות!D4</f>
        <v/>
      </c>
      <c r="L533">
        <f>I533*(1+J533/100)+K533</f>
        <v/>
      </c>
    </row>
    <row r="534">
      <c r="A534" t="inlineStr">
        <is>
          <t>בית ארז — ציוד מתכלה</t>
        </is>
      </c>
      <c r="B534" t="inlineStr">
        <is>
          <t>סט עירוי פדיאטריק אנטי קינק+מאריך ו-2 נק' Aniset Paediatric</t>
        </is>
      </c>
      <c r="C534" t="inlineStr">
        <is>
          <t>המטולוגיה ונוזלים</t>
        </is>
      </c>
      <c r="D534" t="inlineStr">
        <is>
          <t>5900102</t>
        </is>
      </c>
      <c r="E534" t="inlineStr">
        <is>
          <t>2025-11</t>
        </is>
      </c>
      <c r="F534" t="n">
        <v>9.9</v>
      </c>
      <c r="G534" t="n">
        <v>11.68</v>
      </c>
      <c r="H534">
        <f>הגדרות!B4</f>
        <v/>
      </c>
      <c r="I534">
        <f>F534*(1-H534/100)*1.18</f>
        <v/>
      </c>
      <c r="J534">
        <f>הגדרות!C4</f>
        <v/>
      </c>
      <c r="K534">
        <f>הגדרות!D4</f>
        <v/>
      </c>
      <c r="L534">
        <f>I534*(1+J534/100)+K534</f>
        <v/>
      </c>
    </row>
    <row r="535">
      <c r="A535" t="inlineStr">
        <is>
          <t>בית ארז — ציוד מתכלה</t>
        </is>
      </c>
      <c r="B535" t="inlineStr">
        <is>
          <t>סט עירוי L/A אנטי קינק Aniset L/A Express</t>
        </is>
      </c>
      <c r="C535" t="inlineStr">
        <is>
          <t>ציוד רפואי מתכלה</t>
        </is>
      </c>
      <c r="D535" t="inlineStr">
        <is>
          <t>5900106</t>
        </is>
      </c>
      <c r="E535" t="inlineStr">
        <is>
          <t>2025-11</t>
        </is>
      </c>
      <c r="F535" t="n">
        <v>17</v>
      </c>
      <c r="G535" t="n">
        <v>20.06</v>
      </c>
      <c r="H535">
        <f>הגדרות!B4</f>
        <v/>
      </c>
      <c r="I535">
        <f>F535*(1-H535/100)*1.18</f>
        <v/>
      </c>
      <c r="J535">
        <f>הגדרות!C4</f>
        <v/>
      </c>
      <c r="K535">
        <f>הגדרות!D4</f>
        <v/>
      </c>
      <c r="L535">
        <f>I535*(1+J535/100)+K535</f>
        <v/>
      </c>
    </row>
    <row r="536">
      <c r="A536" t="inlineStr">
        <is>
          <t>בית ארז — ציוד מתכלה</t>
        </is>
      </c>
      <c r="B536" t="inlineStr">
        <is>
          <t>סט עירוי 150 ס"מ</t>
        </is>
      </c>
      <c r="C536" t="inlineStr">
        <is>
          <t>המטולוגיה ונוזלים</t>
        </is>
      </c>
      <c r="D536" t="inlineStr">
        <is>
          <t>5800101</t>
        </is>
      </c>
      <c r="E536" t="inlineStr">
        <is>
          <t>2025-11</t>
        </is>
      </c>
      <c r="F536" t="n">
        <v>1.1</v>
      </c>
      <c r="G536" t="n">
        <v>1.3</v>
      </c>
      <c r="H536">
        <f>הגדרות!B4</f>
        <v/>
      </c>
      <c r="I536">
        <f>F536*(1-H536/100)*1.18</f>
        <v/>
      </c>
      <c r="J536">
        <f>הגדרות!C4</f>
        <v/>
      </c>
      <c r="K536">
        <f>הגדרות!D4</f>
        <v/>
      </c>
      <c r="L536">
        <f>I536*(1+J536/100)+K536</f>
        <v/>
      </c>
    </row>
    <row r="537">
      <c r="A537" t="inlineStr">
        <is>
          <t>בית ארז — ציוד מתכלה</t>
        </is>
      </c>
      <c r="B537" t="inlineStr">
        <is>
          <t>סט עירוי 190 ס"מ</t>
        </is>
      </c>
      <c r="C537" t="inlineStr">
        <is>
          <t>ציוד רפואי מתכלה</t>
        </is>
      </c>
      <c r="D537" t="inlineStr">
        <is>
          <t>5800100</t>
        </is>
      </c>
      <c r="E537" t="inlineStr">
        <is>
          <t>2025-11</t>
        </is>
      </c>
      <c r="F537" t="n">
        <v>1.3</v>
      </c>
      <c r="G537" t="n">
        <v>1.53</v>
      </c>
      <c r="H537">
        <f>הגדרות!B4</f>
        <v/>
      </c>
      <c r="I537">
        <f>F537*(1-H537/100)*1.18</f>
        <v/>
      </c>
      <c r="J537">
        <f>הגדרות!C4</f>
        <v/>
      </c>
      <c r="K537">
        <f>הגדרות!D4</f>
        <v/>
      </c>
      <c r="L537">
        <f>I537*(1+J537/100)+K537</f>
        <v/>
      </c>
    </row>
    <row r="538">
      <c r="A538" t="inlineStr">
        <is>
          <t>בית ארז — ציוד מתכלה</t>
        </is>
      </c>
      <c r="B538" t="inlineStr">
        <is>
          <t>סט עירוי 150 ס"מ עם נקודת הזרקה</t>
        </is>
      </c>
      <c r="C538" t="inlineStr">
        <is>
          <t>המטולוגיה ונוזלים</t>
        </is>
      </c>
      <c r="D538" t="inlineStr">
        <is>
          <t>5800102</t>
        </is>
      </c>
      <c r="E538" t="inlineStr">
        <is>
          <t>2025-11</t>
        </is>
      </c>
      <c r="F538" t="n">
        <v>1.4</v>
      </c>
      <c r="G538" t="n">
        <v>1.65</v>
      </c>
      <c r="H538">
        <f>הגדרות!B4</f>
        <v/>
      </c>
      <c r="I538">
        <f>F538*(1-H538/100)*1.18</f>
        <v/>
      </c>
      <c r="J538">
        <f>הגדרות!C4</f>
        <v/>
      </c>
      <c r="K538">
        <f>הגדרות!D4</f>
        <v/>
      </c>
      <c r="L538">
        <f>I538*(1+J538/100)+K538</f>
        <v/>
      </c>
    </row>
    <row r="539">
      <c r="A539" t="inlineStr">
        <is>
          <t>בית ארז — ציוד מתכלה</t>
        </is>
      </c>
      <c r="B539" t="inlineStr">
        <is>
          <t>סט עירוי דם עם מסנן 200 מיקרון</t>
        </is>
      </c>
      <c r="C539" t="inlineStr">
        <is>
          <t>ציוד רפואי מתכלה</t>
        </is>
      </c>
      <c r="D539" t="inlineStr">
        <is>
          <t>5800120</t>
        </is>
      </c>
      <c r="E539" t="inlineStr">
        <is>
          <t>2025-11</t>
        </is>
      </c>
      <c r="F539" t="n">
        <v>1.9</v>
      </c>
      <c r="G539" t="n">
        <v>2.24</v>
      </c>
      <c r="H539">
        <f>הגדרות!B4</f>
        <v/>
      </c>
      <c r="I539">
        <f>F539*(1-H539/100)*1.18</f>
        <v/>
      </c>
      <c r="J539">
        <f>הגדרות!C4</f>
        <v/>
      </c>
      <c r="K539">
        <f>הגדרות!D4</f>
        <v/>
      </c>
      <c r="L539">
        <f>I539*(1+J539/100)+K539</f>
        <v/>
      </c>
    </row>
    <row r="540">
      <c r="A540" t="inlineStr">
        <is>
          <t>בית ארז — ציוד מתכלה</t>
        </is>
      </c>
      <c r="B540" t="inlineStr">
        <is>
          <t>סט עירוי ביורטה 150 מ"ל עם נקודת הזרקה</t>
        </is>
      </c>
      <c r="C540" t="inlineStr">
        <is>
          <t>המטולוגיה ונוזלים</t>
        </is>
      </c>
      <c r="D540" t="inlineStr">
        <is>
          <t>5800130</t>
        </is>
      </c>
      <c r="E540" t="inlineStr">
        <is>
          <t>2025-11</t>
        </is>
      </c>
      <c r="F540" t="n">
        <v>7.9</v>
      </c>
      <c r="G540" t="n">
        <v>9.32</v>
      </c>
      <c r="H540">
        <f>הגדרות!B4</f>
        <v/>
      </c>
      <c r="I540">
        <f>F540*(1-H540/100)*1.18</f>
        <v/>
      </c>
      <c r="J540">
        <f>הגדרות!C4</f>
        <v/>
      </c>
      <c r="K540">
        <f>הגדרות!D4</f>
        <v/>
      </c>
      <c r="L540">
        <f>I540*(1+J540/100)+K540</f>
        <v/>
      </c>
    </row>
    <row r="541">
      <c r="A541" t="inlineStr">
        <is>
          <t>בית ארז — ציוד מתכלה</t>
        </is>
      </c>
      <c r="B541" t="inlineStr">
        <is>
          <t>סט עירוי ביורטה 150 מ"ל עם נקודת הזרקה אל מחט</t>
        </is>
      </c>
      <c r="C541" t="inlineStr">
        <is>
          <t>ציוד רפואי מתכלה</t>
        </is>
      </c>
      <c r="D541" t="inlineStr">
        <is>
          <t>5800133</t>
        </is>
      </c>
      <c r="E541" t="inlineStr">
        <is>
          <t>2025-11</t>
        </is>
      </c>
      <c r="F541" t="n">
        <v>10.9</v>
      </c>
      <c r="G541" t="n">
        <v>12.86</v>
      </c>
      <c r="H541">
        <f>הגדרות!B4</f>
        <v/>
      </c>
      <c r="I541">
        <f>F541*(1-H541/100)*1.18</f>
        <v/>
      </c>
      <c r="J541">
        <f>הגדרות!C4</f>
        <v/>
      </c>
      <c r="K541">
        <f>הגדרות!D4</f>
        <v/>
      </c>
      <c r="L541">
        <f>I541*(1+J541/100)+K541</f>
        <v/>
      </c>
    </row>
    <row r="542">
      <c r="A542" t="inlineStr">
        <is>
          <t>בית ארז — ציוד מתכלה</t>
        </is>
      </c>
      <c r="B542" t="inlineStr">
        <is>
          <t>מאריך לעירוי אנטי קינק ספירלי 2 מ' + נק' הזרקה Anitube-S</t>
        </is>
      </c>
      <c r="C542" t="inlineStr">
        <is>
          <t>המטולוגיה ונוזלים</t>
        </is>
      </c>
      <c r="D542" t="inlineStr">
        <is>
          <t>5900120</t>
        </is>
      </c>
      <c r="E542" t="inlineStr">
        <is>
          <t>2025-11</t>
        </is>
      </c>
      <c r="F542" t="n">
        <v>9.9</v>
      </c>
      <c r="G542" t="n">
        <v>11.68</v>
      </c>
      <c r="H542">
        <f>הגדרות!B4</f>
        <v/>
      </c>
      <c r="I542">
        <f>F542*(1-H542/100)*1.18</f>
        <v/>
      </c>
      <c r="J542">
        <f>הגדרות!C4</f>
        <v/>
      </c>
      <c r="K542">
        <f>הגדרות!D4</f>
        <v/>
      </c>
      <c r="L542">
        <f>I542*(1+J542/100)+K542</f>
        <v/>
      </c>
    </row>
    <row r="543">
      <c r="A543" t="inlineStr">
        <is>
          <t>בית ארז — ציוד מתכלה</t>
        </is>
      </c>
      <c r="B543" t="inlineStr">
        <is>
          <t>מאריך לעירוי 50 ס"מ</t>
        </is>
      </c>
      <c r="C543" t="inlineStr">
        <is>
          <t>ציוד רפואי מתכלה</t>
        </is>
      </c>
      <c r="D543" t="inlineStr">
        <is>
          <t>5800140</t>
        </is>
      </c>
      <c r="E543" t="inlineStr">
        <is>
          <t>2025-11</t>
        </is>
      </c>
      <c r="F543" t="n">
        <v>1</v>
      </c>
      <c r="G543" t="n">
        <v>1.18</v>
      </c>
      <c r="H543">
        <f>הגדרות!B4</f>
        <v/>
      </c>
      <c r="I543">
        <f>F543*(1-H543/100)*1.18</f>
        <v/>
      </c>
      <c r="J543">
        <f>הגדרות!C4</f>
        <v/>
      </c>
      <c r="K543">
        <f>הגדרות!D4</f>
        <v/>
      </c>
      <c r="L543">
        <f>I543*(1+J543/100)+K543</f>
        <v/>
      </c>
    </row>
    <row r="544">
      <c r="A544" t="inlineStr">
        <is>
          <t>בית ארז — ציוד מתכלה</t>
        </is>
      </c>
      <c r="B544" t="inlineStr">
        <is>
          <t>מאריך לעירוי 100 ס"מ</t>
        </is>
      </c>
      <c r="C544" t="inlineStr">
        <is>
          <t>המטולוגיה ונוזלים</t>
        </is>
      </c>
      <c r="D544" t="inlineStr">
        <is>
          <t>5800144</t>
        </is>
      </c>
      <c r="E544" t="inlineStr">
        <is>
          <t>2025-11</t>
        </is>
      </c>
      <c r="F544" t="n">
        <v>1</v>
      </c>
      <c r="G544" t="n">
        <v>1.18</v>
      </c>
      <c r="H544">
        <f>הגדרות!B4</f>
        <v/>
      </c>
      <c r="I544">
        <f>F544*(1-H544/100)*1.18</f>
        <v/>
      </c>
      <c r="J544">
        <f>הגדרות!C4</f>
        <v/>
      </c>
      <c r="K544">
        <f>הגדרות!D4</f>
        <v/>
      </c>
      <c r="L544">
        <f>I544*(1+J544/100)+K544</f>
        <v/>
      </c>
    </row>
    <row r="545">
      <c r="A545" t="inlineStr">
        <is>
          <t>בית ארז — ציוד מתכלה</t>
        </is>
      </c>
      <c r="B545" t="inlineStr">
        <is>
          <t>מאריך לעירוי 150 ס"מ</t>
        </is>
      </c>
      <c r="C545" t="inlineStr">
        <is>
          <t>ציוד רפואי מתכלה</t>
        </is>
      </c>
      <c r="D545" t="inlineStr">
        <is>
          <t>5800150</t>
        </is>
      </c>
      <c r="E545" t="inlineStr">
        <is>
          <t>2025-11</t>
        </is>
      </c>
      <c r="F545" t="n">
        <v>1</v>
      </c>
      <c r="G545" t="n">
        <v>1.18</v>
      </c>
      <c r="H545">
        <f>הגדרות!B4</f>
        <v/>
      </c>
      <c r="I545">
        <f>F545*(1-H545/100)*1.18</f>
        <v/>
      </c>
      <c r="J545">
        <f>הגדרות!C4</f>
        <v/>
      </c>
      <c r="K545">
        <f>הגדרות!D4</f>
        <v/>
      </c>
      <c r="L545">
        <f>I545*(1+J545/100)+K545</f>
        <v/>
      </c>
    </row>
    <row r="546">
      <c r="A546" t="inlineStr">
        <is>
          <t>בית ארז — ציוד מתכלה</t>
        </is>
      </c>
      <c r="B546" t="inlineStr">
        <is>
          <t>סטופקוק - 50 יח'</t>
        </is>
      </c>
      <c r="C546" t="inlineStr">
        <is>
          <t>המטולוגיה ונוזלים</t>
        </is>
      </c>
      <c r="D546" t="inlineStr">
        <is>
          <t>5800180</t>
        </is>
      </c>
      <c r="E546" t="inlineStr">
        <is>
          <t>2025-11</t>
        </is>
      </c>
      <c r="F546" t="n">
        <v>50</v>
      </c>
      <c r="G546" t="n">
        <v>59</v>
      </c>
      <c r="H546">
        <f>הגדרות!B4</f>
        <v/>
      </c>
      <c r="I546">
        <f>F546*(1-H546/100)*1.18</f>
        <v/>
      </c>
      <c r="J546">
        <f>הגדרות!C4</f>
        <v/>
      </c>
      <c r="K546">
        <f>הגדרות!D4</f>
        <v/>
      </c>
      <c r="L546">
        <f>I546*(1+J546/100)+K546</f>
        <v/>
      </c>
    </row>
    <row r="547">
      <c r="A547" t="inlineStr">
        <is>
          <t>בית ארז — ציוד מתכלה</t>
        </is>
      </c>
      <c r="B547" t="inlineStr">
        <is>
          <t>פקק קומבי אדום - 200 יח'</t>
        </is>
      </c>
      <c r="C547" t="inlineStr">
        <is>
          <t>ציוד רפואי מתכלה</t>
        </is>
      </c>
      <c r="D547" t="inlineStr">
        <is>
          <t>5800191</t>
        </is>
      </c>
      <c r="E547" t="inlineStr">
        <is>
          <t>2025-11</t>
        </is>
      </c>
      <c r="F547" t="n">
        <v>30</v>
      </c>
      <c r="G547" t="n">
        <v>35.4</v>
      </c>
      <c r="H547">
        <f>הגדרות!B4</f>
        <v/>
      </c>
      <c r="I547">
        <f>F547*(1-H547/100)*1.18</f>
        <v/>
      </c>
      <c r="J547">
        <f>הגדרות!C4</f>
        <v/>
      </c>
      <c r="K547">
        <f>הגדרות!D4</f>
        <v/>
      </c>
      <c r="L547">
        <f>I547*(1+J547/100)+K547</f>
        <v/>
      </c>
    </row>
    <row r="548">
      <c r="A548" t="inlineStr">
        <is>
          <t>בית ארז — ציוד מתכלה</t>
        </is>
      </c>
      <c r="B548" t="inlineStr">
        <is>
          <t>צנרת סקשיין 2 מטר</t>
        </is>
      </c>
      <c r="C548" t="inlineStr">
        <is>
          <t>המטולוגיה ונוזלים</t>
        </is>
      </c>
      <c r="D548" t="inlineStr">
        <is>
          <t>5800225</t>
        </is>
      </c>
      <c r="E548" t="inlineStr">
        <is>
          <t>2025-11</t>
        </is>
      </c>
      <c r="F548" t="n">
        <v>7</v>
      </c>
      <c r="G548" t="n">
        <v>8.26</v>
      </c>
      <c r="H548">
        <f>הגדרות!B4</f>
        <v/>
      </c>
      <c r="I548">
        <f>F548*(1-H548/100)*1.18</f>
        <v/>
      </c>
      <c r="J548">
        <f>הגדרות!C4</f>
        <v/>
      </c>
      <c r="K548">
        <f>הגדרות!D4</f>
        <v/>
      </c>
      <c r="L548">
        <f>I548*(1+J548/100)+K548</f>
        <v/>
      </c>
    </row>
    <row r="549">
      <c r="A549" t="inlineStr">
        <is>
          <t>בית ארז — ציוד מתכלה</t>
        </is>
      </c>
      <c r="B549" t="inlineStr">
        <is>
          <t>מבחנת אפנדורף 1.5 מ"ל - 500 יח'</t>
        </is>
      </c>
      <c r="C549" t="inlineStr">
        <is>
          <t>ציוד רפואי מתכלה</t>
        </is>
      </c>
      <c r="D549" t="inlineStr">
        <is>
          <t>5910100</t>
        </is>
      </c>
      <c r="E549" t="inlineStr">
        <is>
          <t>2025-11</t>
        </is>
      </c>
      <c r="F549" t="n">
        <v>95</v>
      </c>
      <c r="G549" t="n">
        <v>112.1</v>
      </c>
      <c r="H549">
        <f>הגדרות!B4</f>
        <v/>
      </c>
      <c r="I549">
        <f>F549*(1-H549/100)*1.18</f>
        <v/>
      </c>
      <c r="J549">
        <f>הגדרות!C4</f>
        <v/>
      </c>
      <c r="K549">
        <f>הגדרות!D4</f>
        <v/>
      </c>
      <c r="L549">
        <f>I549*(1+J549/100)+K549</f>
        <v/>
      </c>
    </row>
    <row r="550">
      <c r="A550" t="inlineStr">
        <is>
          <t>בית ארז — ציוד מתכלה</t>
        </is>
      </c>
      <c r="B550" t="inlineStr">
        <is>
          <t>פיפטות פסטר 3 מ"ל - 500 יח'</t>
        </is>
      </c>
      <c r="C550" t="inlineStr">
        <is>
          <t>המטולוגיה ונוזלים</t>
        </is>
      </c>
      <c r="D550" t="inlineStr">
        <is>
          <t>5910110</t>
        </is>
      </c>
      <c r="E550" t="inlineStr">
        <is>
          <t>2025-11</t>
        </is>
      </c>
      <c r="F550" t="n">
        <v>50</v>
      </c>
      <c r="G550" t="n">
        <v>59</v>
      </c>
      <c r="H550">
        <f>הגדרות!B4</f>
        <v/>
      </c>
      <c r="I550">
        <f>F550*(1-H550/100)*1.18</f>
        <v/>
      </c>
      <c r="J550">
        <f>הגדרות!C4</f>
        <v/>
      </c>
      <c r="K550">
        <f>הגדרות!D4</f>
        <v/>
      </c>
      <c r="L550">
        <f>I550*(1+J550/100)+K550</f>
        <v/>
      </c>
    </row>
    <row r="551">
      <c r="A551" t="inlineStr">
        <is>
          <t>בית ארז — ציוד מתכלה</t>
        </is>
      </c>
      <c r="B551" t="inlineStr">
        <is>
          <t>טיפים 200 מיקרוליטר שקופים לפיפטור - 96 טיפים בקופסא</t>
        </is>
      </c>
      <c r="C551" t="inlineStr">
        <is>
          <t>ציוד רפואי מתכלה</t>
        </is>
      </c>
      <c r="D551" t="inlineStr">
        <is>
          <t>5905200</t>
        </is>
      </c>
      <c r="E551" t="inlineStr">
        <is>
          <t>2025-11</t>
        </is>
      </c>
      <c r="F551" t="n">
        <v>35</v>
      </c>
      <c r="G551" t="n">
        <v>41.3</v>
      </c>
      <c r="H551">
        <f>הגדרות!B4</f>
        <v/>
      </c>
      <c r="I551">
        <f>F551*(1-H551/100)*1.18</f>
        <v/>
      </c>
      <c r="J551">
        <f>הגדרות!C4</f>
        <v/>
      </c>
      <c r="K551">
        <f>הגדרות!D4</f>
        <v/>
      </c>
      <c r="L551">
        <f>I551*(1+J551/100)+K551</f>
        <v/>
      </c>
    </row>
    <row r="552">
      <c r="A552" t="inlineStr">
        <is>
          <t>בית ארז — ציוד מתכלה</t>
        </is>
      </c>
      <c r="B552" t="inlineStr">
        <is>
          <t>טיפים 200 מיקרוליטר שקופים לפיפטור - 1000 טיפים בשקית</t>
        </is>
      </c>
      <c r="C552" t="inlineStr">
        <is>
          <t>המטולוגיה ונוזלים</t>
        </is>
      </c>
      <c r="D552" t="inlineStr">
        <is>
          <t>5920100</t>
        </is>
      </c>
      <c r="E552" t="inlineStr">
        <is>
          <t>2025-11</t>
        </is>
      </c>
      <c r="F552" t="n">
        <v>170</v>
      </c>
      <c r="G552" t="n">
        <v>200.6</v>
      </c>
      <c r="H552">
        <f>הגדרות!B4</f>
        <v/>
      </c>
      <c r="I552">
        <f>F552*(1-H552/100)*1.18</f>
        <v/>
      </c>
      <c r="J552">
        <f>הגדרות!C4</f>
        <v/>
      </c>
      <c r="K552">
        <f>הגדרות!D4</f>
        <v/>
      </c>
      <c r="L552">
        <f>I552*(1+J552/100)+K552</f>
        <v/>
      </c>
    </row>
    <row r="553">
      <c r="A553" t="inlineStr">
        <is>
          <t>בית ארז — ציוד מתכלה</t>
        </is>
      </c>
      <c r="B553" t="inlineStr">
        <is>
          <t>עיפרון ניתוח סטרילי (דיאטרמיה) - כבל 3 מטרים</t>
        </is>
      </c>
      <c r="C553" t="inlineStr">
        <is>
          <t>ציוד רפואי מתכלה</t>
        </is>
      </c>
      <c r="D553" t="inlineStr">
        <is>
          <t>5806022</t>
        </is>
      </c>
      <c r="E553" t="inlineStr">
        <is>
          <t>2025-11</t>
        </is>
      </c>
      <c r="F553" t="n">
        <v>14</v>
      </c>
      <c r="G553" t="n">
        <v>16.52</v>
      </c>
      <c r="H553">
        <f>הגדרות!B4</f>
        <v/>
      </c>
      <c r="I553">
        <f>F553*(1-H553/100)*1.18</f>
        <v/>
      </c>
      <c r="J553">
        <f>הגדרות!C4</f>
        <v/>
      </c>
      <c r="K553">
        <f>הגדרות!D4</f>
        <v/>
      </c>
      <c r="L553">
        <f>I553*(1+J553/100)+K553</f>
        <v/>
      </c>
    </row>
    <row r="554">
      <c r="A554" t="inlineStr">
        <is>
          <t>בית ארז — ציוד מתכלה</t>
        </is>
      </c>
      <c r="B554" t="inlineStr">
        <is>
          <t>מזרק MS מיקרוציפ 8.3*1.5 מ"מ (0409984)</t>
        </is>
      </c>
      <c r="C554" t="inlineStr">
        <is>
          <t>מזרקים ומחטים</t>
        </is>
      </c>
      <c r="D554" t="inlineStr">
        <is>
          <t>2100201</t>
        </is>
      </c>
      <c r="E554" t="inlineStr">
        <is>
          <t>2025-11</t>
        </is>
      </c>
      <c r="F554" t="n">
        <v>11</v>
      </c>
      <c r="G554" t="n">
        <v>12.98</v>
      </c>
      <c r="H554">
        <f>הגדרות!B4</f>
        <v/>
      </c>
      <c r="I554">
        <f>F554*(1-H554/100)*1.18</f>
        <v/>
      </c>
      <c r="J554">
        <f>הגדרות!C4</f>
        <v/>
      </c>
      <c r="K554">
        <f>הגדרות!D4</f>
        <v/>
      </c>
      <c r="L554">
        <f>I554*(1+J554/100)+K554</f>
        <v/>
      </c>
    </row>
    <row r="555">
      <c r="A555" t="inlineStr">
        <is>
          <t>בית ארז — ציוד מתכלה</t>
        </is>
      </c>
      <c r="B555" t="inlineStr">
        <is>
          <t>מזרק לואר סליפ 1 מל - 100 יח'</t>
        </is>
      </c>
      <c r="C555" t="inlineStr">
        <is>
          <t>ציוד רפואי מתכלה</t>
        </is>
      </c>
      <c r="D555" t="inlineStr">
        <is>
          <t>5800001</t>
        </is>
      </c>
      <c r="E555" t="inlineStr">
        <is>
          <t>2025-11</t>
        </is>
      </c>
      <c r="F555" t="n">
        <v>17</v>
      </c>
      <c r="G555" t="n">
        <v>20.06</v>
      </c>
      <c r="H555">
        <f>הגדרות!B4</f>
        <v/>
      </c>
      <c r="I555">
        <f>F555*(1-H555/100)*1.18</f>
        <v/>
      </c>
      <c r="J555">
        <f>הגדרות!C4</f>
        <v/>
      </c>
      <c r="K555">
        <f>הגדרות!D4</f>
        <v/>
      </c>
      <c r="L555">
        <f>I555*(1+J555/100)+K555</f>
        <v/>
      </c>
    </row>
    <row r="556">
      <c r="A556" t="inlineStr">
        <is>
          <t>בית ארז — ציוד מתכלה</t>
        </is>
      </c>
      <c r="B556" t="inlineStr">
        <is>
          <t>מזרק לואר סליפ 3 מל - 100 יח'</t>
        </is>
      </c>
      <c r="C556" t="inlineStr">
        <is>
          <t>מזרקים ומחטים</t>
        </is>
      </c>
      <c r="D556" t="inlineStr">
        <is>
          <t>5800003</t>
        </is>
      </c>
      <c r="E556" t="inlineStr">
        <is>
          <t>2025-11</t>
        </is>
      </c>
      <c r="F556" t="n">
        <v>13.5</v>
      </c>
      <c r="G556" t="n">
        <v>15.93</v>
      </c>
      <c r="H556">
        <f>הגדרות!B4</f>
        <v/>
      </c>
      <c r="I556">
        <f>F556*(1-H556/100)*1.18</f>
        <v/>
      </c>
      <c r="J556">
        <f>הגדרות!C4</f>
        <v/>
      </c>
      <c r="K556">
        <f>הגדרות!D4</f>
        <v/>
      </c>
      <c r="L556">
        <f>I556*(1+J556/100)+K556</f>
        <v/>
      </c>
    </row>
    <row r="557">
      <c r="A557" t="inlineStr">
        <is>
          <t>בית ארז — ציוד מתכלה</t>
        </is>
      </c>
      <c r="B557" t="inlineStr">
        <is>
          <t>מזרק לואר סליפ 5 מל - 100 יח'</t>
        </is>
      </c>
      <c r="C557" t="inlineStr">
        <is>
          <t>ציוד רפואי מתכלה</t>
        </is>
      </c>
      <c r="D557" t="inlineStr">
        <is>
          <t>5800005</t>
        </is>
      </c>
      <c r="E557" t="inlineStr">
        <is>
          <t>2025-11</t>
        </is>
      </c>
      <c r="F557" t="n">
        <v>16</v>
      </c>
      <c r="G557" t="n">
        <v>18.88</v>
      </c>
      <c r="H557">
        <f>הגדרות!B4</f>
        <v/>
      </c>
      <c r="I557">
        <f>F557*(1-H557/100)*1.18</f>
        <v/>
      </c>
      <c r="J557">
        <f>הגדרות!C4</f>
        <v/>
      </c>
      <c r="K557">
        <f>הגדרות!D4</f>
        <v/>
      </c>
      <c r="L557">
        <f>I557*(1+J557/100)+K557</f>
        <v/>
      </c>
    </row>
    <row r="558">
      <c r="A558" t="inlineStr">
        <is>
          <t>בית ארז — ציוד מתכלה</t>
        </is>
      </c>
      <c r="B558" t="inlineStr">
        <is>
          <t>מזרק לואר סליפ 10 מל - 100 יח'</t>
        </is>
      </c>
      <c r="C558" t="inlineStr">
        <is>
          <t>מזרקים ומחטים</t>
        </is>
      </c>
      <c r="D558" t="inlineStr">
        <is>
          <t>5800010</t>
        </is>
      </c>
      <c r="E558" t="inlineStr">
        <is>
          <t>2025-11</t>
        </is>
      </c>
      <c r="F558" t="n">
        <v>27</v>
      </c>
      <c r="G558" t="n">
        <v>31.86</v>
      </c>
      <c r="H558">
        <f>הגדרות!B4</f>
        <v/>
      </c>
      <c r="I558">
        <f>F558*(1-H558/100)*1.18</f>
        <v/>
      </c>
      <c r="J558">
        <f>הגדרות!C4</f>
        <v/>
      </c>
      <c r="K558">
        <f>הגדרות!D4</f>
        <v/>
      </c>
      <c r="L558">
        <f>I558*(1+J558/100)+K558</f>
        <v/>
      </c>
    </row>
    <row r="559">
      <c r="A559" t="inlineStr">
        <is>
          <t>בית ארז — ציוד מתכלה</t>
        </is>
      </c>
      <c r="B559" t="inlineStr">
        <is>
          <t>מזרק לואר סליפ 20 מל - 50 יח'</t>
        </is>
      </c>
      <c r="C559" t="inlineStr">
        <is>
          <t>ציוד רפואי מתכלה</t>
        </is>
      </c>
      <c r="D559" t="inlineStr">
        <is>
          <t>5800020</t>
        </is>
      </c>
      <c r="E559" t="inlineStr">
        <is>
          <t>2025-11</t>
        </is>
      </c>
      <c r="F559" t="n">
        <v>20</v>
      </c>
      <c r="G559" t="n">
        <v>23.6</v>
      </c>
      <c r="H559">
        <f>הגדרות!B4</f>
        <v/>
      </c>
      <c r="I559">
        <f>F559*(1-H559/100)*1.18</f>
        <v/>
      </c>
      <c r="J559">
        <f>הגדרות!C4</f>
        <v/>
      </c>
      <c r="K559">
        <f>הגדרות!D4</f>
        <v/>
      </c>
      <c r="L559">
        <f>I559*(1+J559/100)+K559</f>
        <v/>
      </c>
    </row>
    <row r="560">
      <c r="A560" t="inlineStr">
        <is>
          <t>בית ארז — ציוד מתכלה</t>
        </is>
      </c>
      <c r="B560" t="inlineStr">
        <is>
          <t>מזרק שטיפה סטרילי 50/60 מל - 25 יח'</t>
        </is>
      </c>
      <c r="C560" t="inlineStr">
        <is>
          <t>מזרקים ומחטים</t>
        </is>
      </c>
      <c r="D560" t="inlineStr">
        <is>
          <t>5800057</t>
        </is>
      </c>
      <c r="E560" t="inlineStr">
        <is>
          <t>2025-11</t>
        </is>
      </c>
      <c r="F560" t="n">
        <v>27</v>
      </c>
      <c r="G560" t="n">
        <v>31.86</v>
      </c>
      <c r="H560">
        <f>הגדרות!B4</f>
        <v/>
      </c>
      <c r="I560">
        <f>F560*(1-H560/100)*1.18</f>
        <v/>
      </c>
      <c r="J560">
        <f>הגדרות!C4</f>
        <v/>
      </c>
      <c r="K560">
        <f>הגדרות!D4</f>
        <v/>
      </c>
      <c r="L560">
        <f>I560*(1+J560/100)+K560</f>
        <v/>
      </c>
    </row>
    <row r="561">
      <c r="A561" t="inlineStr">
        <is>
          <t>בית ארז — ציוד מתכלה</t>
        </is>
      </c>
      <c r="B561" t="inlineStr">
        <is>
          <t>מחט היפודרמית כתומה 100 יח' G25 x 5/8</t>
        </is>
      </c>
      <c r="C561" t="inlineStr">
        <is>
          <t>ציוד רפואי מתכלה</t>
        </is>
      </c>
      <c r="D561" t="inlineStr">
        <is>
          <t>5800066</t>
        </is>
      </c>
      <c r="E561" t="inlineStr">
        <is>
          <t>2025-11</t>
        </is>
      </c>
      <c r="F561" t="n">
        <v>5.9</v>
      </c>
      <c r="G561" t="n">
        <v>6.96</v>
      </c>
      <c r="H561">
        <f>הגדרות!B4</f>
        <v/>
      </c>
      <c r="I561">
        <f>F561*(1-H561/100)*1.18</f>
        <v/>
      </c>
      <c r="J561">
        <f>הגדרות!C4</f>
        <v/>
      </c>
      <c r="K561">
        <f>הגדרות!D4</f>
        <v/>
      </c>
      <c r="L561">
        <f>I561*(1+J561/100)+K561</f>
        <v/>
      </c>
    </row>
    <row r="562">
      <c r="A562" t="inlineStr">
        <is>
          <t>בית ארז — ציוד מתכלה</t>
        </is>
      </c>
      <c r="B562" t="inlineStr">
        <is>
          <t>מחט היפודרמית כחולה 100 יח' G23 x 1</t>
        </is>
      </c>
      <c r="C562" t="inlineStr">
        <is>
          <t>מזרקים ומחטים</t>
        </is>
      </c>
      <c r="D562" t="inlineStr">
        <is>
          <t>5800070</t>
        </is>
      </c>
      <c r="E562" t="inlineStr">
        <is>
          <t>2025-11</t>
        </is>
      </c>
      <c r="F562" t="n">
        <v>5.9</v>
      </c>
      <c r="G562" t="n">
        <v>6.96</v>
      </c>
      <c r="H562">
        <f>הגדרות!B4</f>
        <v/>
      </c>
      <c r="I562">
        <f>F562*(1-H562/100)*1.18</f>
        <v/>
      </c>
      <c r="J562">
        <f>הגדרות!C4</f>
        <v/>
      </c>
      <c r="K562">
        <f>הגדרות!D4</f>
        <v/>
      </c>
      <c r="L562">
        <f>I562*(1+J562/100)+K562</f>
        <v/>
      </c>
    </row>
    <row r="563">
      <c r="A563" t="inlineStr">
        <is>
          <t>בית ארז — ציוד מתכלה</t>
        </is>
      </c>
      <c r="B563" t="inlineStr">
        <is>
          <t>מחט היפודרמית ירוקה 100 יח' G21 x 1</t>
        </is>
      </c>
      <c r="C563" t="inlineStr">
        <is>
          <t>ציוד רפואי מתכלה</t>
        </is>
      </c>
      <c r="D563" t="inlineStr">
        <is>
          <t>5800073</t>
        </is>
      </c>
      <c r="E563" t="inlineStr">
        <is>
          <t>2025-11</t>
        </is>
      </c>
      <c r="F563" t="n">
        <v>5.9</v>
      </c>
      <c r="G563" t="n">
        <v>6.96</v>
      </c>
      <c r="H563">
        <f>הגדרות!B4</f>
        <v/>
      </c>
      <c r="I563">
        <f>F563*(1-H563/100)*1.18</f>
        <v/>
      </c>
      <c r="J563">
        <f>הגדרות!C4</f>
        <v/>
      </c>
      <c r="K563">
        <f>הגדרות!D4</f>
        <v/>
      </c>
      <c r="L563">
        <f>I563*(1+J563/100)+K563</f>
        <v/>
      </c>
    </row>
    <row r="564">
      <c r="A564" t="inlineStr">
        <is>
          <t>בית ארז — ציוד מתכלה</t>
        </is>
      </c>
      <c r="B564" t="inlineStr">
        <is>
          <t>מחט היפודרמית ירוקה 100 יח' G21 x 1.5</t>
        </is>
      </c>
      <c r="C564" t="inlineStr">
        <is>
          <t>מזרקים ומחטים</t>
        </is>
      </c>
      <c r="D564" t="inlineStr">
        <is>
          <t>5800074</t>
        </is>
      </c>
      <c r="E564" t="inlineStr">
        <is>
          <t>2025-11</t>
        </is>
      </c>
      <c r="F564" t="n">
        <v>5.9</v>
      </c>
      <c r="G564" t="n">
        <v>6.96</v>
      </c>
      <c r="H564">
        <f>הגדרות!B4</f>
        <v/>
      </c>
      <c r="I564">
        <f>F564*(1-H564/100)*1.18</f>
        <v/>
      </c>
      <c r="J564">
        <f>הגדרות!C4</f>
        <v/>
      </c>
      <c r="K564">
        <f>הגדרות!D4</f>
        <v/>
      </c>
      <c r="L564">
        <f>I564*(1+J564/100)+K564</f>
        <v/>
      </c>
    </row>
    <row r="565">
      <c r="A565" t="inlineStr">
        <is>
          <t>בית ארז — ציוד מתכלה</t>
        </is>
      </c>
      <c r="B565" t="inlineStr">
        <is>
          <t>מחט היפודרמית ורודה 100 יח' G18 x 1</t>
        </is>
      </c>
      <c r="C565" t="inlineStr">
        <is>
          <t>ציוד רפואי מתכלה</t>
        </is>
      </c>
      <c r="D565" t="inlineStr">
        <is>
          <t>5800080</t>
        </is>
      </c>
      <c r="E565" t="inlineStr">
        <is>
          <t>2025-11</t>
        </is>
      </c>
      <c r="F565" t="n">
        <v>8.5</v>
      </c>
      <c r="G565" t="n">
        <v>10.03</v>
      </c>
      <c r="H565">
        <f>הגדרות!B4</f>
        <v/>
      </c>
      <c r="I565">
        <f>F565*(1-H565/100)*1.18</f>
        <v/>
      </c>
      <c r="J565">
        <f>הגדרות!C4</f>
        <v/>
      </c>
      <c r="K565">
        <f>הגדרות!D4</f>
        <v/>
      </c>
      <c r="L565">
        <f>I565*(1+J565/100)+K565</f>
        <v/>
      </c>
    </row>
    <row r="566">
      <c r="A566" t="inlineStr">
        <is>
          <t>בית ארז — ציוד מתכלה</t>
        </is>
      </c>
      <c r="B566" t="inlineStr">
        <is>
          <t>מחט היפודרמית ורודה 100 יח' G18 x 1.5</t>
        </is>
      </c>
      <c r="C566" t="inlineStr">
        <is>
          <t>מזרקים ומחטים</t>
        </is>
      </c>
      <c r="D566" t="inlineStr">
        <is>
          <t>5800082</t>
        </is>
      </c>
      <c r="E566" t="inlineStr">
        <is>
          <t>2025-11</t>
        </is>
      </c>
      <c r="F566" t="n">
        <v>5.9</v>
      </c>
      <c r="G566" t="n">
        <v>6.96</v>
      </c>
      <c r="H566">
        <f>הגדרות!B4</f>
        <v/>
      </c>
      <c r="I566">
        <f>F566*(1-H566/100)*1.18</f>
        <v/>
      </c>
      <c r="J566">
        <f>הגדרות!C4</f>
        <v/>
      </c>
      <c r="K566">
        <f>הגדרות!D4</f>
        <v/>
      </c>
      <c r="L566">
        <f>I566*(1+J566/100)+K566</f>
        <v/>
      </c>
    </row>
    <row r="567">
      <c r="A567" t="inlineStr">
        <is>
          <t>בית ארז — ציוד מתכלה</t>
        </is>
      </c>
      <c r="B567" t="inlineStr">
        <is>
          <t>מחט היפודרמית לבנה 100 יח' 16G x 1</t>
        </is>
      </c>
      <c r="C567" t="inlineStr">
        <is>
          <t>ציוד רפואי מתכלה</t>
        </is>
      </c>
      <c r="D567" t="inlineStr">
        <is>
          <t>5800086</t>
        </is>
      </c>
      <c r="E567" t="inlineStr">
        <is>
          <t>2025-11</t>
        </is>
      </c>
      <c r="F567" t="n">
        <v>8.5</v>
      </c>
      <c r="G567" t="n">
        <v>10.03</v>
      </c>
      <c r="H567">
        <f>הגדרות!B4</f>
        <v/>
      </c>
      <c r="I567">
        <f>F567*(1-H567/100)*1.18</f>
        <v/>
      </c>
      <c r="J567">
        <f>הגדרות!C4</f>
        <v/>
      </c>
      <c r="K567">
        <f>הגדרות!D4</f>
        <v/>
      </c>
      <c r="L567">
        <f>I567*(1+J567/100)+K567</f>
        <v/>
      </c>
    </row>
    <row r="568">
      <c r="A568" t="inlineStr">
        <is>
          <t>בית ארז — ציוד מתכלה</t>
        </is>
      </c>
      <c r="B568" t="inlineStr">
        <is>
          <t>מיני ספייק - 50 יח'</t>
        </is>
      </c>
      <c r="C568" t="inlineStr">
        <is>
          <t>מזרקים ומחטים</t>
        </is>
      </c>
      <c r="D568" t="inlineStr">
        <is>
          <t>5501005</t>
        </is>
      </c>
      <c r="E568" t="inlineStr">
        <is>
          <t>2025-11</t>
        </is>
      </c>
      <c r="F568" t="n">
        <v>160</v>
      </c>
      <c r="G568" t="n">
        <v>188.8</v>
      </c>
      <c r="H568">
        <f>הגדרות!B4</f>
        <v/>
      </c>
      <c r="I568">
        <f>F568*(1-H568/100)*1.18</f>
        <v/>
      </c>
      <c r="J568">
        <f>הגדרות!C4</f>
        <v/>
      </c>
      <c r="K568">
        <f>הגדרות!D4</f>
        <v/>
      </c>
      <c r="L568">
        <f>I568*(1+J568/100)+K568</f>
        <v/>
      </c>
    </row>
    <row r="569">
      <c r="A569" t="inlineStr">
        <is>
          <t>בית ארז — ציוד מתכלה</t>
        </is>
      </c>
      <c r="B569" t="inlineStr">
        <is>
          <t>טרנסופיקס טרנספר ספייק - 50 יח'</t>
        </is>
      </c>
      <c r="C569" t="inlineStr">
        <is>
          <t>ציוד רפואי מתכלה</t>
        </is>
      </c>
      <c r="D569" t="inlineStr">
        <is>
          <t>5501018</t>
        </is>
      </c>
      <c r="E569" t="inlineStr">
        <is>
          <t>2025-11</t>
        </is>
      </c>
      <c r="F569" t="n">
        <v>70</v>
      </c>
      <c r="G569" t="n">
        <v>82.59999999999999</v>
      </c>
      <c r="H569">
        <f>הגדרות!B4</f>
        <v/>
      </c>
      <c r="I569">
        <f>F569*(1-H569/100)*1.18</f>
        <v/>
      </c>
      <c r="J569">
        <f>הגדרות!C4</f>
        <v/>
      </c>
      <c r="K569">
        <f>הגדרות!D4</f>
        <v/>
      </c>
      <c r="L569">
        <f>I569*(1+J569/100)+K569</f>
        <v/>
      </c>
    </row>
    <row r="570">
      <c r="A570" t="inlineStr">
        <is>
          <t>בית ארז — ציוד מתכלה</t>
        </is>
      </c>
      <c r="B570" t="inlineStr">
        <is>
          <t>כפפות ניתוח לטקס עם אבקה מידה 50 - 6 יח'</t>
        </is>
      </c>
      <c r="C570" t="inlineStr">
        <is>
          <t>כפפות</t>
        </is>
      </c>
      <c r="D570" t="inlineStr">
        <is>
          <t>5802560</t>
        </is>
      </c>
      <c r="E570" t="inlineStr">
        <is>
          <t>2025-11</t>
        </is>
      </c>
      <c r="F570" t="n">
        <v>72</v>
      </c>
      <c r="G570" t="n">
        <v>84.95999999999999</v>
      </c>
      <c r="H570">
        <f>הגדרות!B4</f>
        <v/>
      </c>
      <c r="I570">
        <f>F570*(1-H570/100)*1.18</f>
        <v/>
      </c>
      <c r="J570">
        <f>הגדרות!C4</f>
        <v/>
      </c>
      <c r="K570">
        <f>הגדרות!D4</f>
        <v/>
      </c>
      <c r="L570">
        <f>I570*(1+J570/100)+K570</f>
        <v/>
      </c>
    </row>
    <row r="571">
      <c r="A571" t="inlineStr">
        <is>
          <t>בית ארז — ציוד מתכלה</t>
        </is>
      </c>
      <c r="B571" t="inlineStr">
        <is>
          <t>כפפות ניתוח לטקס עם אבקה מידה 50 - 6.5 יח'</t>
        </is>
      </c>
      <c r="C571" t="inlineStr">
        <is>
          <t>ציוד רפואי מתכלה</t>
        </is>
      </c>
      <c r="D571" t="inlineStr">
        <is>
          <t>5802565</t>
        </is>
      </c>
      <c r="E571" t="inlineStr">
        <is>
          <t>2025-11</t>
        </is>
      </c>
      <c r="F571" t="n">
        <v>72</v>
      </c>
      <c r="G571" t="n">
        <v>84.95999999999999</v>
      </c>
      <c r="H571">
        <f>הגדרות!B4</f>
        <v/>
      </c>
      <c r="I571">
        <f>F571*(1-H571/100)*1.18</f>
        <v/>
      </c>
      <c r="J571">
        <f>הגדרות!C4</f>
        <v/>
      </c>
      <c r="K571">
        <f>הגדרות!D4</f>
        <v/>
      </c>
      <c r="L571">
        <f>I571*(1+J571/100)+K571</f>
        <v/>
      </c>
    </row>
    <row r="572">
      <c r="A572" t="inlineStr">
        <is>
          <t>בית ארז — ציוד מתכלה</t>
        </is>
      </c>
      <c r="B572" t="inlineStr">
        <is>
          <t>כפפות ניתוח לטקס עם אבקה מידה 50 - 7 יח'</t>
        </is>
      </c>
      <c r="C572" t="inlineStr">
        <is>
          <t>כפפות</t>
        </is>
      </c>
      <c r="D572" t="inlineStr">
        <is>
          <t>5802570</t>
        </is>
      </c>
      <c r="E572" t="inlineStr">
        <is>
          <t>2025-11</t>
        </is>
      </c>
      <c r="F572" t="n">
        <v>72</v>
      </c>
      <c r="G572" t="n">
        <v>84.95999999999999</v>
      </c>
      <c r="H572">
        <f>הגדרות!B4</f>
        <v/>
      </c>
      <c r="I572">
        <f>F572*(1-H572/100)*1.18</f>
        <v/>
      </c>
      <c r="J572">
        <f>הגדרות!C4</f>
        <v/>
      </c>
      <c r="K572">
        <f>הגדרות!D4</f>
        <v/>
      </c>
      <c r="L572">
        <f>I572*(1+J572/100)+K572</f>
        <v/>
      </c>
    </row>
    <row r="573">
      <c r="A573" t="inlineStr">
        <is>
          <t>בית ארז — ציוד מתכלה</t>
        </is>
      </c>
      <c r="B573" t="inlineStr">
        <is>
          <t>כפפות ניתוח לטקס עם אבקה מידה 50 - 7.5 יח'</t>
        </is>
      </c>
      <c r="C573" t="inlineStr">
        <is>
          <t>ציוד רפואי מתכלה</t>
        </is>
      </c>
      <c r="D573" t="inlineStr">
        <is>
          <t>5802575</t>
        </is>
      </c>
      <c r="E573" t="inlineStr">
        <is>
          <t>2025-11</t>
        </is>
      </c>
      <c r="F573" t="n">
        <v>72</v>
      </c>
      <c r="G573" t="n">
        <v>84.95999999999999</v>
      </c>
      <c r="H573">
        <f>הגדרות!B4</f>
        <v/>
      </c>
      <c r="I573">
        <f>F573*(1-H573/100)*1.18</f>
        <v/>
      </c>
      <c r="J573">
        <f>הגדרות!C4</f>
        <v/>
      </c>
      <c r="K573">
        <f>הגדרות!D4</f>
        <v/>
      </c>
      <c r="L573">
        <f>I573*(1+J573/100)+K573</f>
        <v/>
      </c>
    </row>
    <row r="574">
      <c r="A574" t="inlineStr">
        <is>
          <t>בית ארז — ציוד מתכלה</t>
        </is>
      </c>
      <c r="B574" t="inlineStr">
        <is>
          <t>כפפות ניתוח לטקס עם אבקה מידה 50 - 8 יח'</t>
        </is>
      </c>
      <c r="C574" t="inlineStr">
        <is>
          <t>כפפות</t>
        </is>
      </c>
      <c r="D574" t="inlineStr">
        <is>
          <t>5802580</t>
        </is>
      </c>
      <c r="E574" t="inlineStr">
        <is>
          <t>2025-11</t>
        </is>
      </c>
      <c r="F574" t="n">
        <v>72</v>
      </c>
      <c r="G574" t="n">
        <v>84.95999999999999</v>
      </c>
      <c r="H574">
        <f>הגדרות!B4</f>
        <v/>
      </c>
      <c r="I574">
        <f>F574*(1-H574/100)*1.18</f>
        <v/>
      </c>
      <c r="J574">
        <f>הגדרות!C4</f>
        <v/>
      </c>
      <c r="K574">
        <f>הגדרות!D4</f>
        <v/>
      </c>
      <c r="L574">
        <f>I574*(1+J574/100)+K574</f>
        <v/>
      </c>
    </row>
    <row r="575">
      <c r="A575" t="inlineStr">
        <is>
          <t>בית ארז — ציוד מתכלה</t>
        </is>
      </c>
      <c r="B575" t="inlineStr">
        <is>
          <t>כפפות ניתוח לטקס עם אבקה מידה 50 - 8.5 יח'</t>
        </is>
      </c>
      <c r="C575" t="inlineStr">
        <is>
          <t>ציוד רפואי מתכלה</t>
        </is>
      </c>
      <c r="D575" t="inlineStr">
        <is>
          <t>5802585</t>
        </is>
      </c>
      <c r="E575" t="inlineStr">
        <is>
          <t>2025-11</t>
        </is>
      </c>
      <c r="F575" t="n">
        <v>72</v>
      </c>
      <c r="G575" t="n">
        <v>84.95999999999999</v>
      </c>
      <c r="H575">
        <f>הגדרות!B4</f>
        <v/>
      </c>
      <c r="I575">
        <f>F575*(1-H575/100)*1.18</f>
        <v/>
      </c>
      <c r="J575">
        <f>הגדרות!C4</f>
        <v/>
      </c>
      <c r="K575">
        <f>הגדרות!D4</f>
        <v/>
      </c>
      <c r="L575">
        <f>I575*(1+J575/100)+K575</f>
        <v/>
      </c>
    </row>
    <row r="576">
      <c r="A576" t="inlineStr">
        <is>
          <t>בית ארז — ציוד מתכלה</t>
        </is>
      </c>
      <c r="B576" t="inlineStr">
        <is>
          <t>כפפות ניתוח לטקס עם אבקה מידה 50 - 9 יח'</t>
        </is>
      </c>
      <c r="C576" t="inlineStr">
        <is>
          <t>כפפות</t>
        </is>
      </c>
      <c r="D576" t="inlineStr">
        <is>
          <t>5802590</t>
        </is>
      </c>
      <c r="E576" t="inlineStr">
        <is>
          <t>2025-11</t>
        </is>
      </c>
      <c r="F576" t="n">
        <v>72</v>
      </c>
      <c r="G576" t="n">
        <v>84.95999999999999</v>
      </c>
      <c r="H576">
        <f>הגדרות!B4</f>
        <v/>
      </c>
      <c r="I576">
        <f>F576*(1-H576/100)*1.18</f>
        <v/>
      </c>
      <c r="J576">
        <f>הגדרות!C4</f>
        <v/>
      </c>
      <c r="K576">
        <f>הגדרות!D4</f>
        <v/>
      </c>
      <c r="L576">
        <f>I576*(1+J576/100)+K576</f>
        <v/>
      </c>
    </row>
    <row r="577">
      <c r="A577" t="inlineStr">
        <is>
          <t>בית ארז — ציוד מתכלה</t>
        </is>
      </c>
      <c r="B577" t="inlineStr">
        <is>
          <t>כפפות ניתוח לטקס ללא אבקה מידה 50 - 6 יח'</t>
        </is>
      </c>
      <c r="C577" t="inlineStr">
        <is>
          <t>ציוד רפואי מתכלה</t>
        </is>
      </c>
      <c r="D577" t="inlineStr">
        <is>
          <t>5802660</t>
        </is>
      </c>
      <c r="E577" t="inlineStr">
        <is>
          <t>2025-11</t>
        </is>
      </c>
      <c r="F577" t="n">
        <v>79</v>
      </c>
      <c r="G577" t="n">
        <v>93.22</v>
      </c>
      <c r="H577">
        <f>הגדרות!B4</f>
        <v/>
      </c>
      <c r="I577">
        <f>F577*(1-H577/100)*1.18</f>
        <v/>
      </c>
      <c r="J577">
        <f>הגדרות!C4</f>
        <v/>
      </c>
      <c r="K577">
        <f>הגדרות!D4</f>
        <v/>
      </c>
      <c r="L577">
        <f>I577*(1+J577/100)+K577</f>
        <v/>
      </c>
    </row>
    <row r="578">
      <c r="A578" t="inlineStr">
        <is>
          <t>בית ארז — ציוד מתכלה</t>
        </is>
      </c>
      <c r="B578" t="inlineStr">
        <is>
          <t>כפפות ניתוח לטקס ללא אבקה מידה 50 - 6.5 יח'</t>
        </is>
      </c>
      <c r="C578" t="inlineStr">
        <is>
          <t>כפפות</t>
        </is>
      </c>
      <c r="D578" t="inlineStr">
        <is>
          <t>5802665</t>
        </is>
      </c>
      <c r="E578" t="inlineStr">
        <is>
          <t>2025-11</t>
        </is>
      </c>
      <c r="F578" t="n">
        <v>79</v>
      </c>
      <c r="G578" t="n">
        <v>93.22</v>
      </c>
      <c r="H578">
        <f>הגדרות!B4</f>
        <v/>
      </c>
      <c r="I578">
        <f>F578*(1-H578/100)*1.18</f>
        <v/>
      </c>
      <c r="J578">
        <f>הגדרות!C4</f>
        <v/>
      </c>
      <c r="K578">
        <f>הגדרות!D4</f>
        <v/>
      </c>
      <c r="L578">
        <f>I578*(1+J578/100)+K578</f>
        <v/>
      </c>
    </row>
    <row r="579">
      <c r="A579" t="inlineStr">
        <is>
          <t>בית ארז — ציוד מתכלה</t>
        </is>
      </c>
      <c r="B579" t="inlineStr">
        <is>
          <t>כפפות ניתוח לטקס ללא אבקה מידה 50 - 7 יח'</t>
        </is>
      </c>
      <c r="C579" t="inlineStr">
        <is>
          <t>ציוד רפואי מתכלה</t>
        </is>
      </c>
      <c r="D579" t="inlineStr">
        <is>
          <t>5802670</t>
        </is>
      </c>
      <c r="E579" t="inlineStr">
        <is>
          <t>2025-11</t>
        </is>
      </c>
      <c r="F579" t="n">
        <v>79</v>
      </c>
      <c r="G579" t="n">
        <v>93.22</v>
      </c>
      <c r="H579">
        <f>הגדרות!B4</f>
        <v/>
      </c>
      <c r="I579">
        <f>F579*(1-H579/100)*1.18</f>
        <v/>
      </c>
      <c r="J579">
        <f>הגדרות!C4</f>
        <v/>
      </c>
      <c r="K579">
        <f>הגדרות!D4</f>
        <v/>
      </c>
      <c r="L579">
        <f>I579*(1+J579/100)+K579</f>
        <v/>
      </c>
    </row>
    <row r="580">
      <c r="A580" t="inlineStr">
        <is>
          <t>בית ארז — ציוד מתכלה</t>
        </is>
      </c>
      <c r="B580" t="inlineStr">
        <is>
          <t>כפפות ניתוח לטקס ללא אבקה מידה 50 - 8.5 יח'</t>
        </is>
      </c>
      <c r="C580" t="inlineStr">
        <is>
          <t>כפפות</t>
        </is>
      </c>
      <c r="D580" t="inlineStr">
        <is>
          <t>5802685</t>
        </is>
      </c>
      <c r="E580" t="inlineStr">
        <is>
          <t>2025-11</t>
        </is>
      </c>
      <c r="F580" t="n">
        <v>79</v>
      </c>
      <c r="G580" t="n">
        <v>93.22</v>
      </c>
      <c r="H580">
        <f>הגדרות!B4</f>
        <v/>
      </c>
      <c r="I580">
        <f>F580*(1-H580/100)*1.18</f>
        <v/>
      </c>
      <c r="J580">
        <f>הגדרות!C4</f>
        <v/>
      </c>
      <c r="K580">
        <f>הגדרות!D4</f>
        <v/>
      </c>
      <c r="L580">
        <f>I580*(1+J580/100)+K580</f>
        <v/>
      </c>
    </row>
    <row r="581">
      <c r="A581" t="inlineStr">
        <is>
          <t>בית ארז — ציוד מתכלה</t>
        </is>
      </c>
      <c r="B581" t="inlineStr">
        <is>
          <t>כפפות בדיקה לטקס עם אבקה 100 יח' - S</t>
        </is>
      </c>
      <c r="C581" t="inlineStr">
        <is>
          <t>ציוד רפואי מתכלה</t>
        </is>
      </c>
      <c r="D581" t="inlineStr">
        <is>
          <t>5802021</t>
        </is>
      </c>
      <c r="E581" t="inlineStr">
        <is>
          <t>2025-11</t>
        </is>
      </c>
      <c r="F581" t="n">
        <v>13.5</v>
      </c>
      <c r="G581" t="n">
        <v>15.93</v>
      </c>
      <c r="H581">
        <f>הגדרות!B4</f>
        <v/>
      </c>
      <c r="I581">
        <f>F581*(1-H581/100)*1.18</f>
        <v/>
      </c>
      <c r="J581">
        <f>הגדרות!C4</f>
        <v/>
      </c>
      <c r="K581">
        <f>הגדרות!D4</f>
        <v/>
      </c>
      <c r="L581">
        <f>I581*(1+J581/100)+K581</f>
        <v/>
      </c>
    </row>
    <row r="582">
      <c r="A582" t="inlineStr">
        <is>
          <t>בית ארז — ציוד מתכלה</t>
        </is>
      </c>
      <c r="B582" t="inlineStr">
        <is>
          <t>כפפות בדיקה לטקס עם אבקה 100 יח' - M</t>
        </is>
      </c>
      <c r="C582" t="inlineStr">
        <is>
          <t>כפפות</t>
        </is>
      </c>
      <c r="D582" t="inlineStr">
        <is>
          <t>5802023</t>
        </is>
      </c>
      <c r="E582" t="inlineStr">
        <is>
          <t>2025-11</t>
        </is>
      </c>
      <c r="F582" t="n">
        <v>13.5</v>
      </c>
      <c r="G582" t="n">
        <v>15.93</v>
      </c>
      <c r="H582">
        <f>הגדרות!B4</f>
        <v/>
      </c>
      <c r="I582">
        <f>F582*(1-H582/100)*1.18</f>
        <v/>
      </c>
      <c r="J582">
        <f>הגדרות!C4</f>
        <v/>
      </c>
      <c r="K582">
        <f>הגדרות!D4</f>
        <v/>
      </c>
      <c r="L582">
        <f>I582*(1+J582/100)+K582</f>
        <v/>
      </c>
    </row>
    <row r="583">
      <c r="A583" t="inlineStr">
        <is>
          <t>בית ארז — ציוד מתכלה</t>
        </is>
      </c>
      <c r="B583" t="inlineStr">
        <is>
          <t>כפפות בדיקה לטקס עם אבקה 100 יח' - L</t>
        </is>
      </c>
      <c r="C583" t="inlineStr">
        <is>
          <t>ציוד רפואי מתכלה</t>
        </is>
      </c>
      <c r="D583" t="inlineStr">
        <is>
          <t>5802025</t>
        </is>
      </c>
      <c r="E583" t="inlineStr">
        <is>
          <t>2025-11</t>
        </is>
      </c>
      <c r="F583" t="n">
        <v>13.5</v>
      </c>
      <c r="G583" t="n">
        <v>15.93</v>
      </c>
      <c r="H583">
        <f>הגדרות!B4</f>
        <v/>
      </c>
      <c r="I583">
        <f>F583*(1-H583/100)*1.18</f>
        <v/>
      </c>
      <c r="J583">
        <f>הגדרות!C4</f>
        <v/>
      </c>
      <c r="K583">
        <f>הגדרות!D4</f>
        <v/>
      </c>
      <c r="L583">
        <f>I583*(1+J583/100)+K583</f>
        <v/>
      </c>
    </row>
    <row r="584">
      <c r="A584" t="inlineStr">
        <is>
          <t>בית ארז — ציוד מתכלה</t>
        </is>
      </c>
      <c r="B584" t="inlineStr">
        <is>
          <t>כפפות בדיקה לטקס עם אבקה 90 יח' - XL</t>
        </is>
      </c>
      <c r="C584" t="inlineStr">
        <is>
          <t>כפפות</t>
        </is>
      </c>
      <c r="D584" t="inlineStr">
        <is>
          <t>5802026</t>
        </is>
      </c>
      <c r="E584" t="inlineStr">
        <is>
          <t>2025-11</t>
        </is>
      </c>
      <c r="F584" t="n">
        <v>13.5</v>
      </c>
      <c r="G584" t="n">
        <v>15.93</v>
      </c>
      <c r="H584">
        <f>הגדרות!B4</f>
        <v/>
      </c>
      <c r="I584">
        <f>F584*(1-H584/100)*1.18</f>
        <v/>
      </c>
      <c r="J584">
        <f>הגדרות!C4</f>
        <v/>
      </c>
      <c r="K584">
        <f>הגדרות!D4</f>
        <v/>
      </c>
      <c r="L584">
        <f>I584*(1+J584/100)+K584</f>
        <v/>
      </c>
    </row>
    <row r="585">
      <c r="A585" t="inlineStr">
        <is>
          <t>בית ארז — ציוד מתכלה</t>
        </is>
      </c>
      <c r="B585" t="inlineStr">
        <is>
          <t>כפפות בדיקה לטקס ללא אבקה 100 יח' - S</t>
        </is>
      </c>
      <c r="C585" t="inlineStr">
        <is>
          <t>ציוד רפואי מתכלה</t>
        </is>
      </c>
      <c r="D585" t="inlineStr">
        <is>
          <t>5802031</t>
        </is>
      </c>
      <c r="E585" t="inlineStr">
        <is>
          <t>2025-11</t>
        </is>
      </c>
      <c r="F585" t="n">
        <v>13.5</v>
      </c>
      <c r="G585" t="n">
        <v>15.93</v>
      </c>
      <c r="H585">
        <f>הגדרות!B4</f>
        <v/>
      </c>
      <c r="I585">
        <f>F585*(1-H585/100)*1.18</f>
        <v/>
      </c>
      <c r="J585">
        <f>הגדרות!C4</f>
        <v/>
      </c>
      <c r="K585">
        <f>הגדרות!D4</f>
        <v/>
      </c>
      <c r="L585">
        <f>I585*(1+J585/100)+K585</f>
        <v/>
      </c>
    </row>
    <row r="586">
      <c r="A586" t="inlineStr">
        <is>
          <t>בית ארז — ציוד מתכלה</t>
        </is>
      </c>
      <c r="B586" t="inlineStr">
        <is>
          <t>כפפות בדיקה לטקס ללא אבקה 100 יח' - M</t>
        </is>
      </c>
      <c r="C586" t="inlineStr">
        <is>
          <t>כפפות</t>
        </is>
      </c>
      <c r="D586" t="inlineStr">
        <is>
          <t>5802033</t>
        </is>
      </c>
      <c r="E586" t="inlineStr">
        <is>
          <t>2025-11</t>
        </is>
      </c>
      <c r="F586" t="n">
        <v>13.5</v>
      </c>
      <c r="G586" t="n">
        <v>15.93</v>
      </c>
      <c r="H586">
        <f>הגדרות!B4</f>
        <v/>
      </c>
      <c r="I586">
        <f>F586*(1-H586/100)*1.18</f>
        <v/>
      </c>
      <c r="J586">
        <f>הגדרות!C4</f>
        <v/>
      </c>
      <c r="K586">
        <f>הגדרות!D4</f>
        <v/>
      </c>
      <c r="L586">
        <f>I586*(1+J586/100)+K586</f>
        <v/>
      </c>
    </row>
    <row r="587">
      <c r="A587" t="inlineStr">
        <is>
          <t>בית ארז — ציוד מתכלה</t>
        </is>
      </c>
      <c r="B587" t="inlineStr">
        <is>
          <t>כפפות בדיקה לטקס ללא אבקה 100 יח' - L</t>
        </is>
      </c>
      <c r="C587" t="inlineStr">
        <is>
          <t>ציוד רפואי מתכלה</t>
        </is>
      </c>
      <c r="D587" t="inlineStr">
        <is>
          <t>5802035</t>
        </is>
      </c>
      <c r="E587" t="inlineStr">
        <is>
          <t>2025-11</t>
        </is>
      </c>
      <c r="F587" t="n">
        <v>13.5</v>
      </c>
      <c r="G587" t="n">
        <v>15.93</v>
      </c>
      <c r="H587">
        <f>הגדרות!B4</f>
        <v/>
      </c>
      <c r="I587">
        <f>F587*(1-H587/100)*1.18</f>
        <v/>
      </c>
      <c r="J587">
        <f>הגדרות!C4</f>
        <v/>
      </c>
      <c r="K587">
        <f>הגדרות!D4</f>
        <v/>
      </c>
      <c r="L587">
        <f>I587*(1+J587/100)+K587</f>
        <v/>
      </c>
    </row>
    <row r="588">
      <c r="A588" t="inlineStr">
        <is>
          <t>בית ארז — ציוד מתכלה</t>
        </is>
      </c>
      <c r="B588" t="inlineStr">
        <is>
          <t>כפפות בדיקה לטקס ללא אבקה 90 יח' - XL</t>
        </is>
      </c>
      <c r="C588" t="inlineStr">
        <is>
          <t>כפפות</t>
        </is>
      </c>
      <c r="D588" t="inlineStr">
        <is>
          <t>5802036</t>
        </is>
      </c>
      <c r="E588" t="inlineStr">
        <is>
          <t>2025-11</t>
        </is>
      </c>
      <c r="F588" t="n">
        <v>13.5</v>
      </c>
      <c r="G588" t="n">
        <v>15.93</v>
      </c>
      <c r="H588">
        <f>הגדרות!B4</f>
        <v/>
      </c>
      <c r="I588">
        <f>F588*(1-H588/100)*1.18</f>
        <v/>
      </c>
      <c r="J588">
        <f>הגדרות!C4</f>
        <v/>
      </c>
      <c r="K588">
        <f>הגדרות!D4</f>
        <v/>
      </c>
      <c r="L588">
        <f>I588*(1+J588/100)+K588</f>
        <v/>
      </c>
    </row>
    <row r="589">
      <c r="A589" t="inlineStr">
        <is>
          <t>בית ארז — ציוד מתכלה</t>
        </is>
      </c>
      <c r="B589" t="inlineStr">
        <is>
          <t>כפפות בדיקה ניטריל 100 יח' - XS</t>
        </is>
      </c>
      <c r="C589" t="inlineStr">
        <is>
          <t>ציוד רפואי מתכלה</t>
        </is>
      </c>
      <c r="D589" t="inlineStr">
        <is>
          <t>5802050</t>
        </is>
      </c>
      <c r="E589" t="inlineStr">
        <is>
          <t>2025-11</t>
        </is>
      </c>
      <c r="F589" t="n">
        <v>12.5</v>
      </c>
      <c r="G589" t="n">
        <v>14.75</v>
      </c>
      <c r="H589">
        <f>הגדרות!B4</f>
        <v/>
      </c>
      <c r="I589">
        <f>F589*(1-H589/100)*1.18</f>
        <v/>
      </c>
      <c r="J589">
        <f>הגדרות!C4</f>
        <v/>
      </c>
      <c r="K589">
        <f>הגדרות!D4</f>
        <v/>
      </c>
      <c r="L589">
        <f>I589*(1+J589/100)+K589</f>
        <v/>
      </c>
    </row>
    <row r="590">
      <c r="A590" t="inlineStr">
        <is>
          <t>בית ארז — ציוד מתכלה</t>
        </is>
      </c>
      <c r="B590" t="inlineStr">
        <is>
          <t>כפפות בדיקה ניטריל 100 יח' - S</t>
        </is>
      </c>
      <c r="C590" t="inlineStr">
        <is>
          <t>כפפות</t>
        </is>
      </c>
      <c r="D590" t="inlineStr">
        <is>
          <t>5802051</t>
        </is>
      </c>
      <c r="E590" t="inlineStr">
        <is>
          <t>2025-11</t>
        </is>
      </c>
      <c r="F590" t="n">
        <v>12.5</v>
      </c>
      <c r="G590" t="n">
        <v>14.75</v>
      </c>
      <c r="H590">
        <f>הגדרות!B4</f>
        <v/>
      </c>
      <c r="I590">
        <f>F590*(1-H590/100)*1.18</f>
        <v/>
      </c>
      <c r="J590">
        <f>הגדרות!C4</f>
        <v/>
      </c>
      <c r="K590">
        <f>הגדרות!D4</f>
        <v/>
      </c>
      <c r="L590">
        <f>I590*(1+J590/100)+K590</f>
        <v/>
      </c>
    </row>
    <row r="591">
      <c r="A591" t="inlineStr">
        <is>
          <t>בית ארז — ציוד מתכלה</t>
        </is>
      </c>
      <c r="B591" t="inlineStr">
        <is>
          <t>כפפות בדיקה ניטריל 100 יח' - M</t>
        </is>
      </c>
      <c r="C591" t="inlineStr">
        <is>
          <t>ציוד רפואי מתכלה</t>
        </is>
      </c>
      <c r="D591" t="inlineStr">
        <is>
          <t>5802053</t>
        </is>
      </c>
      <c r="E591" t="inlineStr">
        <is>
          <t>2025-11</t>
        </is>
      </c>
      <c r="F591" t="n">
        <v>12.5</v>
      </c>
      <c r="G591" t="n">
        <v>14.75</v>
      </c>
      <c r="H591">
        <f>הגדרות!B4</f>
        <v/>
      </c>
      <c r="I591">
        <f>F591*(1-H591/100)*1.18</f>
        <v/>
      </c>
      <c r="J591">
        <f>הגדרות!C4</f>
        <v/>
      </c>
      <c r="K591">
        <f>הגדרות!D4</f>
        <v/>
      </c>
      <c r="L591">
        <f>I591*(1+J591/100)+K591</f>
        <v/>
      </c>
    </row>
    <row r="592">
      <c r="A592" t="inlineStr">
        <is>
          <t>בית ארז — ציוד מתכלה</t>
        </is>
      </c>
      <c r="B592" t="inlineStr">
        <is>
          <t>כפפות בדיקה ניטריל 100 יח' - L</t>
        </is>
      </c>
      <c r="C592" t="inlineStr">
        <is>
          <t>כפפות</t>
        </is>
      </c>
      <c r="D592" t="inlineStr">
        <is>
          <t>5802055</t>
        </is>
      </c>
      <c r="E592" t="inlineStr">
        <is>
          <t>2025-11</t>
        </is>
      </c>
      <c r="F592" t="n">
        <v>12.5</v>
      </c>
      <c r="G592" t="n">
        <v>14.75</v>
      </c>
      <c r="H592">
        <f>הגדרות!B4</f>
        <v/>
      </c>
      <c r="I592">
        <f>F592*(1-H592/100)*1.18</f>
        <v/>
      </c>
      <c r="J592">
        <f>הגדרות!C4</f>
        <v/>
      </c>
      <c r="K592">
        <f>הגדרות!D4</f>
        <v/>
      </c>
      <c r="L592">
        <f>I592*(1+J592/100)+K592</f>
        <v/>
      </c>
    </row>
    <row r="593">
      <c r="A593" t="inlineStr">
        <is>
          <t>בית ארז — ציוד מתכלה</t>
        </is>
      </c>
      <c r="B593" t="inlineStr">
        <is>
          <t>כפפות בדיקה ניטריל 100 יח' - XL</t>
        </is>
      </c>
      <c r="C593" t="inlineStr">
        <is>
          <t>ציוד רפואי מתכלה</t>
        </is>
      </c>
      <c r="D593" t="inlineStr">
        <is>
          <t>5802057</t>
        </is>
      </c>
      <c r="E593" t="inlineStr">
        <is>
          <t>2025-11</t>
        </is>
      </c>
      <c r="F593" t="n">
        <v>12.5</v>
      </c>
      <c r="G593" t="n">
        <v>14.75</v>
      </c>
      <c r="H593">
        <f>הגדרות!B4</f>
        <v/>
      </c>
      <c r="I593">
        <f>F593*(1-H593/100)*1.18</f>
        <v/>
      </c>
      <c r="J593">
        <f>הגדרות!C4</f>
        <v/>
      </c>
      <c r="K593">
        <f>הגדרות!D4</f>
        <v/>
      </c>
      <c r="L593">
        <f>I593*(1+J593/100)+K593</f>
        <v/>
      </c>
    </row>
    <row r="594">
      <c r="A594" t="inlineStr">
        <is>
          <t>בית ארז — ציוד מתכלה</t>
        </is>
      </c>
      <c r="B594" t="inlineStr">
        <is>
          <t>כפפות רקטליות ירוקות 90cm µ25 איכות גבוהה 100 יח'</t>
        </is>
      </c>
      <c r="C594" t="inlineStr">
        <is>
          <t>כפפות</t>
        </is>
      </c>
      <c r="D594" t="inlineStr">
        <is>
          <t>6101900</t>
        </is>
      </c>
      <c r="E594" t="inlineStr">
        <is>
          <t>2025-11</t>
        </is>
      </c>
      <c r="F594" t="n">
        <v>35</v>
      </c>
      <c r="G594" t="n">
        <v>41.3</v>
      </c>
      <c r="H594">
        <f>הגדרות!B4</f>
        <v/>
      </c>
      <c r="I594">
        <f>F594*(1-H594/100)*1.18</f>
        <v/>
      </c>
      <c r="J594">
        <f>הגדרות!C4</f>
        <v/>
      </c>
      <c r="K594">
        <f>הגדרות!D4</f>
        <v/>
      </c>
      <c r="L594">
        <f>I594*(1+J594/100)+K594</f>
        <v/>
      </c>
    </row>
    <row r="595">
      <c r="A595" t="inlineStr">
        <is>
          <t>בית ארז — ציוד מתכלה</t>
        </is>
      </c>
      <c r="B595" t="inlineStr">
        <is>
          <t>כפפות רקטליות איכות גבוהה 100 יח'</t>
        </is>
      </c>
      <c r="C595" t="inlineStr">
        <is>
          <t>ציוד רפואי מתכלה</t>
        </is>
      </c>
      <c r="D595" t="inlineStr">
        <is>
          <t>3500001</t>
        </is>
      </c>
      <c r="E595" t="inlineStr">
        <is>
          <t>2025-11</t>
        </is>
      </c>
      <c r="F595" t="n">
        <v>104</v>
      </c>
      <c r="G595" t="n">
        <v>122.72</v>
      </c>
      <c r="H595">
        <f>הגדרות!B4</f>
        <v/>
      </c>
      <c r="I595">
        <f>F595*(1-H595/100)*1.18</f>
        <v/>
      </c>
      <c r="J595">
        <f>הגדרות!C4</f>
        <v/>
      </c>
      <c r="K595">
        <f>הגדרות!D4</f>
        <v/>
      </c>
      <c r="L595">
        <f>I595*(1+J595/100)+K595</f>
        <v/>
      </c>
    </row>
    <row r="596">
      <c r="A596" t="inlineStr">
        <is>
          <t>בית ארז — ציוד מתכלה</t>
        </is>
      </c>
      <c r="B596" t="inlineStr">
        <is>
          <t>פלסטר מיקרופור 2.5 ס"מ * 9.1 מ' - 12 יח'</t>
        </is>
      </c>
      <c r="C596" t="inlineStr">
        <is>
          <t>מוצרי חבישה</t>
        </is>
      </c>
      <c r="D596" t="inlineStr">
        <is>
          <t>5801400</t>
        </is>
      </c>
      <c r="E596" t="inlineStr">
        <is>
          <t>2025-11</t>
        </is>
      </c>
      <c r="F596" t="n">
        <v>35</v>
      </c>
      <c r="G596" t="n">
        <v>41.3</v>
      </c>
      <c r="H596">
        <f>הגדרות!B4</f>
        <v/>
      </c>
      <c r="I596">
        <f>F596*(1-H596/100)*1.18</f>
        <v/>
      </c>
      <c r="J596">
        <f>הגדרות!C4</f>
        <v/>
      </c>
      <c r="K596">
        <f>הגדרות!D4</f>
        <v/>
      </c>
      <c r="L596">
        <f>I596*(1+J596/100)+K596</f>
        <v/>
      </c>
    </row>
    <row r="597">
      <c r="A597" t="inlineStr">
        <is>
          <t>בית ארז — ציוד מתכלה</t>
        </is>
      </c>
      <c r="B597" t="inlineStr">
        <is>
          <t>ספריי מסיר דבק 50 מל' Eaze-Off spray</t>
        </is>
      </c>
      <c r="C597" t="inlineStr">
        <is>
          <t>ציוד רפואי מתכלה</t>
        </is>
      </c>
      <c r="D597" t="inlineStr">
        <is>
          <t>5900001</t>
        </is>
      </c>
      <c r="E597" t="inlineStr">
        <is>
          <t>2025-11</t>
        </is>
      </c>
      <c r="F597" t="n">
        <v>59</v>
      </c>
      <c r="G597" t="n">
        <v>69.62</v>
      </c>
      <c r="H597">
        <f>הגדרות!B4</f>
        <v/>
      </c>
      <c r="I597">
        <f>F597*(1-H597/100)*1.18</f>
        <v/>
      </c>
      <c r="J597">
        <f>הגדרות!C4</f>
        <v/>
      </c>
      <c r="K597">
        <f>הגדרות!D4</f>
        <v/>
      </c>
      <c r="L597">
        <f>I597*(1+J597/100)+K597</f>
        <v/>
      </c>
    </row>
    <row r="598">
      <c r="A598" t="inlineStr">
        <is>
          <t>בית ארז — ציוד מתכלה</t>
        </is>
      </c>
      <c r="B598" t="inlineStr">
        <is>
          <t>מקלות עץ לבדיקת גרון (שפדלים) - 100 יח'</t>
        </is>
      </c>
      <c r="C598" t="inlineStr">
        <is>
          <t>מוצרי חבישה</t>
        </is>
      </c>
      <c r="D598" t="inlineStr">
        <is>
          <t>5910155</t>
        </is>
      </c>
      <c r="E598" t="inlineStr">
        <is>
          <t>2025-11</t>
        </is>
      </c>
      <c r="F598" t="n">
        <v>5</v>
      </c>
      <c r="G598" t="n">
        <v>5.9</v>
      </c>
      <c r="H598">
        <f>הגדרות!B4</f>
        <v/>
      </c>
      <c r="I598">
        <f>F598*(1-H598/100)*1.18</f>
        <v/>
      </c>
      <c r="J598">
        <f>הגדרות!C4</f>
        <v/>
      </c>
      <c r="K598">
        <f>הגדרות!D4</f>
        <v/>
      </c>
      <c r="L598">
        <f>I598*(1+J598/100)+K598</f>
        <v/>
      </c>
    </row>
    <row r="599">
      <c r="A599" t="inlineStr">
        <is>
          <t>בית ארז — ציוד מתכלה</t>
        </is>
      </c>
      <c r="B599" t="inlineStr">
        <is>
          <t>פד גזה לא ארוג 10X10 ס"מ 4 שכבות - 100 יח'</t>
        </is>
      </c>
      <c r="C599" t="inlineStr">
        <is>
          <t>ציוד רפואי</t>
        </is>
      </c>
      <c r="D599" t="inlineStr">
        <is>
          <t>5801425</t>
        </is>
      </c>
      <c r="E599" t="inlineStr">
        <is>
          <t>2025-11</t>
        </is>
      </c>
      <c r="F599" t="n">
        <v>5.9</v>
      </c>
      <c r="G599" t="n">
        <v>6.96</v>
      </c>
      <c r="H599">
        <f>הגדרות!B4</f>
        <v/>
      </c>
      <c r="I599">
        <f>F599*(1-H599/100)*1.18</f>
        <v/>
      </c>
      <c r="J599">
        <f>הגדרות!C4</f>
        <v/>
      </c>
      <c r="K599">
        <f>הגדרות!D4</f>
        <v/>
      </c>
      <c r="L599">
        <f>I599*(1+J599/100)+K599</f>
        <v/>
      </c>
    </row>
    <row r="600">
      <c r="A600" t="inlineStr">
        <is>
          <t>בית ארז — ציוד מתכלה</t>
        </is>
      </c>
      <c r="B600" t="inlineStr">
        <is>
          <t>פד גזה ארוג 10X10 ס"מ 8 שכבות - 100 יח'</t>
        </is>
      </c>
      <c r="C600" t="inlineStr">
        <is>
          <t>מוצרי חבישה</t>
        </is>
      </c>
      <c r="D600" t="inlineStr">
        <is>
          <t>5801435</t>
        </is>
      </c>
      <c r="E600" t="inlineStr">
        <is>
          <t>2025-11</t>
        </is>
      </c>
      <c r="F600" t="n">
        <v>9.9</v>
      </c>
      <c r="G600" t="n">
        <v>11.68</v>
      </c>
      <c r="H600">
        <f>הגדרות!B4</f>
        <v/>
      </c>
      <c r="I600">
        <f>F600*(1-H600/100)*1.18</f>
        <v/>
      </c>
      <c r="J600">
        <f>הגדרות!C4</f>
        <v/>
      </c>
      <c r="K600">
        <f>הגדרות!D4</f>
        <v/>
      </c>
      <c r="L600">
        <f>I600*(1+J600/100)+K600</f>
        <v/>
      </c>
    </row>
    <row r="601">
      <c r="A601" t="inlineStr">
        <is>
          <t>בית ארז — ציוד מתכלה</t>
        </is>
      </c>
      <c r="B601" t="inlineStr">
        <is>
          <t>פד גזה לניתוח (פס כחול) 10X10 ס"מ 12 שכבות - 1 ק"ג</t>
        </is>
      </c>
      <c r="C601" t="inlineStr">
        <is>
          <t>ציוד רפואי</t>
        </is>
      </c>
      <c r="D601" t="inlineStr">
        <is>
          <t>5801440</t>
        </is>
      </c>
      <c r="E601" t="inlineStr">
        <is>
          <t>2025-11</t>
        </is>
      </c>
      <c r="F601" t="n">
        <v>58</v>
      </c>
      <c r="G601" t="n">
        <v>68.44</v>
      </c>
      <c r="H601">
        <f>הגדרות!B4</f>
        <v/>
      </c>
      <c r="I601">
        <f>F601*(1-H601/100)*1.18</f>
        <v/>
      </c>
      <c r="J601">
        <f>הגדרות!C4</f>
        <v/>
      </c>
      <c r="K601">
        <f>הגדרות!D4</f>
        <v/>
      </c>
      <c r="L601">
        <f>I601*(1+J601/100)+K601</f>
        <v/>
      </c>
    </row>
    <row r="602">
      <c r="A602" t="inlineStr">
        <is>
          <t>בית ארז — ציוד מתכלה</t>
        </is>
      </c>
      <c r="B602" t="inlineStr">
        <is>
          <t>פד גזה סטרילי לניתוח (פס כחול) 10X10 ס"מ 12 שכבות - 10 יח'</t>
        </is>
      </c>
      <c r="C602" t="inlineStr">
        <is>
          <t>מוצרי חבישה</t>
        </is>
      </c>
      <c r="D602" t="inlineStr">
        <is>
          <t>5801441</t>
        </is>
      </c>
      <c r="E602" t="inlineStr">
        <is>
          <t>2025-11</t>
        </is>
      </c>
      <c r="F602" t="n">
        <v>3</v>
      </c>
      <c r="G602" t="n">
        <v>3.54</v>
      </c>
      <c r="H602">
        <f>הגדרות!B4</f>
        <v/>
      </c>
      <c r="I602">
        <f>F602*(1-H602/100)*1.18</f>
        <v/>
      </c>
      <c r="J602">
        <f>הגדרות!C4</f>
        <v/>
      </c>
      <c r="K602">
        <f>הגדרות!D4</f>
        <v/>
      </c>
      <c r="L602">
        <f>I602*(1+J602/100)+K602</f>
        <v/>
      </c>
    </row>
    <row r="603">
      <c r="A603" t="inlineStr">
        <is>
          <t>בית ארז — ציוד מתכלה</t>
        </is>
      </c>
      <c r="B603" t="inlineStr">
        <is>
          <t>פד גזה אבדומינלי 30X30 ס"מ - 5 יח'</t>
        </is>
      </c>
      <c r="C603" t="inlineStr">
        <is>
          <t>ציוד רפואי מתכלה</t>
        </is>
      </c>
      <c r="D603" t="inlineStr">
        <is>
          <t>5801451</t>
        </is>
      </c>
      <c r="E603" t="inlineStr">
        <is>
          <t>2025-11</t>
        </is>
      </c>
      <c r="F603" t="n">
        <v>13</v>
      </c>
      <c r="G603" t="n">
        <v>15.34</v>
      </c>
      <c r="H603">
        <f>הגדרות!B4</f>
        <v/>
      </c>
      <c r="I603">
        <f>F603*(1-H603/100)*1.18</f>
        <v/>
      </c>
      <c r="J603">
        <f>הגדרות!C4</f>
        <v/>
      </c>
      <c r="K603">
        <f>הגדרות!D4</f>
        <v/>
      </c>
      <c r="L603">
        <f>I603*(1+J603/100)+K603</f>
        <v/>
      </c>
    </row>
    <row r="604">
      <c r="A604" t="inlineStr">
        <is>
          <t>בית ארז — ציוד מתכלה</t>
        </is>
      </c>
      <c r="B604" t="inlineStr">
        <is>
          <t>פד גזה אבדומינלי 45X45 ס"מ - 5 יח'</t>
        </is>
      </c>
      <c r="C604" t="inlineStr">
        <is>
          <t>מוצרי חבישה</t>
        </is>
      </c>
      <c r="D604" t="inlineStr">
        <is>
          <t>5801452</t>
        </is>
      </c>
      <c r="E604" t="inlineStr">
        <is>
          <t>2025-11</t>
        </is>
      </c>
      <c r="F604" t="n">
        <v>21</v>
      </c>
      <c r="G604" t="n">
        <v>24.78</v>
      </c>
      <c r="H604">
        <f>הגדרות!B4</f>
        <v/>
      </c>
      <c r="I604">
        <f>F604*(1-H604/100)*1.18</f>
        <v/>
      </c>
      <c r="J604">
        <f>הגדרות!C4</f>
        <v/>
      </c>
      <c r="K604">
        <f>הגדרות!D4</f>
        <v/>
      </c>
      <c r="L604">
        <f>I604*(1+J604/100)+K604</f>
        <v/>
      </c>
    </row>
    <row r="605">
      <c r="A605" t="inlineStr">
        <is>
          <t>בית ארז — ציוד מתכלה</t>
        </is>
      </c>
      <c r="B605" t="inlineStr">
        <is>
          <t>תחבושת אלסטית 10 ס"מ * 4.5 מ'</t>
        </is>
      </c>
      <c r="C605" t="inlineStr">
        <is>
          <t>ציוד רפואי מתכלה</t>
        </is>
      </c>
      <c r="D605" t="inlineStr">
        <is>
          <t>5801555</t>
        </is>
      </c>
      <c r="E605" t="inlineStr">
        <is>
          <t>2025-11</t>
        </is>
      </c>
      <c r="F605" t="n">
        <v>2.3</v>
      </c>
      <c r="G605" t="n">
        <v>2.71</v>
      </c>
      <c r="H605">
        <f>הגדרות!B4</f>
        <v/>
      </c>
      <c r="I605">
        <f>F605*(1-H605/100)*1.18</f>
        <v/>
      </c>
      <c r="J605">
        <f>הגדרות!C4</f>
        <v/>
      </c>
      <c r="K605">
        <f>הגדרות!D4</f>
        <v/>
      </c>
      <c r="L605">
        <f>I605*(1+J605/100)+K605</f>
        <v/>
      </c>
    </row>
    <row r="606">
      <c r="A606" t="inlineStr">
        <is>
          <t>בית ארז — ציוד מתכלה</t>
        </is>
      </c>
      <c r="B606" t="inlineStr">
        <is>
          <t>תחבושת אלסטית 15 ס"מ * 4.5 מ'</t>
        </is>
      </c>
      <c r="C606" t="inlineStr">
        <is>
          <t>מוצרי חבישה</t>
        </is>
      </c>
      <c r="D606" t="inlineStr">
        <is>
          <t>5801557</t>
        </is>
      </c>
      <c r="E606" t="inlineStr">
        <is>
          <t>2025-11</t>
        </is>
      </c>
      <c r="F606" t="n">
        <v>3.6</v>
      </c>
      <c r="G606" t="n">
        <v>4.25</v>
      </c>
      <c r="H606">
        <f>הגדרות!B4</f>
        <v/>
      </c>
      <c r="I606">
        <f>F606*(1-H606/100)*1.18</f>
        <v/>
      </c>
      <c r="J606">
        <f>הגדרות!C4</f>
        <v/>
      </c>
      <c r="K606">
        <f>הגדרות!D4</f>
        <v/>
      </c>
      <c r="L606">
        <f>I606*(1+J606/100)+K606</f>
        <v/>
      </c>
    </row>
    <row r="607">
      <c r="A607" t="inlineStr">
        <is>
          <t>בית ארז — ציוד מתכלה</t>
        </is>
      </c>
      <c r="B607" t="inlineStr">
        <is>
          <t>אגד מתמתח (חצי אלסטי) 10 ס"מ * 2.7 מ' - 5 יח'</t>
        </is>
      </c>
      <c r="C607" t="inlineStr">
        <is>
          <t>ציוד רפואי מתכלה</t>
        </is>
      </c>
      <c r="D607" t="inlineStr">
        <is>
          <t>5801585</t>
        </is>
      </c>
      <c r="E607" t="inlineStr">
        <is>
          <t>2025-11</t>
        </is>
      </c>
      <c r="F607" t="n">
        <v>3.3</v>
      </c>
      <c r="G607" t="n">
        <v>3.89</v>
      </c>
      <c r="H607">
        <f>הגדרות!B4</f>
        <v/>
      </c>
      <c r="I607">
        <f>F607*(1-H607/100)*1.18</f>
        <v/>
      </c>
      <c r="J607">
        <f>הגדרות!C4</f>
        <v/>
      </c>
      <c r="K607">
        <f>הגדרות!D4</f>
        <v/>
      </c>
      <c r="L607">
        <f>I607*(1+J607/100)+K607</f>
        <v/>
      </c>
    </row>
    <row r="608">
      <c r="A608" t="inlineStr">
        <is>
          <t>בית ארז — ציוד מתכלה</t>
        </is>
      </c>
      <c r="B608" t="inlineStr">
        <is>
          <t>תחבושת נצמדת צבעונית 5 ס"מ Flex - Bandage</t>
        </is>
      </c>
      <c r="C608" t="inlineStr">
        <is>
          <t>מוצרי חבישה</t>
        </is>
      </c>
      <c r="D608" t="inlineStr">
        <is>
          <t>6103005</t>
        </is>
      </c>
      <c r="E608" t="inlineStr">
        <is>
          <t>2025-11</t>
        </is>
      </c>
      <c r="F608" t="n">
        <v>4</v>
      </c>
      <c r="G608" t="n">
        <v>4.72</v>
      </c>
      <c r="H608">
        <f>הגדרות!B4</f>
        <v/>
      </c>
      <c r="I608">
        <f>F608*(1-H608/100)*1.18</f>
        <v/>
      </c>
      <c r="J608">
        <f>הגדרות!C4</f>
        <v/>
      </c>
      <c r="K608">
        <f>הגדרות!D4</f>
        <v/>
      </c>
      <c r="L608">
        <f>I608*(1+J608/100)+K608</f>
        <v/>
      </c>
    </row>
    <row r="609">
      <c r="A609" t="inlineStr">
        <is>
          <t>בית ארז — ציוד מתכלה</t>
        </is>
      </c>
      <c r="B609" t="inlineStr">
        <is>
          <t>תחבושת נצמדת צבעונית 7.5 ס"מ Flex - Bandage</t>
        </is>
      </c>
      <c r="C609" t="inlineStr">
        <is>
          <t>ציוד רפואי מתכלה</t>
        </is>
      </c>
      <c r="D609" t="inlineStr">
        <is>
          <t>6103007</t>
        </is>
      </c>
      <c r="E609" t="inlineStr">
        <is>
          <t>2025-11</t>
        </is>
      </c>
      <c r="F609" t="n">
        <v>5</v>
      </c>
      <c r="G609" t="n">
        <v>5.9</v>
      </c>
      <c r="H609">
        <f>הגדרות!B4</f>
        <v/>
      </c>
      <c r="I609">
        <f>F609*(1-H609/100)*1.18</f>
        <v/>
      </c>
      <c r="J609">
        <f>הגדרות!C4</f>
        <v/>
      </c>
      <c r="K609">
        <f>הגדרות!D4</f>
        <v/>
      </c>
      <c r="L609">
        <f>I609*(1+J609/100)+K609</f>
        <v/>
      </c>
    </row>
    <row r="610">
      <c r="A610" t="inlineStr">
        <is>
          <t>בית ארז — ציוד מתכלה</t>
        </is>
      </c>
      <c r="B610" t="inlineStr">
        <is>
          <t>תחבושת נצמדת צבעונית טעם מר 7.5 ס"מ Flex - Bandage</t>
        </is>
      </c>
      <c r="C610" t="inlineStr">
        <is>
          <t>מוצרי חבישה</t>
        </is>
      </c>
      <c r="D610" t="inlineStr">
        <is>
          <t>6103009</t>
        </is>
      </c>
      <c r="E610" t="inlineStr">
        <is>
          <t>2025-11</t>
        </is>
      </c>
      <c r="F610" t="n">
        <v>6.5</v>
      </c>
      <c r="G610" t="n">
        <v>7.67</v>
      </c>
      <c r="H610">
        <f>הגדרות!B4</f>
        <v/>
      </c>
      <c r="I610">
        <f>F610*(1-H610/100)*1.18</f>
        <v/>
      </c>
      <c r="J610">
        <f>הגדרות!C4</f>
        <v/>
      </c>
      <c r="K610">
        <f>הגדרות!D4</f>
        <v/>
      </c>
      <c r="L610">
        <f>I610*(1+J610/100)+K610</f>
        <v/>
      </c>
    </row>
    <row r="611">
      <c r="A611" t="inlineStr">
        <is>
          <t>בית ארז — ציוד מתכלה</t>
        </is>
      </c>
      <c r="B611" t="inlineStr">
        <is>
          <t>תחבושת נצמדת צבעונית 10 ס"מ Flex - Bandage</t>
        </is>
      </c>
      <c r="C611" t="inlineStr">
        <is>
          <t>ציוד רפואי מתכלה</t>
        </is>
      </c>
      <c r="D611" t="inlineStr">
        <is>
          <t>6103010</t>
        </is>
      </c>
      <c r="E611" t="inlineStr">
        <is>
          <t>2025-11</t>
        </is>
      </c>
      <c r="F611" t="n">
        <v>6</v>
      </c>
      <c r="G611" t="n">
        <v>7.08</v>
      </c>
      <c r="H611">
        <f>הגדרות!B4</f>
        <v/>
      </c>
      <c r="I611">
        <f>F611*(1-H611/100)*1.18</f>
        <v/>
      </c>
      <c r="J611">
        <f>הגדרות!C4</f>
        <v/>
      </c>
      <c r="K611">
        <f>הגדרות!D4</f>
        <v/>
      </c>
      <c r="L611">
        <f>I611*(1+J611/100)+K611</f>
        <v/>
      </c>
    </row>
    <row r="612">
      <c r="A612" t="inlineStr">
        <is>
          <t>בית ארז — ציוד מתכלה</t>
        </is>
      </c>
      <c r="B612" t="inlineStr">
        <is>
          <t>תחבושת נצמדת צבעונית הדפס 10 ס"מ Flex - Bandage</t>
        </is>
      </c>
      <c r="C612" t="inlineStr">
        <is>
          <t>מוצרי חבישה</t>
        </is>
      </c>
      <c r="D612" t="inlineStr">
        <is>
          <t>6103011</t>
        </is>
      </c>
      <c r="E612" t="inlineStr">
        <is>
          <t>2025-11</t>
        </is>
      </c>
      <c r="F612" t="n">
        <v>7</v>
      </c>
      <c r="G612" t="n">
        <v>8.26</v>
      </c>
      <c r="H612">
        <f>הגדרות!B4</f>
        <v/>
      </c>
      <c r="I612">
        <f>F612*(1-H612/100)*1.18</f>
        <v/>
      </c>
      <c r="J612">
        <f>הגדרות!C4</f>
        <v/>
      </c>
      <c r="K612">
        <f>הגדרות!D4</f>
        <v/>
      </c>
      <c r="L612">
        <f>I612*(1+J612/100)+K612</f>
        <v/>
      </c>
    </row>
    <row r="613">
      <c r="A613" t="inlineStr">
        <is>
          <t>בית ארז — ציוד מתכלה</t>
        </is>
      </c>
      <c r="B613" t="inlineStr">
        <is>
          <t>תחבושת נצמדת צבעונית טעם מר 10 ס"מ Flex - Bandage</t>
        </is>
      </c>
      <c r="C613" t="inlineStr">
        <is>
          <t>ציוד רפואי מתכלה</t>
        </is>
      </c>
      <c r="D613" t="inlineStr">
        <is>
          <t>6103012</t>
        </is>
      </c>
      <c r="E613" t="inlineStr">
        <is>
          <t>2025-11</t>
        </is>
      </c>
      <c r="F613" t="n">
        <v>8</v>
      </c>
      <c r="G613" t="n">
        <v>9.44</v>
      </c>
      <c r="H613">
        <f>הגדרות!B4</f>
        <v/>
      </c>
      <c r="I613">
        <f>F613*(1-H613/100)*1.18</f>
        <v/>
      </c>
      <c r="J613">
        <f>הגדרות!C4</f>
        <v/>
      </c>
      <c r="K613">
        <f>הגדרות!D4</f>
        <v/>
      </c>
      <c r="L613">
        <f>I613*(1+J613/100)+K613</f>
        <v/>
      </c>
    </row>
    <row r="614">
      <c r="A614" t="inlineStr">
        <is>
          <t>בית ארז — ציוד מתכלה</t>
        </is>
      </c>
      <c r="B614" t="inlineStr">
        <is>
          <t>תחבושת נצמדת 5 ס"מ Rapz Color</t>
        </is>
      </c>
      <c r="C614" t="inlineStr">
        <is>
          <t>מוצרי חבישה</t>
        </is>
      </c>
      <c r="D614" t="inlineStr">
        <is>
          <t>5900600</t>
        </is>
      </c>
      <c r="E614" t="inlineStr">
        <is>
          <t>2025-11</t>
        </is>
      </c>
      <c r="F614" t="n">
        <v>5.6</v>
      </c>
      <c r="G614" t="n">
        <v>6.61</v>
      </c>
      <c r="H614">
        <f>הגדרות!B4</f>
        <v/>
      </c>
      <c r="I614">
        <f>F614*(1-H614/100)*1.18</f>
        <v/>
      </c>
      <c r="J614">
        <f>הגדרות!C4</f>
        <v/>
      </c>
      <c r="K614">
        <f>הגדרות!D4</f>
        <v/>
      </c>
      <c r="L614">
        <f>I614*(1+J614/100)+K614</f>
        <v/>
      </c>
    </row>
    <row r="615">
      <c r="A615" t="inlineStr">
        <is>
          <t>בית ארז — ציוד מתכלה</t>
        </is>
      </c>
      <c r="B615" t="inlineStr">
        <is>
          <t>תחבושת נצמדת 5 ס"מ Rapz Chewy No No</t>
        </is>
      </c>
      <c r="C615" t="inlineStr">
        <is>
          <t>מוצרי חבישה</t>
        </is>
      </c>
      <c r="D615" t="inlineStr">
        <is>
          <t>5900608</t>
        </is>
      </c>
      <c r="E615" t="inlineStr">
        <is>
          <t>2025-11</t>
        </is>
      </c>
      <c r="F615" t="n">
        <v>6.5</v>
      </c>
      <c r="G615" t="n">
        <v>7.67</v>
      </c>
      <c r="H615">
        <f>הגדרות!B4</f>
        <v/>
      </c>
      <c r="I615">
        <f>F615*(1-H615/100)*1.18</f>
        <v/>
      </c>
      <c r="J615">
        <f>הגדרות!C4</f>
        <v/>
      </c>
      <c r="K615">
        <f>הגדרות!D4</f>
        <v/>
      </c>
      <c r="L615">
        <f>I615*(1+J615/100)+K615</f>
        <v/>
      </c>
    </row>
    <row r="616">
      <c r="A616" t="inlineStr">
        <is>
          <t>בית ארז — ציוד מתכלה</t>
        </is>
      </c>
      <c r="B616" t="inlineStr">
        <is>
          <t>תחבושת נצמדת 7.5 ס"מ Rapz Color</t>
        </is>
      </c>
      <c r="C616" t="inlineStr">
        <is>
          <t>ציוד רפואי מתכלה</t>
        </is>
      </c>
      <c r="D616" t="inlineStr">
        <is>
          <t>5900620</t>
        </is>
      </c>
      <c r="E616" t="inlineStr">
        <is>
          <t>2025-11</t>
        </is>
      </c>
      <c r="F616" t="n">
        <v>5.8</v>
      </c>
      <c r="G616" t="n">
        <v>6.84</v>
      </c>
      <c r="H616">
        <f>הגדרות!B4</f>
        <v/>
      </c>
      <c r="I616">
        <f>F616*(1-H616/100)*1.18</f>
        <v/>
      </c>
      <c r="J616">
        <f>הגדרות!C4</f>
        <v/>
      </c>
      <c r="K616">
        <f>הגדרות!D4</f>
        <v/>
      </c>
      <c r="L616">
        <f>I616*(1+J616/100)+K616</f>
        <v/>
      </c>
    </row>
    <row r="617">
      <c r="A617" t="inlineStr">
        <is>
          <t>בית ארז — ציוד מתכלה</t>
        </is>
      </c>
      <c r="B617" t="inlineStr">
        <is>
          <t>אקדח סיכות סטרילי (35 סיכות)</t>
        </is>
      </c>
      <c r="C617" t="inlineStr">
        <is>
          <t>כירורגיה</t>
        </is>
      </c>
      <c r="D617" t="inlineStr">
        <is>
          <t>6101205</t>
        </is>
      </c>
      <c r="E617" t="inlineStr">
        <is>
          <t>2025-11</t>
        </is>
      </c>
      <c r="F617" t="n">
        <v>29</v>
      </c>
      <c r="G617" t="n">
        <v>34.22</v>
      </c>
      <c r="H617">
        <f>הגדרות!B4</f>
        <v/>
      </c>
      <c r="I617">
        <f>F617*(1-H617/100)*1.18</f>
        <v/>
      </c>
      <c r="J617">
        <f>הגדרות!C4</f>
        <v/>
      </c>
      <c r="K617">
        <f>הגדרות!D4</f>
        <v/>
      </c>
      <c r="L617">
        <f>I617*(1+J617/100)+K617</f>
        <v/>
      </c>
    </row>
    <row r="618">
      <c r="A618" t="inlineStr">
        <is>
          <t>בית ארז — ציוד מתכלה</t>
        </is>
      </c>
      <c r="B618" t="inlineStr">
        <is>
          <t>כלי להסרת סיכות</t>
        </is>
      </c>
      <c r="C618" t="inlineStr">
        <is>
          <t>ציוד רפואי מתכלה</t>
        </is>
      </c>
      <c r="D618" t="inlineStr">
        <is>
          <t>6101210</t>
        </is>
      </c>
      <c r="E618" t="inlineStr">
        <is>
          <t>2025-11</t>
        </is>
      </c>
      <c r="F618" t="n">
        <v>14</v>
      </c>
      <c r="G618" t="n">
        <v>16.52</v>
      </c>
      <c r="H618">
        <f>הגדרות!B4</f>
        <v/>
      </c>
      <c r="I618">
        <f>F618*(1-H618/100)*1.18</f>
        <v/>
      </c>
      <c r="J618">
        <f>הגדרות!C4</f>
        <v/>
      </c>
      <c r="K618">
        <f>הגדרות!D4</f>
        <v/>
      </c>
      <c r="L618">
        <f>I618*(1+J618/100)+K618</f>
        <v/>
      </c>
    </row>
    <row r="619">
      <c r="A619" t="inlineStr">
        <is>
          <t>בית ארז — ציוד מתכלה</t>
        </is>
      </c>
      <c r="B619" t="inlineStr">
        <is>
          <t>דבק ביולוגי 2.5 ג' LUXBOND ו- 6 אפליקטורים</t>
        </is>
      </c>
      <c r="C619" t="inlineStr">
        <is>
          <t>כירורגיה</t>
        </is>
      </c>
      <c r="D619" t="inlineStr">
        <is>
          <t>6100001</t>
        </is>
      </c>
      <c r="E619" t="inlineStr">
        <is>
          <t>2025-11</t>
        </is>
      </c>
      <c r="F619" t="n">
        <v>80</v>
      </c>
      <c r="G619" t="n">
        <v>94.40000000000001</v>
      </c>
      <c r="H619">
        <f>הגדרות!B4</f>
        <v/>
      </c>
      <c r="I619">
        <f>F619*(1-H619/100)*1.18</f>
        <v/>
      </c>
      <c r="J619">
        <f>הגדרות!C4</f>
        <v/>
      </c>
      <c r="K619">
        <f>הגדרות!D4</f>
        <v/>
      </c>
      <c r="L619">
        <f>I619*(1+J619/100)+K619</f>
        <v/>
      </c>
    </row>
    <row r="620">
      <c r="A620" t="inlineStr">
        <is>
          <t>בית ארז — ציוד מתכלה</t>
        </is>
      </c>
      <c r="B620" t="inlineStr">
        <is>
          <t>6 אפליקטורים ל- LUXBOND</t>
        </is>
      </c>
      <c r="C620" t="inlineStr">
        <is>
          <t>חוטי תפירה</t>
        </is>
      </c>
      <c r="D620" t="inlineStr">
        <is>
          <t>6100002</t>
        </is>
      </c>
      <c r="E620" t="inlineStr">
        <is>
          <t>2025-11</t>
        </is>
      </c>
      <c r="F620" t="n">
        <v>9</v>
      </c>
      <c r="G620" t="n">
        <v>10.62</v>
      </c>
      <c r="H620">
        <f>הגדרות!B4</f>
        <v/>
      </c>
      <c r="I620">
        <f>F620*(1-H620/100)*1.18</f>
        <v/>
      </c>
      <c r="J620">
        <f>הגדרות!C4</f>
        <v/>
      </c>
      <c r="K620">
        <f>הגדרות!D4</f>
        <v/>
      </c>
      <c r="L620">
        <f>I620*(1+J620/100)+K620</f>
        <v/>
      </c>
    </row>
    <row r="621">
      <c r="A621" t="inlineStr">
        <is>
          <t>בית ארז — ציוד מתכלה</t>
        </is>
      </c>
      <c r="B621" t="inlineStr">
        <is>
          <t>מרקר עורי (קצה דק ורגיל) + סרגל - ערכה סטרילית</t>
        </is>
      </c>
      <c r="C621" t="inlineStr">
        <is>
          <t>כירורגיה</t>
        </is>
      </c>
      <c r="D621" t="inlineStr">
        <is>
          <t>6101250</t>
        </is>
      </c>
      <c r="E621" t="inlineStr">
        <is>
          <t>2025-11</t>
        </is>
      </c>
      <c r="F621" t="n">
        <v>9.5</v>
      </c>
      <c r="G621" t="n">
        <v>11.21</v>
      </c>
      <c r="H621">
        <f>הגדרות!B4</f>
        <v/>
      </c>
      <c r="I621">
        <f>F621*(1-H621/100)*1.18</f>
        <v/>
      </c>
      <c r="J621">
        <f>הגדרות!C4</f>
        <v/>
      </c>
      <c r="K621">
        <f>הגדרות!D4</f>
        <v/>
      </c>
      <c r="L621">
        <f>I621*(1+J621/100)+K621</f>
        <v/>
      </c>
    </row>
    <row r="622">
      <c r="A622" t="inlineStr">
        <is>
          <t>בית ארז — ציוד מתכלה</t>
        </is>
      </c>
      <c r="B622" t="inlineStr">
        <is>
          <t>כלי ללקיחת ביופסיה עורית Biopsy Punch 4mm</t>
        </is>
      </c>
      <c r="C622" t="inlineStr">
        <is>
          <t>ציוד רפואי מתכלה</t>
        </is>
      </c>
      <c r="D622" t="inlineStr">
        <is>
          <t>6101234</t>
        </is>
      </c>
      <c r="E622" t="inlineStr">
        <is>
          <t>2025-11</t>
        </is>
      </c>
      <c r="F622" t="n">
        <v>9.5</v>
      </c>
      <c r="G622" t="n">
        <v>11.21</v>
      </c>
      <c r="H622">
        <f>הגדרות!B4</f>
        <v/>
      </c>
      <c r="I622">
        <f>F622*(1-H622/100)*1.18</f>
        <v/>
      </c>
      <c r="J622">
        <f>הגדרות!C4</f>
        <v/>
      </c>
      <c r="K622">
        <f>הגדרות!D4</f>
        <v/>
      </c>
      <c r="L622">
        <f>I622*(1+J622/100)+K622</f>
        <v/>
      </c>
    </row>
    <row r="623">
      <c r="A623" t="inlineStr">
        <is>
          <t>בית ארז — ציוד מתכלה</t>
        </is>
      </c>
      <c r="B623" t="inlineStr">
        <is>
          <t>כלי ללקיחת ביופסיה עורית Biopsy Punch 6mm</t>
        </is>
      </c>
      <c r="C623" t="inlineStr">
        <is>
          <t>כירורגיה</t>
        </is>
      </c>
      <c r="D623" t="inlineStr">
        <is>
          <t>6101236</t>
        </is>
      </c>
      <c r="E623" t="inlineStr">
        <is>
          <t>2025-11</t>
        </is>
      </c>
      <c r="F623" t="n">
        <v>9.5</v>
      </c>
      <c r="G623" t="n">
        <v>11.21</v>
      </c>
      <c r="H623">
        <f>הגדרות!B4</f>
        <v/>
      </c>
      <c r="I623">
        <f>F623*(1-H623/100)*1.18</f>
        <v/>
      </c>
      <c r="J623">
        <f>הגדרות!C4</f>
        <v/>
      </c>
      <c r="K623">
        <f>הגדרות!D4</f>
        <v/>
      </c>
      <c r="L623">
        <f>I623*(1+J623/100)+K623</f>
        <v/>
      </c>
    </row>
    <row r="624">
      <c r="A624" t="inlineStr">
        <is>
          <t>בית ארז — ציוד מתכלה</t>
        </is>
      </c>
      <c r="B624" t="inlineStr">
        <is>
          <t>נקז לטקס סטרילי עם סמן רנטגן PENROSE DRAIN "1/4</t>
        </is>
      </c>
      <c r="C624" t="inlineStr">
        <is>
          <t>ציוד רפואי מתכלה</t>
        </is>
      </c>
      <c r="D624" t="inlineStr">
        <is>
          <t>5910300</t>
        </is>
      </c>
      <c r="E624" t="inlineStr">
        <is>
          <t>2025-11</t>
        </is>
      </c>
      <c r="F624" t="n">
        <v>4</v>
      </c>
      <c r="G624" t="n">
        <v>4.72</v>
      </c>
      <c r="H624">
        <f>הגדרות!B4</f>
        <v/>
      </c>
      <c r="I624">
        <f>F624*(1-H624/100)*1.18</f>
        <v/>
      </c>
      <c r="J624">
        <f>הגדרות!C4</f>
        <v/>
      </c>
      <c r="K624">
        <f>הגדרות!D4</f>
        <v/>
      </c>
      <c r="L624">
        <f>I624*(1+J624/100)+K624</f>
        <v/>
      </c>
    </row>
    <row r="625">
      <c r="A625" t="inlineStr">
        <is>
          <t>בית ארז — ציוד מתכלה</t>
        </is>
      </c>
      <c r="B625" t="inlineStr">
        <is>
          <t>נקז לטקס סטרילי עם סמן רנטגן PENROSE DRAIN "1/2</t>
        </is>
      </c>
      <c r="C625" t="inlineStr">
        <is>
          <t>כירורגיה</t>
        </is>
      </c>
      <c r="D625" t="inlineStr">
        <is>
          <t>5910302</t>
        </is>
      </c>
      <c r="E625" t="inlineStr">
        <is>
          <t>2025-11</t>
        </is>
      </c>
      <c r="F625" t="n">
        <v>4</v>
      </c>
      <c r="G625" t="n">
        <v>4.72</v>
      </c>
      <c r="H625">
        <f>הגדרות!B4</f>
        <v/>
      </c>
      <c r="I625">
        <f>F625*(1-H625/100)*1.18</f>
        <v/>
      </c>
      <c r="J625">
        <f>הגדרות!C4</f>
        <v/>
      </c>
      <c r="K625">
        <f>הגדרות!D4</f>
        <v/>
      </c>
      <c r="L625">
        <f>I625*(1+J625/100)+K625</f>
        <v/>
      </c>
    </row>
    <row r="626">
      <c r="A626" t="inlineStr">
        <is>
          <t>בית ארז — ציוד מתכלה</t>
        </is>
      </c>
      <c r="B626" t="inlineStr">
        <is>
          <t>נקז אקטיבי שטוח Reservoir 100ml - 7mm flat drain</t>
        </is>
      </c>
      <c r="C626" t="inlineStr">
        <is>
          <t>ציוד רפואי מתכלה</t>
        </is>
      </c>
      <c r="D626" t="inlineStr">
        <is>
          <t>5800550</t>
        </is>
      </c>
      <c r="E626" t="inlineStr">
        <is>
          <t>2025-11</t>
        </is>
      </c>
      <c r="F626" t="n">
        <v>59</v>
      </c>
      <c r="G626" t="n">
        <v>69.62</v>
      </c>
      <c r="H626">
        <f>הגדרות!B4</f>
        <v/>
      </c>
      <c r="I626">
        <f>F626*(1-H626/100)*1.18</f>
        <v/>
      </c>
      <c r="J626">
        <f>הגדרות!C4</f>
        <v/>
      </c>
      <c r="K626">
        <f>הגדרות!D4</f>
        <v/>
      </c>
      <c r="L626">
        <f>I626*(1+J626/100)+K626</f>
        <v/>
      </c>
    </row>
    <row r="627">
      <c r="A627" t="inlineStr">
        <is>
          <t>בית ארז — ציוד מתכלה</t>
        </is>
      </c>
      <c r="B627" t="inlineStr">
        <is>
          <t>מברשת ידיים סטרילית לחדר ניתוח - 40 יח'</t>
        </is>
      </c>
      <c r="C627" t="inlineStr">
        <is>
          <t>כירורגיה</t>
        </is>
      </c>
      <c r="D627" t="inlineStr">
        <is>
          <t>5800500</t>
        </is>
      </c>
      <c r="E627" t="inlineStr">
        <is>
          <t>2025-11</t>
        </is>
      </c>
      <c r="F627" t="n">
        <v>85</v>
      </c>
      <c r="G627" t="n">
        <v>100.3</v>
      </c>
      <c r="H627">
        <f>הגדרות!B4</f>
        <v/>
      </c>
      <c r="I627">
        <f>F627*(1-H627/100)*1.18</f>
        <v/>
      </c>
      <c r="J627">
        <f>הגדרות!C4</f>
        <v/>
      </c>
      <c r="K627">
        <f>הגדרות!D4</f>
        <v/>
      </c>
      <c r="L627">
        <f>I627*(1+J627/100)+K627</f>
        <v/>
      </c>
    </row>
    <row r="628">
      <c r="A628" t="inlineStr">
        <is>
          <t>בית ארז — ציוד מתכלה</t>
        </is>
      </c>
      <c r="B628" t="inlineStr">
        <is>
          <t>גליל סדין ניתוח 96.5cmX91.4m KVP</t>
        </is>
      </c>
      <c r="C628" t="inlineStr">
        <is>
          <t>ציוד רפואי מתכלה</t>
        </is>
      </c>
      <c r="D628" t="inlineStr">
        <is>
          <t>6300151</t>
        </is>
      </c>
      <c r="E628" t="inlineStr">
        <is>
          <t>2025-11</t>
        </is>
      </c>
      <c r="F628" t="n">
        <v>418</v>
      </c>
      <c r="G628" t="n">
        <v>493.24</v>
      </c>
      <c r="H628">
        <f>הגדרות!B4</f>
        <v/>
      </c>
      <c r="I628">
        <f>F628*(1-H628/100)*1.18</f>
        <v/>
      </c>
      <c r="J628">
        <f>הגדרות!C4</f>
        <v/>
      </c>
      <c r="K628">
        <f>הגדרות!D4</f>
        <v/>
      </c>
      <c r="L628">
        <f>I628*(1+J628/100)+K628</f>
        <v/>
      </c>
    </row>
    <row r="629">
      <c r="A629" t="inlineStr">
        <is>
          <t>בית ארז — ציוד מתכלה</t>
        </is>
      </c>
      <c r="B629" t="inlineStr">
        <is>
          <t>סדין ניתוח סטרילי 45x60cm</t>
        </is>
      </c>
      <c r="C629" t="inlineStr">
        <is>
          <t>כירורגיה</t>
        </is>
      </c>
      <c r="D629" t="inlineStr">
        <is>
          <t>6101303</t>
        </is>
      </c>
      <c r="E629" t="inlineStr">
        <is>
          <t>2025-11</t>
        </is>
      </c>
      <c r="F629" t="n">
        <v>2.8</v>
      </c>
      <c r="G629" t="n">
        <v>3.3</v>
      </c>
      <c r="H629">
        <f>הגדרות!B4</f>
        <v/>
      </c>
      <c r="I629">
        <f>F629*(1-H629/100)*1.18</f>
        <v/>
      </c>
      <c r="J629">
        <f>הגדרות!C4</f>
        <v/>
      </c>
      <c r="K629">
        <f>הגדרות!D4</f>
        <v/>
      </c>
      <c r="L629">
        <f>I629*(1+J629/100)+K629</f>
        <v/>
      </c>
    </row>
    <row r="630">
      <c r="A630" t="inlineStr">
        <is>
          <t>בית ארז — ציוד מתכלה</t>
        </is>
      </c>
      <c r="B630" t="inlineStr">
        <is>
          <t>סדין ניתוח סטרילי 60x90cm</t>
        </is>
      </c>
      <c r="C630" t="inlineStr">
        <is>
          <t>ציוד רפואי מתכלה</t>
        </is>
      </c>
      <c r="D630" t="inlineStr">
        <is>
          <t>6101304</t>
        </is>
      </c>
      <c r="E630" t="inlineStr">
        <is>
          <t>2025-11</t>
        </is>
      </c>
      <c r="F630" t="n">
        <v>3.9</v>
      </c>
      <c r="G630" t="n">
        <v>4.6</v>
      </c>
      <c r="H630">
        <f>הגדרות!B4</f>
        <v/>
      </c>
      <c r="I630">
        <f>F630*(1-H630/100)*1.18</f>
        <v/>
      </c>
      <c r="J630">
        <f>הגדרות!C4</f>
        <v/>
      </c>
      <c r="K630">
        <f>הגדרות!D4</f>
        <v/>
      </c>
      <c r="L630">
        <f>I630*(1+J630/100)+K630</f>
        <v/>
      </c>
    </row>
    <row r="631">
      <c r="A631" t="inlineStr">
        <is>
          <t>בית ארז — ציוד מתכלה</t>
        </is>
      </c>
      <c r="B631" t="inlineStr">
        <is>
          <t>סדין ניתוח סטרילי 90x120cm</t>
        </is>
      </c>
      <c r="C631" t="inlineStr">
        <is>
          <t>כירורגיה</t>
        </is>
      </c>
      <c r="D631" t="inlineStr">
        <is>
          <t>6101305</t>
        </is>
      </c>
      <c r="E631" t="inlineStr">
        <is>
          <t>2025-11</t>
        </is>
      </c>
      <c r="F631" t="n">
        <v>5.8</v>
      </c>
      <c r="G631" t="n">
        <v>6.84</v>
      </c>
      <c r="H631">
        <f>הגדרות!B4</f>
        <v/>
      </c>
      <c r="I631">
        <f>F631*(1-H631/100)*1.18</f>
        <v/>
      </c>
      <c r="J631">
        <f>הגדרות!C4</f>
        <v/>
      </c>
      <c r="K631">
        <f>הגדרות!D4</f>
        <v/>
      </c>
      <c r="L631">
        <f>I631*(1+J631/100)+K631</f>
        <v/>
      </c>
    </row>
    <row r="632">
      <c r="A632" t="inlineStr">
        <is>
          <t>בית ארז — ציוד מתכלה</t>
        </is>
      </c>
      <c r="B632" t="inlineStr">
        <is>
          <t>סדין ניתוח סטרילי 31x44cm עם חור 3.5X9cm</t>
        </is>
      </c>
      <c r="C632" t="inlineStr">
        <is>
          <t>ציוד רפואי מתכלה</t>
        </is>
      </c>
      <c r="D632" t="inlineStr">
        <is>
          <t>6101308</t>
        </is>
      </c>
      <c r="E632" t="inlineStr">
        <is>
          <t>2025-11</t>
        </is>
      </c>
      <c r="F632" t="n">
        <v>3</v>
      </c>
      <c r="G632" t="n">
        <v>3.54</v>
      </c>
      <c r="H632">
        <f>הגדרות!B4</f>
        <v/>
      </c>
      <c r="I632">
        <f>F632*(1-H632/100)*1.18</f>
        <v/>
      </c>
      <c r="J632">
        <f>הגדרות!C4</f>
        <v/>
      </c>
      <c r="K632">
        <f>הגדרות!D4</f>
        <v/>
      </c>
      <c r="L632">
        <f>I632*(1+J632/100)+K632</f>
        <v/>
      </c>
    </row>
    <row r="633">
      <c r="A633" t="inlineStr">
        <is>
          <t>בית ארז — ציוד מתכלה</t>
        </is>
      </c>
      <c r="B633" t="inlineStr">
        <is>
          <t>סדין ניתוח סטרילי 44x74cm עם חור 7X20cm</t>
        </is>
      </c>
      <c r="C633" t="inlineStr">
        <is>
          <t>כירורגיה</t>
        </is>
      </c>
      <c r="D633" t="inlineStr">
        <is>
          <t>6101310</t>
        </is>
      </c>
      <c r="E633" t="inlineStr">
        <is>
          <t>2025-11</t>
        </is>
      </c>
      <c r="F633" t="n">
        <v>3.5</v>
      </c>
      <c r="G633" t="n">
        <v>4.13</v>
      </c>
      <c r="H633">
        <f>הגדרות!B4</f>
        <v/>
      </c>
      <c r="I633">
        <f>F633*(1-H633/100)*1.18</f>
        <v/>
      </c>
      <c r="J633">
        <f>הגדרות!C4</f>
        <v/>
      </c>
      <c r="K633">
        <f>הגדרות!D4</f>
        <v/>
      </c>
      <c r="L633">
        <f>I633*(1+J633/100)+K633</f>
        <v/>
      </c>
    </row>
    <row r="634">
      <c r="A634" t="inlineStr">
        <is>
          <t>בית ארז — ציוד מתכלה</t>
        </is>
      </c>
      <c r="B634" t="inlineStr">
        <is>
          <t>סדין ניתוח עם חור KVP (10X2cm)50X50cm</t>
        </is>
      </c>
      <c r="C634" t="inlineStr">
        <is>
          <t>ציוד רפואי</t>
        </is>
      </c>
      <c r="D634" t="inlineStr">
        <is>
          <t>6300520</t>
        </is>
      </c>
      <c r="E634" t="inlineStr">
        <is>
          <t>2025-11</t>
        </is>
      </c>
      <c r="F634" t="n">
        <v>40</v>
      </c>
      <c r="G634" t="n">
        <v>47.2</v>
      </c>
      <c r="H634">
        <f>הגדרות!B4</f>
        <v/>
      </c>
      <c r="I634">
        <f>F634*(1-H634/100)*1.18</f>
        <v/>
      </c>
      <c r="J634">
        <f>הגדרות!C4</f>
        <v/>
      </c>
      <c r="K634">
        <f>הגדרות!D4</f>
        <v/>
      </c>
      <c r="L634">
        <f>I634*(1+J634/100)+K634</f>
        <v/>
      </c>
    </row>
    <row r="635">
      <c r="A635" t="inlineStr">
        <is>
          <t>בית ארז — ציוד מתכלה</t>
        </is>
      </c>
      <c r="B635" t="inlineStr">
        <is>
          <t>סדין ניתוח עם חור KVP (5X2.5cm)75X75cm</t>
        </is>
      </c>
      <c r="C635" t="inlineStr">
        <is>
          <t>כירורגיה</t>
        </is>
      </c>
      <c r="D635" t="inlineStr">
        <is>
          <t>6300532</t>
        </is>
      </c>
      <c r="E635" t="inlineStr">
        <is>
          <t>2025-11</t>
        </is>
      </c>
      <c r="F635" t="n">
        <v>49</v>
      </c>
      <c r="G635" t="n">
        <v>57.82</v>
      </c>
      <c r="H635">
        <f>הגדרות!B4</f>
        <v/>
      </c>
      <c r="I635">
        <f>F635*(1-H635/100)*1.18</f>
        <v/>
      </c>
      <c r="J635">
        <f>הגדרות!C4</f>
        <v/>
      </c>
      <c r="K635">
        <f>הגדרות!D4</f>
        <v/>
      </c>
      <c r="L635">
        <f>I635*(1+J635/100)+K635</f>
        <v/>
      </c>
    </row>
    <row r="636">
      <c r="A636" t="inlineStr">
        <is>
          <t>בית ארז — ציוד מתכלה</t>
        </is>
      </c>
      <c r="B636" t="inlineStr">
        <is>
          <t>סדין ניתוח עם חור KVP (10X2cm)75X75cm</t>
        </is>
      </c>
      <c r="C636" t="inlineStr">
        <is>
          <t>ציוד רפואי</t>
        </is>
      </c>
      <c r="D636" t="inlineStr">
        <is>
          <t>6300534</t>
        </is>
      </c>
      <c r="E636" t="inlineStr">
        <is>
          <t>2025-11</t>
        </is>
      </c>
      <c r="F636" t="n">
        <v>49</v>
      </c>
      <c r="G636" t="n">
        <v>57.82</v>
      </c>
      <c r="H636">
        <f>הגדרות!B4</f>
        <v/>
      </c>
      <c r="I636">
        <f>F636*(1-H636/100)*1.18</f>
        <v/>
      </c>
      <c r="J636">
        <f>הגדרות!C4</f>
        <v/>
      </c>
      <c r="K636">
        <f>הגדרות!D4</f>
        <v/>
      </c>
      <c r="L636">
        <f>I636*(1+J636/100)+K636</f>
        <v/>
      </c>
    </row>
    <row r="637">
      <c r="A637" t="inlineStr">
        <is>
          <t>בית ארז — ציוד מתכלה</t>
        </is>
      </c>
      <c r="B637" t="inlineStr">
        <is>
          <t>סדין ניתוח עם חור KVP (10X2cm)100X100cm</t>
        </is>
      </c>
      <c r="C637" t="inlineStr">
        <is>
          <t>כירורגיה</t>
        </is>
      </c>
      <c r="D637" t="inlineStr">
        <is>
          <t>6300544</t>
        </is>
      </c>
      <c r="E637" t="inlineStr">
        <is>
          <t>2025-11</t>
        </is>
      </c>
      <c r="F637" t="n">
        <v>65</v>
      </c>
      <c r="G637" t="n">
        <v>76.7</v>
      </c>
      <c r="H637">
        <f>הגדרות!B4</f>
        <v/>
      </c>
      <c r="I637">
        <f>F637*(1-H637/100)*1.18</f>
        <v/>
      </c>
      <c r="J637">
        <f>הגדרות!C4</f>
        <v/>
      </c>
      <c r="K637">
        <f>הגדרות!D4</f>
        <v/>
      </c>
      <c r="L637">
        <f>I637*(1+J637/100)+K637</f>
        <v/>
      </c>
    </row>
    <row r="638">
      <c r="A638" t="inlineStr">
        <is>
          <t>בית ארז — ציוד מתכלה</t>
        </is>
      </c>
      <c r="B638" t="inlineStr">
        <is>
          <t>סדין ניתוח עם חור KVP (18X3cm)100X100cm</t>
        </is>
      </c>
      <c r="C638" t="inlineStr">
        <is>
          <t>ציוד רפואי</t>
        </is>
      </c>
      <c r="D638" t="inlineStr">
        <is>
          <t>6300547</t>
        </is>
      </c>
      <c r="E638" t="inlineStr">
        <is>
          <t>2025-11</t>
        </is>
      </c>
      <c r="F638" t="n">
        <v>65</v>
      </c>
      <c r="G638" t="n">
        <v>76.7</v>
      </c>
      <c r="H638">
        <f>הגדרות!B4</f>
        <v/>
      </c>
      <c r="I638">
        <f>F638*(1-H638/100)*1.18</f>
        <v/>
      </c>
      <c r="J638">
        <f>הגדרות!C4</f>
        <v/>
      </c>
      <c r="K638">
        <f>הגדרות!D4</f>
        <v/>
      </c>
      <c r="L638">
        <f>I638*(1+J638/100)+K638</f>
        <v/>
      </c>
    </row>
    <row r="639">
      <c r="A639" t="inlineStr">
        <is>
          <t>בית ארז — ציוד מתכלה</t>
        </is>
      </c>
      <c r="B639" t="inlineStr">
        <is>
          <t>סדין ניתוח עם חור KVP (25X3cm)100X100cm</t>
        </is>
      </c>
      <c r="C639" t="inlineStr">
        <is>
          <t>כירורגיה</t>
        </is>
      </c>
      <c r="D639" t="inlineStr">
        <is>
          <t>6300549</t>
        </is>
      </c>
      <c r="E639" t="inlineStr">
        <is>
          <t>2025-11</t>
        </is>
      </c>
      <c r="F639" t="n">
        <v>65</v>
      </c>
      <c r="G639" t="n">
        <v>76.7</v>
      </c>
      <c r="H639">
        <f>הגדרות!B4</f>
        <v/>
      </c>
      <c r="I639">
        <f>F639*(1-H639/100)*1.18</f>
        <v/>
      </c>
      <c r="J639">
        <f>הגדרות!C4</f>
        <v/>
      </c>
      <c r="K639">
        <f>הגדרות!D4</f>
        <v/>
      </c>
      <c r="L639">
        <f>I639*(1+J639/100)+K639</f>
        <v/>
      </c>
    </row>
    <row r="640">
      <c r="A640" t="inlineStr">
        <is>
          <t>בית ארז — ציוד מתכלה</t>
        </is>
      </c>
      <c r="B640" t="inlineStr">
        <is>
          <t>סדין עטיפת כלים כירורגים 50X50cm KVP</t>
        </is>
      </c>
      <c r="C640" t="inlineStr">
        <is>
          <t>ציוד רפואי</t>
        </is>
      </c>
      <c r="D640" t="inlineStr">
        <is>
          <t>6300551</t>
        </is>
      </c>
      <c r="E640" t="inlineStr">
        <is>
          <t>2025-11</t>
        </is>
      </c>
      <c r="F640" t="n">
        <v>35</v>
      </c>
      <c r="G640" t="n">
        <v>41.3</v>
      </c>
      <c r="H640">
        <f>הגדרות!B4</f>
        <v/>
      </c>
      <c r="I640">
        <f>F640*(1-H640/100)*1.18</f>
        <v/>
      </c>
      <c r="J640">
        <f>הגדרות!C4</f>
        <v/>
      </c>
      <c r="K640">
        <f>הגדרות!D4</f>
        <v/>
      </c>
      <c r="L640">
        <f>I640*(1+J640/100)+K640</f>
        <v/>
      </c>
    </row>
    <row r="641">
      <c r="A641" t="inlineStr">
        <is>
          <t>בית ארז — ציוד מתכלה</t>
        </is>
      </c>
      <c r="B641" t="inlineStr">
        <is>
          <t>סדין עטיפת כלים כירורגים 60X60cm KVP</t>
        </is>
      </c>
      <c r="C641" t="inlineStr">
        <is>
          <t>כירורגיה</t>
        </is>
      </c>
      <c r="D641" t="inlineStr">
        <is>
          <t>6300552</t>
        </is>
      </c>
      <c r="E641" t="inlineStr">
        <is>
          <t>2025-11</t>
        </is>
      </c>
      <c r="F641" t="n">
        <v>42</v>
      </c>
      <c r="G641" t="n">
        <v>49.56</v>
      </c>
      <c r="H641">
        <f>הגדרות!B4</f>
        <v/>
      </c>
      <c r="I641">
        <f>F641*(1-H641/100)*1.18</f>
        <v/>
      </c>
      <c r="J641">
        <f>הגדרות!C4</f>
        <v/>
      </c>
      <c r="K641">
        <f>הגדרות!D4</f>
        <v/>
      </c>
      <c r="L641">
        <f>I641*(1+J641/100)+K641</f>
        <v/>
      </c>
    </row>
    <row r="642">
      <c r="A642" t="inlineStr">
        <is>
          <t>בית ארז — ציוד מתכלה</t>
        </is>
      </c>
      <c r="B642" t="inlineStr">
        <is>
          <t>סדין עטיפת כלים כירורגים 75X75cm KVP</t>
        </is>
      </c>
      <c r="C642" t="inlineStr">
        <is>
          <t>ציוד רפואי</t>
        </is>
      </c>
      <c r="D642" t="inlineStr">
        <is>
          <t>6300553</t>
        </is>
      </c>
      <c r="E642" t="inlineStr">
        <is>
          <t>2025-11</t>
        </is>
      </c>
      <c r="F642" t="n">
        <v>54</v>
      </c>
      <c r="G642" t="n">
        <v>63.72</v>
      </c>
      <c r="H642">
        <f>הגדרות!B4</f>
        <v/>
      </c>
      <c r="I642">
        <f>F642*(1-H642/100)*1.18</f>
        <v/>
      </c>
      <c r="J642">
        <f>הגדרות!C4</f>
        <v/>
      </c>
      <c r="K642">
        <f>הגדרות!D4</f>
        <v/>
      </c>
      <c r="L642">
        <f>I642*(1+J642/100)+K642</f>
        <v/>
      </c>
    </row>
    <row r="643">
      <c r="A643" t="inlineStr">
        <is>
          <t>בית ארז — ציוד מתכלה</t>
        </is>
      </c>
      <c r="B643" t="inlineStr">
        <is>
          <t>סדין עטיפת כלים כירורגים 100X100cm KVP</t>
        </is>
      </c>
      <c r="C643" t="inlineStr">
        <is>
          <t>כירורגיה</t>
        </is>
      </c>
      <c r="D643" t="inlineStr">
        <is>
          <t>6300554</t>
        </is>
      </c>
      <c r="E643" t="inlineStr">
        <is>
          <t>2025-11</t>
        </is>
      </c>
      <c r="F643" t="n">
        <v>88</v>
      </c>
      <c r="G643" t="n">
        <v>103.84</v>
      </c>
      <c r="H643">
        <f>הגדרות!B4</f>
        <v/>
      </c>
      <c r="I643">
        <f>F643*(1-H643/100)*1.18</f>
        <v/>
      </c>
      <c r="J643">
        <f>הגדרות!C4</f>
        <v/>
      </c>
      <c r="K643">
        <f>הגדרות!D4</f>
        <v/>
      </c>
      <c r="L643">
        <f>I643*(1+J643/100)+K643</f>
        <v/>
      </c>
    </row>
    <row r="644">
      <c r="A644" t="inlineStr">
        <is>
          <t>בית ארז — ציוד מתכלה</t>
        </is>
      </c>
      <c r="B644" t="inlineStr">
        <is>
          <t>מגבת לחדר ניתוח 45X80cm KVP</t>
        </is>
      </c>
      <c r="C644" t="inlineStr">
        <is>
          <t>ציוד רפואי</t>
        </is>
      </c>
      <c r="D644" t="inlineStr">
        <is>
          <t>6300557</t>
        </is>
      </c>
      <c r="E644" t="inlineStr">
        <is>
          <t>2025-11</t>
        </is>
      </c>
      <c r="F644" t="n">
        <v>19</v>
      </c>
      <c r="G644" t="n">
        <v>22.42</v>
      </c>
      <c r="H644">
        <f>הגדרות!B4</f>
        <v/>
      </c>
      <c r="I644">
        <f>F644*(1-H644/100)*1.18</f>
        <v/>
      </c>
      <c r="J644">
        <f>הגדרות!C4</f>
        <v/>
      </c>
      <c r="K644">
        <f>הגדרות!D4</f>
        <v/>
      </c>
      <c r="L644">
        <f>I644*(1+J644/100)+K644</f>
        <v/>
      </c>
    </row>
    <row r="645">
      <c r="A645" t="inlineStr">
        <is>
          <t>בית ארז — ציוד מתכלה</t>
        </is>
      </c>
      <c r="B645" t="inlineStr">
        <is>
          <t>סדיניות ניתוח/אשפוז 40X60 ס"מ - 20 יח' MP. Underpads</t>
        </is>
      </c>
      <c r="C645" t="inlineStr">
        <is>
          <t>כירורגיה</t>
        </is>
      </c>
      <c r="D645" t="inlineStr">
        <is>
          <t>5900950</t>
        </is>
      </c>
      <c r="E645" t="inlineStr">
        <is>
          <t>2025-11</t>
        </is>
      </c>
      <c r="F645" t="n">
        <v>19</v>
      </c>
      <c r="G645" t="n">
        <v>22.42</v>
      </c>
      <c r="H645">
        <f>הגדרות!B4</f>
        <v/>
      </c>
      <c r="I645">
        <f>F645*(1-H645/100)*1.18</f>
        <v/>
      </c>
      <c r="J645">
        <f>הגדרות!C4</f>
        <v/>
      </c>
      <c r="K645">
        <f>הגדרות!D4</f>
        <v/>
      </c>
      <c r="L645">
        <f>I645*(1+J645/100)+K645</f>
        <v/>
      </c>
    </row>
    <row r="646">
      <c r="A646" t="inlineStr">
        <is>
          <t>בית ארז — ציוד מתכלה</t>
        </is>
      </c>
      <c r="B646" t="inlineStr">
        <is>
          <t>סדיניות ניתוח/אשפוז 60X90 ס"מ - 30 יח' SERENITY</t>
        </is>
      </c>
      <c r="C646" t="inlineStr">
        <is>
          <t>ציוד רפואי מתכלה</t>
        </is>
      </c>
      <c r="D646" t="inlineStr">
        <is>
          <t>5910900</t>
        </is>
      </c>
      <c r="E646" t="inlineStr">
        <is>
          <t>2025-11</t>
        </is>
      </c>
      <c r="F646" t="n">
        <v>57</v>
      </c>
      <c r="G646" t="n">
        <v>67.26000000000001</v>
      </c>
      <c r="H646">
        <f>הגדרות!B4</f>
        <v/>
      </c>
      <c r="I646">
        <f>F646*(1-H646/100)*1.18</f>
        <v/>
      </c>
      <c r="J646">
        <f>הגדרות!C4</f>
        <v/>
      </c>
      <c r="K646">
        <f>הגדרות!D4</f>
        <v/>
      </c>
      <c r="L646">
        <f>I646*(1+J646/100)+K646</f>
        <v/>
      </c>
    </row>
    <row r="647">
      <c r="A647" t="inlineStr">
        <is>
          <t>בית ארז — ציוד מתכלה</t>
        </is>
      </c>
      <c r="B647" t="inlineStr">
        <is>
          <t>נייר סיטרול 60X60 ס"מ - 500 יח'</t>
        </is>
      </c>
      <c r="C647" t="inlineStr">
        <is>
          <t>ציוד כירורגי</t>
        </is>
      </c>
      <c r="D647" t="inlineStr">
        <is>
          <t>5805105</t>
        </is>
      </c>
      <c r="E647" t="inlineStr">
        <is>
          <t>2025-11</t>
        </is>
      </c>
      <c r="F647" t="n">
        <v>330</v>
      </c>
      <c r="G647" t="n">
        <v>389.4</v>
      </c>
      <c r="H647">
        <f>הגדרות!B4</f>
        <v/>
      </c>
      <c r="I647">
        <f>F647*(1-H647/100)*1.18</f>
        <v/>
      </c>
      <c r="J647">
        <f>הגדרות!C4</f>
        <v/>
      </c>
      <c r="K647">
        <f>הגדרות!D4</f>
        <v/>
      </c>
      <c r="L647">
        <f>I647*(1+J647/100)+K647</f>
        <v/>
      </c>
    </row>
    <row r="648">
      <c r="A648" t="inlineStr">
        <is>
          <t>בית ארז — ציוד מתכלה</t>
        </is>
      </c>
      <c r="B648" t="inlineStr">
        <is>
          <t>שקיות סיטרול 29X13.5 ס"מ - 200 יח'</t>
        </is>
      </c>
      <c r="C648" t="inlineStr">
        <is>
          <t>מכשור רפואי</t>
        </is>
      </c>
      <c r="D648" t="inlineStr">
        <is>
          <t>5805112</t>
        </is>
      </c>
      <c r="E648" t="inlineStr">
        <is>
          <t>2025-11</t>
        </is>
      </c>
      <c r="F648" t="n">
        <v>50</v>
      </c>
      <c r="G648" t="n">
        <v>59</v>
      </c>
      <c r="H648">
        <f>הגדרות!B4</f>
        <v/>
      </c>
      <c r="I648">
        <f>F648*(1-H648/100)*1.18</f>
        <v/>
      </c>
      <c r="J648">
        <f>הגדרות!C4</f>
        <v/>
      </c>
      <c r="K648">
        <f>הגדרות!D4</f>
        <v/>
      </c>
      <c r="L648">
        <f>I648*(1+J648/100)+K648</f>
        <v/>
      </c>
    </row>
    <row r="649">
      <c r="A649" t="inlineStr">
        <is>
          <t>בית ארז — ציוד מתכלה</t>
        </is>
      </c>
      <c r="B649" t="inlineStr">
        <is>
          <t>שקיות סיטרול עם בקר 13.5X26 ס"מ - 200 יח' Millpack</t>
        </is>
      </c>
      <c r="C649" t="inlineStr">
        <is>
          <t>ציוד כירורגי</t>
        </is>
      </c>
      <c r="D649" t="inlineStr">
        <is>
          <t>5900901</t>
        </is>
      </c>
      <c r="E649" t="inlineStr">
        <is>
          <t>2025-11</t>
        </is>
      </c>
      <c r="F649" t="n">
        <v>75</v>
      </c>
      <c r="G649" t="n">
        <v>88.5</v>
      </c>
      <c r="H649">
        <f>הגדרות!B4</f>
        <v/>
      </c>
      <c r="I649">
        <f>F649*(1-H649/100)*1.18</f>
        <v/>
      </c>
      <c r="J649">
        <f>הגדרות!C4</f>
        <v/>
      </c>
      <c r="K649">
        <f>הגדרות!D4</f>
        <v/>
      </c>
      <c r="L649">
        <f>I649*(1+J649/100)+K649</f>
        <v/>
      </c>
    </row>
    <row r="650">
      <c r="A650" t="inlineStr">
        <is>
          <t>בית ארז — ציוד מתכלה</t>
        </is>
      </c>
      <c r="B650" t="inlineStr">
        <is>
          <t>גליל סיטרול רוחב 10 ס"מ - 200 מ'</t>
        </is>
      </c>
      <c r="C650" t="inlineStr">
        <is>
          <t>מכשור רפואי</t>
        </is>
      </c>
      <c r="D650" t="inlineStr">
        <is>
          <t>5805117</t>
        </is>
      </c>
      <c r="E650" t="inlineStr">
        <is>
          <t>2025-11</t>
        </is>
      </c>
      <c r="F650" t="n">
        <v>90</v>
      </c>
      <c r="G650" t="n">
        <v>106.2</v>
      </c>
      <c r="H650">
        <f>הגדרות!B4</f>
        <v/>
      </c>
      <c r="I650">
        <f>F650*(1-H650/100)*1.18</f>
        <v/>
      </c>
      <c r="J650">
        <f>הגדרות!C4</f>
        <v/>
      </c>
      <c r="K650">
        <f>הגדרות!D4</f>
        <v/>
      </c>
      <c r="L650">
        <f>I650*(1+J650/100)+K650</f>
        <v/>
      </c>
    </row>
    <row r="651">
      <c r="A651" t="inlineStr">
        <is>
          <t>בית ארז — ציוד מתכלה</t>
        </is>
      </c>
      <c r="B651" t="inlineStr">
        <is>
          <t>סרט דבק אינדיקטור לאוטוקלאב רוחב 19 מ"מ - 50 מ'</t>
        </is>
      </c>
      <c r="C651" t="inlineStr">
        <is>
          <t>ציוד כירורגי</t>
        </is>
      </c>
      <c r="D651" t="inlineStr">
        <is>
          <t>5805125</t>
        </is>
      </c>
      <c r="E651" t="inlineStr">
        <is>
          <t>2025-11</t>
        </is>
      </c>
      <c r="F651" t="n">
        <v>25</v>
      </c>
      <c r="G651" t="n">
        <v>29.5</v>
      </c>
      <c r="H651">
        <f>הגדרות!B4</f>
        <v/>
      </c>
      <c r="I651">
        <f>F651*(1-H651/100)*1.18</f>
        <v/>
      </c>
      <c r="J651">
        <f>הגדרות!C4</f>
        <v/>
      </c>
      <c r="K651">
        <f>הגדרות!D4</f>
        <v/>
      </c>
      <c r="L651">
        <f>I651*(1+J651/100)+K651</f>
        <v/>
      </c>
    </row>
    <row r="652">
      <c r="A652" t="inlineStr">
        <is>
          <t>בית ארז — ציוד מתכלה</t>
        </is>
      </c>
      <c r="B652" t="inlineStr">
        <is>
          <t>חוט LUXCRYL PGA 6/0 RC 3/8 16mm 75cm 12U</t>
        </is>
      </c>
      <c r="C652" t="inlineStr">
        <is>
          <t>חוטי תפירה - LUX-Sutures</t>
        </is>
      </c>
      <c r="D652" t="inlineStr">
        <is>
          <t>6100004</t>
        </is>
      </c>
      <c r="E652" t="inlineStr">
        <is>
          <t>2025-11</t>
        </is>
      </c>
      <c r="F652" t="n">
        <v>95</v>
      </c>
      <c r="G652" t="n">
        <v>112.1</v>
      </c>
      <c r="H652">
        <f>הגדרות!B4</f>
        <v/>
      </c>
      <c r="I652">
        <f>F652*(1-H652/100)*1.18</f>
        <v/>
      </c>
      <c r="J652">
        <f>הגדרות!C4</f>
        <v/>
      </c>
      <c r="K652">
        <f>הגדרות!D4</f>
        <v/>
      </c>
      <c r="L652">
        <f>I652*(1+J652/100)+K652</f>
        <v/>
      </c>
    </row>
    <row r="653">
      <c r="A653" t="inlineStr">
        <is>
          <t>בית ארז — ציוד מתכלה</t>
        </is>
      </c>
      <c r="B653" t="inlineStr">
        <is>
          <t>חוט LUXCRYL PGA 5/0 RC 3/8 19mm 75cm 12U</t>
        </is>
      </c>
      <c r="C653" t="inlineStr">
        <is>
          <t>חוטי תפירה - LUX-Sutures</t>
        </is>
      </c>
      <c r="D653" t="inlineStr">
        <is>
          <t>6100006</t>
        </is>
      </c>
      <c r="E653" t="inlineStr">
        <is>
          <t>2025-11</t>
        </is>
      </c>
      <c r="F653" t="n">
        <v>85</v>
      </c>
      <c r="G653" t="n">
        <v>100.3</v>
      </c>
      <c r="H653">
        <f>הגדרות!B4</f>
        <v/>
      </c>
      <c r="I653">
        <f>F653*(1-H653/100)*1.18</f>
        <v/>
      </c>
      <c r="J653">
        <f>הגדרות!C4</f>
        <v/>
      </c>
      <c r="K653">
        <f>הגדרות!D4</f>
        <v/>
      </c>
      <c r="L653">
        <f>I653*(1+J653/100)+K653</f>
        <v/>
      </c>
    </row>
    <row r="654">
      <c r="A654" t="inlineStr">
        <is>
          <t>בית ארז — ציוד מתכלה</t>
        </is>
      </c>
      <c r="B654" t="inlineStr">
        <is>
          <t>חוט LUXCRYL PGA 4/0 RC 3/8 19mm 75cm 12U</t>
        </is>
      </c>
      <c r="C654" t="inlineStr">
        <is>
          <t>חוטי תפירה</t>
        </is>
      </c>
      <c r="D654" t="inlineStr">
        <is>
          <t>6100008</t>
        </is>
      </c>
      <c r="E654" t="inlineStr">
        <is>
          <t>2025-11</t>
        </is>
      </c>
      <c r="F654" t="n">
        <v>85</v>
      </c>
      <c r="G654" t="n">
        <v>100.3</v>
      </c>
      <c r="H654">
        <f>הגדרות!B4</f>
        <v/>
      </c>
      <c r="I654">
        <f>F654*(1-H654/100)*1.18</f>
        <v/>
      </c>
      <c r="J654">
        <f>הגדרות!C4</f>
        <v/>
      </c>
      <c r="K654">
        <f>הגדרות!D4</f>
        <v/>
      </c>
      <c r="L654">
        <f>I654*(1+J654/100)+K654</f>
        <v/>
      </c>
    </row>
    <row r="655">
      <c r="A655" t="inlineStr">
        <is>
          <t>בית ארז — ציוד מתכלה</t>
        </is>
      </c>
      <c r="B655" t="inlineStr">
        <is>
          <t>חוט LUXCRYL PGA 3/0 RC 3/8 24mm 75cm 12U</t>
        </is>
      </c>
      <c r="C655" t="inlineStr">
        <is>
          <t>חוטי תפירה - LUX-Sutures</t>
        </is>
      </c>
      <c r="D655" t="inlineStr">
        <is>
          <t>6100013</t>
        </is>
      </c>
      <c r="E655" t="inlineStr">
        <is>
          <t>2025-11</t>
        </is>
      </c>
      <c r="F655" t="n">
        <v>85</v>
      </c>
      <c r="G655" t="n">
        <v>100.3</v>
      </c>
      <c r="H655">
        <f>הגדרות!B4</f>
        <v/>
      </c>
      <c r="I655">
        <f>F655*(1-H655/100)*1.18</f>
        <v/>
      </c>
      <c r="J655">
        <f>הגדרות!C4</f>
        <v/>
      </c>
      <c r="K655">
        <f>הגדרות!D4</f>
        <v/>
      </c>
      <c r="L655">
        <f>I655*(1+J655/100)+K655</f>
        <v/>
      </c>
    </row>
    <row r="656">
      <c r="A656" t="inlineStr">
        <is>
          <t>בית ארז — ציוד מתכלה</t>
        </is>
      </c>
      <c r="B656" t="inlineStr">
        <is>
          <t>חוט LUXCRYL PGA 2/0 RC 3/8 30mm 75cm 12U</t>
        </is>
      </c>
      <c r="C656" t="inlineStr">
        <is>
          <t>חוטי תפירה</t>
        </is>
      </c>
      <c r="D656" t="inlineStr">
        <is>
          <t>6100016</t>
        </is>
      </c>
      <c r="E656" t="inlineStr">
        <is>
          <t>2025-11</t>
        </is>
      </c>
      <c r="F656" t="n">
        <v>85</v>
      </c>
      <c r="G656" t="n">
        <v>100.3</v>
      </c>
      <c r="H656">
        <f>הגדרות!B4</f>
        <v/>
      </c>
      <c r="I656">
        <f>F656*(1-H656/100)*1.18</f>
        <v/>
      </c>
      <c r="J656">
        <f>הגדרות!C4</f>
        <v/>
      </c>
      <c r="K656">
        <f>הגדרות!D4</f>
        <v/>
      </c>
      <c r="L656">
        <f>I656*(1+J656/100)+K656</f>
        <v/>
      </c>
    </row>
    <row r="657">
      <c r="A657" t="inlineStr">
        <is>
          <t>בית ארז — ציוד מתכלה</t>
        </is>
      </c>
      <c r="B657" t="inlineStr">
        <is>
          <t>חוט LUXCRYL PGA 0 RC 3/8 30mm 75cm 12U</t>
        </is>
      </c>
      <c r="C657" t="inlineStr">
        <is>
          <t>חוטי תפירה - LUX-Sutures</t>
        </is>
      </c>
      <c r="D657" t="inlineStr">
        <is>
          <t>6100018</t>
        </is>
      </c>
      <c r="E657" t="inlineStr">
        <is>
          <t>2025-11</t>
        </is>
      </c>
      <c r="F657" t="n">
        <v>85</v>
      </c>
      <c r="G657" t="n">
        <v>100.3</v>
      </c>
      <c r="H657">
        <f>הגדרות!B4</f>
        <v/>
      </c>
      <c r="I657">
        <f>F657*(1-H657/100)*1.18</f>
        <v/>
      </c>
      <c r="J657">
        <f>הגדרות!C4</f>
        <v/>
      </c>
      <c r="K657">
        <f>הגדרות!D4</f>
        <v/>
      </c>
      <c r="L657">
        <f>I657*(1+J657/100)+K657</f>
        <v/>
      </c>
    </row>
    <row r="658">
      <c r="A658" t="inlineStr">
        <is>
          <t>בית ארז — ציוד מתכלה</t>
        </is>
      </c>
      <c r="B658" t="inlineStr">
        <is>
          <t>חוט LUXCRYL PGA 1 RC 3/8 30mm 75cm 12U</t>
        </is>
      </c>
      <c r="C658" t="inlineStr">
        <is>
          <t>חוטי תפירה</t>
        </is>
      </c>
      <c r="D658" t="inlineStr">
        <is>
          <t>6100021</t>
        </is>
      </c>
      <c r="E658" t="inlineStr">
        <is>
          <t>2025-11</t>
        </is>
      </c>
      <c r="F658" t="n">
        <v>85</v>
      </c>
      <c r="G658" t="n">
        <v>100.3</v>
      </c>
      <c r="H658">
        <f>הגדרות!B4</f>
        <v/>
      </c>
      <c r="I658">
        <f>F658*(1-H658/100)*1.18</f>
        <v/>
      </c>
      <c r="J658">
        <f>הגדרות!C4</f>
        <v/>
      </c>
      <c r="K658">
        <f>הגדרות!D4</f>
        <v/>
      </c>
      <c r="L658">
        <f>I658*(1+J658/100)+K658</f>
        <v/>
      </c>
    </row>
    <row r="659">
      <c r="A659" t="inlineStr">
        <is>
          <t>בית ארז — ציוד מתכלה</t>
        </is>
      </c>
      <c r="B659" t="inlineStr">
        <is>
          <t>חוט LUXCRYL PDO 5/0 RC 3/8 19mm 75cm 12U</t>
        </is>
      </c>
      <c r="C659" t="inlineStr">
        <is>
          <t>חוטי תפירה - LUX-Sutures</t>
        </is>
      </c>
      <c r="D659" t="inlineStr">
        <is>
          <t>6100035</t>
        </is>
      </c>
      <c r="E659" t="inlineStr">
        <is>
          <t>2025-11</t>
        </is>
      </c>
      <c r="F659" t="n">
        <v>95</v>
      </c>
      <c r="G659" t="n">
        <v>112.1</v>
      </c>
      <c r="H659">
        <f>הגדרות!B4</f>
        <v/>
      </c>
      <c r="I659">
        <f>F659*(1-H659/100)*1.18</f>
        <v/>
      </c>
      <c r="J659">
        <f>הגדרות!C4</f>
        <v/>
      </c>
      <c r="K659">
        <f>הגדרות!D4</f>
        <v/>
      </c>
      <c r="L659">
        <f>I659*(1+J659/100)+K659</f>
        <v/>
      </c>
    </row>
    <row r="660">
      <c r="A660" t="inlineStr">
        <is>
          <t>בית ארז — ציוד מתכלה</t>
        </is>
      </c>
      <c r="B660" t="inlineStr">
        <is>
          <t>חוט LUXCRYL PDO 4/0 RC 3/8 19mm 75cm 12U</t>
        </is>
      </c>
      <c r="C660" t="inlineStr">
        <is>
          <t>חוטי תפירה</t>
        </is>
      </c>
      <c r="D660" t="inlineStr">
        <is>
          <t>6100037</t>
        </is>
      </c>
      <c r="E660" t="inlineStr">
        <is>
          <t>2025-11</t>
        </is>
      </c>
      <c r="F660" t="n">
        <v>95</v>
      </c>
      <c r="G660" t="n">
        <v>112.1</v>
      </c>
      <c r="H660">
        <f>הגדרות!B4</f>
        <v/>
      </c>
      <c r="I660">
        <f>F660*(1-H660/100)*1.18</f>
        <v/>
      </c>
      <c r="J660">
        <f>הגדרות!C4</f>
        <v/>
      </c>
      <c r="K660">
        <f>הגדרות!D4</f>
        <v/>
      </c>
      <c r="L660">
        <f>I660*(1+J660/100)+K660</f>
        <v/>
      </c>
    </row>
    <row r="661">
      <c r="A661" t="inlineStr">
        <is>
          <t>בית ארז — ציוד מתכלה</t>
        </is>
      </c>
      <c r="B661" t="inlineStr">
        <is>
          <t>חוט LUXCRYL PDO 3/0 RC 3/8 26mm 75cm 12U</t>
        </is>
      </c>
      <c r="C661" t="inlineStr">
        <is>
          <t>חוטי תפירה - LUX-Sutures</t>
        </is>
      </c>
      <c r="D661" t="inlineStr">
        <is>
          <t>6100042</t>
        </is>
      </c>
      <c r="E661" t="inlineStr">
        <is>
          <t>2025-11</t>
        </is>
      </c>
      <c r="F661" t="n">
        <v>95</v>
      </c>
      <c r="G661" t="n">
        <v>112.1</v>
      </c>
      <c r="H661">
        <f>הגדרות!B4</f>
        <v/>
      </c>
      <c r="I661">
        <f>F661*(1-H661/100)*1.18</f>
        <v/>
      </c>
      <c r="J661">
        <f>הגדרות!C4</f>
        <v/>
      </c>
      <c r="K661">
        <f>הגדרות!D4</f>
        <v/>
      </c>
      <c r="L661">
        <f>I661*(1+J661/100)+K661</f>
        <v/>
      </c>
    </row>
    <row r="662">
      <c r="A662" t="inlineStr">
        <is>
          <t>בית ארז — ציוד מתכלה</t>
        </is>
      </c>
      <c r="B662" t="inlineStr">
        <is>
          <t>חוט LUXCRYL PDO 2/0 RC 3/8 30mm 75cm 12U</t>
        </is>
      </c>
      <c r="C662" t="inlineStr">
        <is>
          <t>חוטי תפירה</t>
        </is>
      </c>
      <c r="D662" t="inlineStr">
        <is>
          <t>6100045</t>
        </is>
      </c>
      <c r="E662" t="inlineStr">
        <is>
          <t>2025-11</t>
        </is>
      </c>
      <c r="F662" t="n">
        <v>95</v>
      </c>
      <c r="G662" t="n">
        <v>112.1</v>
      </c>
      <c r="H662">
        <f>הגדרות!B4</f>
        <v/>
      </c>
      <c r="I662">
        <f>F662*(1-H662/100)*1.18</f>
        <v/>
      </c>
      <c r="J662">
        <f>הגדרות!C4</f>
        <v/>
      </c>
      <c r="K662">
        <f>הגדרות!D4</f>
        <v/>
      </c>
      <c r="L662">
        <f>I662*(1+J662/100)+K662</f>
        <v/>
      </c>
    </row>
    <row r="663">
      <c r="A663" t="inlineStr">
        <is>
          <t>בית ארז — ציוד מתכלה</t>
        </is>
      </c>
      <c r="B663" t="inlineStr">
        <is>
          <t>חוט LUXCRYL PDO 0 RC 3/8 30mm 75cm 12U</t>
        </is>
      </c>
      <c r="C663" t="inlineStr">
        <is>
          <t>חוטי תפירה - LUX-Sutures</t>
        </is>
      </c>
      <c r="D663" t="inlineStr">
        <is>
          <t>6100047</t>
        </is>
      </c>
      <c r="E663" t="inlineStr">
        <is>
          <t>2025-11</t>
        </is>
      </c>
      <c r="F663" t="n">
        <v>95</v>
      </c>
      <c r="G663" t="n">
        <v>112.1</v>
      </c>
      <c r="H663">
        <f>הגדרות!B4</f>
        <v/>
      </c>
      <c r="I663">
        <f>F663*(1-H663/100)*1.18</f>
        <v/>
      </c>
      <c r="J663">
        <f>הגדרות!C4</f>
        <v/>
      </c>
      <c r="K663">
        <f>הגדרות!D4</f>
        <v/>
      </c>
      <c r="L663">
        <f>I663*(1+J663/100)+K663</f>
        <v/>
      </c>
    </row>
    <row r="664">
      <c r="A664" t="inlineStr">
        <is>
          <t>בית ארז — ציוד מתכלה</t>
        </is>
      </c>
      <c r="B664" t="inlineStr">
        <is>
          <t>חוט LUXCRYL PDO 0 RC 1/2 36mm 75cm 12U</t>
        </is>
      </c>
      <c r="C664" t="inlineStr">
        <is>
          <t>חוטי תפירה</t>
        </is>
      </c>
      <c r="D664" t="inlineStr">
        <is>
          <t>6100048</t>
        </is>
      </c>
      <c r="E664" t="inlineStr">
        <is>
          <t>2025-11</t>
        </is>
      </c>
      <c r="F664" t="n">
        <v>95</v>
      </c>
      <c r="G664" t="n">
        <v>112.1</v>
      </c>
      <c r="H664">
        <f>הגדרות!B4</f>
        <v/>
      </c>
      <c r="I664">
        <f>F664*(1-H664/100)*1.18</f>
        <v/>
      </c>
      <c r="J664">
        <f>הגדרות!C4</f>
        <v/>
      </c>
      <c r="K664">
        <f>הגדרות!D4</f>
        <v/>
      </c>
      <c r="L664">
        <f>I664*(1+J664/100)+K664</f>
        <v/>
      </c>
    </row>
    <row r="665">
      <c r="A665" t="inlineStr">
        <is>
          <t>בית ארז — ציוד מתכלה</t>
        </is>
      </c>
      <c r="B665" t="inlineStr">
        <is>
          <t>חוט LUXCRYL PDO 1 RC 3/8 40mm 90cm 12U</t>
        </is>
      </c>
      <c r="C665" t="inlineStr">
        <is>
          <t>חוטי תפירה - LUX-Sutures</t>
        </is>
      </c>
      <c r="D665" t="inlineStr">
        <is>
          <t>6100049</t>
        </is>
      </c>
      <c r="E665" t="inlineStr">
        <is>
          <t>2025-11</t>
        </is>
      </c>
      <c r="F665" t="n">
        <v>95</v>
      </c>
      <c r="G665" t="n">
        <v>112.1</v>
      </c>
      <c r="H665">
        <f>הגדרות!B4</f>
        <v/>
      </c>
      <c r="I665">
        <f>F665*(1-H665/100)*1.18</f>
        <v/>
      </c>
      <c r="J665">
        <f>הגדרות!C4</f>
        <v/>
      </c>
      <c r="K665">
        <f>הגדרות!D4</f>
        <v/>
      </c>
      <c r="L665">
        <f>I665*(1+J665/100)+K665</f>
        <v/>
      </c>
    </row>
    <row r="666">
      <c r="A666" t="inlineStr">
        <is>
          <t>בית ארז — ציוד מתכלה</t>
        </is>
      </c>
      <c r="B666" t="inlineStr">
        <is>
          <t>חוט LUXCRYL MONOFAST 5/0 RC 3/8 16mm 75cm 12U</t>
        </is>
      </c>
      <c r="C666" t="inlineStr">
        <is>
          <t>חוטי תפירה</t>
        </is>
      </c>
      <c r="D666" t="inlineStr">
        <is>
          <t>6100134</t>
        </is>
      </c>
      <c r="E666" t="inlineStr">
        <is>
          <t>2025-11</t>
        </is>
      </c>
      <c r="F666" t="n">
        <v>109</v>
      </c>
      <c r="G666" t="n">
        <v>128.62</v>
      </c>
      <c r="H666">
        <f>הגדרות!B4</f>
        <v/>
      </c>
      <c r="I666">
        <f>F666*(1-H666/100)*1.18</f>
        <v/>
      </c>
      <c r="J666">
        <f>הגדרות!C4</f>
        <v/>
      </c>
      <c r="K666">
        <f>הגדרות!D4</f>
        <v/>
      </c>
      <c r="L666">
        <f>I666*(1+J666/100)+K666</f>
        <v/>
      </c>
    </row>
    <row r="667">
      <c r="A667" t="inlineStr">
        <is>
          <t>בית ארז — ציוד מתכלה</t>
        </is>
      </c>
      <c r="B667" t="inlineStr">
        <is>
          <t>חוט LUXCRYL MONOFAST 4/0 RC 3/8 19mm 75cm 12U</t>
        </is>
      </c>
      <c r="C667" t="inlineStr">
        <is>
          <t>חוטי תפירה - LUX-Sutures</t>
        </is>
      </c>
      <c r="D667" t="inlineStr">
        <is>
          <t>6100137</t>
        </is>
      </c>
      <c r="E667" t="inlineStr">
        <is>
          <t>2025-11</t>
        </is>
      </c>
      <c r="F667" t="n">
        <v>109</v>
      </c>
      <c r="G667" t="n">
        <v>128.62</v>
      </c>
      <c r="H667">
        <f>הגדרות!B4</f>
        <v/>
      </c>
      <c r="I667">
        <f>F667*(1-H667/100)*1.18</f>
        <v/>
      </c>
      <c r="J667">
        <f>הגדרות!C4</f>
        <v/>
      </c>
      <c r="K667">
        <f>הגדרות!D4</f>
        <v/>
      </c>
      <c r="L667">
        <f>I667*(1+J667/100)+K667</f>
        <v/>
      </c>
    </row>
    <row r="668">
      <c r="A668" t="inlineStr">
        <is>
          <t>בית ארז — ציוד מתכלה</t>
        </is>
      </c>
      <c r="B668" t="inlineStr">
        <is>
          <t>חוט LUXCRYL MONOFAST 3/0 RC 3/8 24mm 75cm 12U</t>
        </is>
      </c>
      <c r="C668" t="inlineStr">
        <is>
          <t>חוטי תפירה</t>
        </is>
      </c>
      <c r="D668" t="inlineStr">
        <is>
          <t>6100142</t>
        </is>
      </c>
      <c r="E668" t="inlineStr">
        <is>
          <t>2025-11</t>
        </is>
      </c>
      <c r="F668" t="n">
        <v>109</v>
      </c>
      <c r="G668" t="n">
        <v>128.62</v>
      </c>
      <c r="H668">
        <f>הגדרות!B4</f>
        <v/>
      </c>
      <c r="I668">
        <f>F668*(1-H668/100)*1.18</f>
        <v/>
      </c>
      <c r="J668">
        <f>הגדרות!C4</f>
        <v/>
      </c>
      <c r="K668">
        <f>הגדרות!D4</f>
        <v/>
      </c>
      <c r="L668">
        <f>I668*(1+J668/100)+K668</f>
        <v/>
      </c>
    </row>
    <row r="669">
      <c r="A669" t="inlineStr">
        <is>
          <t>בית ארז — ציוד מתכלה</t>
        </is>
      </c>
      <c r="B669" t="inlineStr">
        <is>
          <t>חוט CATGUT CHROM 4/0 RC 3/8 19mm 75cm 12U</t>
        </is>
      </c>
      <c r="C669" t="inlineStr">
        <is>
          <t>חוטי תפירה - LUX-Sutures</t>
        </is>
      </c>
      <c r="D669" t="inlineStr">
        <is>
          <t>6100057</t>
        </is>
      </c>
      <c r="E669" t="inlineStr">
        <is>
          <t>2025-11</t>
        </is>
      </c>
      <c r="F669" t="n">
        <v>49</v>
      </c>
      <c r="G669" t="n">
        <v>57.82</v>
      </c>
      <c r="H669">
        <f>הגדרות!B4</f>
        <v/>
      </c>
      <c r="I669">
        <f>F669*(1-H669/100)*1.18</f>
        <v/>
      </c>
      <c r="J669">
        <f>הגדרות!C4</f>
        <v/>
      </c>
      <c r="K669">
        <f>הגדרות!D4</f>
        <v/>
      </c>
      <c r="L669">
        <f>I669*(1+J669/100)+K669</f>
        <v/>
      </c>
    </row>
    <row r="670">
      <c r="A670" t="inlineStr">
        <is>
          <t>בית ארז — ציוד מתכלה</t>
        </is>
      </c>
      <c r="B670" t="inlineStr">
        <is>
          <t>חוט CATGUT CHROM 3/0 RC 3/8 19mm 75cm 12U</t>
        </is>
      </c>
      <c r="C670" t="inlineStr">
        <is>
          <t>חוטי תפירה</t>
        </is>
      </c>
      <c r="D670" t="inlineStr">
        <is>
          <t>6100061</t>
        </is>
      </c>
      <c r="E670" t="inlineStr">
        <is>
          <t>2025-11</t>
        </is>
      </c>
      <c r="F670" t="n">
        <v>49</v>
      </c>
      <c r="G670" t="n">
        <v>57.82</v>
      </c>
      <c r="H670">
        <f>הגדרות!B4</f>
        <v/>
      </c>
      <c r="I670">
        <f>F670*(1-H670/100)*1.18</f>
        <v/>
      </c>
      <c r="J670">
        <f>הגדרות!C4</f>
        <v/>
      </c>
      <c r="K670">
        <f>הגדרות!D4</f>
        <v/>
      </c>
      <c r="L670">
        <f>I670*(1+J670/100)+K670</f>
        <v/>
      </c>
    </row>
    <row r="671">
      <c r="A671" t="inlineStr">
        <is>
          <t>בית ארז — ציוד מתכלה</t>
        </is>
      </c>
      <c r="B671" t="inlineStr">
        <is>
          <t>חוט CATGUT CHROM 3/0 RC 3/8 26mm 75cm 12U</t>
        </is>
      </c>
      <c r="C671" t="inlineStr">
        <is>
          <t>חוטי תפירה - LUX-Sutures</t>
        </is>
      </c>
      <c r="D671" t="inlineStr">
        <is>
          <t>6100062</t>
        </is>
      </c>
      <c r="E671" t="inlineStr">
        <is>
          <t>2025-11</t>
        </is>
      </c>
      <c r="F671" t="n">
        <v>49</v>
      </c>
      <c r="G671" t="n">
        <v>57.82</v>
      </c>
      <c r="H671">
        <f>הגדרות!B4</f>
        <v/>
      </c>
      <c r="I671">
        <f>F671*(1-H671/100)*1.18</f>
        <v/>
      </c>
      <c r="J671">
        <f>הגדרות!C4</f>
        <v/>
      </c>
      <c r="K671">
        <f>הגדרות!D4</f>
        <v/>
      </c>
      <c r="L671">
        <f>I671*(1+J671/100)+K671</f>
        <v/>
      </c>
    </row>
    <row r="672">
      <c r="A672" t="inlineStr">
        <is>
          <t>בית ארז — ציוד מתכלה</t>
        </is>
      </c>
      <c r="B672" t="inlineStr">
        <is>
          <t>חוט CATGUT CHROM 2/0 RC 3/8 26mm 75cm 12U</t>
        </is>
      </c>
      <c r="C672" t="inlineStr">
        <is>
          <t>חוטי תפירה</t>
        </is>
      </c>
      <c r="D672" t="inlineStr">
        <is>
          <t>6100065</t>
        </is>
      </c>
      <c r="E672" t="inlineStr">
        <is>
          <t>2025-11</t>
        </is>
      </c>
      <c r="F672" t="n">
        <v>49</v>
      </c>
      <c r="G672" t="n">
        <v>57.82</v>
      </c>
      <c r="H672">
        <f>הגדרות!B4</f>
        <v/>
      </c>
      <c r="I672">
        <f>F672*(1-H672/100)*1.18</f>
        <v/>
      </c>
      <c r="J672">
        <f>הגדרות!C4</f>
        <v/>
      </c>
      <c r="K672">
        <f>הגדרות!D4</f>
        <v/>
      </c>
      <c r="L672">
        <f>I672*(1+J672/100)+K672</f>
        <v/>
      </c>
    </row>
    <row r="673">
      <c r="A673" t="inlineStr">
        <is>
          <t>בית ארז — ציוד מתכלה</t>
        </is>
      </c>
      <c r="B673" t="inlineStr">
        <is>
          <t>חוט CATGUT CHROM 2/0 RC 3/8 30mm 75cm 12U</t>
        </is>
      </c>
      <c r="C673" t="inlineStr">
        <is>
          <t>חוטי תפירה - LUX-Sutures</t>
        </is>
      </c>
      <c r="D673" t="inlineStr">
        <is>
          <t>6100066</t>
        </is>
      </c>
      <c r="E673" t="inlineStr">
        <is>
          <t>2025-11</t>
        </is>
      </c>
      <c r="F673" t="n">
        <v>49</v>
      </c>
      <c r="G673" t="n">
        <v>57.82</v>
      </c>
      <c r="H673">
        <f>הגדרות!B4</f>
        <v/>
      </c>
      <c r="I673">
        <f>F673*(1-H673/100)*1.18</f>
        <v/>
      </c>
      <c r="J673">
        <f>הגדרות!C4</f>
        <v/>
      </c>
      <c r="K673">
        <f>הגדרות!D4</f>
        <v/>
      </c>
      <c r="L673">
        <f>I673*(1+J673/100)+K673</f>
        <v/>
      </c>
    </row>
    <row r="674">
      <c r="A674" t="inlineStr">
        <is>
          <t>בית ארז — ציוד מתכלה</t>
        </is>
      </c>
      <c r="B674" t="inlineStr">
        <is>
          <t>חוט CATGUT CHROM 0 RC 3/8 37mm 75cm 12U</t>
        </is>
      </c>
      <c r="C674" t="inlineStr">
        <is>
          <t>חוטי תפירה</t>
        </is>
      </c>
      <c r="D674" t="inlineStr">
        <is>
          <t>6100067</t>
        </is>
      </c>
      <c r="E674" t="inlineStr">
        <is>
          <t>2025-11</t>
        </is>
      </c>
      <c r="F674" t="n">
        <v>49</v>
      </c>
      <c r="G674" t="n">
        <v>57.82</v>
      </c>
      <c r="H674">
        <f>הגדרות!B4</f>
        <v/>
      </c>
      <c r="I674">
        <f>F674*(1-H674/100)*1.18</f>
        <v/>
      </c>
      <c r="J674">
        <f>הגדרות!C4</f>
        <v/>
      </c>
      <c r="K674">
        <f>הגדרות!D4</f>
        <v/>
      </c>
      <c r="L674">
        <f>I674*(1+J674/100)+K674</f>
        <v/>
      </c>
    </row>
    <row r="675">
      <c r="A675" t="inlineStr">
        <is>
          <t>בית ארז — ציוד מתכלה</t>
        </is>
      </c>
      <c r="B675" t="inlineStr">
        <is>
          <t>חוט LUXAMID NYLON 4/0 RC 3/8 24mm 75cm 12U</t>
        </is>
      </c>
      <c r="C675" t="inlineStr">
        <is>
          <t>חוטי תפירה - LUX-Sutures</t>
        </is>
      </c>
      <c r="D675" t="inlineStr">
        <is>
          <t>6100078</t>
        </is>
      </c>
      <c r="E675" t="inlineStr">
        <is>
          <t>2025-11</t>
        </is>
      </c>
      <c r="F675" t="n">
        <v>49</v>
      </c>
      <c r="G675" t="n">
        <v>57.82</v>
      </c>
      <c r="H675">
        <f>הגדרות!B4</f>
        <v/>
      </c>
      <c r="I675">
        <f>F675*(1-H675/100)*1.18</f>
        <v/>
      </c>
      <c r="J675">
        <f>הגדרות!C4</f>
        <v/>
      </c>
      <c r="K675">
        <f>הגדרות!D4</f>
        <v/>
      </c>
      <c r="L675">
        <f>I675*(1+J675/100)+K675</f>
        <v/>
      </c>
    </row>
    <row r="676">
      <c r="A676" t="inlineStr">
        <is>
          <t>בית ארז — ציוד מתכלה</t>
        </is>
      </c>
      <c r="B676" t="inlineStr">
        <is>
          <t>חוט LUXAMID NYLON 3/0 RC 3/8 26mm 75cm 12U</t>
        </is>
      </c>
      <c r="C676" t="inlineStr">
        <is>
          <t>חוטי תפירה</t>
        </is>
      </c>
      <c r="D676" t="inlineStr">
        <is>
          <t>6100082</t>
        </is>
      </c>
      <c r="E676" t="inlineStr">
        <is>
          <t>2025-11</t>
        </is>
      </c>
      <c r="F676" t="n">
        <v>49</v>
      </c>
      <c r="G676" t="n">
        <v>57.82</v>
      </c>
      <c r="H676">
        <f>הגדרות!B4</f>
        <v/>
      </c>
      <c r="I676">
        <f>F676*(1-H676/100)*1.18</f>
        <v/>
      </c>
      <c r="J676">
        <f>הגדרות!C4</f>
        <v/>
      </c>
      <c r="K676">
        <f>הגדרות!D4</f>
        <v/>
      </c>
      <c r="L676">
        <f>I676*(1+J676/100)+K676</f>
        <v/>
      </c>
    </row>
    <row r="677">
      <c r="A677" t="inlineStr">
        <is>
          <t>בית ארז — ציוד מתכלה</t>
        </is>
      </c>
      <c r="B677" t="inlineStr">
        <is>
          <t>חוט LUXAMID NYLON 2/0 RC 3/8 36mm 75cm 12U</t>
        </is>
      </c>
      <c r="C677" t="inlineStr">
        <is>
          <t>חוטי תפירה - LUX-Sutures</t>
        </is>
      </c>
      <c r="D677" t="inlineStr">
        <is>
          <t>6100086</t>
        </is>
      </c>
      <c r="E677" t="inlineStr">
        <is>
          <t>2025-11</t>
        </is>
      </c>
      <c r="F677" t="n">
        <v>49</v>
      </c>
      <c r="G677" t="n">
        <v>57.82</v>
      </c>
      <c r="H677">
        <f>הגדרות!B4</f>
        <v/>
      </c>
      <c r="I677">
        <f>F677*(1-H677/100)*1.18</f>
        <v/>
      </c>
      <c r="J677">
        <f>הגדרות!C4</f>
        <v/>
      </c>
      <c r="K677">
        <f>הגדרות!D4</f>
        <v/>
      </c>
      <c r="L677">
        <f>I677*(1+J677/100)+K677</f>
        <v/>
      </c>
    </row>
    <row r="678">
      <c r="A678" t="inlineStr">
        <is>
          <t>בית ארז — ציוד מתכלה</t>
        </is>
      </c>
      <c r="B678" t="inlineStr">
        <is>
          <t>חוט LUXAMID NYLON 0 RC 3/8 36mm 75cm 12U</t>
        </is>
      </c>
      <c r="C678" t="inlineStr">
        <is>
          <t>חוטי תפירה</t>
        </is>
      </c>
      <c r="D678" t="inlineStr">
        <is>
          <t>6100091</t>
        </is>
      </c>
      <c r="E678" t="inlineStr">
        <is>
          <t>2025-11</t>
        </is>
      </c>
      <c r="F678" t="n">
        <v>49</v>
      </c>
      <c r="G678" t="n">
        <v>57.82</v>
      </c>
      <c r="H678">
        <f>הגדרות!B4</f>
        <v/>
      </c>
      <c r="I678">
        <f>F678*(1-H678/100)*1.18</f>
        <v/>
      </c>
      <c r="J678">
        <f>הגדרות!C4</f>
        <v/>
      </c>
      <c r="K678">
        <f>הגדרות!D4</f>
        <v/>
      </c>
      <c r="L678">
        <f>I678*(1+J678/100)+K678</f>
        <v/>
      </c>
    </row>
    <row r="679">
      <c r="A679" t="inlineStr">
        <is>
          <t>בית ארז — ציוד מתכלה</t>
        </is>
      </c>
      <c r="B679" t="inlineStr">
        <is>
          <t>חוט LUXAMID NYLON 1 RC 3/8 40mm 75cm 12U</t>
        </is>
      </c>
      <c r="C679" t="inlineStr">
        <is>
          <t>חוטי תפירה - LUX-Sutures</t>
        </is>
      </c>
      <c r="D679" t="inlineStr">
        <is>
          <t>6100096</t>
        </is>
      </c>
      <c r="E679" t="inlineStr">
        <is>
          <t>2025-11</t>
        </is>
      </c>
      <c r="F679" t="n">
        <v>49</v>
      </c>
      <c r="G679" t="n">
        <v>57.82</v>
      </c>
      <c r="H679">
        <f>הגדרות!B4</f>
        <v/>
      </c>
      <c r="I679">
        <f>F679*(1-H679/100)*1.18</f>
        <v/>
      </c>
      <c r="J679">
        <f>הגדרות!C4</f>
        <v/>
      </c>
      <c r="K679">
        <f>הגדרות!D4</f>
        <v/>
      </c>
      <c r="L679">
        <f>I679*(1+J679/100)+K679</f>
        <v/>
      </c>
    </row>
    <row r="680">
      <c r="A680" t="inlineStr">
        <is>
          <t>בית ארז — ציוד מתכלה</t>
        </is>
      </c>
      <c r="B680" t="inlineStr">
        <is>
          <t>חוט LUXAMID NYLON 2 RC 3/8 40mm 90cm 12U</t>
        </is>
      </c>
      <c r="C680" t="inlineStr">
        <is>
          <t>חוטי תפירה</t>
        </is>
      </c>
      <c r="D680" t="inlineStr">
        <is>
          <t>6100097</t>
        </is>
      </c>
      <c r="E680" t="inlineStr">
        <is>
          <t>2025-11</t>
        </is>
      </c>
      <c r="F680" t="n">
        <v>49</v>
      </c>
      <c r="G680" t="n">
        <v>57.82</v>
      </c>
      <c r="H680">
        <f>הגדרות!B4</f>
        <v/>
      </c>
      <c r="I680">
        <f>F680*(1-H680/100)*1.18</f>
        <v/>
      </c>
      <c r="J680">
        <f>הגדרות!C4</f>
        <v/>
      </c>
      <c r="K680">
        <f>הגדרות!D4</f>
        <v/>
      </c>
      <c r="L680">
        <f>I680*(1+J680/100)+K680</f>
        <v/>
      </c>
    </row>
    <row r="681">
      <c r="A681" t="inlineStr">
        <is>
          <t>בית ארז — ציוד מתכלה</t>
        </is>
      </c>
      <c r="B681" t="inlineStr">
        <is>
          <t>חוט LUXCRYL PDO 5/0 TAP 1/2 17mm 75cm 12U</t>
        </is>
      </c>
      <c r="C681" t="inlineStr">
        <is>
          <t>חוטי תפירה - LUX-Sutures</t>
        </is>
      </c>
      <c r="D681" t="inlineStr">
        <is>
          <t>6100435</t>
        </is>
      </c>
      <c r="E681" t="inlineStr">
        <is>
          <t>2025-11</t>
        </is>
      </c>
      <c r="F681" t="n">
        <v>95</v>
      </c>
      <c r="G681" t="n">
        <v>112.1</v>
      </c>
      <c r="H681">
        <f>הגדרות!B4</f>
        <v/>
      </c>
      <c r="I681">
        <f>F681*(1-H681/100)*1.18</f>
        <v/>
      </c>
      <c r="J681">
        <f>הגדרות!C4</f>
        <v/>
      </c>
      <c r="K681">
        <f>הגדרות!D4</f>
        <v/>
      </c>
      <c r="L681">
        <f>I681*(1+J681/100)+K681</f>
        <v/>
      </c>
    </row>
    <row r="682">
      <c r="A682" t="inlineStr">
        <is>
          <t>בית ארז — ציוד מתכלה</t>
        </is>
      </c>
      <c r="B682" t="inlineStr">
        <is>
          <t>חוט LUXCRYL PDO 4/0 TAP 1/2 26mm 75cm 12U</t>
        </is>
      </c>
      <c r="C682" t="inlineStr">
        <is>
          <t>חוטי תפירה</t>
        </is>
      </c>
      <c r="D682" t="inlineStr">
        <is>
          <t>6100437</t>
        </is>
      </c>
      <c r="E682" t="inlineStr">
        <is>
          <t>2025-11</t>
        </is>
      </c>
      <c r="F682" t="n">
        <v>95</v>
      </c>
      <c r="G682" t="n">
        <v>112.1</v>
      </c>
      <c r="H682">
        <f>הגדרות!B4</f>
        <v/>
      </c>
      <c r="I682">
        <f>F682*(1-H682/100)*1.18</f>
        <v/>
      </c>
      <c r="J682">
        <f>הגדרות!C4</f>
        <v/>
      </c>
      <c r="K682">
        <f>הגדרות!D4</f>
        <v/>
      </c>
      <c r="L682">
        <f>I682*(1+J682/100)+K682</f>
        <v/>
      </c>
    </row>
    <row r="683">
      <c r="A683" t="inlineStr">
        <is>
          <t>בית ארז — ציוד מתכלה</t>
        </is>
      </c>
      <c r="B683" t="inlineStr">
        <is>
          <t>חוט LUXCRYL PDO 3/0 TAP 1/2 26mm 75cm 12U</t>
        </is>
      </c>
      <c r="C683" t="inlineStr">
        <is>
          <t>חוטי תפירה - LUX-Sutures</t>
        </is>
      </c>
      <c r="D683" t="inlineStr">
        <is>
          <t>6100438</t>
        </is>
      </c>
      <c r="E683" t="inlineStr">
        <is>
          <t>2025-11</t>
        </is>
      </c>
      <c r="F683" t="n">
        <v>95</v>
      </c>
      <c r="G683" t="n">
        <v>112.1</v>
      </c>
      <c r="H683">
        <f>הגדרות!B4</f>
        <v/>
      </c>
      <c r="I683">
        <f>F683*(1-H683/100)*1.18</f>
        <v/>
      </c>
      <c r="J683">
        <f>הגדרות!C4</f>
        <v/>
      </c>
      <c r="K683">
        <f>הגדרות!D4</f>
        <v/>
      </c>
      <c r="L683">
        <f>I683*(1+J683/100)+K683</f>
        <v/>
      </c>
    </row>
    <row r="684">
      <c r="A684" t="inlineStr">
        <is>
          <t>בית ארז — ציוד מתכלה</t>
        </is>
      </c>
      <c r="B684" t="inlineStr">
        <is>
          <t>חוט LUXCRYL PDO 2/0 TAP 1/2 26mm 75cm 12U</t>
        </is>
      </c>
      <c r="C684" t="inlineStr">
        <is>
          <t>חוטי תפירה</t>
        </is>
      </c>
      <c r="D684" t="inlineStr">
        <is>
          <t>6100439</t>
        </is>
      </c>
      <c r="E684" t="inlineStr">
        <is>
          <t>2025-11</t>
        </is>
      </c>
      <c r="F684" t="n">
        <v>95</v>
      </c>
      <c r="G684" t="n">
        <v>112.1</v>
      </c>
      <c r="H684">
        <f>הגדרות!B4</f>
        <v/>
      </c>
      <c r="I684">
        <f>F684*(1-H684/100)*1.18</f>
        <v/>
      </c>
      <c r="J684">
        <f>הגדרות!C4</f>
        <v/>
      </c>
      <c r="K684">
        <f>הגדרות!D4</f>
        <v/>
      </c>
      <c r="L684">
        <f>I684*(1+J684/100)+K684</f>
        <v/>
      </c>
    </row>
    <row r="685">
      <c r="A685" t="inlineStr">
        <is>
          <t>בית ארז — ציוד מתכלה</t>
        </is>
      </c>
      <c r="B685" t="inlineStr">
        <is>
          <t>חוט LUXCRYL PDO 2 TAP 1/2 40mm 90cm 12U</t>
        </is>
      </c>
      <c r="C685" t="inlineStr">
        <is>
          <t>חוטי תפירה - LUX-Sutures</t>
        </is>
      </c>
      <c r="D685" t="inlineStr">
        <is>
          <t>6100442</t>
        </is>
      </c>
      <c r="E685" t="inlineStr">
        <is>
          <t>2025-11</t>
        </is>
      </c>
      <c r="F685" t="n">
        <v>105</v>
      </c>
      <c r="G685" t="n">
        <v>123.9</v>
      </c>
      <c r="H685">
        <f>הגדרות!B4</f>
        <v/>
      </c>
      <c r="I685">
        <f>F685*(1-H685/100)*1.18</f>
        <v/>
      </c>
      <c r="J685">
        <f>הגדרות!C4</f>
        <v/>
      </c>
      <c r="K685">
        <f>הגדרות!D4</f>
        <v/>
      </c>
      <c r="L685">
        <f>I685*(1+J685/100)+K685</f>
        <v/>
      </c>
    </row>
    <row r="686">
      <c r="A686" t="inlineStr">
        <is>
          <t>בית ארז — ציוד מתכלה</t>
        </is>
      </c>
      <c r="B686" t="inlineStr">
        <is>
          <t>ערכת רצועה צולבת CCL 50lb X 500mm XS CN+10mm crimp</t>
        </is>
      </c>
      <c r="C686" t="inlineStr">
        <is>
          <t>חוט בקסטה וערכות CCL</t>
        </is>
      </c>
      <c r="D686" t="inlineStr">
        <is>
          <t>6100703</t>
        </is>
      </c>
      <c r="E686" t="inlineStr">
        <is>
          <t>2025-11</t>
        </is>
      </c>
      <c r="F686" t="n">
        <v>80</v>
      </c>
      <c r="G686" t="n">
        <v>94.40000000000001</v>
      </c>
      <c r="H686">
        <f>הגדרות!B4</f>
        <v/>
      </c>
      <c r="I686">
        <f>F686*(1-H686/100)*1.18</f>
        <v/>
      </c>
      <c r="J686">
        <f>הגדרות!C4</f>
        <v/>
      </c>
      <c r="K686">
        <f>הגדרות!D4</f>
        <v/>
      </c>
      <c r="L686">
        <f>I686*(1+J686/100)+K686</f>
        <v/>
      </c>
    </row>
    <row r="687">
      <c r="A687" t="inlineStr">
        <is>
          <t>בית ארז — ציוד מתכלה</t>
        </is>
      </c>
      <c r="B687" t="inlineStr">
        <is>
          <t>ערכת רצועה צולבת CCL 80lb X 800mm S CN+12mm crimp</t>
        </is>
      </c>
      <c r="C687" t="inlineStr">
        <is>
          <t>חוטי תפירה</t>
        </is>
      </c>
      <c r="D687" t="inlineStr">
        <is>
          <t>6100704</t>
        </is>
      </c>
      <c r="E687" t="inlineStr">
        <is>
          <t>2025-11</t>
        </is>
      </c>
      <c r="F687" t="n">
        <v>80</v>
      </c>
      <c r="G687" t="n">
        <v>94.40000000000001</v>
      </c>
      <c r="H687">
        <f>הגדרות!B4</f>
        <v/>
      </c>
      <c r="I687">
        <f>F687*(1-H687/100)*1.18</f>
        <v/>
      </c>
      <c r="J687">
        <f>הגדרות!C4</f>
        <v/>
      </c>
      <c r="K687">
        <f>הגדרות!D4</f>
        <v/>
      </c>
      <c r="L687">
        <f>I687*(1+J687/100)+K687</f>
        <v/>
      </c>
    </row>
    <row r="688">
      <c r="A688" t="inlineStr">
        <is>
          <t>בית ארז — ציוד מתכלה</t>
        </is>
      </c>
      <c r="B688" t="inlineStr">
        <is>
          <t>ערכת רצועה צולבת CCL 100lb X 800mm M CN+12mm crimp</t>
        </is>
      </c>
      <c r="C688" t="inlineStr">
        <is>
          <t>חוט בקסטה וערכות CCL</t>
        </is>
      </c>
      <c r="D688" t="inlineStr">
        <is>
          <t>6100705</t>
        </is>
      </c>
      <c r="E688" t="inlineStr">
        <is>
          <t>2025-11</t>
        </is>
      </c>
      <c r="F688" t="n">
        <v>80</v>
      </c>
      <c r="G688" t="n">
        <v>94.40000000000001</v>
      </c>
      <c r="H688">
        <f>הגדרות!B4</f>
        <v/>
      </c>
      <c r="I688">
        <f>F688*(1-H688/100)*1.18</f>
        <v/>
      </c>
      <c r="J688">
        <f>הגדרות!C4</f>
        <v/>
      </c>
      <c r="K688">
        <f>הגדרות!D4</f>
        <v/>
      </c>
      <c r="L688">
        <f>I688*(1+J688/100)+K688</f>
        <v/>
      </c>
    </row>
    <row r="689">
      <c r="A689" t="inlineStr">
        <is>
          <t>בית ארז — ציוד מתכלה</t>
        </is>
      </c>
      <c r="B689" t="inlineStr">
        <is>
          <t>מתקן מחזיק קסטות - 3 קסטות</t>
        </is>
      </c>
      <c r="C689" t="inlineStr">
        <is>
          <t>חוטי תפירה</t>
        </is>
      </c>
      <c r="D689" t="inlineStr">
        <is>
          <t>6100950</t>
        </is>
      </c>
      <c r="E689" t="inlineStr">
        <is>
          <t>2025-11</t>
        </is>
      </c>
      <c r="F689" t="n">
        <v>120</v>
      </c>
      <c r="G689" t="n">
        <v>141.6</v>
      </c>
      <c r="H689">
        <f>הגדרות!B4</f>
        <v/>
      </c>
      <c r="I689">
        <f>F689*(1-H689/100)*1.18</f>
        <v/>
      </c>
      <c r="J689">
        <f>הגדרות!C4</f>
        <v/>
      </c>
      <c r="K689">
        <f>הגדרות!D4</f>
        <v/>
      </c>
      <c r="L689">
        <f>I689*(1+J689/100)+K689</f>
        <v/>
      </c>
    </row>
    <row r="690">
      <c r="A690" t="inlineStr">
        <is>
          <t>בית ארז — ציוד מתכלה</t>
        </is>
      </c>
      <c r="B690" t="inlineStr">
        <is>
          <t>חוט בקסטה LUXCRYL PGA 3/0 25M</t>
        </is>
      </c>
      <c r="C690" t="inlineStr">
        <is>
          <t>חוט בקסטה וערכות CCL</t>
        </is>
      </c>
      <c r="D690" t="inlineStr">
        <is>
          <t>6100502</t>
        </is>
      </c>
      <c r="E690" t="inlineStr">
        <is>
          <t>2025-11</t>
        </is>
      </c>
      <c r="F690" t="n">
        <v>135</v>
      </c>
      <c r="G690" t="n">
        <v>159.3</v>
      </c>
      <c r="H690">
        <f>הגדרות!B4</f>
        <v/>
      </c>
      <c r="I690">
        <f>F690*(1-H690/100)*1.18</f>
        <v/>
      </c>
      <c r="J690">
        <f>הגדרות!C4</f>
        <v/>
      </c>
      <c r="K690">
        <f>הגדרות!D4</f>
        <v/>
      </c>
      <c r="L690">
        <f>I690*(1+J690/100)+K690</f>
        <v/>
      </c>
    </row>
    <row r="691">
      <c r="A691" t="inlineStr">
        <is>
          <t>בית ארז — ציוד מתכלה</t>
        </is>
      </c>
      <c r="B691" t="inlineStr">
        <is>
          <t>חוט בקסטה LUXCRYL PGA 2/0 50M</t>
        </is>
      </c>
      <c r="C691" t="inlineStr">
        <is>
          <t>חוטי תפירה</t>
        </is>
      </c>
      <c r="D691" t="inlineStr">
        <is>
          <t>6100504</t>
        </is>
      </c>
      <c r="E691" t="inlineStr">
        <is>
          <t>2025-11</t>
        </is>
      </c>
      <c r="F691" t="n">
        <v>250</v>
      </c>
      <c r="G691" t="n">
        <v>295</v>
      </c>
      <c r="H691">
        <f>הגדרות!B4</f>
        <v/>
      </c>
      <c r="I691">
        <f>F691*(1-H691/100)*1.18</f>
        <v/>
      </c>
      <c r="J691">
        <f>הגדרות!C4</f>
        <v/>
      </c>
      <c r="K691">
        <f>הגדרות!D4</f>
        <v/>
      </c>
      <c r="L691">
        <f>I691*(1+J691/100)+K691</f>
        <v/>
      </c>
    </row>
    <row r="692">
      <c r="A692" t="inlineStr">
        <is>
          <t>בית ארז — ציוד מתכלה</t>
        </is>
      </c>
      <c r="B692" t="inlineStr">
        <is>
          <t>חוט בקסטה LUXCRYL PGA 0 50M</t>
        </is>
      </c>
      <c r="C692" t="inlineStr">
        <is>
          <t>חוט בקסטה וערכות CCL</t>
        </is>
      </c>
      <c r="D692" t="inlineStr">
        <is>
          <t>6100505</t>
        </is>
      </c>
      <c r="E692" t="inlineStr">
        <is>
          <t>2025-11</t>
        </is>
      </c>
      <c r="F692" t="n">
        <v>265</v>
      </c>
      <c r="G692" t="n">
        <v>312.7</v>
      </c>
      <c r="H692">
        <f>הגדרות!B4</f>
        <v/>
      </c>
      <c r="I692">
        <f>F692*(1-H692/100)*1.18</f>
        <v/>
      </c>
      <c r="J692">
        <f>הגדרות!C4</f>
        <v/>
      </c>
      <c r="K692">
        <f>הגדרות!D4</f>
        <v/>
      </c>
      <c r="L692">
        <f>I692*(1+J692/100)+K692</f>
        <v/>
      </c>
    </row>
    <row r="693">
      <c r="A693" t="inlineStr">
        <is>
          <t>בית ארז — ציוד מתכלה</t>
        </is>
      </c>
      <c r="B693" t="inlineStr">
        <is>
          <t>חוט בקסטה LUXCRYL PGA 1 50M</t>
        </is>
      </c>
      <c r="C693" t="inlineStr">
        <is>
          <t>חוטי תפירה</t>
        </is>
      </c>
      <c r="D693" t="inlineStr">
        <is>
          <t>6100507</t>
        </is>
      </c>
      <c r="E693" t="inlineStr">
        <is>
          <t>2025-11</t>
        </is>
      </c>
      <c r="F693" t="n">
        <v>275</v>
      </c>
      <c r="G693" t="n">
        <v>324.5</v>
      </c>
      <c r="H693">
        <f>הגדרות!B4</f>
        <v/>
      </c>
      <c r="I693">
        <f>F693*(1-H693/100)*1.18</f>
        <v/>
      </c>
      <c r="J693">
        <f>הגדרות!C4</f>
        <v/>
      </c>
      <c r="K693">
        <f>הגדרות!D4</f>
        <v/>
      </c>
      <c r="L693">
        <f>I693*(1+J693/100)+K693</f>
        <v/>
      </c>
    </row>
    <row r="694">
      <c r="A694" t="inlineStr">
        <is>
          <t>בית ארז — ציוד מתכלה</t>
        </is>
      </c>
      <c r="B694" t="inlineStr">
        <is>
          <t>חוט בקסטה LUXCRYL PGA 2 50M</t>
        </is>
      </c>
      <c r="C694" t="inlineStr">
        <is>
          <t>חוט בקסטה וערכות CCL</t>
        </is>
      </c>
      <c r="D694" t="inlineStr">
        <is>
          <t>6100510</t>
        </is>
      </c>
      <c r="E694" t="inlineStr">
        <is>
          <t>2025-11</t>
        </is>
      </c>
      <c r="F694" t="n">
        <v>320</v>
      </c>
      <c r="G694" t="n">
        <v>377.6</v>
      </c>
      <c r="H694">
        <f>הגדרות!B4</f>
        <v/>
      </c>
      <c r="I694">
        <f>F694*(1-H694/100)*1.18</f>
        <v/>
      </c>
      <c r="J694">
        <f>הגדרות!C4</f>
        <v/>
      </c>
      <c r="K694">
        <f>הגדרות!D4</f>
        <v/>
      </c>
      <c r="L694">
        <f>I694*(1+J694/100)+K694</f>
        <v/>
      </c>
    </row>
    <row r="695">
      <c r="A695" t="inlineStr">
        <is>
          <t>בית ארז — ציוד מתכלה</t>
        </is>
      </c>
      <c r="B695" t="inlineStr">
        <is>
          <t>חוט בקסטה LUXCRYL PDO 3/0 25M</t>
        </is>
      </c>
      <c r="C695" t="inlineStr">
        <is>
          <t>חוטי תפירה</t>
        </is>
      </c>
      <c r="D695" t="inlineStr">
        <is>
          <t>6100522</t>
        </is>
      </c>
      <c r="E695" t="inlineStr">
        <is>
          <t>2025-11</t>
        </is>
      </c>
      <c r="F695" t="n">
        <v>185</v>
      </c>
      <c r="G695" t="n">
        <v>218.3</v>
      </c>
      <c r="H695">
        <f>הגדרות!B4</f>
        <v/>
      </c>
      <c r="I695">
        <f>F695*(1-H695/100)*1.18</f>
        <v/>
      </c>
      <c r="J695">
        <f>הגדרות!C4</f>
        <v/>
      </c>
      <c r="K695">
        <f>הגדרות!D4</f>
        <v/>
      </c>
      <c r="L695">
        <f>I695*(1+J695/100)+K695</f>
        <v/>
      </c>
    </row>
    <row r="696">
      <c r="A696" t="inlineStr">
        <is>
          <t>בית ארז — ציוד מתכלה</t>
        </is>
      </c>
      <c r="B696" t="inlineStr">
        <is>
          <t>חוט בקסטה LUXCRYL PDO 2/0 25M</t>
        </is>
      </c>
      <c r="C696" t="inlineStr">
        <is>
          <t>חוט בקסטה וערכות CCL</t>
        </is>
      </c>
      <c r="D696" t="inlineStr">
        <is>
          <t>6100523</t>
        </is>
      </c>
      <c r="E696" t="inlineStr">
        <is>
          <t>2025-11</t>
        </is>
      </c>
      <c r="F696" t="n">
        <v>210</v>
      </c>
      <c r="G696" t="n">
        <v>247.8</v>
      </c>
      <c r="H696">
        <f>הגדרות!B4</f>
        <v/>
      </c>
      <c r="I696">
        <f>F696*(1-H696/100)*1.18</f>
        <v/>
      </c>
      <c r="J696">
        <f>הגדרות!C4</f>
        <v/>
      </c>
      <c r="K696">
        <f>הגדרות!D4</f>
        <v/>
      </c>
      <c r="L696">
        <f>I696*(1+J696/100)+K696</f>
        <v/>
      </c>
    </row>
    <row r="697">
      <c r="A697" t="inlineStr">
        <is>
          <t>בית ארז — ציוד מתכלה</t>
        </is>
      </c>
      <c r="B697" t="inlineStr">
        <is>
          <t>חוט בקסטה LUXCRYL PDO 0 25M</t>
        </is>
      </c>
      <c r="C697" t="inlineStr">
        <is>
          <t>חוטי תפירה</t>
        </is>
      </c>
      <c r="D697" t="inlineStr">
        <is>
          <t>6100524</t>
        </is>
      </c>
      <c r="E697" t="inlineStr">
        <is>
          <t>2025-11</t>
        </is>
      </c>
      <c r="F697" t="n">
        <v>220</v>
      </c>
      <c r="G697" t="n">
        <v>259.6</v>
      </c>
      <c r="H697">
        <f>הגדרות!B4</f>
        <v/>
      </c>
      <c r="I697">
        <f>F697*(1-H697/100)*1.18</f>
        <v/>
      </c>
      <c r="J697">
        <f>הגדרות!C4</f>
        <v/>
      </c>
      <c r="K697">
        <f>הגדרות!D4</f>
        <v/>
      </c>
      <c r="L697">
        <f>I697*(1+J697/100)+K697</f>
        <v/>
      </c>
    </row>
    <row r="698">
      <c r="A698" t="inlineStr">
        <is>
          <t>בית ארז — ציוד מתכלה</t>
        </is>
      </c>
      <c r="B698" t="inlineStr">
        <is>
          <t>חוט בקסטה LUXCRYL PDO 1 25M</t>
        </is>
      </c>
      <c r="C698" t="inlineStr">
        <is>
          <t>חוט בקסטה וערכות CCL</t>
        </is>
      </c>
      <c r="D698" t="inlineStr">
        <is>
          <t>6100525</t>
        </is>
      </c>
      <c r="E698" t="inlineStr">
        <is>
          <t>2025-11</t>
        </is>
      </c>
      <c r="F698" t="n">
        <v>220</v>
      </c>
      <c r="G698" t="n">
        <v>259.6</v>
      </c>
      <c r="H698">
        <f>הגדרות!B4</f>
        <v/>
      </c>
      <c r="I698">
        <f>F698*(1-H698/100)*1.18</f>
        <v/>
      </c>
      <c r="J698">
        <f>הגדרות!C4</f>
        <v/>
      </c>
      <c r="K698">
        <f>הגדרות!D4</f>
        <v/>
      </c>
      <c r="L698">
        <f>I698*(1+J698/100)+K698</f>
        <v/>
      </c>
    </row>
    <row r="699">
      <c r="A699" t="inlineStr">
        <is>
          <t>בית ארז — ציוד מתכלה</t>
        </is>
      </c>
      <c r="B699" t="inlineStr">
        <is>
          <t>חוט בקסטה LUXCRYL PDO 2 25M</t>
        </is>
      </c>
      <c r="C699" t="inlineStr">
        <is>
          <t>חוטי תפירה</t>
        </is>
      </c>
      <c r="D699" t="inlineStr">
        <is>
          <t>6100527</t>
        </is>
      </c>
      <c r="E699" t="inlineStr">
        <is>
          <t>2025-11</t>
        </is>
      </c>
      <c r="F699" t="n">
        <v>220</v>
      </c>
      <c r="G699" t="n">
        <v>259.6</v>
      </c>
      <c r="H699">
        <f>הגדרות!B4</f>
        <v/>
      </c>
      <c r="I699">
        <f>F699*(1-H699/100)*1.18</f>
        <v/>
      </c>
      <c r="J699">
        <f>הגדרות!C4</f>
        <v/>
      </c>
      <c r="K699">
        <f>הגדרות!D4</f>
        <v/>
      </c>
      <c r="L699">
        <f>I699*(1+J699/100)+K699</f>
        <v/>
      </c>
    </row>
    <row r="700">
      <c r="A700" t="inlineStr">
        <is>
          <t>בית ארז — ציוד מתכלה</t>
        </is>
      </c>
      <c r="B700" t="inlineStr">
        <is>
          <t>חוט בקסטה CATGUT CHROM 3/0 100M</t>
        </is>
      </c>
      <c r="C700" t="inlineStr">
        <is>
          <t>חוט בקסטה וערכות CCL</t>
        </is>
      </c>
      <c r="D700" t="inlineStr">
        <is>
          <t>6100542</t>
        </is>
      </c>
      <c r="E700" t="inlineStr">
        <is>
          <t>2025-11</t>
        </is>
      </c>
      <c r="F700" t="n">
        <v>310</v>
      </c>
      <c r="G700" t="n">
        <v>365.8</v>
      </c>
      <c r="H700">
        <f>הגדרות!B4</f>
        <v/>
      </c>
      <c r="I700">
        <f>F700*(1-H700/100)*1.18</f>
        <v/>
      </c>
      <c r="J700">
        <f>הגדרות!C4</f>
        <v/>
      </c>
      <c r="K700">
        <f>הגדרות!D4</f>
        <v/>
      </c>
      <c r="L700">
        <f>I700*(1+J700/100)+K700</f>
        <v/>
      </c>
    </row>
    <row r="701">
      <c r="A701" t="inlineStr">
        <is>
          <t>בית ארז — ציוד מתכלה</t>
        </is>
      </c>
      <c r="B701" t="inlineStr">
        <is>
          <t>חוט בקסטה CATGUT CHROM 2/0 100M</t>
        </is>
      </c>
      <c r="C701" t="inlineStr">
        <is>
          <t>חוטי תפירה</t>
        </is>
      </c>
      <c r="D701" t="inlineStr">
        <is>
          <t>6100544</t>
        </is>
      </c>
      <c r="E701" t="inlineStr">
        <is>
          <t>2025-11</t>
        </is>
      </c>
      <c r="F701" t="n">
        <v>330</v>
      </c>
      <c r="G701" t="n">
        <v>389.4</v>
      </c>
      <c r="H701">
        <f>הגדרות!B4</f>
        <v/>
      </c>
      <c r="I701">
        <f>F701*(1-H701/100)*1.18</f>
        <v/>
      </c>
      <c r="J701">
        <f>הגדרות!C4</f>
        <v/>
      </c>
      <c r="K701">
        <f>הגדרות!D4</f>
        <v/>
      </c>
      <c r="L701">
        <f>I701*(1+J701/100)+K701</f>
        <v/>
      </c>
    </row>
    <row r="702">
      <c r="A702" t="inlineStr">
        <is>
          <t>בית ארז — ציוד מתכלה</t>
        </is>
      </c>
      <c r="B702" t="inlineStr">
        <is>
          <t>חוט בקסטה CATGUT CHROM 0 100M</t>
        </is>
      </c>
      <c r="C702" t="inlineStr">
        <is>
          <t>חוט בקסטה וערכות CCL</t>
        </is>
      </c>
      <c r="D702" t="inlineStr">
        <is>
          <t>6100547</t>
        </is>
      </c>
      <c r="E702" t="inlineStr">
        <is>
          <t>2025-11</t>
        </is>
      </c>
      <c r="F702" t="n">
        <v>355</v>
      </c>
      <c r="G702" t="n">
        <v>418.9</v>
      </c>
      <c r="H702">
        <f>הגדרות!B4</f>
        <v/>
      </c>
      <c r="I702">
        <f>F702*(1-H702/100)*1.18</f>
        <v/>
      </c>
      <c r="J702">
        <f>הגדרות!C4</f>
        <v/>
      </c>
      <c r="K702">
        <f>הגדרות!D4</f>
        <v/>
      </c>
      <c r="L702">
        <f>I702*(1+J702/100)+K702</f>
        <v/>
      </c>
    </row>
    <row r="703">
      <c r="A703" t="inlineStr">
        <is>
          <t>בית ארז — ציוד מתכלה</t>
        </is>
      </c>
      <c r="B703" t="inlineStr">
        <is>
          <t>חוט בקסטה CATGUT CHROM 1 75M</t>
        </is>
      </c>
      <c r="C703" t="inlineStr">
        <is>
          <t>חוטי תפירה</t>
        </is>
      </c>
      <c r="D703" t="inlineStr">
        <is>
          <t>6100549</t>
        </is>
      </c>
      <c r="E703" t="inlineStr">
        <is>
          <t>2025-11</t>
        </is>
      </c>
      <c r="F703" t="n">
        <v>330</v>
      </c>
      <c r="G703" t="n">
        <v>389.4</v>
      </c>
      <c r="H703">
        <f>הגדרות!B4</f>
        <v/>
      </c>
      <c r="I703">
        <f>F703*(1-H703/100)*1.18</f>
        <v/>
      </c>
      <c r="J703">
        <f>הגדרות!C4</f>
        <v/>
      </c>
      <c r="K703">
        <f>הגדרות!D4</f>
        <v/>
      </c>
      <c r="L703">
        <f>I703*(1+J703/100)+K703</f>
        <v/>
      </c>
    </row>
    <row r="704">
      <c r="A704" t="inlineStr">
        <is>
          <t>בית ארז — ציוד מתכלה</t>
        </is>
      </c>
      <c r="B704" t="inlineStr">
        <is>
          <t>חוט בקסטה CATGUT CHROM 2 50M</t>
        </is>
      </c>
      <c r="C704" t="inlineStr">
        <is>
          <t>חוט בקסטה וערכות CCL</t>
        </is>
      </c>
      <c r="D704" t="inlineStr">
        <is>
          <t>6100552</t>
        </is>
      </c>
      <c r="E704" t="inlineStr">
        <is>
          <t>2025-11</t>
        </is>
      </c>
      <c r="F704" t="n">
        <v>270</v>
      </c>
      <c r="G704" t="n">
        <v>318.6</v>
      </c>
      <c r="H704">
        <f>הגדרות!B4</f>
        <v/>
      </c>
      <c r="I704">
        <f>F704*(1-H704/100)*1.18</f>
        <v/>
      </c>
      <c r="J704">
        <f>הגדרות!C4</f>
        <v/>
      </c>
      <c r="K704">
        <f>הגדרות!D4</f>
        <v/>
      </c>
      <c r="L704">
        <f>I704*(1+J704/100)+K704</f>
        <v/>
      </c>
    </row>
    <row r="705">
      <c r="A705" t="inlineStr">
        <is>
          <t>בית ארז — ציוד מתכלה</t>
        </is>
      </c>
      <c r="B705" t="inlineStr">
        <is>
          <t>חוט בקסטה CATGUT CHROM 3 50M</t>
        </is>
      </c>
      <c r="C705" t="inlineStr">
        <is>
          <t>חוטי תפירה</t>
        </is>
      </c>
      <c r="D705" t="inlineStr">
        <is>
          <t>6100555</t>
        </is>
      </c>
      <c r="E705" t="inlineStr">
        <is>
          <t>2025-11</t>
        </is>
      </c>
      <c r="F705" t="n">
        <v>285</v>
      </c>
      <c r="G705" t="n">
        <v>336.3</v>
      </c>
      <c r="H705">
        <f>הגדרות!B4</f>
        <v/>
      </c>
      <c r="I705">
        <f>F705*(1-H705/100)*1.18</f>
        <v/>
      </c>
      <c r="J705">
        <f>הגדרות!C4</f>
        <v/>
      </c>
      <c r="K705">
        <f>הגדרות!D4</f>
        <v/>
      </c>
      <c r="L705">
        <f>I705*(1+J705/100)+K705</f>
        <v/>
      </c>
    </row>
    <row r="706">
      <c r="A706" t="inlineStr">
        <is>
          <t>בית ארז — ציוד מתכלה</t>
        </is>
      </c>
      <c r="B706" t="inlineStr">
        <is>
          <t>חוט בקסטה LUXAMID NYLON 3/0 100M</t>
        </is>
      </c>
      <c r="C706" t="inlineStr">
        <is>
          <t>חוט בקסטה וערכות CCL</t>
        </is>
      </c>
      <c r="D706" t="inlineStr">
        <is>
          <t>6100562</t>
        </is>
      </c>
      <c r="E706" t="inlineStr">
        <is>
          <t>2025-11</t>
        </is>
      </c>
      <c r="F706" t="n">
        <v>75</v>
      </c>
      <c r="G706" t="n">
        <v>88.5</v>
      </c>
      <c r="H706">
        <f>הגדרות!B4</f>
        <v/>
      </c>
      <c r="I706">
        <f>F706*(1-H706/100)*1.18</f>
        <v/>
      </c>
      <c r="J706">
        <f>הגדרות!C4</f>
        <v/>
      </c>
      <c r="K706">
        <f>הגדרות!D4</f>
        <v/>
      </c>
      <c r="L706">
        <f>I706*(1+J706/100)+K706</f>
        <v/>
      </c>
    </row>
    <row r="707">
      <c r="A707" t="inlineStr">
        <is>
          <t>בית ארז — ציוד מתכלה</t>
        </is>
      </c>
      <c r="B707" t="inlineStr">
        <is>
          <t>חוט בקסטה LUXAMID NYLON 2/0 100M</t>
        </is>
      </c>
      <c r="C707" t="inlineStr">
        <is>
          <t>חוטי תפירה</t>
        </is>
      </c>
      <c r="D707" t="inlineStr">
        <is>
          <t>6100563</t>
        </is>
      </c>
      <c r="E707" t="inlineStr">
        <is>
          <t>2025-11</t>
        </is>
      </c>
      <c r="F707" t="n">
        <v>85</v>
      </c>
      <c r="G707" t="n">
        <v>100.3</v>
      </c>
      <c r="H707">
        <f>הגדרות!B4</f>
        <v/>
      </c>
      <c r="I707">
        <f>F707*(1-H707/100)*1.18</f>
        <v/>
      </c>
      <c r="J707">
        <f>הגדרות!C4</f>
        <v/>
      </c>
      <c r="K707">
        <f>הגדרות!D4</f>
        <v/>
      </c>
      <c r="L707">
        <f>I707*(1+J707/100)+K707</f>
        <v/>
      </c>
    </row>
    <row r="708">
      <c r="A708" t="inlineStr">
        <is>
          <t>בית ארז — ציוד מתכלה</t>
        </is>
      </c>
      <c r="B708" t="inlineStr">
        <is>
          <t>חוט בקסטה LUXAMID NYLON 0 100M</t>
        </is>
      </c>
      <c r="C708" t="inlineStr">
        <is>
          <t>חוט בקסטה וערכות CCL</t>
        </is>
      </c>
      <c r="D708" t="inlineStr">
        <is>
          <t>6100564</t>
        </is>
      </c>
      <c r="E708" t="inlineStr">
        <is>
          <t>2025-11</t>
        </is>
      </c>
      <c r="F708" t="n">
        <v>90</v>
      </c>
      <c r="G708" t="n">
        <v>106.2</v>
      </c>
      <c r="H708">
        <f>הגדרות!B4</f>
        <v/>
      </c>
      <c r="I708">
        <f>F708*(1-H708/100)*1.18</f>
        <v/>
      </c>
      <c r="J708">
        <f>הגדרות!C4</f>
        <v/>
      </c>
      <c r="K708">
        <f>הגדרות!D4</f>
        <v/>
      </c>
      <c r="L708">
        <f>I708*(1+J708/100)+K708</f>
        <v/>
      </c>
    </row>
    <row r="709">
      <c r="A709" t="inlineStr">
        <is>
          <t>בית ארז — ציוד מתכלה</t>
        </is>
      </c>
      <c r="B709" t="inlineStr">
        <is>
          <t>חוט בקסטה LUXAMID NYLON 1 100M</t>
        </is>
      </c>
      <c r="C709" t="inlineStr">
        <is>
          <t>חוטי תפירה</t>
        </is>
      </c>
      <c r="D709" t="inlineStr">
        <is>
          <t>6100565</t>
        </is>
      </c>
      <c r="E709" t="inlineStr">
        <is>
          <t>2025-11</t>
        </is>
      </c>
      <c r="F709" t="n">
        <v>100</v>
      </c>
      <c r="G709" t="n">
        <v>118</v>
      </c>
      <c r="H709">
        <f>הגדרות!B4</f>
        <v/>
      </c>
      <c r="I709">
        <f>F709*(1-H709/100)*1.18</f>
        <v/>
      </c>
      <c r="J709">
        <f>הגדרות!C4</f>
        <v/>
      </c>
      <c r="K709">
        <f>הגדרות!D4</f>
        <v/>
      </c>
      <c r="L709">
        <f>I709*(1+J709/100)+K709</f>
        <v/>
      </c>
    </row>
    <row r="710">
      <c r="A710" t="inlineStr">
        <is>
          <t>בית ארז — ציוד מתכלה</t>
        </is>
      </c>
      <c r="B710" t="inlineStr">
        <is>
          <t>חוט בקסטה LUXAMID NYLON 2 75M</t>
        </is>
      </c>
      <c r="C710" t="inlineStr">
        <is>
          <t>חוט בקסטה וערכות CCL</t>
        </is>
      </c>
      <c r="D710" t="inlineStr">
        <is>
          <t>6100566</t>
        </is>
      </c>
      <c r="E710" t="inlineStr">
        <is>
          <t>2025-11</t>
        </is>
      </c>
      <c r="F710" t="n">
        <v>105</v>
      </c>
      <c r="G710" t="n">
        <v>123.9</v>
      </c>
      <c r="H710">
        <f>הגדרות!B4</f>
        <v/>
      </c>
      <c r="I710">
        <f>F710*(1-H710/100)*1.18</f>
        <v/>
      </c>
      <c r="J710">
        <f>הגדרות!C4</f>
        <v/>
      </c>
      <c r="K710">
        <f>הגדרות!D4</f>
        <v/>
      </c>
      <c r="L710">
        <f>I710*(1+J710/100)+K710</f>
        <v/>
      </c>
    </row>
    <row r="711">
      <c r="A711" t="inlineStr">
        <is>
          <t>בית ארז — ציוד מתכלה</t>
        </is>
      </c>
      <c r="B711" t="inlineStr">
        <is>
          <t>חוט בקסטה 4 50M&amp;LUXAMID NYLON 3</t>
        </is>
      </c>
      <c r="C711" t="inlineStr">
        <is>
          <t>חוטי תפירה</t>
        </is>
      </c>
      <c r="D711" t="inlineStr">
        <is>
          <t>6100567</t>
        </is>
      </c>
      <c r="E711" t="inlineStr">
        <is>
          <t>2025-11</t>
        </is>
      </c>
      <c r="F711" t="n">
        <v>95</v>
      </c>
      <c r="G711" t="n">
        <v>112.1</v>
      </c>
      <c r="H711">
        <f>הגדרות!B4</f>
        <v/>
      </c>
      <c r="I711">
        <f>F711*(1-H711/100)*1.18</f>
        <v/>
      </c>
      <c r="J711">
        <f>הגדרות!C4</f>
        <v/>
      </c>
      <c r="K711">
        <f>הגדרות!D4</f>
        <v/>
      </c>
      <c r="L711">
        <f>I711*(1+J711/100)+K711</f>
        <v/>
      </c>
    </row>
    <row r="712">
      <c r="A712" t="inlineStr">
        <is>
          <t>בית ארז — ציוד מתכלה</t>
        </is>
      </c>
      <c r="B712" t="inlineStr">
        <is>
          <t>מחט Spring eye 3/8 RC 30mm 12U</t>
        </is>
      </c>
      <c r="C712" t="inlineStr">
        <is>
          <t>חוט בקסטה וערכות CCL</t>
        </is>
      </c>
      <c r="D712" t="inlineStr">
        <is>
          <t>6100940</t>
        </is>
      </c>
      <c r="E712" t="inlineStr">
        <is>
          <t>2025-11</t>
        </is>
      </c>
      <c r="F712" t="n">
        <v>38</v>
      </c>
      <c r="G712" t="n">
        <v>44.84</v>
      </c>
      <c r="H712">
        <f>הגדרות!B4</f>
        <v/>
      </c>
      <c r="I712">
        <f>F712*(1-H712/100)*1.18</f>
        <v/>
      </c>
      <c r="J712">
        <f>הגדרות!C4</f>
        <v/>
      </c>
      <c r="K712">
        <f>הגדרות!D4</f>
        <v/>
      </c>
      <c r="L712">
        <f>I712*(1+J712/100)+K712</f>
        <v/>
      </c>
    </row>
    <row r="713">
      <c r="A713" t="inlineStr">
        <is>
          <t>בית ארז — ציוד מתכלה</t>
        </is>
      </c>
      <c r="B713" t="inlineStr">
        <is>
          <t>מחט Spring eye 3/8 RC 40mm 12U</t>
        </is>
      </c>
      <c r="C713" t="inlineStr">
        <is>
          <t>חוטי תפירה</t>
        </is>
      </c>
      <c r="D713" t="inlineStr">
        <is>
          <t>6100943</t>
        </is>
      </c>
      <c r="E713" t="inlineStr">
        <is>
          <t>2025-11</t>
        </is>
      </c>
      <c r="F713" t="n">
        <v>38</v>
      </c>
      <c r="G713" t="n">
        <v>44.84</v>
      </c>
      <c r="H713">
        <f>הגדרות!B4</f>
        <v/>
      </c>
      <c r="I713">
        <f>F713*(1-H713/100)*1.18</f>
        <v/>
      </c>
      <c r="J713">
        <f>הגדרות!C4</f>
        <v/>
      </c>
      <c r="K713">
        <f>הגדרות!D4</f>
        <v/>
      </c>
      <c r="L713">
        <f>I713*(1+J713/100)+K713</f>
        <v/>
      </c>
    </row>
    <row r="714">
      <c r="A714" t="inlineStr">
        <is>
          <t>בית ארז — ציוד מתכלה</t>
        </is>
      </c>
      <c r="B714" t="inlineStr">
        <is>
          <t>מחט Spring eye 3/8 RC 50mm 12U</t>
        </is>
      </c>
      <c r="C714" t="inlineStr">
        <is>
          <t>חוט בקסטה וערכות CCL</t>
        </is>
      </c>
      <c r="D714" t="inlineStr">
        <is>
          <t>6100945</t>
        </is>
      </c>
      <c r="E714" t="inlineStr">
        <is>
          <t>2025-11</t>
        </is>
      </c>
      <c r="F714" t="n">
        <v>38</v>
      </c>
      <c r="G714" t="n">
        <v>44.84</v>
      </c>
      <c r="H714">
        <f>הגדרות!B4</f>
        <v/>
      </c>
      <c r="I714">
        <f>F714*(1-H714/100)*1.18</f>
        <v/>
      </c>
      <c r="J714">
        <f>הגדרות!C4</f>
        <v/>
      </c>
      <c r="K714">
        <f>הגדרות!D4</f>
        <v/>
      </c>
      <c r="L714">
        <f>I714*(1+J714/100)+K714</f>
        <v/>
      </c>
    </row>
    <row r="715">
      <c r="A715" t="inlineStr">
        <is>
          <t>בית ארז — ציוד מתכלה</t>
        </is>
      </c>
      <c r="B715" t="inlineStr">
        <is>
          <t>קולר אליזבת קלאסי 7.5 ס"מ</t>
        </is>
      </c>
      <c r="C715" t="inlineStr">
        <is>
          <t>קולר אליזבת</t>
        </is>
      </c>
      <c r="D715" t="inlineStr">
        <is>
          <t>6102007</t>
        </is>
      </c>
      <c r="E715" t="inlineStr">
        <is>
          <t>2025-11</t>
        </is>
      </c>
      <c r="F715" t="n">
        <v>9.5</v>
      </c>
      <c r="G715" t="n">
        <v>11.21</v>
      </c>
      <c r="H715">
        <f>הגדרות!B4</f>
        <v/>
      </c>
      <c r="I715">
        <f>F715*(1-H715/100)*1.18</f>
        <v/>
      </c>
      <c r="J715">
        <f>הגדרות!C4</f>
        <v/>
      </c>
      <c r="K715">
        <f>הגדרות!D4</f>
        <v/>
      </c>
      <c r="L715">
        <f>I715*(1+J715/100)+K715</f>
        <v/>
      </c>
    </row>
    <row r="716">
      <c r="A716" t="inlineStr">
        <is>
          <t>בית ארז — ציוד מתכלה</t>
        </is>
      </c>
      <c r="B716" t="inlineStr">
        <is>
          <t>קולר אליזבת קלאסי 10 ס"מ</t>
        </is>
      </c>
      <c r="C716" t="inlineStr">
        <is>
          <t>ציוד רפואי</t>
        </is>
      </c>
      <c r="D716" t="inlineStr">
        <is>
          <t>6102010</t>
        </is>
      </c>
      <c r="E716" t="inlineStr">
        <is>
          <t>2025-11</t>
        </is>
      </c>
      <c r="F716" t="n">
        <v>12</v>
      </c>
      <c r="G716" t="n">
        <v>14.16</v>
      </c>
      <c r="H716">
        <f>הגדרות!B4</f>
        <v/>
      </c>
      <c r="I716">
        <f>F716*(1-H716/100)*1.18</f>
        <v/>
      </c>
      <c r="J716">
        <f>הגדרות!C4</f>
        <v/>
      </c>
      <c r="K716">
        <f>הגדרות!D4</f>
        <v/>
      </c>
      <c r="L716">
        <f>I716*(1+J716/100)+K716</f>
        <v/>
      </c>
    </row>
    <row r="717">
      <c r="A717" t="inlineStr">
        <is>
          <t>בית ארז — ציוד מתכלה</t>
        </is>
      </c>
      <c r="B717" t="inlineStr">
        <is>
          <t>קולר אליזבת קלאסי 12.5 ס"מ</t>
        </is>
      </c>
      <c r="C717" t="inlineStr">
        <is>
          <t>קולר אליזבת</t>
        </is>
      </c>
      <c r="D717" t="inlineStr">
        <is>
          <t>6102012</t>
        </is>
      </c>
      <c r="E717" t="inlineStr">
        <is>
          <t>2025-11</t>
        </is>
      </c>
      <c r="F717" t="n">
        <v>14</v>
      </c>
      <c r="G717" t="n">
        <v>16.52</v>
      </c>
      <c r="H717">
        <f>הגדרות!B4</f>
        <v/>
      </c>
      <c r="I717">
        <f>F717*(1-H717/100)*1.18</f>
        <v/>
      </c>
      <c r="J717">
        <f>הגדרות!C4</f>
        <v/>
      </c>
      <c r="K717">
        <f>הגדרות!D4</f>
        <v/>
      </c>
      <c r="L717">
        <f>I717*(1+J717/100)+K717</f>
        <v/>
      </c>
    </row>
    <row r="718">
      <c r="A718" t="inlineStr">
        <is>
          <t>בית ארז — ציוד מתכלה</t>
        </is>
      </c>
      <c r="B718" t="inlineStr">
        <is>
          <t>קולר אליזבת קלאסי 15 ס"מ</t>
        </is>
      </c>
      <c r="C718" t="inlineStr">
        <is>
          <t>ציוד רפואי</t>
        </is>
      </c>
      <c r="D718" t="inlineStr">
        <is>
          <t>6102015</t>
        </is>
      </c>
      <c r="E718" t="inlineStr">
        <is>
          <t>2025-11</t>
        </is>
      </c>
      <c r="F718" t="n">
        <v>16</v>
      </c>
      <c r="G718" t="n">
        <v>18.88</v>
      </c>
      <c r="H718">
        <f>הגדרות!B4</f>
        <v/>
      </c>
      <c r="I718">
        <f>F718*(1-H718/100)*1.18</f>
        <v/>
      </c>
      <c r="J718">
        <f>הגדרות!C4</f>
        <v/>
      </c>
      <c r="K718">
        <f>הגדרות!D4</f>
        <v/>
      </c>
      <c r="L718">
        <f>I718*(1+J718/100)+K718</f>
        <v/>
      </c>
    </row>
    <row r="719">
      <c r="A719" t="inlineStr">
        <is>
          <t>בית ארז — ציוד מתכלה</t>
        </is>
      </c>
      <c r="B719" t="inlineStr">
        <is>
          <t>קולר אליזבת קלאסי 20 ס"מ</t>
        </is>
      </c>
      <c r="C719" t="inlineStr">
        <is>
          <t>קולר אליזבת</t>
        </is>
      </c>
      <c r="D719" t="inlineStr">
        <is>
          <t>6102020</t>
        </is>
      </c>
      <c r="E719" t="inlineStr">
        <is>
          <t>2025-11</t>
        </is>
      </c>
      <c r="F719" t="n">
        <v>18</v>
      </c>
      <c r="G719" t="n">
        <v>21.24</v>
      </c>
      <c r="H719">
        <f>הגדרות!B4</f>
        <v/>
      </c>
      <c r="I719">
        <f>F719*(1-H719/100)*1.18</f>
        <v/>
      </c>
      <c r="J719">
        <f>הגדרות!C4</f>
        <v/>
      </c>
      <c r="K719">
        <f>הגדרות!D4</f>
        <v/>
      </c>
      <c r="L719">
        <f>I719*(1+J719/100)+K719</f>
        <v/>
      </c>
    </row>
    <row r="720">
      <c r="A720" t="inlineStr">
        <is>
          <t>בית ארז — ציוד מתכלה</t>
        </is>
      </c>
      <c r="B720" t="inlineStr">
        <is>
          <t>קולר אליזבת קלאסי 25 ס"מ</t>
        </is>
      </c>
      <c r="C720" t="inlineStr">
        <is>
          <t>ציוד רפואי</t>
        </is>
      </c>
      <c r="D720" t="inlineStr">
        <is>
          <t>6102025</t>
        </is>
      </c>
      <c r="E720" t="inlineStr">
        <is>
          <t>2025-11</t>
        </is>
      </c>
      <c r="F720" t="n">
        <v>23</v>
      </c>
      <c r="G720" t="n">
        <v>27.14</v>
      </c>
      <c r="H720">
        <f>הגדרות!B4</f>
        <v/>
      </c>
      <c r="I720">
        <f>F720*(1-H720/100)*1.18</f>
        <v/>
      </c>
      <c r="J720">
        <f>הגדרות!C4</f>
        <v/>
      </c>
      <c r="K720">
        <f>הגדרות!D4</f>
        <v/>
      </c>
      <c r="L720">
        <f>I720*(1+J720/100)+K720</f>
        <v/>
      </c>
    </row>
    <row r="721">
      <c r="A721" t="inlineStr">
        <is>
          <t>בית ארז — ציוד מתכלה</t>
        </is>
      </c>
      <c r="B721" t="inlineStr">
        <is>
          <t>קולר אליזבת קלאסי 30 ס"מ</t>
        </is>
      </c>
      <c r="C721" t="inlineStr">
        <is>
          <t>קולר אליזבת</t>
        </is>
      </c>
      <c r="D721" t="inlineStr">
        <is>
          <t>6102030</t>
        </is>
      </c>
      <c r="E721" t="inlineStr">
        <is>
          <t>2025-11</t>
        </is>
      </c>
      <c r="F721" t="n">
        <v>27</v>
      </c>
      <c r="G721" t="n">
        <v>31.86</v>
      </c>
      <c r="H721">
        <f>הגדרות!B4</f>
        <v/>
      </c>
      <c r="I721">
        <f>F721*(1-H721/100)*1.18</f>
        <v/>
      </c>
      <c r="J721">
        <f>הגדרות!C4</f>
        <v/>
      </c>
      <c r="K721">
        <f>הגדרות!D4</f>
        <v/>
      </c>
      <c r="L721">
        <f>I721*(1+J721/100)+K721</f>
        <v/>
      </c>
    </row>
    <row r="722">
      <c r="A722" t="inlineStr">
        <is>
          <t>בית ארז — ציוד מתכלה</t>
        </is>
      </c>
      <c r="B722" t="inlineStr">
        <is>
          <t>קולר אליזבת קלאסי 35 ס"מ</t>
        </is>
      </c>
      <c r="C722" t="inlineStr">
        <is>
          <t>ציוד רפואי</t>
        </is>
      </c>
      <c r="D722" t="inlineStr">
        <is>
          <t>6102035</t>
        </is>
      </c>
      <c r="E722" t="inlineStr">
        <is>
          <t>2025-11</t>
        </is>
      </c>
      <c r="F722" t="n">
        <v>35</v>
      </c>
      <c r="G722" t="n">
        <v>41.3</v>
      </c>
      <c r="H722">
        <f>הגדרות!B4</f>
        <v/>
      </c>
      <c r="I722">
        <f>F722*(1-H722/100)*1.18</f>
        <v/>
      </c>
      <c r="J722">
        <f>הגדרות!C4</f>
        <v/>
      </c>
      <c r="K722">
        <f>הגדרות!D4</f>
        <v/>
      </c>
      <c r="L722">
        <f>I722*(1+J722/100)+K722</f>
        <v/>
      </c>
    </row>
    <row r="723">
      <c r="A723" t="inlineStr">
        <is>
          <t>בית ארז — ציוד מתכלה</t>
        </is>
      </c>
      <c r="B723" t="inlineStr">
        <is>
          <t>קולר אליזבת קלאסי 40 ס"מ</t>
        </is>
      </c>
      <c r="C723" t="inlineStr">
        <is>
          <t>קולר אליזבת</t>
        </is>
      </c>
      <c r="D723" t="inlineStr">
        <is>
          <t>6102040</t>
        </is>
      </c>
      <c r="E723" t="inlineStr">
        <is>
          <t>2025-11</t>
        </is>
      </c>
      <c r="F723" t="n">
        <v>42</v>
      </c>
      <c r="G723" t="n">
        <v>49.56</v>
      </c>
      <c r="H723">
        <f>הגדרות!B4</f>
        <v/>
      </c>
      <c r="I723">
        <f>F723*(1-H723/100)*1.18</f>
        <v/>
      </c>
      <c r="J723">
        <f>הגדרות!C4</f>
        <v/>
      </c>
      <c r="K723">
        <f>הגדרות!D4</f>
        <v/>
      </c>
      <c r="L723">
        <f>I723*(1+J723/100)+K723</f>
        <v/>
      </c>
    </row>
    <row r="724">
      <c r="A724" t="inlineStr">
        <is>
          <t>בית ארז — ציוד מתכלה</t>
        </is>
      </c>
      <c r="B724" t="inlineStr">
        <is>
          <t>וו תליה לקולר אליזבת חכם - 3 יח'</t>
        </is>
      </c>
      <c r="C724" t="inlineStr">
        <is>
          <t>ציוד רפואי</t>
        </is>
      </c>
      <c r="D724" t="inlineStr">
        <is>
          <t>7100008</t>
        </is>
      </c>
      <c r="E724" t="inlineStr">
        <is>
          <t>2025-11</t>
        </is>
      </c>
      <c r="F724" t="n">
        <v>50</v>
      </c>
      <c r="G724" t="n">
        <v>59</v>
      </c>
      <c r="H724">
        <f>הגדרות!B4</f>
        <v/>
      </c>
      <c r="I724">
        <f>F724*(1-H724/100)*1.18</f>
        <v/>
      </c>
      <c r="J724">
        <f>הגדרות!C4</f>
        <v/>
      </c>
      <c r="K724">
        <f>הגדרות!D4</f>
        <v/>
      </c>
      <c r="L724">
        <f>I724*(1+J724/100)+K724</f>
        <v/>
      </c>
    </row>
    <row r="725">
      <c r="A725" t="inlineStr">
        <is>
          <t>בית ארז — ציוד מתכלה</t>
        </is>
      </c>
      <c r="B725" t="inlineStr">
        <is>
          <t>קולר אליזבת Saf-T שקוף (קליפס) 18-21/9( 175 ס"מ)</t>
        </is>
      </c>
      <c r="C725" t="inlineStr">
        <is>
          <t>קולר אליזבת</t>
        </is>
      </c>
      <c r="D725" t="inlineStr">
        <is>
          <t>6300490</t>
        </is>
      </c>
      <c r="E725" t="inlineStr">
        <is>
          <t>2025-11</t>
        </is>
      </c>
      <c r="F725" t="n">
        <v>20</v>
      </c>
      <c r="G725" t="n">
        <v>23.6</v>
      </c>
      <c r="H725">
        <f>הגדרות!B4</f>
        <v/>
      </c>
      <c r="I725">
        <f>F725*(1-H725/100)*1.18</f>
        <v/>
      </c>
      <c r="J725">
        <f>הגדרות!C4</f>
        <v/>
      </c>
      <c r="K725">
        <f>הגדרות!D4</f>
        <v/>
      </c>
      <c r="L725">
        <f>I725*(1+J725/100)+K725</f>
        <v/>
      </c>
    </row>
    <row r="726">
      <c r="A726" t="inlineStr">
        <is>
          <t>בית ארז — ציוד מתכלה</t>
        </is>
      </c>
      <c r="B726" t="inlineStr">
        <is>
          <t>קולר אליזבת Saf-T שקוף (קליפס) 15-24/11( 210 ס"מ)</t>
        </is>
      </c>
      <c r="C726" t="inlineStr">
        <is>
          <t>ציוד רפואי</t>
        </is>
      </c>
      <c r="D726" t="inlineStr">
        <is>
          <t>6300491</t>
        </is>
      </c>
      <c r="E726" t="inlineStr">
        <is>
          <t>2025-11</t>
        </is>
      </c>
      <c r="F726" t="n">
        <v>23</v>
      </c>
      <c r="G726" t="n">
        <v>27.14</v>
      </c>
      <c r="H726">
        <f>הגדרות!B4</f>
        <v/>
      </c>
      <c r="I726">
        <f>F726*(1-H726/100)*1.18</f>
        <v/>
      </c>
      <c r="J726">
        <f>הגדרות!C4</f>
        <v/>
      </c>
      <c r="K726">
        <f>הגדרות!D4</f>
        <v/>
      </c>
      <c r="L726">
        <f>I726*(1+J726/100)+K726</f>
        <v/>
      </c>
    </row>
    <row r="727">
      <c r="A727" t="inlineStr">
        <is>
          <t>בית ארז — ציוד מתכלה</t>
        </is>
      </c>
      <c r="B727" t="inlineStr">
        <is>
          <t>קולר אליזבת Saf-T שקוף (קליפס) 18-30/13( 312 ס"מ)</t>
        </is>
      </c>
      <c r="C727" t="inlineStr">
        <is>
          <t>קולר אליזבת</t>
        </is>
      </c>
      <c r="D727" t="inlineStr">
        <is>
          <t>6300492</t>
        </is>
      </c>
      <c r="E727" t="inlineStr">
        <is>
          <t>2025-11</t>
        </is>
      </c>
      <c r="F727" t="n">
        <v>25</v>
      </c>
      <c r="G727" t="n">
        <v>29.5</v>
      </c>
      <c r="H727">
        <f>הגדרות!B4</f>
        <v/>
      </c>
      <c r="I727">
        <f>F727*(1-H727/100)*1.18</f>
        <v/>
      </c>
      <c r="J727">
        <f>הגדרות!C4</f>
        <v/>
      </c>
      <c r="K727">
        <f>הגדרות!D4</f>
        <v/>
      </c>
      <c r="L727">
        <f>I727*(1+J727/100)+K727</f>
        <v/>
      </c>
    </row>
    <row r="728">
      <c r="A728" t="inlineStr">
        <is>
          <t>בית ארז — ציוד מתכלה</t>
        </is>
      </c>
      <c r="B728" t="inlineStr">
        <is>
          <t>קולר אליזבת Saf-T שקוף (קליפס) 25-38/18( 415 ס"מ)</t>
        </is>
      </c>
      <c r="C728" t="inlineStr">
        <is>
          <t>ציוד רפואי</t>
        </is>
      </c>
      <c r="D728" t="inlineStr">
        <is>
          <t>6300493</t>
        </is>
      </c>
      <c r="E728" t="inlineStr">
        <is>
          <t>2025-11</t>
        </is>
      </c>
      <c r="F728" t="n">
        <v>29</v>
      </c>
      <c r="G728" t="n">
        <v>34.22</v>
      </c>
      <c r="H728">
        <f>הגדרות!B4</f>
        <v/>
      </c>
      <c r="I728">
        <f>F728*(1-H728/100)*1.18</f>
        <v/>
      </c>
      <c r="J728">
        <f>הגדרות!C4</f>
        <v/>
      </c>
      <c r="K728">
        <f>הגדרות!D4</f>
        <v/>
      </c>
      <c r="L728">
        <f>I728*(1+J728/100)+K728</f>
        <v/>
      </c>
    </row>
    <row r="729">
      <c r="A729" t="inlineStr">
        <is>
          <t>בית ארז — ציוד מתכלה</t>
        </is>
      </c>
      <c r="B729" t="inlineStr">
        <is>
          <t>קולר אליזבת Saf-T שקוף (קליפס) 23-43/20( 520 ס"מ)</t>
        </is>
      </c>
      <c r="C729" t="inlineStr">
        <is>
          <t>קולר אליזבת</t>
        </is>
      </c>
      <c r="D729" t="inlineStr">
        <is>
          <t>6300494</t>
        </is>
      </c>
      <c r="E729" t="inlineStr">
        <is>
          <t>2025-11</t>
        </is>
      </c>
      <c r="F729" t="n">
        <v>35</v>
      </c>
      <c r="G729" t="n">
        <v>41.3</v>
      </c>
      <c r="H729">
        <f>הגדרות!B4</f>
        <v/>
      </c>
      <c r="I729">
        <f>F729*(1-H729/100)*1.18</f>
        <v/>
      </c>
      <c r="J729">
        <f>הגדרות!C4</f>
        <v/>
      </c>
      <c r="K729">
        <f>הגדרות!D4</f>
        <v/>
      </c>
      <c r="L729">
        <f>I729*(1+J729/100)+K729</f>
        <v/>
      </c>
    </row>
    <row r="730">
      <c r="A730" t="inlineStr">
        <is>
          <t>בית ארז — ציוד מתכלה</t>
        </is>
      </c>
      <c r="B730" t="inlineStr">
        <is>
          <t>קולר אליזבת Saf-T שקוף (קליפס) 30-53/23( 625 ס"מ)</t>
        </is>
      </c>
      <c r="C730" t="inlineStr">
        <is>
          <t>ציוד רפואי</t>
        </is>
      </c>
      <c r="D730" t="inlineStr">
        <is>
          <t>6300495</t>
        </is>
      </c>
      <c r="E730" t="inlineStr">
        <is>
          <t>2025-11</t>
        </is>
      </c>
      <c r="F730" t="n">
        <v>43</v>
      </c>
      <c r="G730" t="n">
        <v>50.74</v>
      </c>
      <c r="H730">
        <f>הגדרות!B4</f>
        <v/>
      </c>
      <c r="I730">
        <f>F730*(1-H730/100)*1.18</f>
        <v/>
      </c>
      <c r="J730">
        <f>הגדרות!C4</f>
        <v/>
      </c>
      <c r="K730">
        <f>הגדרות!D4</f>
        <v/>
      </c>
      <c r="L730">
        <f>I730*(1+J730/100)+K730</f>
        <v/>
      </c>
    </row>
    <row r="731">
      <c r="A731" t="inlineStr">
        <is>
          <t>בית ארז — ציוד מתכלה</t>
        </is>
      </c>
      <c r="B731" t="inlineStr">
        <is>
          <t>קולר אליזבת Saf-T שקוף (קליפס) 38-64/30( 730 ס"מ)</t>
        </is>
      </c>
      <c r="C731" t="inlineStr">
        <is>
          <t>קולר אליזבת</t>
        </is>
      </c>
      <c r="D731" t="inlineStr">
        <is>
          <t>6300496</t>
        </is>
      </c>
      <c r="E731" t="inlineStr">
        <is>
          <t>2025-11</t>
        </is>
      </c>
      <c r="F731" t="n">
        <v>50</v>
      </c>
      <c r="G731" t="n">
        <v>59</v>
      </c>
      <c r="H731">
        <f>הגדרות!B4</f>
        <v/>
      </c>
      <c r="I731">
        <f>F731*(1-H731/100)*1.18</f>
        <v/>
      </c>
      <c r="J731">
        <f>הגדרות!C4</f>
        <v/>
      </c>
      <c r="K731">
        <f>הגדרות!D4</f>
        <v/>
      </c>
      <c r="L731">
        <f>I731*(1+J731/100)+K731</f>
        <v/>
      </c>
    </row>
    <row r="732">
      <c r="A732" t="inlineStr">
        <is>
          <t>בית ארז — ציוד מתכלה</t>
        </is>
      </c>
      <c r="B732" t="inlineStr">
        <is>
          <t>קולר אליזבת Saf-T שקוף (קליפס) 30-76/40( 840 ס"מ)</t>
        </is>
      </c>
      <c r="C732" t="inlineStr">
        <is>
          <t>ציוד רפואי</t>
        </is>
      </c>
      <c r="D732" t="inlineStr">
        <is>
          <t>6300497</t>
        </is>
      </c>
      <c r="E732" t="inlineStr">
        <is>
          <t>2025-11</t>
        </is>
      </c>
      <c r="F732" t="n">
        <v>60</v>
      </c>
      <c r="G732" t="n">
        <v>70.8</v>
      </c>
      <c r="H732">
        <f>הגדרות!B4</f>
        <v/>
      </c>
      <c r="I732">
        <f>F732*(1-H732/100)*1.18</f>
        <v/>
      </c>
      <c r="J732">
        <f>הגדרות!C4</f>
        <v/>
      </c>
      <c r="K732">
        <f>הגדרות!D4</f>
        <v/>
      </c>
      <c r="L732">
        <f>I732*(1+J732/100)+K732</f>
        <v/>
      </c>
    </row>
    <row r="733">
      <c r="A733" t="inlineStr">
        <is>
          <t>בית ארז — ציוד מתכלה</t>
        </is>
      </c>
      <c r="B733" t="inlineStr">
        <is>
          <t>קולר אליזבת רך M</t>
        </is>
      </c>
      <c r="C733" t="inlineStr">
        <is>
          <t>קולר אליזבת</t>
        </is>
      </c>
      <c r="D733" t="inlineStr">
        <is>
          <t>7100013</t>
        </is>
      </c>
      <c r="E733" t="inlineStr">
        <is>
          <t>2025-11</t>
        </is>
      </c>
      <c r="F733" t="n">
        <v>42</v>
      </c>
      <c r="G733" t="n">
        <v>49.56</v>
      </c>
      <c r="H733">
        <f>הגדרות!B4</f>
        <v/>
      </c>
      <c r="I733">
        <f>F733*(1-H733/100)*1.18</f>
        <v/>
      </c>
      <c r="J733">
        <f>הגדרות!C4</f>
        <v/>
      </c>
      <c r="K733">
        <f>הגדרות!D4</f>
        <v/>
      </c>
      <c r="L733">
        <f>I733*(1+J733/100)+K733</f>
        <v/>
      </c>
    </row>
    <row r="734">
      <c r="A734" t="inlineStr">
        <is>
          <t>בית ארז — ציוד מתכלה</t>
        </is>
      </c>
      <c r="B734" t="inlineStr">
        <is>
          <t>קולר אליזבת רך L</t>
        </is>
      </c>
      <c r="C734" t="inlineStr">
        <is>
          <t>ציוד רפואי</t>
        </is>
      </c>
      <c r="D734" t="inlineStr">
        <is>
          <t>7100014</t>
        </is>
      </c>
      <c r="E734" t="inlineStr">
        <is>
          <t>2025-11</t>
        </is>
      </c>
      <c r="F734" t="n">
        <v>48</v>
      </c>
      <c r="G734" t="n">
        <v>56.64</v>
      </c>
      <c r="H734">
        <f>הגדרות!B4</f>
        <v/>
      </c>
      <c r="I734">
        <f>F734*(1-H734/100)*1.18</f>
        <v/>
      </c>
      <c r="J734">
        <f>הגדרות!C4</f>
        <v/>
      </c>
      <c r="K734">
        <f>הגדרות!D4</f>
        <v/>
      </c>
      <c r="L734">
        <f>I734*(1+J734/100)+K734</f>
        <v/>
      </c>
    </row>
    <row r="735">
      <c r="A735" t="inlineStr">
        <is>
          <t>בית ארז — ציוד מתכלה</t>
        </is>
      </c>
      <c r="B735" t="inlineStr">
        <is>
          <t>קולר אליזבת רך XL</t>
        </is>
      </c>
      <c r="C735" t="inlineStr">
        <is>
          <t>קולר אליזבת</t>
        </is>
      </c>
      <c r="D735" t="inlineStr">
        <is>
          <t>7100015</t>
        </is>
      </c>
      <c r="E735" t="inlineStr">
        <is>
          <t>2025-11</t>
        </is>
      </c>
      <c r="F735" t="n">
        <v>55</v>
      </c>
      <c r="G735" t="n">
        <v>64.90000000000001</v>
      </c>
      <c r="H735">
        <f>הגדרות!B4</f>
        <v/>
      </c>
      <c r="I735">
        <f>F735*(1-H735/100)*1.18</f>
        <v/>
      </c>
      <c r="J735">
        <f>הגדרות!C4</f>
        <v/>
      </c>
      <c r="K735">
        <f>הגדרות!D4</f>
        <v/>
      </c>
      <c r="L735">
        <f>I735*(1+J735/100)+K735</f>
        <v/>
      </c>
    </row>
    <row r="736">
      <c r="A736" t="inlineStr">
        <is>
          <t>בית ארז — ציוד מתכלה</t>
        </is>
      </c>
      <c r="B736" t="inlineStr">
        <is>
          <t>קולר אליזבת רך גריהאונד</t>
        </is>
      </c>
      <c r="C736" t="inlineStr">
        <is>
          <t>ציוד רפואי</t>
        </is>
      </c>
      <c r="D736" t="inlineStr">
        <is>
          <t>7100016</t>
        </is>
      </c>
      <c r="E736" t="inlineStr">
        <is>
          <t>2025-11</t>
        </is>
      </c>
      <c r="F736" t="n">
        <v>63</v>
      </c>
      <c r="G736" t="n">
        <v>74.34</v>
      </c>
      <c r="H736">
        <f>הגדרות!B4</f>
        <v/>
      </c>
      <c r="I736">
        <f>F736*(1-H736/100)*1.18</f>
        <v/>
      </c>
      <c r="J736">
        <f>הגדרות!C4</f>
        <v/>
      </c>
      <c r="K736">
        <f>הגדרות!D4</f>
        <v/>
      </c>
      <c r="L736">
        <f>I736*(1+J736/100)+K736</f>
        <v/>
      </c>
    </row>
    <row r="737">
      <c r="A737" t="inlineStr">
        <is>
          <t>בית ארז — ציוד מתכלה</t>
        </is>
      </c>
      <c r="B737" t="inlineStr">
        <is>
          <t>קולר צווארי - בייט פריי (28-38X6cm KVP )1</t>
        </is>
      </c>
      <c r="C737" t="inlineStr">
        <is>
          <t>קולר אליזבת</t>
        </is>
      </c>
      <c r="D737" t="inlineStr">
        <is>
          <t>6300020</t>
        </is>
      </c>
      <c r="E737" t="inlineStr">
        <is>
          <t>2025-11</t>
        </is>
      </c>
      <c r="F737" t="n">
        <v>54</v>
      </c>
      <c r="G737" t="n">
        <v>63.72</v>
      </c>
      <c r="H737">
        <f>הגדרות!B4</f>
        <v/>
      </c>
      <c r="I737">
        <f>F737*(1-H737/100)*1.18</f>
        <v/>
      </c>
      <c r="J737">
        <f>הגדרות!C4</f>
        <v/>
      </c>
      <c r="K737">
        <f>הגדרות!D4</f>
        <v/>
      </c>
      <c r="L737">
        <f>I737*(1+J737/100)+K737</f>
        <v/>
      </c>
    </row>
    <row r="738">
      <c r="A738" t="inlineStr">
        <is>
          <t>בית ארז — ציוד מתכלה</t>
        </is>
      </c>
      <c r="B738" t="inlineStr">
        <is>
          <t>קולר צווארי - בייט פריי (36-48X9cm KVP )2</t>
        </is>
      </c>
      <c r="C738" t="inlineStr">
        <is>
          <t>ציוד רפואי</t>
        </is>
      </c>
      <c r="D738" t="inlineStr">
        <is>
          <t>6300021</t>
        </is>
      </c>
      <c r="E738" t="inlineStr">
        <is>
          <t>2025-11</t>
        </is>
      </c>
      <c r="F738" t="n">
        <v>58</v>
      </c>
      <c r="G738" t="n">
        <v>68.44</v>
      </c>
      <c r="H738">
        <f>הגדרות!B4</f>
        <v/>
      </c>
      <c r="I738">
        <f>F738*(1-H738/100)*1.18</f>
        <v/>
      </c>
      <c r="J738">
        <f>הגדרות!C4</f>
        <v/>
      </c>
      <c r="K738">
        <f>הגדרות!D4</f>
        <v/>
      </c>
      <c r="L738">
        <f>I738*(1+J738/100)+K738</f>
        <v/>
      </c>
    </row>
    <row r="739">
      <c r="A739" t="inlineStr">
        <is>
          <t>בית ארז — ציוד מתכלה</t>
        </is>
      </c>
      <c r="B739" t="inlineStr">
        <is>
          <t>קולר צווארי - בייט פריי 2a) 41-51X10cm KVP(</t>
        </is>
      </c>
      <c r="C739" t="inlineStr">
        <is>
          <t>קולר אליזבת</t>
        </is>
      </c>
      <c r="D739" t="inlineStr">
        <is>
          <t>6300022</t>
        </is>
      </c>
      <c r="E739" t="inlineStr">
        <is>
          <t>2025-11</t>
        </is>
      </c>
      <c r="F739" t="n">
        <v>64</v>
      </c>
      <c r="G739" t="n">
        <v>75.52</v>
      </c>
      <c r="H739">
        <f>הגדרות!B4</f>
        <v/>
      </c>
      <c r="I739">
        <f>F739*(1-H739/100)*1.18</f>
        <v/>
      </c>
      <c r="J739">
        <f>הגדרות!C4</f>
        <v/>
      </c>
      <c r="K739">
        <f>הגדרות!D4</f>
        <v/>
      </c>
      <c r="L739">
        <f>I739*(1+J739/100)+K739</f>
        <v/>
      </c>
    </row>
    <row r="740">
      <c r="A740" t="inlineStr">
        <is>
          <t>בית ארז — ציוד מתכלה</t>
        </is>
      </c>
      <c r="B740" t="inlineStr">
        <is>
          <t>קולר צווארי - בייט פריי (48-58X13cm KVP )3</t>
        </is>
      </c>
      <c r="C740" t="inlineStr">
        <is>
          <t>ציוד רפואי</t>
        </is>
      </c>
      <c r="D740" t="inlineStr">
        <is>
          <t>6300023</t>
        </is>
      </c>
      <c r="E740" t="inlineStr">
        <is>
          <t>2025-11</t>
        </is>
      </c>
      <c r="F740" t="n">
        <v>66</v>
      </c>
      <c r="G740" t="n">
        <v>77.88</v>
      </c>
      <c r="H740">
        <f>הגדרות!B4</f>
        <v/>
      </c>
      <c r="I740">
        <f>F740*(1-H740/100)*1.18</f>
        <v/>
      </c>
      <c r="J740">
        <f>הגדרות!C4</f>
        <v/>
      </c>
      <c r="K740">
        <f>הגדרות!D4</f>
        <v/>
      </c>
      <c r="L740">
        <f>I740*(1+J740/100)+K740</f>
        <v/>
      </c>
    </row>
    <row r="741">
      <c r="A741" t="inlineStr">
        <is>
          <t>בית ארז — ציוד מתכלה</t>
        </is>
      </c>
      <c r="B741" t="inlineStr">
        <is>
          <t>קולר צווארי - בייט פריי (53-64X15cm KVP )4</t>
        </is>
      </c>
      <c r="C741" t="inlineStr">
        <is>
          <t>קולר אליזבת</t>
        </is>
      </c>
      <c r="D741" t="inlineStr">
        <is>
          <t>6300024</t>
        </is>
      </c>
      <c r="E741" t="inlineStr">
        <is>
          <t>2025-11</t>
        </is>
      </c>
      <c r="F741" t="n">
        <v>79</v>
      </c>
      <c r="G741" t="n">
        <v>93.22</v>
      </c>
      <c r="H741">
        <f>הגדרות!B4</f>
        <v/>
      </c>
      <c r="I741">
        <f>F741*(1-H741/100)*1.18</f>
        <v/>
      </c>
      <c r="J741">
        <f>הגדרות!C4</f>
        <v/>
      </c>
      <c r="K741">
        <f>הגדרות!D4</f>
        <v/>
      </c>
      <c r="L741">
        <f>I741*(1+J741/100)+K741</f>
        <v/>
      </c>
    </row>
    <row r="742">
      <c r="A742" t="inlineStr">
        <is>
          <t>בית ארז — ציוד מתכלה</t>
        </is>
      </c>
      <c r="B742" t="inlineStr">
        <is>
          <t>קולר צווארי - בייט פריי (53-66X18cm KVP )5</t>
        </is>
      </c>
      <c r="C742" t="inlineStr">
        <is>
          <t>ציוד רפואי</t>
        </is>
      </c>
      <c r="D742" t="inlineStr">
        <is>
          <t>6300025</t>
        </is>
      </c>
      <c r="E742" t="inlineStr">
        <is>
          <t>2025-11</t>
        </is>
      </c>
      <c r="F742" t="n">
        <v>84</v>
      </c>
      <c r="G742" t="n">
        <v>99.12</v>
      </c>
      <c r="H742">
        <f>הגדרות!B4</f>
        <v/>
      </c>
      <c r="I742">
        <f>F742*(1-H742/100)*1.18</f>
        <v/>
      </c>
      <c r="J742">
        <f>הגדרות!C4</f>
        <v/>
      </c>
      <c r="K742">
        <f>הגדרות!D4</f>
        <v/>
      </c>
      <c r="L742">
        <f>I742*(1+J742/100)+K742</f>
        <v/>
      </c>
    </row>
    <row r="743">
      <c r="A743" t="inlineStr">
        <is>
          <t>בית ארז — ציוד מתכלה</t>
        </is>
      </c>
      <c r="B743" t="inlineStr">
        <is>
          <t>קולר צווארי - בייט פריי (64-76X20cm KVP )6</t>
        </is>
      </c>
      <c r="C743" t="inlineStr">
        <is>
          <t>קולר אליזבת</t>
        </is>
      </c>
      <c r="D743" t="inlineStr">
        <is>
          <t>6300026</t>
        </is>
      </c>
      <c r="E743" t="inlineStr">
        <is>
          <t>2025-11</t>
        </is>
      </c>
      <c r="F743" t="n">
        <v>93</v>
      </c>
      <c r="G743" t="n">
        <v>109.74</v>
      </c>
      <c r="H743">
        <f>הגדרות!B4</f>
        <v/>
      </c>
      <c r="I743">
        <f>F743*(1-H743/100)*1.18</f>
        <v/>
      </c>
      <c r="J743">
        <f>הגדרות!C4</f>
        <v/>
      </c>
      <c r="K743">
        <f>הגדרות!D4</f>
        <v/>
      </c>
      <c r="L743">
        <f>I743*(1+J743/100)+K743</f>
        <v/>
      </c>
    </row>
    <row r="744">
      <c r="A744" t="inlineStr">
        <is>
          <t>בית ארז — ציוד מתכלה</t>
        </is>
      </c>
      <c r="B744" t="inlineStr">
        <is>
          <t>צווארון אליזבת רך XS קונג EL5 (פיש&amp;פטס)</t>
        </is>
      </c>
      <c r="C744" t="inlineStr">
        <is>
          <t>ציוד רפואי</t>
        </is>
      </c>
      <c r="D744" t="inlineStr">
        <is>
          <t>376000095</t>
        </is>
      </c>
      <c r="E744" t="inlineStr">
        <is>
          <t>2025-11</t>
        </is>
      </c>
      <c r="F744" t="n">
        <v>54</v>
      </c>
      <c r="G744" t="n">
        <v>63.72</v>
      </c>
      <c r="H744">
        <f>הגדרות!B4</f>
        <v/>
      </c>
      <c r="I744">
        <f>F744*(1-H744/100)*1.18</f>
        <v/>
      </c>
      <c r="J744">
        <f>הגדרות!C4</f>
        <v/>
      </c>
      <c r="K744">
        <f>הגדרות!D4</f>
        <v/>
      </c>
      <c r="L744">
        <f>I744*(1+J744/100)+K744</f>
        <v/>
      </c>
    </row>
    <row r="745">
      <c r="A745" t="inlineStr">
        <is>
          <t>בית ארז — ציוד מתכלה</t>
        </is>
      </c>
      <c r="B745" t="inlineStr">
        <is>
          <t>צווארון אליזבת רך S קונג EL3 (פיש&amp;פטס)</t>
        </is>
      </c>
      <c r="C745" t="inlineStr">
        <is>
          <t>קולר אליזבת</t>
        </is>
      </c>
      <c r="D745" t="inlineStr">
        <is>
          <t>376000096</t>
        </is>
      </c>
      <c r="E745" t="inlineStr">
        <is>
          <t>2025-11</t>
        </is>
      </c>
      <c r="F745" t="n">
        <v>73</v>
      </c>
      <c r="G745" t="n">
        <v>86.14</v>
      </c>
      <c r="H745">
        <f>הגדרות!B4</f>
        <v/>
      </c>
      <c r="I745">
        <f>F745*(1-H745/100)*1.18</f>
        <v/>
      </c>
      <c r="J745">
        <f>הגדרות!C4</f>
        <v/>
      </c>
      <c r="K745">
        <f>הגדרות!D4</f>
        <v/>
      </c>
      <c r="L745">
        <f>I745*(1+J745/100)+K745</f>
        <v/>
      </c>
    </row>
    <row r="746">
      <c r="A746" t="inlineStr">
        <is>
          <t>בית ארז — ציוד מתכלה</t>
        </is>
      </c>
      <c r="B746" t="inlineStr">
        <is>
          <t>צווארון אליזבת רך M קונג EL2 (פיש&amp;פטס)</t>
        </is>
      </c>
      <c r="C746" t="inlineStr">
        <is>
          <t>ציוד רפואי</t>
        </is>
      </c>
      <c r="D746" t="inlineStr">
        <is>
          <t>376000097</t>
        </is>
      </c>
      <c r="E746" t="inlineStr">
        <is>
          <t>2025-11</t>
        </is>
      </c>
      <c r="F746" t="n">
        <v>97</v>
      </c>
      <c r="G746" t="n">
        <v>114.46</v>
      </c>
      <c r="H746">
        <f>הגדרות!B4</f>
        <v/>
      </c>
      <c r="I746">
        <f>F746*(1-H746/100)*1.18</f>
        <v/>
      </c>
      <c r="J746">
        <f>הגדרות!C4</f>
        <v/>
      </c>
      <c r="K746">
        <f>הגדרות!D4</f>
        <v/>
      </c>
      <c r="L746">
        <f>I746*(1+J746/100)+K746</f>
        <v/>
      </c>
    </row>
    <row r="747">
      <c r="A747" t="inlineStr">
        <is>
          <t>בית ארז — ציוד מתכלה</t>
        </is>
      </c>
      <c r="B747" t="inlineStr">
        <is>
          <t>צווארון אליזבת רך L קונג EL1 (פיש&amp;פטס)</t>
        </is>
      </c>
      <c r="C747" t="inlineStr">
        <is>
          <t>קולר אליזבת</t>
        </is>
      </c>
      <c r="D747" t="inlineStr">
        <is>
          <t>376000098</t>
        </is>
      </c>
      <c r="E747" t="inlineStr">
        <is>
          <t>2025-11</t>
        </is>
      </c>
      <c r="F747" t="n">
        <v>120</v>
      </c>
      <c r="G747" t="n">
        <v>141.6</v>
      </c>
      <c r="H747">
        <f>הגדרות!B4</f>
        <v/>
      </c>
      <c r="I747">
        <f>F747*(1-H747/100)*1.18</f>
        <v/>
      </c>
      <c r="J747">
        <f>הגדרות!C4</f>
        <v/>
      </c>
      <c r="K747">
        <f>הגדרות!D4</f>
        <v/>
      </c>
      <c r="L747">
        <f>I747*(1+J747/100)+K747</f>
        <v/>
      </c>
    </row>
    <row r="748">
      <c r="A748" t="inlineStr">
        <is>
          <t>בית ארז — ציוד מתכלה</t>
        </is>
      </c>
      <c r="B748" t="inlineStr">
        <is>
          <t>צווארון אליזבת רך XL קונג EXL (פיש&amp;פטס)</t>
        </is>
      </c>
      <c r="C748" t="inlineStr">
        <is>
          <t>ציוד רפואי</t>
        </is>
      </c>
      <c r="D748" t="inlineStr">
        <is>
          <t>376000099</t>
        </is>
      </c>
      <c r="E748" t="inlineStr">
        <is>
          <t>2025-11</t>
        </is>
      </c>
      <c r="F748" t="n">
        <v>131</v>
      </c>
      <c r="G748" t="n">
        <v>154.58</v>
      </c>
      <c r="H748">
        <f>הגדרות!B4</f>
        <v/>
      </c>
      <c r="I748">
        <f>F748*(1-H748/100)*1.18</f>
        <v/>
      </c>
      <c r="J748">
        <f>הגדרות!C4</f>
        <v/>
      </c>
      <c r="K748">
        <f>הגדרות!D4</f>
        <v/>
      </c>
      <c r="L748">
        <f>I748*(1+J748/100)+K748</f>
        <v/>
      </c>
    </row>
    <row r="749">
      <c r="A749" t="inlineStr">
        <is>
          <t>בית ארז — ציוד מתכלה</t>
        </is>
      </c>
      <c r="B749" t="inlineStr">
        <is>
          <t>סד בלטו בון Carpus fracture XS 5-10kg</t>
        </is>
      </c>
      <c r="C749" t="inlineStr">
        <is>
          <t>ציוד רפואי - סד וקיבוע</t>
        </is>
      </c>
      <c r="D749" t="inlineStr">
        <is>
          <t>6301140</t>
        </is>
      </c>
      <c r="E749" t="inlineStr">
        <is>
          <t>2025-11</t>
        </is>
      </c>
      <c r="F749" t="n">
        <v>511</v>
      </c>
      <c r="G749" t="n">
        <v>602.98</v>
      </c>
      <c r="H749">
        <f>הגדרות!B4</f>
        <v/>
      </c>
      <c r="I749">
        <f>F749*(1-H749/100)*1.18</f>
        <v/>
      </c>
      <c r="J749">
        <f>הגדרות!C4</f>
        <v/>
      </c>
      <c r="K749">
        <f>הגדרות!D4</f>
        <v/>
      </c>
      <c r="L749">
        <f>I749*(1+J749/100)+K749</f>
        <v/>
      </c>
    </row>
    <row r="750">
      <c r="A750" t="inlineStr">
        <is>
          <t>בית ארז — ציוד מתכלה</t>
        </is>
      </c>
      <c r="B750" t="inlineStr">
        <is>
          <t>סד בלטו בון Carpus fracture S 10-15kg</t>
        </is>
      </c>
      <c r="C750" t="inlineStr">
        <is>
          <t>ציוד רפואי</t>
        </is>
      </c>
      <c r="D750" t="inlineStr">
        <is>
          <t>6301141</t>
        </is>
      </c>
      <c r="E750" t="inlineStr">
        <is>
          <t>2025-11</t>
        </is>
      </c>
      <c r="F750" t="n">
        <v>534</v>
      </c>
      <c r="G750" t="n">
        <v>630.12</v>
      </c>
      <c r="H750">
        <f>הגדרות!B4</f>
        <v/>
      </c>
      <c r="I750">
        <f>F750*(1-H750/100)*1.18</f>
        <v/>
      </c>
      <c r="J750">
        <f>הגדרות!C4</f>
        <v/>
      </c>
      <c r="K750">
        <f>הגדרות!D4</f>
        <v/>
      </c>
      <c r="L750">
        <f>I750*(1+J750/100)+K750</f>
        <v/>
      </c>
    </row>
    <row r="751">
      <c r="A751" t="inlineStr">
        <is>
          <t>בית ארז — ציוד מתכלה</t>
        </is>
      </c>
      <c r="B751" t="inlineStr">
        <is>
          <t>סד בלטו בון Carpus fracture M 15-25kg</t>
        </is>
      </c>
      <c r="C751" t="inlineStr">
        <is>
          <t>ציוד רפואי - סד וקיבוע</t>
        </is>
      </c>
      <c r="D751" t="inlineStr">
        <is>
          <t>6301142</t>
        </is>
      </c>
      <c r="E751" t="inlineStr">
        <is>
          <t>2025-11</t>
        </is>
      </c>
      <c r="F751" t="n">
        <v>556</v>
      </c>
      <c r="G751" t="n">
        <v>656.08</v>
      </c>
      <c r="H751">
        <f>הגדרות!B4</f>
        <v/>
      </c>
      <c r="I751">
        <f>F751*(1-H751/100)*1.18</f>
        <v/>
      </c>
      <c r="J751">
        <f>הגדרות!C4</f>
        <v/>
      </c>
      <c r="K751">
        <f>הגדרות!D4</f>
        <v/>
      </c>
      <c r="L751">
        <f>I751*(1+J751/100)+K751</f>
        <v/>
      </c>
    </row>
    <row r="752">
      <c r="A752" t="inlineStr">
        <is>
          <t>בית ארז — ציוד מתכלה</t>
        </is>
      </c>
      <c r="B752" t="inlineStr">
        <is>
          <t>סד בלטו בון Carpus fracture L 25-45kg</t>
        </is>
      </c>
      <c r="C752" t="inlineStr">
        <is>
          <t>ציוד רפואי</t>
        </is>
      </c>
      <c r="D752" t="inlineStr">
        <is>
          <t>6301143</t>
        </is>
      </c>
      <c r="E752" t="inlineStr">
        <is>
          <t>2025-11</t>
        </is>
      </c>
      <c r="F752" t="n">
        <v>599</v>
      </c>
      <c r="G752" t="n">
        <v>706.8200000000001</v>
      </c>
      <c r="H752">
        <f>הגדרות!B4</f>
        <v/>
      </c>
      <c r="I752">
        <f>F752*(1-H752/100)*1.18</f>
        <v/>
      </c>
      <c r="J752">
        <f>הגדרות!C4</f>
        <v/>
      </c>
      <c r="K752">
        <f>הגדרות!D4</f>
        <v/>
      </c>
      <c r="L752">
        <f>I752*(1+J752/100)+K752</f>
        <v/>
      </c>
    </row>
    <row r="753">
      <c r="A753" t="inlineStr">
        <is>
          <t>בית ארז — ציוד מתכלה</t>
        </is>
      </c>
      <c r="B753" t="inlineStr">
        <is>
          <t>סד בלטו בון Carpus fracture XL 45-55kg</t>
        </is>
      </c>
      <c r="C753" t="inlineStr">
        <is>
          <t>ציוד רפואי - סד וקיבוע</t>
        </is>
      </c>
      <c r="D753" t="inlineStr">
        <is>
          <t>6301144</t>
        </is>
      </c>
      <c r="E753" t="inlineStr">
        <is>
          <t>2025-11</t>
        </is>
      </c>
      <c r="F753" t="n">
        <v>645</v>
      </c>
      <c r="G753" t="n">
        <v>761.1</v>
      </c>
      <c r="H753">
        <f>הגדרות!B4</f>
        <v/>
      </c>
      <c r="I753">
        <f>F753*(1-H753/100)*1.18</f>
        <v/>
      </c>
      <c r="J753">
        <f>הגדרות!C4</f>
        <v/>
      </c>
      <c r="K753">
        <f>הגדרות!D4</f>
        <v/>
      </c>
      <c r="L753">
        <f>I753*(1+J753/100)+K753</f>
        <v/>
      </c>
    </row>
    <row r="754">
      <c r="A754" t="inlineStr">
        <is>
          <t>בית ארז — ציוד מתכלה</t>
        </is>
      </c>
      <c r="B754" t="inlineStr">
        <is>
          <t>סד בלטו בון Carpus fracture XXL 55+kg</t>
        </is>
      </c>
      <c r="C754" t="inlineStr">
        <is>
          <t>ציוד רפואי</t>
        </is>
      </c>
      <c r="D754" t="inlineStr">
        <is>
          <t>6301145</t>
        </is>
      </c>
      <c r="E754" t="inlineStr">
        <is>
          <t>2025-11</t>
        </is>
      </c>
      <c r="F754" t="n">
        <v>690</v>
      </c>
      <c r="G754" t="n">
        <v>814.2</v>
      </c>
      <c r="H754">
        <f>הגדרות!B4</f>
        <v/>
      </c>
      <c r="I754">
        <f>F754*(1-H754/100)*1.18</f>
        <v/>
      </c>
      <c r="J754">
        <f>הגדרות!C4</f>
        <v/>
      </c>
      <c r="K754">
        <f>הגדרות!D4</f>
        <v/>
      </c>
      <c r="L754">
        <f>I754*(1+J754/100)+K754</f>
        <v/>
      </c>
    </row>
    <row r="755">
      <c r="A755" t="inlineStr">
        <is>
          <t>בית ארז — ציוד מתכלה</t>
        </is>
      </c>
      <c r="B755" t="inlineStr">
        <is>
          <t>סד בלטו סופט Elbow joint S LEFT 4-10kg</t>
        </is>
      </c>
      <c r="C755" t="inlineStr">
        <is>
          <t>ציוד רפואי - סד וקיבוע</t>
        </is>
      </c>
      <c r="D755" t="inlineStr">
        <is>
          <t>6301070</t>
        </is>
      </c>
      <c r="E755" t="inlineStr">
        <is>
          <t>2025-11</t>
        </is>
      </c>
      <c r="F755" t="n">
        <v>289</v>
      </c>
      <c r="G755" t="n">
        <v>341.02</v>
      </c>
      <c r="H755">
        <f>הגדרות!B4</f>
        <v/>
      </c>
      <c r="I755">
        <f>F755*(1-H755/100)*1.18</f>
        <v/>
      </c>
      <c r="J755">
        <f>הגדרות!C4</f>
        <v/>
      </c>
      <c r="K755">
        <f>הגדרות!D4</f>
        <v/>
      </c>
      <c r="L755">
        <f>I755*(1+J755/100)+K755</f>
        <v/>
      </c>
    </row>
    <row r="756">
      <c r="A756" t="inlineStr">
        <is>
          <t>בית ארז — ציוד מתכלה</t>
        </is>
      </c>
      <c r="B756" t="inlineStr">
        <is>
          <t>סד בלטו סופט Elbow joint M LEFT 12-18kg</t>
        </is>
      </c>
      <c r="C756" t="inlineStr">
        <is>
          <t>ציוד רפואי</t>
        </is>
      </c>
      <c r="D756" t="inlineStr">
        <is>
          <t>6301071</t>
        </is>
      </c>
      <c r="E756" t="inlineStr">
        <is>
          <t>2025-11</t>
        </is>
      </c>
      <c r="F756" t="n">
        <v>333</v>
      </c>
      <c r="G756" t="n">
        <v>392.94</v>
      </c>
      <c r="H756">
        <f>הגדרות!B4</f>
        <v/>
      </c>
      <c r="I756">
        <f>F756*(1-H756/100)*1.18</f>
        <v/>
      </c>
      <c r="J756">
        <f>הגדרות!C4</f>
        <v/>
      </c>
      <c r="K756">
        <f>הגדרות!D4</f>
        <v/>
      </c>
      <c r="L756">
        <f>I756*(1+J756/100)+K756</f>
        <v/>
      </c>
    </row>
    <row r="757">
      <c r="A757" t="inlineStr">
        <is>
          <t>בית ארז — ציוד מתכלה</t>
        </is>
      </c>
      <c r="B757" t="inlineStr">
        <is>
          <t>סד בלטו סופט Elbow joint L LEFT 20-45kg</t>
        </is>
      </c>
      <c r="C757" t="inlineStr">
        <is>
          <t>ציוד רפואי - סד וקיבוע</t>
        </is>
      </c>
      <c r="D757" t="inlineStr">
        <is>
          <t>6301072</t>
        </is>
      </c>
      <c r="E757" t="inlineStr">
        <is>
          <t>2025-11</t>
        </is>
      </c>
      <c r="F757" t="n">
        <v>378</v>
      </c>
      <c r="G757" t="n">
        <v>446.04</v>
      </c>
      <c r="H757">
        <f>הגדרות!B4</f>
        <v/>
      </c>
      <c r="I757">
        <f>F757*(1-H757/100)*1.18</f>
        <v/>
      </c>
      <c r="J757">
        <f>הגדרות!C4</f>
        <v/>
      </c>
      <c r="K757">
        <f>הגדרות!D4</f>
        <v/>
      </c>
      <c r="L757">
        <f>I757*(1+J757/100)+K757</f>
        <v/>
      </c>
    </row>
    <row r="758">
      <c r="A758" t="inlineStr">
        <is>
          <t>בית ארז — ציוד מתכלה</t>
        </is>
      </c>
      <c r="B758" t="inlineStr">
        <is>
          <t>סד בלטו סופט Elbow joint XL LEFT 45+kg</t>
        </is>
      </c>
      <c r="C758" t="inlineStr">
        <is>
          <t>ציוד רפואי</t>
        </is>
      </c>
      <c r="D758" t="inlineStr">
        <is>
          <t>6301073</t>
        </is>
      </c>
      <c r="E758" t="inlineStr">
        <is>
          <t>2025-11</t>
        </is>
      </c>
      <c r="F758" t="n">
        <v>422</v>
      </c>
      <c r="G758" t="n">
        <v>497.96</v>
      </c>
      <c r="H758">
        <f>הגדרות!B4</f>
        <v/>
      </c>
      <c r="I758">
        <f>F758*(1-H758/100)*1.18</f>
        <v/>
      </c>
      <c r="J758">
        <f>הגדרות!C4</f>
        <v/>
      </c>
      <c r="K758">
        <f>הגדרות!D4</f>
        <v/>
      </c>
      <c r="L758">
        <f>I758*(1+J758/100)+K758</f>
        <v/>
      </c>
    </row>
    <row r="759">
      <c r="A759" t="inlineStr">
        <is>
          <t>בית ארז — ציוד מתכלה</t>
        </is>
      </c>
      <c r="B759" t="inlineStr">
        <is>
          <t>סד בלטו סופט Elbow joint S RIGHT 4-10kg</t>
        </is>
      </c>
      <c r="C759" t="inlineStr">
        <is>
          <t>ציוד רפואי - סד וקיבוע</t>
        </is>
      </c>
      <c r="D759" t="inlineStr">
        <is>
          <t>6301075</t>
        </is>
      </c>
      <c r="E759" t="inlineStr">
        <is>
          <t>2025-11</t>
        </is>
      </c>
      <c r="F759" t="n">
        <v>289</v>
      </c>
      <c r="G759" t="n">
        <v>341.02</v>
      </c>
      <c r="H759">
        <f>הגדרות!B4</f>
        <v/>
      </c>
      <c r="I759">
        <f>F759*(1-H759/100)*1.18</f>
        <v/>
      </c>
      <c r="J759">
        <f>הגדרות!C4</f>
        <v/>
      </c>
      <c r="K759">
        <f>הגדרות!D4</f>
        <v/>
      </c>
      <c r="L759">
        <f>I759*(1+J759/100)+K759</f>
        <v/>
      </c>
    </row>
    <row r="760">
      <c r="A760" t="inlineStr">
        <is>
          <t>בית ארז — ציוד מתכלה</t>
        </is>
      </c>
      <c r="B760" t="inlineStr">
        <is>
          <t>סד בלטו סופט Elbow joint M RIGHT 12-18kg</t>
        </is>
      </c>
      <c r="C760" t="inlineStr">
        <is>
          <t>ציוד רפואי</t>
        </is>
      </c>
      <c r="D760" t="inlineStr">
        <is>
          <t>6301076</t>
        </is>
      </c>
      <c r="E760" t="inlineStr">
        <is>
          <t>2025-11</t>
        </is>
      </c>
      <c r="F760" t="n">
        <v>333</v>
      </c>
      <c r="G760" t="n">
        <v>392.94</v>
      </c>
      <c r="H760">
        <f>הגדרות!B4</f>
        <v/>
      </c>
      <c r="I760">
        <f>F760*(1-H760/100)*1.18</f>
        <v/>
      </c>
      <c r="J760">
        <f>הגדרות!C4</f>
        <v/>
      </c>
      <c r="K760">
        <f>הגדרות!D4</f>
        <v/>
      </c>
      <c r="L760">
        <f>I760*(1+J760/100)+K760</f>
        <v/>
      </c>
    </row>
    <row r="761">
      <c r="A761" t="inlineStr">
        <is>
          <t>בית ארז — ציוד מתכלה</t>
        </is>
      </c>
      <c r="B761" t="inlineStr">
        <is>
          <t>סד בלטו סופט Elbow joint L RIGHT 20-45kg</t>
        </is>
      </c>
      <c r="C761" t="inlineStr">
        <is>
          <t>ציוד רפואי - סד וקיבוע</t>
        </is>
      </c>
      <c r="D761" t="inlineStr">
        <is>
          <t>6301077</t>
        </is>
      </c>
      <c r="E761" t="inlineStr">
        <is>
          <t>2025-11</t>
        </is>
      </c>
      <c r="F761" t="n">
        <v>378</v>
      </c>
      <c r="G761" t="n">
        <v>446.04</v>
      </c>
      <c r="H761">
        <f>הגדרות!B4</f>
        <v/>
      </c>
      <c r="I761">
        <f>F761*(1-H761/100)*1.18</f>
        <v/>
      </c>
      <c r="J761">
        <f>הגדרות!C4</f>
        <v/>
      </c>
      <c r="K761">
        <f>הגדרות!D4</f>
        <v/>
      </c>
      <c r="L761">
        <f>I761*(1+J761/100)+K761</f>
        <v/>
      </c>
    </row>
    <row r="762">
      <c r="A762" t="inlineStr">
        <is>
          <t>בית ארז — ציוד מתכלה</t>
        </is>
      </c>
      <c r="B762" t="inlineStr">
        <is>
          <t>סד בלטו סופט Elbow joint XL RIGHT 45+kg</t>
        </is>
      </c>
      <c r="C762" t="inlineStr">
        <is>
          <t>ציוד רפואי</t>
        </is>
      </c>
      <c r="D762" t="inlineStr">
        <is>
          <t>6301078</t>
        </is>
      </c>
      <c r="E762" t="inlineStr">
        <is>
          <t>2025-11</t>
        </is>
      </c>
      <c r="F762" t="n">
        <v>422</v>
      </c>
      <c r="G762" t="n">
        <v>497.96</v>
      </c>
      <c r="H762">
        <f>הגדרות!B4</f>
        <v/>
      </c>
      <c r="I762">
        <f>F762*(1-H762/100)*1.18</f>
        <v/>
      </c>
      <c r="J762">
        <f>הגדרות!C4</f>
        <v/>
      </c>
      <c r="K762">
        <f>הגדרות!D4</f>
        <v/>
      </c>
      <c r="L762">
        <f>I762*(1+J762/100)+K762</f>
        <v/>
      </c>
    </row>
    <row r="763">
      <c r="A763" t="inlineStr">
        <is>
          <t>בית ארז — ציוד מתכלה</t>
        </is>
      </c>
      <c r="B763" t="inlineStr">
        <is>
          <t>סד בלטו ספלינט 2kg&lt; Tarsal Laxity XXS&amp;Carpal</t>
        </is>
      </c>
      <c r="C763" t="inlineStr">
        <is>
          <t>ציוד רפואי - סד וקיבוע</t>
        </is>
      </c>
      <c r="D763" t="inlineStr">
        <is>
          <t>6301090</t>
        </is>
      </c>
      <c r="E763" t="inlineStr">
        <is>
          <t>2025-11</t>
        </is>
      </c>
      <c r="F763" t="n">
        <v>356</v>
      </c>
      <c r="G763" t="n">
        <v>420.08</v>
      </c>
      <c r="H763">
        <f>הגדרות!B4</f>
        <v/>
      </c>
      <c r="I763">
        <f>F763*(1-H763/100)*1.18</f>
        <v/>
      </c>
      <c r="J763">
        <f>הגדרות!C4</f>
        <v/>
      </c>
      <c r="K763">
        <f>הגדרות!D4</f>
        <v/>
      </c>
      <c r="L763">
        <f>I763*(1+J763/100)+K763</f>
        <v/>
      </c>
    </row>
    <row r="764">
      <c r="A764" t="inlineStr">
        <is>
          <t>בית ארז — ציוד מתכלה</t>
        </is>
      </c>
      <c r="B764" t="inlineStr">
        <is>
          <t>סד בלטו ספלינט 5-7kg&lt; Tarsal Laxity XS&amp;Carpal</t>
        </is>
      </c>
      <c r="C764" t="inlineStr">
        <is>
          <t>ציוד רפואי</t>
        </is>
      </c>
      <c r="D764" t="inlineStr">
        <is>
          <t>6301091</t>
        </is>
      </c>
      <c r="E764" t="inlineStr">
        <is>
          <t>2025-11</t>
        </is>
      </c>
      <c r="F764" t="n">
        <v>399</v>
      </c>
      <c r="G764" t="n">
        <v>470.82</v>
      </c>
      <c r="H764">
        <f>הגדרות!B4</f>
        <v/>
      </c>
      <c r="I764">
        <f>F764*(1-H764/100)*1.18</f>
        <v/>
      </c>
      <c r="J764">
        <f>הגדרות!C4</f>
        <v/>
      </c>
      <c r="K764">
        <f>הגדרות!D4</f>
        <v/>
      </c>
      <c r="L764">
        <f>I764*(1+J764/100)+K764</f>
        <v/>
      </c>
    </row>
    <row r="765">
      <c r="A765" t="inlineStr">
        <is>
          <t>בית ארז — ציוד מתכלה</t>
        </is>
      </c>
      <c r="B765" t="inlineStr">
        <is>
          <t>סד בלטו ספלינט 15kg&lt; Tarsal Laxity S&amp;Carpal</t>
        </is>
      </c>
      <c r="C765" t="inlineStr">
        <is>
          <t>ציוד רפואי - סד וקיבוע</t>
        </is>
      </c>
      <c r="D765" t="inlineStr">
        <is>
          <t>6301092</t>
        </is>
      </c>
      <c r="E765" t="inlineStr">
        <is>
          <t>2025-11</t>
        </is>
      </c>
      <c r="F765" t="n">
        <v>445</v>
      </c>
      <c r="G765" t="n">
        <v>525.1</v>
      </c>
      <c r="H765">
        <f>הגדרות!B4</f>
        <v/>
      </c>
      <c r="I765">
        <f>F765*(1-H765/100)*1.18</f>
        <v/>
      </c>
      <c r="J765">
        <f>הגדרות!C4</f>
        <v/>
      </c>
      <c r="K765">
        <f>הגדרות!D4</f>
        <v/>
      </c>
      <c r="L765">
        <f>I765*(1+J765/100)+K765</f>
        <v/>
      </c>
    </row>
    <row r="766">
      <c r="A766" t="inlineStr">
        <is>
          <t>בית ארז — ציוד מתכלה</t>
        </is>
      </c>
      <c r="B766" t="inlineStr">
        <is>
          <t>סד בלטו ספלינט 25-30kg&lt; Tarsal Laxity M&amp;Carpal</t>
        </is>
      </c>
      <c r="C766" t="inlineStr">
        <is>
          <t>ציוד רפואי</t>
        </is>
      </c>
      <c r="D766" t="inlineStr">
        <is>
          <t>6301093</t>
        </is>
      </c>
      <c r="E766" t="inlineStr">
        <is>
          <t>2025-11</t>
        </is>
      </c>
      <c r="F766" t="n">
        <v>489</v>
      </c>
      <c r="G766" t="n">
        <v>577.02</v>
      </c>
      <c r="H766">
        <f>הגדרות!B4</f>
        <v/>
      </c>
      <c r="I766">
        <f>F766*(1-H766/100)*1.18</f>
        <v/>
      </c>
      <c r="J766">
        <f>הגדרות!C4</f>
        <v/>
      </c>
      <c r="K766">
        <f>הגדרות!D4</f>
        <v/>
      </c>
      <c r="L766">
        <f>I766*(1+J766/100)+K766</f>
        <v/>
      </c>
    </row>
    <row r="767">
      <c r="A767" t="inlineStr">
        <is>
          <t>בית ארז — ציוד מתכלה</t>
        </is>
      </c>
      <c r="B767" t="inlineStr">
        <is>
          <t>סד בלטו ספלינט Tarsal Laxity L 30+kg&amp;Carpal</t>
        </is>
      </c>
      <c r="C767" t="inlineStr">
        <is>
          <t>ציוד רפואי - סד וקיבוע</t>
        </is>
      </c>
      <c r="D767" t="inlineStr">
        <is>
          <t>6301094</t>
        </is>
      </c>
      <c r="E767" t="inlineStr">
        <is>
          <t>2025-11</t>
        </is>
      </c>
      <c r="F767" t="n">
        <v>534</v>
      </c>
      <c r="G767" t="n">
        <v>630.12</v>
      </c>
      <c r="H767">
        <f>הגדרות!B4</f>
        <v/>
      </c>
      <c r="I767">
        <f>F767*(1-H767/100)*1.18</f>
        <v/>
      </c>
      <c r="J767">
        <f>הגדרות!C4</f>
        <v/>
      </c>
      <c r="K767">
        <f>הגדרות!D4</f>
        <v/>
      </c>
      <c r="L767">
        <f>I767*(1+J767/100)+K767</f>
        <v/>
      </c>
    </row>
    <row r="768">
      <c r="A768" t="inlineStr">
        <is>
          <t>בית ארז — ציוד מתכלה</t>
        </is>
      </c>
      <c r="B768" t="inlineStr">
        <is>
          <t>סד בלטו hock joint XXS 2-5kg</t>
        </is>
      </c>
      <c r="C768" t="inlineStr">
        <is>
          <t>ציוד רפואי</t>
        </is>
      </c>
      <c r="D768" t="inlineStr">
        <is>
          <t>6301050</t>
        </is>
      </c>
      <c r="E768" t="inlineStr">
        <is>
          <t>2025-11</t>
        </is>
      </c>
      <c r="F768" t="n">
        <v>356</v>
      </c>
      <c r="G768" t="n">
        <v>420.08</v>
      </c>
      <c r="H768">
        <f>הגדרות!B4</f>
        <v/>
      </c>
      <c r="I768">
        <f>F768*(1-H768/100)*1.18</f>
        <v/>
      </c>
      <c r="J768">
        <f>הגדרות!C4</f>
        <v/>
      </c>
      <c r="K768">
        <f>הגדרות!D4</f>
        <v/>
      </c>
      <c r="L768">
        <f>I768*(1+J768/100)+K768</f>
        <v/>
      </c>
    </row>
    <row r="769">
      <c r="A769" t="inlineStr">
        <is>
          <t>בית ארז — ציוד מתכלה</t>
        </is>
      </c>
      <c r="B769" t="inlineStr">
        <is>
          <t>סד בלטו hock joint XS 5-8kg</t>
        </is>
      </c>
      <c r="C769" t="inlineStr">
        <is>
          <t>ציוד רפואי - סד וקיבוע</t>
        </is>
      </c>
      <c r="D769" t="inlineStr">
        <is>
          <t>6301051</t>
        </is>
      </c>
      <c r="E769" t="inlineStr">
        <is>
          <t>2025-11</t>
        </is>
      </c>
      <c r="F769" t="n">
        <v>378</v>
      </c>
      <c r="G769" t="n">
        <v>446.04</v>
      </c>
      <c r="H769">
        <f>הגדרות!B4</f>
        <v/>
      </c>
      <c r="I769">
        <f>F769*(1-H769/100)*1.18</f>
        <v/>
      </c>
      <c r="J769">
        <f>הגדרות!C4</f>
        <v/>
      </c>
      <c r="K769">
        <f>הגדרות!D4</f>
        <v/>
      </c>
      <c r="L769">
        <f>I769*(1+J769/100)+K769</f>
        <v/>
      </c>
    </row>
    <row r="770">
      <c r="A770" t="inlineStr">
        <is>
          <t>בית ארז — ציוד מתכלה</t>
        </is>
      </c>
      <c r="B770" t="inlineStr">
        <is>
          <t>סד בלטו hock joint S 8-25kg</t>
        </is>
      </c>
      <c r="C770" t="inlineStr">
        <is>
          <t>ציוד רפואי</t>
        </is>
      </c>
      <c r="D770" t="inlineStr">
        <is>
          <t>6301052</t>
        </is>
      </c>
      <c r="E770" t="inlineStr">
        <is>
          <t>2025-11</t>
        </is>
      </c>
      <c r="F770" t="n">
        <v>399</v>
      </c>
      <c r="G770" t="n">
        <v>470.82</v>
      </c>
      <c r="H770">
        <f>הגדרות!B4</f>
        <v/>
      </c>
      <c r="I770">
        <f>F770*(1-H770/100)*1.18</f>
        <v/>
      </c>
      <c r="J770">
        <f>הגדרות!C4</f>
        <v/>
      </c>
      <c r="K770">
        <f>הגדרות!D4</f>
        <v/>
      </c>
      <c r="L770">
        <f>I770*(1+J770/100)+K770</f>
        <v/>
      </c>
    </row>
    <row r="771">
      <c r="A771" t="inlineStr">
        <is>
          <t>בית ארז — ציוד מתכלה</t>
        </is>
      </c>
      <c r="B771" t="inlineStr">
        <is>
          <t>סד בלטו hock joint M 25-35kg</t>
        </is>
      </c>
      <c r="C771" t="inlineStr">
        <is>
          <t>ציוד רפואי - סד וקיבוע</t>
        </is>
      </c>
      <c r="D771" t="inlineStr">
        <is>
          <t>6301053</t>
        </is>
      </c>
      <c r="E771" t="inlineStr">
        <is>
          <t>2025-11</t>
        </is>
      </c>
      <c r="F771" t="n">
        <v>422</v>
      </c>
      <c r="G771" t="n">
        <v>497.96</v>
      </c>
      <c r="H771">
        <f>הגדרות!B4</f>
        <v/>
      </c>
      <c r="I771">
        <f>F771*(1-H771/100)*1.18</f>
        <v/>
      </c>
      <c r="J771">
        <f>הגדרות!C4</f>
        <v/>
      </c>
      <c r="K771">
        <f>הגדרות!D4</f>
        <v/>
      </c>
      <c r="L771">
        <f>I771*(1+J771/100)+K771</f>
        <v/>
      </c>
    </row>
    <row r="772">
      <c r="A772" t="inlineStr">
        <is>
          <t>בית ארז — ציוד מתכלה</t>
        </is>
      </c>
      <c r="B772" t="inlineStr">
        <is>
          <t>סד בלטו hock joint L 35-50kg</t>
        </is>
      </c>
      <c r="C772" t="inlineStr">
        <is>
          <t>ציוד רפואי</t>
        </is>
      </c>
      <c r="D772" t="inlineStr">
        <is>
          <t>6301054</t>
        </is>
      </c>
      <c r="E772" t="inlineStr">
        <is>
          <t>2025-11</t>
        </is>
      </c>
      <c r="F772" t="n">
        <v>445</v>
      </c>
      <c r="G772" t="n">
        <v>525.1</v>
      </c>
      <c r="H772">
        <f>הגדרות!B4</f>
        <v/>
      </c>
      <c r="I772">
        <f>F772*(1-H772/100)*1.18</f>
        <v/>
      </c>
      <c r="J772">
        <f>הגדרות!C4</f>
        <v/>
      </c>
      <c r="K772">
        <f>הגדרות!D4</f>
        <v/>
      </c>
      <c r="L772">
        <f>I772*(1+J772/100)+K772</f>
        <v/>
      </c>
    </row>
    <row r="773">
      <c r="A773" t="inlineStr">
        <is>
          <t>בית ארז — ציוד מתכלה</t>
        </is>
      </c>
      <c r="B773" t="inlineStr">
        <is>
          <t>סד בלטו hock joint XL 50+kg</t>
        </is>
      </c>
      <c r="C773" t="inlineStr">
        <is>
          <t>ציוד רפואי - סד וקיבוע</t>
        </is>
      </c>
      <c r="D773" t="inlineStr">
        <is>
          <t>6301055</t>
        </is>
      </c>
      <c r="E773" t="inlineStr">
        <is>
          <t>2025-11</t>
        </is>
      </c>
      <c r="F773" t="n">
        <v>467</v>
      </c>
      <c r="G773" t="n">
        <v>551.0599999999999</v>
      </c>
      <c r="H773">
        <f>הגדרות!B4</f>
        <v/>
      </c>
      <c r="I773">
        <f>F773*(1-H773/100)*1.18</f>
        <v/>
      </c>
      <c r="J773">
        <f>הגדרות!C4</f>
        <v/>
      </c>
      <c r="K773">
        <f>הגדרות!D4</f>
        <v/>
      </c>
      <c r="L773">
        <f>I773*(1+J773/100)+K773</f>
        <v/>
      </c>
    </row>
    <row r="774">
      <c r="A774" t="inlineStr">
        <is>
          <t>בית ארז — ציוד מתכלה</t>
        </is>
      </c>
      <c r="B774" t="inlineStr">
        <is>
          <t>סד בלטו ג'אמפ Knee joint XXS LEFT</t>
        </is>
      </c>
      <c r="C774" t="inlineStr">
        <is>
          <t>ציוד רפואי</t>
        </is>
      </c>
      <c r="D774" t="inlineStr">
        <is>
          <t>6301100</t>
        </is>
      </c>
      <c r="E774" t="inlineStr">
        <is>
          <t>2025-11</t>
        </is>
      </c>
      <c r="F774" t="n">
        <v>556</v>
      </c>
      <c r="G774" t="n">
        <v>656.08</v>
      </c>
      <c r="H774">
        <f>הגדרות!B4</f>
        <v/>
      </c>
      <c r="I774">
        <f>F774*(1-H774/100)*1.18</f>
        <v/>
      </c>
      <c r="J774">
        <f>הגדרות!C4</f>
        <v/>
      </c>
      <c r="K774">
        <f>הגדרות!D4</f>
        <v/>
      </c>
      <c r="L774">
        <f>I774*(1+J774/100)+K774</f>
        <v/>
      </c>
    </row>
    <row r="775">
      <c r="A775" t="inlineStr">
        <is>
          <t>בית ארז — ציוד מתכלה</t>
        </is>
      </c>
      <c r="B775" t="inlineStr">
        <is>
          <t>סד בלטו ג'אמפ Knee joint XS LEFT</t>
        </is>
      </c>
      <c r="C775" t="inlineStr">
        <is>
          <t>ציוד רפואי - סד וקיבוע</t>
        </is>
      </c>
      <c r="D775" t="inlineStr">
        <is>
          <t>6301101</t>
        </is>
      </c>
      <c r="E775" t="inlineStr">
        <is>
          <t>2025-11</t>
        </is>
      </c>
      <c r="F775" t="n">
        <v>599</v>
      </c>
      <c r="G775" t="n">
        <v>706.8200000000001</v>
      </c>
      <c r="H775">
        <f>הגדרות!B4</f>
        <v/>
      </c>
      <c r="I775">
        <f>F775*(1-H775/100)*1.18</f>
        <v/>
      </c>
      <c r="J775">
        <f>הגדרות!C4</f>
        <v/>
      </c>
      <c r="K775">
        <f>הגדרות!D4</f>
        <v/>
      </c>
      <c r="L775">
        <f>I775*(1+J775/100)+K775</f>
        <v/>
      </c>
    </row>
    <row r="776">
      <c r="A776" t="inlineStr">
        <is>
          <t>בית ארז — ציוד מתכלה</t>
        </is>
      </c>
      <c r="B776" t="inlineStr">
        <is>
          <t>סד בלטו ג'אמפ Knee joint S LEFT</t>
        </is>
      </c>
      <c r="C776" t="inlineStr">
        <is>
          <t>ציוד רפואי</t>
        </is>
      </c>
      <c r="D776" t="inlineStr">
        <is>
          <t>6301102</t>
        </is>
      </c>
      <c r="E776" t="inlineStr">
        <is>
          <t>2025-11</t>
        </is>
      </c>
      <c r="F776" t="n">
        <v>645</v>
      </c>
      <c r="G776" t="n">
        <v>761.1</v>
      </c>
      <c r="H776">
        <f>הגדרות!B4</f>
        <v/>
      </c>
      <c r="I776">
        <f>F776*(1-H776/100)*1.18</f>
        <v/>
      </c>
      <c r="J776">
        <f>הגדרות!C4</f>
        <v/>
      </c>
      <c r="K776">
        <f>הגדרות!D4</f>
        <v/>
      </c>
      <c r="L776">
        <f>I776*(1+J776/100)+K776</f>
        <v/>
      </c>
    </row>
    <row r="777">
      <c r="A777" t="inlineStr">
        <is>
          <t>בית ארז — ציוד מתכלה</t>
        </is>
      </c>
      <c r="B777" t="inlineStr">
        <is>
          <t>סד בלטו ג'אמפ Knee joint M LEFT</t>
        </is>
      </c>
      <c r="C777" t="inlineStr">
        <is>
          <t>ציוד רפואי - סד וקיבוע</t>
        </is>
      </c>
      <c r="D777" t="inlineStr">
        <is>
          <t>6301103</t>
        </is>
      </c>
      <c r="E777" t="inlineStr">
        <is>
          <t>2025-11</t>
        </is>
      </c>
      <c r="F777" t="n">
        <v>689</v>
      </c>
      <c r="G777" t="n">
        <v>813.02</v>
      </c>
      <c r="H777">
        <f>הגדרות!B4</f>
        <v/>
      </c>
      <c r="I777">
        <f>F777*(1-H777/100)*1.18</f>
        <v/>
      </c>
      <c r="J777">
        <f>הגדרות!C4</f>
        <v/>
      </c>
      <c r="K777">
        <f>הגדרות!D4</f>
        <v/>
      </c>
      <c r="L777">
        <f>I777*(1+J777/100)+K777</f>
        <v/>
      </c>
    </row>
    <row r="778">
      <c r="A778" t="inlineStr">
        <is>
          <t>בית ארז — ציוד מתכלה</t>
        </is>
      </c>
      <c r="B778" t="inlineStr">
        <is>
          <t>סד בלטו ג'אמפ Knee joint L LEFT</t>
        </is>
      </c>
      <c r="C778" t="inlineStr">
        <is>
          <t>ציוד רפואי</t>
        </is>
      </c>
      <c r="D778" t="inlineStr">
        <is>
          <t>6301104</t>
        </is>
      </c>
      <c r="E778" t="inlineStr">
        <is>
          <t>2025-11</t>
        </is>
      </c>
      <c r="F778" t="n">
        <v>734</v>
      </c>
      <c r="G778" t="n">
        <v>866.12</v>
      </c>
      <c r="H778">
        <f>הגדרות!B4</f>
        <v/>
      </c>
      <c r="I778">
        <f>F778*(1-H778/100)*1.18</f>
        <v/>
      </c>
      <c r="J778">
        <f>הגדרות!C4</f>
        <v/>
      </c>
      <c r="K778">
        <f>הגדרות!D4</f>
        <v/>
      </c>
      <c r="L778">
        <f>I778*(1+J778/100)+K778</f>
        <v/>
      </c>
    </row>
    <row r="779">
      <c r="A779" t="inlineStr">
        <is>
          <t>בית ארז — ציוד מתכלה</t>
        </is>
      </c>
      <c r="B779" t="inlineStr">
        <is>
          <t>סד בלטו ג'אמפ Knee joint XL LEFT</t>
        </is>
      </c>
      <c r="C779" t="inlineStr">
        <is>
          <t>ציוד רפואי - סד וקיבוע</t>
        </is>
      </c>
      <c r="D779" t="inlineStr">
        <is>
          <t>6301105</t>
        </is>
      </c>
      <c r="E779" t="inlineStr">
        <is>
          <t>2025-11</t>
        </is>
      </c>
      <c r="F779" t="n">
        <v>778</v>
      </c>
      <c r="G779" t="n">
        <v>918.04</v>
      </c>
      <c r="H779">
        <f>הגדרות!B4</f>
        <v/>
      </c>
      <c r="I779">
        <f>F779*(1-H779/100)*1.18</f>
        <v/>
      </c>
      <c r="J779">
        <f>הגדרות!C4</f>
        <v/>
      </c>
      <c r="K779">
        <f>הגדרות!D4</f>
        <v/>
      </c>
      <c r="L779">
        <f>I779*(1+J779/100)+K779</f>
        <v/>
      </c>
    </row>
    <row r="780">
      <c r="A780" t="inlineStr">
        <is>
          <t>בית ארז — ציוד מתכלה</t>
        </is>
      </c>
      <c r="B780" t="inlineStr">
        <is>
          <t>סד בלטו ג'אמפ Knee joint XXS RIGHT</t>
        </is>
      </c>
      <c r="C780" t="inlineStr">
        <is>
          <t>ציוד רפואי</t>
        </is>
      </c>
      <c r="D780" t="inlineStr">
        <is>
          <t>6301106</t>
        </is>
      </c>
      <c r="E780" t="inlineStr">
        <is>
          <t>2025-11</t>
        </is>
      </c>
      <c r="F780" t="n">
        <v>556</v>
      </c>
      <c r="G780" t="n">
        <v>656.08</v>
      </c>
      <c r="H780">
        <f>הגדרות!B4</f>
        <v/>
      </c>
      <c r="I780">
        <f>F780*(1-H780/100)*1.18</f>
        <v/>
      </c>
      <c r="J780">
        <f>הגדרות!C4</f>
        <v/>
      </c>
      <c r="K780">
        <f>הגדרות!D4</f>
        <v/>
      </c>
      <c r="L780">
        <f>I780*(1+J780/100)+K780</f>
        <v/>
      </c>
    </row>
    <row r="781">
      <c r="A781" t="inlineStr">
        <is>
          <t>בית ארז — ציוד מתכלה</t>
        </is>
      </c>
      <c r="B781" t="inlineStr">
        <is>
          <t>סד בלטו ג'אמפ Knee joint XS RIGHT</t>
        </is>
      </c>
      <c r="C781" t="inlineStr">
        <is>
          <t>ציוד רפואי - סד וקיבוע</t>
        </is>
      </c>
      <c r="D781" t="inlineStr">
        <is>
          <t>6301107</t>
        </is>
      </c>
      <c r="E781" t="inlineStr">
        <is>
          <t>2025-11</t>
        </is>
      </c>
      <c r="F781" t="n">
        <v>599</v>
      </c>
      <c r="G781" t="n">
        <v>706.8200000000001</v>
      </c>
      <c r="H781">
        <f>הגדרות!B4</f>
        <v/>
      </c>
      <c r="I781">
        <f>F781*(1-H781/100)*1.18</f>
        <v/>
      </c>
      <c r="J781">
        <f>הגדרות!C4</f>
        <v/>
      </c>
      <c r="K781">
        <f>הגדרות!D4</f>
        <v/>
      </c>
      <c r="L781">
        <f>I781*(1+J781/100)+K781</f>
        <v/>
      </c>
    </row>
    <row r="782">
      <c r="A782" t="inlineStr">
        <is>
          <t>בית ארז — ציוד מתכלה</t>
        </is>
      </c>
      <c r="B782" t="inlineStr">
        <is>
          <t>סד בלטו ג'אמפ Knee joint S RIGHT</t>
        </is>
      </c>
      <c r="C782" t="inlineStr">
        <is>
          <t>ציוד רפואי</t>
        </is>
      </c>
      <c r="D782" t="inlineStr">
        <is>
          <t>6301108</t>
        </is>
      </c>
      <c r="E782" t="inlineStr">
        <is>
          <t>2025-11</t>
        </is>
      </c>
      <c r="F782" t="n">
        <v>645</v>
      </c>
      <c r="G782" t="n">
        <v>761.1</v>
      </c>
      <c r="H782">
        <f>הגדרות!B4</f>
        <v/>
      </c>
      <c r="I782">
        <f>F782*(1-H782/100)*1.18</f>
        <v/>
      </c>
      <c r="J782">
        <f>הגדרות!C4</f>
        <v/>
      </c>
      <c r="K782">
        <f>הגדרות!D4</f>
        <v/>
      </c>
      <c r="L782">
        <f>I782*(1+J782/100)+K782</f>
        <v/>
      </c>
    </row>
    <row r="783">
      <c r="A783" t="inlineStr">
        <is>
          <t>בית ארז — ציוד מתכלה</t>
        </is>
      </c>
      <c r="B783" t="inlineStr">
        <is>
          <t>סד בלטו ג'אמפ Knee joint M RIGHT</t>
        </is>
      </c>
      <c r="C783" t="inlineStr">
        <is>
          <t>ציוד רפואי - סד וקיבוע</t>
        </is>
      </c>
      <c r="D783" t="inlineStr">
        <is>
          <t>6301109</t>
        </is>
      </c>
      <c r="E783" t="inlineStr">
        <is>
          <t>2025-11</t>
        </is>
      </c>
      <c r="F783" t="n">
        <v>689</v>
      </c>
      <c r="G783" t="n">
        <v>813.02</v>
      </c>
      <c r="H783">
        <f>הגדרות!B4</f>
        <v/>
      </c>
      <c r="I783">
        <f>F783*(1-H783/100)*1.18</f>
        <v/>
      </c>
      <c r="J783">
        <f>הגדרות!C4</f>
        <v/>
      </c>
      <c r="K783">
        <f>הגדרות!D4</f>
        <v/>
      </c>
      <c r="L783">
        <f>I783*(1+J783/100)+K783</f>
        <v/>
      </c>
    </row>
    <row r="784">
      <c r="A784" t="inlineStr">
        <is>
          <t>בית ארז — ציוד מתכלה</t>
        </is>
      </c>
      <c r="B784" t="inlineStr">
        <is>
          <t>סד בלטו ג'אמפ Knee joint L RIGHT</t>
        </is>
      </c>
      <c r="C784" t="inlineStr">
        <is>
          <t>ציוד רפואי</t>
        </is>
      </c>
      <c r="D784" t="inlineStr">
        <is>
          <t>6301110</t>
        </is>
      </c>
      <c r="E784" t="inlineStr">
        <is>
          <t>2025-11</t>
        </is>
      </c>
      <c r="F784" t="n">
        <v>734</v>
      </c>
      <c r="G784" t="n">
        <v>866.12</v>
      </c>
      <c r="H784">
        <f>הגדרות!B4</f>
        <v/>
      </c>
      <c r="I784">
        <f>F784*(1-H784/100)*1.18</f>
        <v/>
      </c>
      <c r="J784">
        <f>הגדרות!C4</f>
        <v/>
      </c>
      <c r="K784">
        <f>הגדרות!D4</f>
        <v/>
      </c>
      <c r="L784">
        <f>I784*(1+J784/100)+K784</f>
        <v/>
      </c>
    </row>
    <row r="785">
      <c r="A785" t="inlineStr">
        <is>
          <t>בית ארז — ציוד מתכלה</t>
        </is>
      </c>
      <c r="B785" t="inlineStr">
        <is>
          <t>סד בלטו ג'אמפ Knee joint XL RIGHT</t>
        </is>
      </c>
      <c r="C785" t="inlineStr">
        <is>
          <t>ציוד רפואי - סד וקיבוע</t>
        </is>
      </c>
      <c r="D785" t="inlineStr">
        <is>
          <t>6301111</t>
        </is>
      </c>
      <c r="E785" t="inlineStr">
        <is>
          <t>2025-11</t>
        </is>
      </c>
      <c r="F785" t="n">
        <v>778</v>
      </c>
      <c r="G785" t="n">
        <v>918.04</v>
      </c>
      <c r="H785">
        <f>הגדרות!B4</f>
        <v/>
      </c>
      <c r="I785">
        <f>F785*(1-H785/100)*1.18</f>
        <v/>
      </c>
      <c r="J785">
        <f>הגדרות!C4</f>
        <v/>
      </c>
      <c r="K785">
        <f>הגדרות!D4</f>
        <v/>
      </c>
      <c r="L785">
        <f>I785*(1+J785/100)+K785</f>
        <v/>
      </c>
    </row>
    <row r="786">
      <c r="A786" t="inlineStr">
        <is>
          <t>בית ארז — ציוד מתכלה</t>
        </is>
      </c>
      <c r="B786" t="inlineStr">
        <is>
          <t>רתמת בלטו אפ אחורית Rear Harness Support XS 15-20cm</t>
        </is>
      </c>
      <c r="C786" t="inlineStr">
        <is>
          <t>ציוד רפואי - רתמת הרמה</t>
        </is>
      </c>
      <c r="D786" t="inlineStr">
        <is>
          <t>6301120</t>
        </is>
      </c>
      <c r="E786" t="inlineStr">
        <is>
          <t>2025-11</t>
        </is>
      </c>
      <c r="F786" t="n">
        <v>445</v>
      </c>
      <c r="G786" t="n">
        <v>525.1</v>
      </c>
      <c r="H786">
        <f>הגדרות!B4</f>
        <v/>
      </c>
      <c r="I786">
        <f>F786*(1-H786/100)*1.18</f>
        <v/>
      </c>
      <c r="J786">
        <f>הגדרות!C4</f>
        <v/>
      </c>
      <c r="K786">
        <f>הגדרות!D4</f>
        <v/>
      </c>
      <c r="L786">
        <f>I786*(1+J786/100)+K786</f>
        <v/>
      </c>
    </row>
    <row r="787">
      <c r="A787" t="inlineStr">
        <is>
          <t>בית ארז — ציוד מתכלה</t>
        </is>
      </c>
      <c r="B787" t="inlineStr">
        <is>
          <t>רתמת בלטו אפ אחורית Rear Harness Support S 25-30cm</t>
        </is>
      </c>
      <c r="C787" t="inlineStr">
        <is>
          <t>ציוד רפואי</t>
        </is>
      </c>
      <c r="D787" t="inlineStr">
        <is>
          <t>6301121</t>
        </is>
      </c>
      <c r="E787" t="inlineStr">
        <is>
          <t>2025-11</t>
        </is>
      </c>
      <c r="F787" t="n">
        <v>489</v>
      </c>
      <c r="G787" t="n">
        <v>577.02</v>
      </c>
      <c r="H787">
        <f>הגדרות!B4</f>
        <v/>
      </c>
      <c r="I787">
        <f>F787*(1-H787/100)*1.18</f>
        <v/>
      </c>
      <c r="J787">
        <f>הגדרות!C4</f>
        <v/>
      </c>
      <c r="K787">
        <f>הגדרות!D4</f>
        <v/>
      </c>
      <c r="L787">
        <f>I787*(1+J787/100)+K787</f>
        <v/>
      </c>
    </row>
    <row r="788">
      <c r="A788" t="inlineStr">
        <is>
          <t>בית ארז — ציוד מתכלה</t>
        </is>
      </c>
      <c r="B788" t="inlineStr">
        <is>
          <t>רתמת בלטו אפ אחורית Rear Harness Support M 30-35cm</t>
        </is>
      </c>
      <c r="C788" t="inlineStr">
        <is>
          <t>ציוד רפואי - רתמת הרמה</t>
        </is>
      </c>
      <c r="D788" t="inlineStr">
        <is>
          <t>6301122</t>
        </is>
      </c>
      <c r="E788" t="inlineStr">
        <is>
          <t>2025-11</t>
        </is>
      </c>
      <c r="F788" t="n">
        <v>534</v>
      </c>
      <c r="G788" t="n">
        <v>630.12</v>
      </c>
      <c r="H788">
        <f>הגדרות!B4</f>
        <v/>
      </c>
      <c r="I788">
        <f>F788*(1-H788/100)*1.18</f>
        <v/>
      </c>
      <c r="J788">
        <f>הגדרות!C4</f>
        <v/>
      </c>
      <c r="K788">
        <f>הגדרות!D4</f>
        <v/>
      </c>
      <c r="L788">
        <f>I788*(1+J788/100)+K788</f>
        <v/>
      </c>
    </row>
    <row r="789">
      <c r="A789" t="inlineStr">
        <is>
          <t>בית ארז — ציוד מתכלה</t>
        </is>
      </c>
      <c r="B789" t="inlineStr">
        <is>
          <t>רתמת בלטו אפ אחורית Rear Harness Support L 40-45cm</t>
        </is>
      </c>
      <c r="C789" t="inlineStr">
        <is>
          <t>ציוד רפואי</t>
        </is>
      </c>
      <c r="D789" t="inlineStr">
        <is>
          <t>6301123</t>
        </is>
      </c>
      <c r="E789" t="inlineStr">
        <is>
          <t>2025-11</t>
        </is>
      </c>
      <c r="F789" t="n">
        <v>478</v>
      </c>
      <c r="G789" t="n">
        <v>564.04</v>
      </c>
      <c r="H789">
        <f>הגדרות!B4</f>
        <v/>
      </c>
      <c r="I789">
        <f>F789*(1-H789/100)*1.18</f>
        <v/>
      </c>
      <c r="J789">
        <f>הגדרות!C4</f>
        <v/>
      </c>
      <c r="K789">
        <f>הגדרות!D4</f>
        <v/>
      </c>
      <c r="L789">
        <f>I789*(1+J789/100)+K789</f>
        <v/>
      </c>
    </row>
    <row r="790">
      <c r="A790" t="inlineStr">
        <is>
          <t>בית ארז — ציוד מתכלה</t>
        </is>
      </c>
      <c r="B790" t="inlineStr">
        <is>
          <t>רתמת בלטו אפ אחורית Rear Harness Support XL 50-55cm</t>
        </is>
      </c>
      <c r="C790" t="inlineStr">
        <is>
          <t>ציוד רפואי - רתמת הרמה</t>
        </is>
      </c>
      <c r="D790" t="inlineStr">
        <is>
          <t>6301124</t>
        </is>
      </c>
      <c r="E790" t="inlineStr">
        <is>
          <t>2025-11</t>
        </is>
      </c>
      <c r="F790" t="n">
        <v>623</v>
      </c>
      <c r="G790" t="n">
        <v>735.14</v>
      </c>
      <c r="H790">
        <f>הגדרות!B4</f>
        <v/>
      </c>
      <c r="I790">
        <f>F790*(1-H790/100)*1.18</f>
        <v/>
      </c>
      <c r="J790">
        <f>הגדרות!C4</f>
        <v/>
      </c>
      <c r="K790">
        <f>הגדרות!D4</f>
        <v/>
      </c>
      <c r="L790">
        <f>I790*(1+J790/100)+K790</f>
        <v/>
      </c>
    </row>
    <row r="791">
      <c r="A791" t="inlineStr">
        <is>
          <t>בית ארז — ציוד מתכלה</t>
        </is>
      </c>
      <c r="B791" t="inlineStr">
        <is>
          <t>רתמת בלטו בודי ליפט Body Harness XS 25-32cm</t>
        </is>
      </c>
      <c r="C791" t="inlineStr">
        <is>
          <t>ציוד רפואי</t>
        </is>
      </c>
      <c r="D791" t="inlineStr">
        <is>
          <t>6301150</t>
        </is>
      </c>
      <c r="E791" t="inlineStr">
        <is>
          <t>2025-11</t>
        </is>
      </c>
      <c r="F791" t="n">
        <v>645</v>
      </c>
      <c r="G791" t="n">
        <v>761.1</v>
      </c>
      <c r="H791">
        <f>הגדרות!B4</f>
        <v/>
      </c>
      <c r="I791">
        <f>F791*(1-H791/100)*1.18</f>
        <v/>
      </c>
      <c r="J791">
        <f>הגדרות!C4</f>
        <v/>
      </c>
      <c r="K791">
        <f>הגדרות!D4</f>
        <v/>
      </c>
      <c r="L791">
        <f>I791*(1+J791/100)+K791</f>
        <v/>
      </c>
    </row>
    <row r="792">
      <c r="A792" t="inlineStr">
        <is>
          <t>בית ארז — ציוד מתכלה</t>
        </is>
      </c>
      <c r="B792" t="inlineStr">
        <is>
          <t>רתמת בלטו בודי ליפט Body Harness S 33-39cm</t>
        </is>
      </c>
      <c r="C792" t="inlineStr">
        <is>
          <t>ציוד רפואי - רתמת הרמה</t>
        </is>
      </c>
      <c r="D792" t="inlineStr">
        <is>
          <t>6301151</t>
        </is>
      </c>
      <c r="E792" t="inlineStr">
        <is>
          <t>2025-11</t>
        </is>
      </c>
      <c r="F792" t="n">
        <v>712</v>
      </c>
      <c r="G792" t="n">
        <v>840.16</v>
      </c>
      <c r="H792">
        <f>הגדרות!B4</f>
        <v/>
      </c>
      <c r="I792">
        <f>F792*(1-H792/100)*1.18</f>
        <v/>
      </c>
      <c r="J792">
        <f>הגדרות!C4</f>
        <v/>
      </c>
      <c r="K792">
        <f>הגדרות!D4</f>
        <v/>
      </c>
      <c r="L792">
        <f>I792*(1+J792/100)+K792</f>
        <v/>
      </c>
    </row>
    <row r="793">
      <c r="A793" t="inlineStr">
        <is>
          <t>בית ארז — ציוד מתכלה</t>
        </is>
      </c>
      <c r="B793" t="inlineStr">
        <is>
          <t>רתמת בלטו בודי ליפט Body Harness M 40-49cm</t>
        </is>
      </c>
      <c r="C793" t="inlineStr">
        <is>
          <t>ציוד רפואי</t>
        </is>
      </c>
      <c r="D793" t="inlineStr">
        <is>
          <t>6301152</t>
        </is>
      </c>
      <c r="E793" t="inlineStr">
        <is>
          <t>2025-11</t>
        </is>
      </c>
      <c r="F793" t="n">
        <v>799</v>
      </c>
      <c r="G793" t="n">
        <v>942.8200000000001</v>
      </c>
      <c r="H793">
        <f>הגדרות!B4</f>
        <v/>
      </c>
      <c r="I793">
        <f>F793*(1-H793/100)*1.18</f>
        <v/>
      </c>
      <c r="J793">
        <f>הגדרות!C4</f>
        <v/>
      </c>
      <c r="K793">
        <f>הגדרות!D4</f>
        <v/>
      </c>
      <c r="L793">
        <f>I793*(1+J793/100)+K793</f>
        <v/>
      </c>
    </row>
    <row r="794">
      <c r="A794" t="inlineStr">
        <is>
          <t>בית ארז — ציוד מתכלה</t>
        </is>
      </c>
      <c r="B794" t="inlineStr">
        <is>
          <t>רתמת בלטו בודי ליפט Body Harness L 50-59cm</t>
        </is>
      </c>
      <c r="C794" t="inlineStr">
        <is>
          <t>ציוד רפואי - רתמת הרמה</t>
        </is>
      </c>
      <c r="D794" t="inlineStr">
        <is>
          <t>6301153</t>
        </is>
      </c>
      <c r="E794" t="inlineStr">
        <is>
          <t>2025-11</t>
        </is>
      </c>
      <c r="F794" t="n">
        <v>845</v>
      </c>
      <c r="G794" t="n">
        <v>997.1</v>
      </c>
      <c r="H794">
        <f>הגדרות!B4</f>
        <v/>
      </c>
      <c r="I794">
        <f>F794*(1-H794/100)*1.18</f>
        <v/>
      </c>
      <c r="J794">
        <f>הגדרות!C4</f>
        <v/>
      </c>
      <c r="K794">
        <f>הגדרות!D4</f>
        <v/>
      </c>
      <c r="L794">
        <f>I794*(1+J794/100)+K794</f>
        <v/>
      </c>
    </row>
    <row r="795">
      <c r="A795" t="inlineStr">
        <is>
          <t>בית ארז — ציוד מתכלה</t>
        </is>
      </c>
      <c r="B795" t="inlineStr">
        <is>
          <t>רתמת בלטו בודי ליפט Body Harness XL 60+cm</t>
        </is>
      </c>
      <c r="C795" t="inlineStr">
        <is>
          <t>ציוד רפואי</t>
        </is>
      </c>
      <c r="D795" t="inlineStr">
        <is>
          <t>6301154</t>
        </is>
      </c>
      <c r="E795" t="inlineStr">
        <is>
          <t>2025-11</t>
        </is>
      </c>
      <c r="F795" t="n">
        <v>889</v>
      </c>
      <c r="G795" t="n">
        <v>1049.02</v>
      </c>
      <c r="H795">
        <f>הגדרות!B4</f>
        <v/>
      </c>
      <c r="I795">
        <f>F795*(1-H795/100)*1.18</f>
        <v/>
      </c>
      <c r="J795">
        <f>הגדרות!C4</f>
        <v/>
      </c>
      <c r="K795">
        <f>הגדרות!D4</f>
        <v/>
      </c>
      <c r="L795">
        <f>I795*(1+J795/100)+K795</f>
        <v/>
      </c>
    </row>
    <row r="796">
      <c r="A796" t="inlineStr">
        <is>
          <t>בית ארז — ציוד מתכלה</t>
        </is>
      </c>
      <c r="B796" t="inlineStr">
        <is>
          <t>מתקן עזר לנשיאת כלבים Mobility Sling L</t>
        </is>
      </c>
      <c r="C796" t="inlineStr">
        <is>
          <t>ציוד רפואי - רתמת הרמה</t>
        </is>
      </c>
      <c r="D796" t="inlineStr">
        <is>
          <t>7100152</t>
        </is>
      </c>
      <c r="E796" t="inlineStr">
        <is>
          <t>2025-11</t>
        </is>
      </c>
      <c r="F796" t="n">
        <v>65</v>
      </c>
      <c r="G796" t="n">
        <v>76.7</v>
      </c>
      <c r="H796">
        <f>הגדרות!B4</f>
        <v/>
      </c>
      <c r="I796">
        <f>F796*(1-H796/100)*1.18</f>
        <v/>
      </c>
      <c r="J796">
        <f>הגדרות!C4</f>
        <v/>
      </c>
      <c r="K796">
        <f>הגדרות!D4</f>
        <v/>
      </c>
      <c r="L796">
        <f>I796*(1+J796/100)+K796</f>
        <v/>
      </c>
    </row>
    <row r="797">
      <c r="A797" t="inlineStr">
        <is>
          <t>בית ארז — ציוד מתכלה</t>
        </is>
      </c>
      <c r="B797" t="inlineStr">
        <is>
          <t>קולר זיהוי 25 ס"מ - מגוון צבעים ומרקר שחור 500 יח'</t>
        </is>
      </c>
      <c r="C797" t="inlineStr">
        <is>
          <t>ציוד רפואי</t>
        </is>
      </c>
      <c r="D797" t="inlineStr">
        <is>
          <t>6300300</t>
        </is>
      </c>
      <c r="E797" t="inlineStr">
        <is>
          <t>2025-11</t>
        </is>
      </c>
      <c r="F797" t="n">
        <v>165</v>
      </c>
      <c r="G797" t="n">
        <v>194.7</v>
      </c>
      <c r="H797">
        <f>הגדרות!B4</f>
        <v/>
      </c>
      <c r="I797">
        <f>F797*(1-H797/100)*1.18</f>
        <v/>
      </c>
      <c r="J797">
        <f>הגדרות!C4</f>
        <v/>
      </c>
      <c r="K797">
        <f>הגדרות!D4</f>
        <v/>
      </c>
      <c r="L797">
        <f>I797*(1+J797/100)+K797</f>
        <v/>
      </c>
    </row>
    <row r="798">
      <c r="A798" t="inlineStr">
        <is>
          <t>בית ארז — ציוד מתכלה</t>
        </is>
      </c>
      <c r="B798" t="inlineStr">
        <is>
          <t>קולר זיהוי 50 ס"מ - מגוון צבעים ומרקר שחור 500 יח'</t>
        </is>
      </c>
      <c r="C798" t="inlineStr">
        <is>
          <t>ציוד רפואי</t>
        </is>
      </c>
      <c r="D798" t="inlineStr">
        <is>
          <t>6300301</t>
        </is>
      </c>
      <c r="E798" t="inlineStr">
        <is>
          <t>2025-11</t>
        </is>
      </c>
      <c r="F798" t="n">
        <v>190</v>
      </c>
      <c r="G798" t="n">
        <v>224.2</v>
      </c>
      <c r="H798">
        <f>הגדרות!B4</f>
        <v/>
      </c>
      <c r="I798">
        <f>F798*(1-H798/100)*1.18</f>
        <v/>
      </c>
      <c r="J798">
        <f>הגדרות!C4</f>
        <v/>
      </c>
      <c r="K798">
        <f>הגדרות!D4</f>
        <v/>
      </c>
      <c r="L798">
        <f>I798*(1+J798/100)+K798</f>
        <v/>
      </c>
    </row>
    <row r="799">
      <c r="A799" t="inlineStr">
        <is>
          <t>בית ארז — ציוד מתכלה</t>
        </is>
      </c>
      <c r="B799" t="inlineStr">
        <is>
          <t>קולר זיהוי 75 ס"מ - מגוון צבעים ומרקר שחור 100 יח'</t>
        </is>
      </c>
      <c r="C799" t="inlineStr">
        <is>
          <t>ציוד רפואי</t>
        </is>
      </c>
      <c r="D799" t="inlineStr">
        <is>
          <t>6300302</t>
        </is>
      </c>
      <c r="E799" t="inlineStr">
        <is>
          <t>2025-11</t>
        </is>
      </c>
      <c r="F799" t="n">
        <v>115</v>
      </c>
      <c r="G799" t="n">
        <v>135.7</v>
      </c>
      <c r="H799">
        <f>הגדרות!B4</f>
        <v/>
      </c>
      <c r="I799">
        <f>F799*(1-H799/100)*1.18</f>
        <v/>
      </c>
      <c r="J799">
        <f>הגדרות!C4</f>
        <v/>
      </c>
      <c r="K799">
        <f>הגדרות!D4</f>
        <v/>
      </c>
      <c r="L799">
        <f>I799*(1+J799/100)+K799</f>
        <v/>
      </c>
    </row>
    <row r="800">
      <c r="A800" t="inlineStr">
        <is>
          <t>בית ארז — ציוד מתכלה</t>
        </is>
      </c>
      <c r="B800" t="inlineStr">
        <is>
          <t>קולר זיהוי 25 ס"מ - צבע לבן ומרקר שחור 500 יח'</t>
        </is>
      </c>
      <c r="C800" t="inlineStr">
        <is>
          <t>ציוד רפואי</t>
        </is>
      </c>
      <c r="D800" t="inlineStr">
        <is>
          <t>6300315</t>
        </is>
      </c>
      <c r="E800" t="inlineStr">
        <is>
          <t>2025-11</t>
        </is>
      </c>
      <c r="F800" t="n">
        <v>165</v>
      </c>
      <c r="G800" t="n">
        <v>194.7</v>
      </c>
      <c r="H800">
        <f>הגדרות!B4</f>
        <v/>
      </c>
      <c r="I800">
        <f>F800*(1-H800/100)*1.18</f>
        <v/>
      </c>
      <c r="J800">
        <f>הגדרות!C4</f>
        <v/>
      </c>
      <c r="K800">
        <f>הגדרות!D4</f>
        <v/>
      </c>
      <c r="L800">
        <f>I800*(1+J800/100)+K800</f>
        <v/>
      </c>
    </row>
    <row r="801">
      <c r="A801" t="inlineStr">
        <is>
          <t>בית ארז — ציוד מתכלה</t>
        </is>
      </c>
      <c r="B801" t="inlineStr">
        <is>
          <t>קולר זיהוי 50 ס"מ - צבע לבן ומרקר שחור 500 יח'</t>
        </is>
      </c>
      <c r="C801" t="inlineStr">
        <is>
          <t>ציוד רפואי</t>
        </is>
      </c>
      <c r="D801" t="inlineStr">
        <is>
          <t>6300325</t>
        </is>
      </c>
      <c r="E801" t="inlineStr">
        <is>
          <t>2025-11</t>
        </is>
      </c>
      <c r="F801" t="n">
        <v>190</v>
      </c>
      <c r="G801" t="n">
        <v>224.2</v>
      </c>
      <c r="H801">
        <f>הגדרות!B4</f>
        <v/>
      </c>
      <c r="I801">
        <f>F801*(1-H801/100)*1.18</f>
        <v/>
      </c>
      <c r="J801">
        <f>הגדרות!C4</f>
        <v/>
      </c>
      <c r="K801">
        <f>הגדרות!D4</f>
        <v/>
      </c>
      <c r="L801">
        <f>I801*(1+J801/100)+K801</f>
        <v/>
      </c>
    </row>
    <row r="802">
      <c r="A802" t="inlineStr">
        <is>
          <t>בית ארז — ציוד מתכלה</t>
        </is>
      </c>
      <c r="B802" t="inlineStr">
        <is>
          <t>רצועת הולכה KVP - כחול &amp; לבן 135cm</t>
        </is>
      </c>
      <c r="C802" t="inlineStr">
        <is>
          <t>ציוד רפואי</t>
        </is>
      </c>
      <c r="D802" t="inlineStr">
        <is>
          <t>6300450</t>
        </is>
      </c>
      <c r="E802" t="inlineStr">
        <is>
          <t>2025-11</t>
        </is>
      </c>
      <c r="F802" t="n">
        <v>6</v>
      </c>
      <c r="G802" t="n">
        <v>7.08</v>
      </c>
      <c r="H802">
        <f>הגדרות!B4</f>
        <v/>
      </c>
      <c r="I802">
        <f>F802*(1-H802/100)*1.18</f>
        <v/>
      </c>
      <c r="J802">
        <f>הגדרות!C4</f>
        <v/>
      </c>
      <c r="K802">
        <f>הגדרות!D4</f>
        <v/>
      </c>
      <c r="L802">
        <f>I802*(1+J802/100)+K802</f>
        <v/>
      </c>
    </row>
    <row r="803">
      <c r="A803" t="inlineStr">
        <is>
          <t>בית ארז — ציוד מתכלה</t>
        </is>
      </c>
      <c r="B803" t="inlineStr">
        <is>
          <t>מזרק למתן טבליות קצה גמיש - 10 יח'</t>
        </is>
      </c>
      <c r="C803" t="inlineStr">
        <is>
          <t>ציוד רפואי</t>
        </is>
      </c>
      <c r="D803" t="inlineStr">
        <is>
          <t>6101110</t>
        </is>
      </c>
      <c r="E803" t="inlineStr">
        <is>
          <t>2025-11</t>
        </is>
      </c>
      <c r="F803" t="n">
        <v>50</v>
      </c>
      <c r="G803" t="n">
        <v>59</v>
      </c>
      <c r="H803">
        <f>הגדרות!B4</f>
        <v/>
      </c>
      <c r="I803">
        <f>F803*(1-H803/100)*1.18</f>
        <v/>
      </c>
      <c r="J803">
        <f>הגדרות!C4</f>
        <v/>
      </c>
      <c r="K803">
        <f>הגדרות!D4</f>
        <v/>
      </c>
      <c r="L803">
        <f>I803*(1+J803/100)+K803</f>
        <v/>
      </c>
    </row>
    <row r="804">
      <c r="A804" t="inlineStr">
        <is>
          <t>בית ארז — ציוד מתכלה</t>
        </is>
      </c>
      <c r="B804" t="inlineStr">
        <is>
          <t>חוצה טבליות</t>
        </is>
      </c>
      <c r="C804" t="inlineStr">
        <is>
          <t>ציוד רפואי</t>
        </is>
      </c>
      <c r="D804" t="inlineStr">
        <is>
          <t>6101113</t>
        </is>
      </c>
      <c r="E804" t="inlineStr">
        <is>
          <t>2025-11</t>
        </is>
      </c>
      <c r="F804" t="n">
        <v>14</v>
      </c>
      <c r="G804" t="n">
        <v>16.52</v>
      </c>
      <c r="H804">
        <f>הגדרות!B4</f>
        <v/>
      </c>
      <c r="I804">
        <f>F804*(1-H804/100)*1.18</f>
        <v/>
      </c>
      <c r="J804">
        <f>הגדרות!C4</f>
        <v/>
      </c>
      <c r="K804">
        <f>הגדרות!D4</f>
        <v/>
      </c>
      <c r="L804">
        <f>I804*(1+J804/100)+K804</f>
        <v/>
      </c>
    </row>
    <row r="805">
      <c r="A805" t="inlineStr">
        <is>
          <t>בית ארז — ציוד מתכלה</t>
        </is>
      </c>
      <c r="B805" t="inlineStr">
        <is>
          <t>מועך טבליות</t>
        </is>
      </c>
      <c r="C805" t="inlineStr">
        <is>
          <t>ציוד רפואי</t>
        </is>
      </c>
      <c r="D805" t="inlineStr">
        <is>
          <t>6101115</t>
        </is>
      </c>
      <c r="E805" t="inlineStr">
        <is>
          <t>2025-11</t>
        </is>
      </c>
      <c r="F805" t="n">
        <v>14</v>
      </c>
      <c r="G805" t="n">
        <v>16.52</v>
      </c>
      <c r="H805">
        <f>הגדרות!B4</f>
        <v/>
      </c>
      <c r="I805">
        <f>F805*(1-H805/100)*1.18</f>
        <v/>
      </c>
      <c r="J805">
        <f>הגדרות!C4</f>
        <v/>
      </c>
      <c r="K805">
        <f>הגדרות!D4</f>
        <v/>
      </c>
      <c r="L805">
        <f>I805*(1+J805/100)+K805</f>
        <v/>
      </c>
    </row>
    <row r="806">
      <c r="A806" t="inlineStr">
        <is>
          <t>בית ארז — ציוד מתכלה</t>
        </is>
      </c>
      <c r="B806" t="inlineStr">
        <is>
          <t>ג'ל לובריקציה 1 ל' LUBIGEL</t>
        </is>
      </c>
      <c r="C806" t="inlineStr">
        <is>
          <t>ציוד רפואי מתכלה</t>
        </is>
      </c>
      <c r="D806" t="inlineStr">
        <is>
          <t>5900092</t>
        </is>
      </c>
      <c r="E806" t="inlineStr">
        <is>
          <t>2025-11</t>
        </is>
      </c>
      <c r="F806" t="n">
        <v>16.7</v>
      </c>
      <c r="G806" t="n">
        <v>19.71</v>
      </c>
      <c r="H806">
        <f>הגדרות!B4</f>
        <v/>
      </c>
      <c r="I806">
        <f>F806*(1-H806/100)*1.18</f>
        <v/>
      </c>
      <c r="J806">
        <f>הגדרות!C4</f>
        <v/>
      </c>
      <c r="K806">
        <f>הגדרות!D4</f>
        <v/>
      </c>
      <c r="L806">
        <f>I806*(1+J806/100)+K806</f>
        <v/>
      </c>
    </row>
    <row r="807">
      <c r="A807" t="inlineStr">
        <is>
          <t>בית ארז — ציוד מתכלה</t>
        </is>
      </c>
      <c r="B807" t="inlineStr">
        <is>
          <t>ג'ל אולטרסאונד - 250 ג'</t>
        </is>
      </c>
      <c r="C807" t="inlineStr">
        <is>
          <t>ציוד רפואי</t>
        </is>
      </c>
      <c r="D807" t="inlineStr">
        <is>
          <t>5800700</t>
        </is>
      </c>
      <c r="E807" t="inlineStr">
        <is>
          <t>2025-11</t>
        </is>
      </c>
      <c r="F807" t="n">
        <v>8</v>
      </c>
      <c r="G807" t="n">
        <v>9.44</v>
      </c>
      <c r="H807">
        <f>הגדרות!B4</f>
        <v/>
      </c>
      <c r="I807">
        <f>F807*(1-H807/100)*1.18</f>
        <v/>
      </c>
      <c r="J807">
        <f>הגדרות!C4</f>
        <v/>
      </c>
      <c r="K807">
        <f>הגדרות!D4</f>
        <v/>
      </c>
      <c r="L807">
        <f>I807*(1+J807/100)+K807</f>
        <v/>
      </c>
    </row>
    <row r="808">
      <c r="A808" t="inlineStr">
        <is>
          <t>בית ארז — ציוד מתכלה</t>
        </is>
      </c>
      <c r="B808" t="inlineStr">
        <is>
          <t>ג'ל אולטרסאונד - 5 ליטר</t>
        </is>
      </c>
      <c r="C808" t="inlineStr">
        <is>
          <t>ציוד רפואי מתכלה</t>
        </is>
      </c>
      <c r="D808" t="inlineStr">
        <is>
          <t>5800705</t>
        </is>
      </c>
      <c r="E808" t="inlineStr">
        <is>
          <t>2025-11</t>
        </is>
      </c>
      <c r="F808" t="n">
        <v>110</v>
      </c>
      <c r="G808" t="n">
        <v>129.8</v>
      </c>
      <c r="H808">
        <f>הגדרות!B4</f>
        <v/>
      </c>
      <c r="I808">
        <f>F808*(1-H808/100)*1.18</f>
        <v/>
      </c>
      <c r="J808">
        <f>הגדרות!C4</f>
        <v/>
      </c>
      <c r="K808">
        <f>הגדרות!D4</f>
        <v/>
      </c>
      <c r="L808">
        <f>I808*(1+J808/100)+K808</f>
        <v/>
      </c>
    </row>
    <row r="809">
      <c r="A809" t="inlineStr">
        <is>
          <t>בית ארז — ציוד מתכלה</t>
        </is>
      </c>
      <c r="B809" t="inlineStr">
        <is>
          <t>מים מזוקקים סטריליים - 5 ליטר</t>
        </is>
      </c>
      <c r="C809" t="inlineStr">
        <is>
          <t>ציוד רפואי</t>
        </is>
      </c>
      <c r="D809" t="inlineStr">
        <is>
          <t>17305367</t>
        </is>
      </c>
      <c r="E809" t="inlineStr">
        <is>
          <t>2025-11</t>
        </is>
      </c>
      <c r="F809" t="n">
        <v>20</v>
      </c>
      <c r="G809" t="n">
        <v>23.6</v>
      </c>
      <c r="H809">
        <f>הגדרות!B4</f>
        <v/>
      </c>
      <c r="I809">
        <f>F809*(1-H809/100)*1.18</f>
        <v/>
      </c>
      <c r="J809">
        <f>הגדרות!C4</f>
        <v/>
      </c>
      <c r="K809">
        <f>הגדרות!D4</f>
        <v/>
      </c>
      <c r="L809">
        <f>I809*(1+J809/100)+K809</f>
        <v/>
      </c>
    </row>
    <row r="810">
      <c r="A810" t="inlineStr">
        <is>
          <t>בית ארז — ציוד מתכלה</t>
        </is>
      </c>
      <c r="B810" t="inlineStr">
        <is>
          <t>מד חום דיגיטלי גמיש 10 שניות</t>
        </is>
      </c>
      <c r="C810" t="inlineStr">
        <is>
          <t>ציוד אבחון</t>
        </is>
      </c>
      <c r="D810" t="inlineStr">
        <is>
          <t>5800900</t>
        </is>
      </c>
      <c r="E810" t="inlineStr">
        <is>
          <t>2025-11</t>
        </is>
      </c>
      <c r="F810" t="n">
        <v>14</v>
      </c>
      <c r="G810" t="n">
        <v>16.52</v>
      </c>
      <c r="H810">
        <f>הגדרות!B4</f>
        <v/>
      </c>
      <c r="I810">
        <f>F810*(1-H810/100)*1.18</f>
        <v/>
      </c>
      <c r="J810">
        <f>הגדרות!C4</f>
        <v/>
      </c>
      <c r="K810">
        <f>הגדרות!D4</f>
        <v/>
      </c>
      <c r="L810">
        <f>I810*(1+J810/100)+K810</f>
        <v/>
      </c>
    </row>
    <row r="811">
      <c r="A811" t="inlineStr">
        <is>
          <t>בית ארז — ציוד מתכלה</t>
        </is>
      </c>
      <c r="B811" t="inlineStr">
        <is>
          <t>מסרק פרעושים - מארז 100 יח'</t>
        </is>
      </c>
      <c r="C811" t="inlineStr">
        <is>
          <t>ציוד רפואי</t>
        </is>
      </c>
      <c r="D811" t="inlineStr">
        <is>
          <t>6300211</t>
        </is>
      </c>
      <c r="E811" t="inlineStr">
        <is>
          <t>2025-11</t>
        </is>
      </c>
      <c r="F811" t="n">
        <v>330</v>
      </c>
      <c r="G811" t="n">
        <v>389.4</v>
      </c>
      <c r="H811">
        <f>הגדרות!B4</f>
        <v/>
      </c>
      <c r="I811">
        <f>F811*(1-H811/100)*1.18</f>
        <v/>
      </c>
      <c r="J811">
        <f>הגדרות!C4</f>
        <v/>
      </c>
      <c r="K811">
        <f>הגדרות!D4</f>
        <v/>
      </c>
      <c r="L811">
        <f>I811*(1+J811/100)+K811</f>
        <v/>
      </c>
    </row>
    <row r="812">
      <c r="A812" t="inlineStr">
        <is>
          <t>בית ארז — ציוד מתכלה</t>
        </is>
      </c>
      <c r="B812" t="inlineStr">
        <is>
          <t>מתקן לחניית כלבים - וו עיגון לרצועה</t>
        </is>
      </c>
      <c r="C812" t="inlineStr">
        <is>
          <t>ציוד רפואי</t>
        </is>
      </c>
      <c r="D812" t="inlineStr">
        <is>
          <t>7100155</t>
        </is>
      </c>
      <c r="E812" t="inlineStr">
        <is>
          <t>2025-11</t>
        </is>
      </c>
      <c r="F812" t="n">
        <v>63</v>
      </c>
      <c r="G812" t="n">
        <v>74.34</v>
      </c>
      <c r="H812">
        <f>הגדרות!B4</f>
        <v/>
      </c>
      <c r="I812">
        <f>F812*(1-H812/100)*1.18</f>
        <v/>
      </c>
      <c r="J812">
        <f>הגדרות!C4</f>
        <v/>
      </c>
      <c r="K812">
        <f>הגדרות!D4</f>
        <v/>
      </c>
      <c r="L812">
        <f>I812*(1+J812/100)+K812</f>
        <v/>
      </c>
    </row>
    <row r="813">
      <c r="A813" t="inlineStr">
        <is>
          <t>בית ארז — ציוד מתכלה</t>
        </is>
      </c>
      <c r="B813" t="inlineStr">
        <is>
          <t>כפפות לכידה והגנה ארוכות לנשים MDC</t>
        </is>
      </c>
      <c r="C813" t="inlineStr">
        <is>
          <t>ציוד רפואי</t>
        </is>
      </c>
      <c r="D813" t="inlineStr">
        <is>
          <t>7100180</t>
        </is>
      </c>
      <c r="E813" t="inlineStr">
        <is>
          <t>2025-11</t>
        </is>
      </c>
      <c r="F813" t="n">
        <v>640</v>
      </c>
      <c r="G813" t="n">
        <v>755.2</v>
      </c>
      <c r="H813">
        <f>הגדרות!B4</f>
        <v/>
      </c>
      <c r="I813">
        <f>F813*(1-H813/100)*1.18</f>
        <v/>
      </c>
      <c r="J813">
        <f>הגדרות!C4</f>
        <v/>
      </c>
      <c r="K813">
        <f>הגדרות!D4</f>
        <v/>
      </c>
      <c r="L813">
        <f>I813*(1+J813/100)+K813</f>
        <v/>
      </c>
    </row>
    <row r="814">
      <c r="A814" t="inlineStr">
        <is>
          <t>בית ארז — ציוד מתכלה</t>
        </is>
      </c>
      <c r="B814" t="inlineStr">
        <is>
          <t>כפפות לכידה והגנה ארוכות לגברים MDC</t>
        </is>
      </c>
      <c r="C814" t="inlineStr">
        <is>
          <t>ציוד רפואי</t>
        </is>
      </c>
      <c r="D814" t="inlineStr">
        <is>
          <t>7100185</t>
        </is>
      </c>
      <c r="E814" t="inlineStr">
        <is>
          <t>2025-11</t>
        </is>
      </c>
      <c r="F814" t="n">
        <v>640</v>
      </c>
      <c r="G814" t="n">
        <v>755.2</v>
      </c>
      <c r="H814">
        <f>הגדרות!B4</f>
        <v/>
      </c>
      <c r="I814">
        <f>F814*(1-H814/100)*1.18</f>
        <v/>
      </c>
      <c r="J814">
        <f>הגדרות!C4</f>
        <v/>
      </c>
      <c r="K814">
        <f>הגדרות!D4</f>
        <v/>
      </c>
      <c r="L814">
        <f>I814*(1+J814/100)+K814</f>
        <v/>
      </c>
    </row>
    <row r="815">
      <c r="A815" t="inlineStr">
        <is>
          <t>בית ארז — ציוד מתכלה</t>
        </is>
      </c>
      <c r="B815" t="inlineStr">
        <is>
          <t>כלוב לחיצה 3 פתחים - עליון, צד ותחתון (Restrainer)</t>
        </is>
      </c>
      <c r="C815" t="inlineStr">
        <is>
          <t>ציוד רפואי</t>
        </is>
      </c>
      <c r="D815" t="inlineStr">
        <is>
          <t>7100205</t>
        </is>
      </c>
      <c r="E815" t="inlineStr">
        <is>
          <t>2025-11</t>
        </is>
      </c>
      <c r="F815" t="n">
        <v>650</v>
      </c>
      <c r="G815" t="n">
        <v>767</v>
      </c>
      <c r="H815">
        <f>הגדרות!B4</f>
        <v/>
      </c>
      <c r="I815">
        <f>F815*(1-H815/100)*1.18</f>
        <v/>
      </c>
      <c r="J815">
        <f>הגדרות!C4</f>
        <v/>
      </c>
      <c r="K815">
        <f>הגדרות!D4</f>
        <v/>
      </c>
      <c r="L815">
        <f>I815*(1+J815/100)+K815</f>
        <v/>
      </c>
    </row>
    <row r="816">
      <c r="A816" t="inlineStr">
        <is>
          <t>בית ארז — ציוד מתכלה</t>
        </is>
      </c>
      <c r="B816" t="inlineStr">
        <is>
          <t>כיסוי כלוב לחיצה (Restrainer cover)</t>
        </is>
      </c>
      <c r="C816" t="inlineStr">
        <is>
          <t>ציוד רפואי</t>
        </is>
      </c>
      <c r="D816" t="inlineStr">
        <is>
          <t>7100208</t>
        </is>
      </c>
      <c r="E816" t="inlineStr">
        <is>
          <t>2025-11</t>
        </is>
      </c>
      <c r="F816" t="n">
        <v>120</v>
      </c>
      <c r="G816" t="n">
        <v>141.6</v>
      </c>
      <c r="H816">
        <f>הגדרות!B4</f>
        <v/>
      </c>
      <c r="I816">
        <f>F816*(1-H816/100)*1.18</f>
        <v/>
      </c>
      <c r="J816">
        <f>הגדרות!C4</f>
        <v/>
      </c>
      <c r="K816">
        <f>הגדרות!D4</f>
        <v/>
      </c>
      <c r="L816">
        <f>I816*(1+J816/100)+K816</f>
        <v/>
      </c>
    </row>
    <row r="817">
      <c r="A817" t="inlineStr">
        <is>
          <t>בית ארז — ציוד מתכלה</t>
        </is>
      </c>
      <c r="B817" t="inlineStr">
        <is>
          <t>מוט לכידה שיחרור מהיר לכלבים 122 ס"מ</t>
        </is>
      </c>
      <c r="C817" t="inlineStr">
        <is>
          <t>ציוד רפואי</t>
        </is>
      </c>
      <c r="D817" t="inlineStr">
        <is>
          <t>7100343</t>
        </is>
      </c>
      <c r="E817" t="inlineStr">
        <is>
          <t>2025-11</t>
        </is>
      </c>
      <c r="F817" t="n">
        <v>490</v>
      </c>
      <c r="G817" t="n">
        <v>578.2</v>
      </c>
      <c r="H817">
        <f>הגדרות!B4</f>
        <v/>
      </c>
      <c r="I817">
        <f>F817*(1-H817/100)*1.18</f>
        <v/>
      </c>
      <c r="J817">
        <f>הגדרות!C4</f>
        <v/>
      </c>
      <c r="K817">
        <f>הגדרות!D4</f>
        <v/>
      </c>
      <c r="L817">
        <f>I817*(1+J817/100)+K817</f>
        <v/>
      </c>
    </row>
    <row r="818">
      <c r="A818" t="inlineStr">
        <is>
          <t>בית ארז — ציוד מתכלה</t>
        </is>
      </c>
      <c r="B818" t="inlineStr">
        <is>
          <t>מוט לכידת חתולים 76 ס"מ</t>
        </is>
      </c>
      <c r="C818" t="inlineStr">
        <is>
          <t>ציוד רפואי</t>
        </is>
      </c>
      <c r="D818" t="inlineStr">
        <is>
          <t>7100348</t>
        </is>
      </c>
      <c r="E818" t="inlineStr">
        <is>
          <t>2025-11</t>
        </is>
      </c>
      <c r="F818" t="n">
        <v>290</v>
      </c>
      <c r="G818" t="n">
        <v>342.2</v>
      </c>
      <c r="H818">
        <f>הגדרות!B4</f>
        <v/>
      </c>
      <c r="I818">
        <f>F818*(1-H818/100)*1.18</f>
        <v/>
      </c>
      <c r="J818">
        <f>הגדרות!C4</f>
        <v/>
      </c>
      <c r="K818">
        <f>הגדרות!D4</f>
        <v/>
      </c>
      <c r="L818">
        <f>I818*(1+J818/100)+K818</f>
        <v/>
      </c>
    </row>
    <row r="819">
      <c r="A819" t="inlineStr">
        <is>
          <t>בית ארז — ציוד מתכלה</t>
        </is>
      </c>
      <c r="B819" t="inlineStr">
        <is>
          <t>מוט לכידה שיחרור מהיר לכלבים 120cm KVP</t>
        </is>
      </c>
      <c r="C819" t="inlineStr">
        <is>
          <t>ציוד רפואי</t>
        </is>
      </c>
      <c r="D819" t="inlineStr">
        <is>
          <t>6300564</t>
        </is>
      </c>
      <c r="E819" t="inlineStr">
        <is>
          <t>2025-11</t>
        </is>
      </c>
      <c r="F819" t="n">
        <v>390</v>
      </c>
      <c r="G819" t="n">
        <v>460.2</v>
      </c>
      <c r="H819">
        <f>הגדרות!B4</f>
        <v/>
      </c>
      <c r="I819">
        <f>F819*(1-H819/100)*1.18</f>
        <v/>
      </c>
      <c r="J819">
        <f>הגדרות!C4</f>
        <v/>
      </c>
      <c r="K819">
        <f>הגדרות!D4</f>
        <v/>
      </c>
      <c r="L819">
        <f>I819*(1+J819/100)+K819</f>
        <v/>
      </c>
    </row>
    <row r="820">
      <c r="A820" t="inlineStr">
        <is>
          <t>בית ארז — ציוד מתכלה</t>
        </is>
      </c>
      <c r="B820" t="inlineStr">
        <is>
          <t>מוט לכידה שיחרור מהיר לכלבים 150cm KVP</t>
        </is>
      </c>
      <c r="C820" t="inlineStr">
        <is>
          <t>ציוד רפואי</t>
        </is>
      </c>
      <c r="D820" t="inlineStr">
        <is>
          <t>6300565</t>
        </is>
      </c>
      <c r="E820" t="inlineStr">
        <is>
          <t>2025-11</t>
        </is>
      </c>
      <c r="F820" t="n">
        <v>450</v>
      </c>
      <c r="G820" t="n">
        <v>531</v>
      </c>
      <c r="H820">
        <f>הגדרות!B4</f>
        <v/>
      </c>
      <c r="I820">
        <f>F820*(1-H820/100)*1.18</f>
        <v/>
      </c>
      <c r="J820">
        <f>הגדרות!C4</f>
        <v/>
      </c>
      <c r="K820">
        <f>הגדרות!D4</f>
        <v/>
      </c>
      <c r="L820">
        <f>I820*(1+J820/100)+K820</f>
        <v/>
      </c>
    </row>
    <row r="821">
      <c r="A821" t="inlineStr">
        <is>
          <t>בית ארז — ציוד מתכלה</t>
        </is>
      </c>
      <c r="B821" t="inlineStr">
        <is>
          <t>מנורת חימום אינפרה אדומה 150 וואט פיליפס (בית ארז)</t>
        </is>
      </c>
      <c r="C821" t="inlineStr">
        <is>
          <t>ציוד רפואי</t>
        </is>
      </c>
      <c r="D821" t="inlineStr">
        <is>
          <t>17400010</t>
        </is>
      </c>
      <c r="E821" t="inlineStr">
        <is>
          <t>2025-11</t>
        </is>
      </c>
      <c r="F821" t="n">
        <v>70</v>
      </c>
      <c r="G821" t="n">
        <v>82.59999999999999</v>
      </c>
      <c r="H821">
        <f>הגדרות!B4</f>
        <v/>
      </c>
      <c r="I821">
        <f>F821*(1-H821/100)*1.18</f>
        <v/>
      </c>
      <c r="J821">
        <f>הגדרות!C4</f>
        <v/>
      </c>
      <c r="K821">
        <f>הגדרות!D4</f>
        <v/>
      </c>
      <c r="L821">
        <f>I821*(1+J821/100)+K821</f>
        <v/>
      </c>
    </row>
    <row r="822">
      <c r="A822" t="inlineStr">
        <is>
          <t>בית ארז — ציוד מתכלה</t>
        </is>
      </c>
      <c r="B822" t="inlineStr">
        <is>
          <t>מנורת חימום אינפרה אדומה 250 וואט פיליפס (בית ארז)</t>
        </is>
      </c>
      <c r="C822" t="inlineStr">
        <is>
          <t>ציוד רפואי</t>
        </is>
      </c>
      <c r="D822" t="inlineStr">
        <is>
          <t>17305368</t>
        </is>
      </c>
      <c r="E822" t="inlineStr">
        <is>
          <t>2025-11</t>
        </is>
      </c>
      <c r="F822" t="n">
        <v>70</v>
      </c>
      <c r="G822" t="n">
        <v>82.59999999999999</v>
      </c>
      <c r="H822">
        <f>הגדרות!B4</f>
        <v/>
      </c>
      <c r="I822">
        <f>F822*(1-H822/100)*1.18</f>
        <v/>
      </c>
      <c r="J822">
        <f>הגדרות!C4</f>
        <v/>
      </c>
      <c r="K822">
        <f>הגדרות!D4</f>
        <v/>
      </c>
      <c r="L822">
        <f>I822*(1+J822/100)+K822</f>
        <v/>
      </c>
    </row>
    <row r="823">
      <c r="A823" t="inlineStr">
        <is>
          <t>בית ארז — ציוד מתכלה</t>
        </is>
      </c>
      <c r="B823" t="inlineStr">
        <is>
          <t>בית מנורה לאינפרה אדום לחימום (בית ארז)</t>
        </is>
      </c>
      <c r="C823" t="inlineStr">
        <is>
          <t>ציוד רפואי</t>
        </is>
      </c>
      <c r="D823" t="inlineStr">
        <is>
          <t>17305369</t>
        </is>
      </c>
      <c r="E823" t="inlineStr">
        <is>
          <t>2025-11</t>
        </is>
      </c>
      <c r="F823" t="n">
        <v>146</v>
      </c>
      <c r="G823" t="n">
        <v>172.28</v>
      </c>
      <c r="H823">
        <f>הגדרות!B4</f>
        <v/>
      </c>
      <c r="I823">
        <f>F823*(1-H823/100)*1.18</f>
        <v/>
      </c>
      <c r="J823">
        <f>הגדרות!C4</f>
        <v/>
      </c>
      <c r="K823">
        <f>הגדרות!D4</f>
        <v/>
      </c>
      <c r="L823">
        <f>I823*(1+J823/100)+K823</f>
        <v/>
      </c>
    </row>
    <row r="824">
      <c r="A824" t="inlineStr">
        <is>
          <t>בית ארז — ציוד מתכלה</t>
        </is>
      </c>
      <c r="B824" t="inlineStr">
        <is>
          <t>גיר סימון שחור סחיפרס (בית ארז)</t>
        </is>
      </c>
      <c r="C824" t="inlineStr">
        <is>
          <t>ציוד</t>
        </is>
      </c>
      <c r="D824" t="inlineStr">
        <is>
          <t>17309501</t>
        </is>
      </c>
      <c r="E824" t="inlineStr">
        <is>
          <t>2025-11</t>
        </is>
      </c>
      <c r="F824" t="n">
        <v>6.5</v>
      </c>
      <c r="G824" t="n">
        <v>7.67</v>
      </c>
      <c r="H824">
        <f>הגדרות!B4</f>
        <v/>
      </c>
      <c r="I824">
        <f>F824*(1-H824/100)*1.18</f>
        <v/>
      </c>
      <c r="J824">
        <f>הגדרות!C4</f>
        <v/>
      </c>
      <c r="K824">
        <f>הגדרות!D4</f>
        <v/>
      </c>
      <c r="L824">
        <f>I824*(1+J824/100)+K824</f>
        <v/>
      </c>
    </row>
    <row r="825">
      <c r="A825" t="inlineStr">
        <is>
          <t>בית ארז — ציוד מתכלה</t>
        </is>
      </c>
      <c r="B825" t="inlineStr">
        <is>
          <t>גיר סימון סגול סחיפרס (בית ארז)</t>
        </is>
      </c>
      <c r="C825" t="inlineStr">
        <is>
          <t>ציוד רפואי</t>
        </is>
      </c>
      <c r="D825" t="inlineStr">
        <is>
          <t>17309502</t>
        </is>
      </c>
      <c r="E825" t="inlineStr">
        <is>
          <t>2025-11</t>
        </is>
      </c>
      <c r="F825" t="n">
        <v>6.5</v>
      </c>
      <c r="G825" t="n">
        <v>7.67</v>
      </c>
      <c r="H825">
        <f>הגדרות!B4</f>
        <v/>
      </c>
      <c r="I825">
        <f>F825*(1-H825/100)*1.18</f>
        <v/>
      </c>
      <c r="J825">
        <f>הגדרות!C4</f>
        <v/>
      </c>
      <c r="K825">
        <f>הגדרות!D4</f>
        <v/>
      </c>
      <c r="L825">
        <f>I825*(1+J825/100)+K825</f>
        <v/>
      </c>
    </row>
    <row r="826">
      <c r="A826" t="inlineStr">
        <is>
          <t>בית ארז — ציוד מתכלה</t>
        </is>
      </c>
      <c r="B826" t="inlineStr">
        <is>
          <t>גיר סימון אדום סחיפרס (בית ארז)</t>
        </is>
      </c>
      <c r="C826" t="inlineStr">
        <is>
          <t>ציוד</t>
        </is>
      </c>
      <c r="D826" t="inlineStr">
        <is>
          <t>17309503</t>
        </is>
      </c>
      <c r="E826" t="inlineStr">
        <is>
          <t>2025-11</t>
        </is>
      </c>
      <c r="F826" t="n">
        <v>6.5</v>
      </c>
      <c r="G826" t="n">
        <v>7.67</v>
      </c>
      <c r="H826">
        <f>הגדרות!B4</f>
        <v/>
      </c>
      <c r="I826">
        <f>F826*(1-H826/100)*1.18</f>
        <v/>
      </c>
      <c r="J826">
        <f>הגדרות!C4</f>
        <v/>
      </c>
      <c r="K826">
        <f>הגדרות!D4</f>
        <v/>
      </c>
      <c r="L826">
        <f>I826*(1+J826/100)+K826</f>
        <v/>
      </c>
    </row>
    <row r="827">
      <c r="A827" t="inlineStr">
        <is>
          <t>בית ארז — ציוד מתכלה</t>
        </is>
      </c>
      <c r="B827" t="inlineStr">
        <is>
          <t>גיר סימון כתום סחיפרס (בית ארז)</t>
        </is>
      </c>
      <c r="C827" t="inlineStr">
        <is>
          <t>ציוד רפואי</t>
        </is>
      </c>
      <c r="D827" t="inlineStr">
        <is>
          <t>17309504</t>
        </is>
      </c>
      <c r="E827" t="inlineStr">
        <is>
          <t>2025-11</t>
        </is>
      </c>
      <c r="F827" t="n">
        <v>6.5</v>
      </c>
      <c r="G827" t="n">
        <v>7.67</v>
      </c>
      <c r="H827">
        <f>הגדרות!B4</f>
        <v/>
      </c>
      <c r="I827">
        <f>F827*(1-H827/100)*1.18</f>
        <v/>
      </c>
      <c r="J827">
        <f>הגדרות!C4</f>
        <v/>
      </c>
      <c r="K827">
        <f>הגדרות!D4</f>
        <v/>
      </c>
      <c r="L827">
        <f>I827*(1+J827/100)+K827</f>
        <v/>
      </c>
    </row>
    <row r="828">
      <c r="A828" t="inlineStr">
        <is>
          <t>בית ארז — ציוד מתכלה</t>
        </is>
      </c>
      <c r="B828" t="inlineStr">
        <is>
          <t>גיר סימון כחול סחיפרס (בית ארז)</t>
        </is>
      </c>
      <c r="C828" t="inlineStr">
        <is>
          <t>ציוד</t>
        </is>
      </c>
      <c r="D828" t="inlineStr">
        <is>
          <t>17309505</t>
        </is>
      </c>
      <c r="E828" t="inlineStr">
        <is>
          <t>2025-11</t>
        </is>
      </c>
      <c r="F828" t="n">
        <v>6.5</v>
      </c>
      <c r="G828" t="n">
        <v>7.67</v>
      </c>
      <c r="H828">
        <f>הגדרות!B4</f>
        <v/>
      </c>
      <c r="I828">
        <f>F828*(1-H828/100)*1.18</f>
        <v/>
      </c>
      <c r="J828">
        <f>הגדרות!C4</f>
        <v/>
      </c>
      <c r="K828">
        <f>הגדרות!D4</f>
        <v/>
      </c>
      <c r="L828">
        <f>I828*(1+J828/100)+K828</f>
        <v/>
      </c>
    </row>
    <row r="829">
      <c r="A829" t="inlineStr">
        <is>
          <t>בית ארז — ציוד מתכלה</t>
        </is>
      </c>
      <c r="B829" t="inlineStr">
        <is>
          <t>גיר סימון צהוב סחיפרס (בית ארז)</t>
        </is>
      </c>
      <c r="C829" t="inlineStr">
        <is>
          <t>ציוד רפואי</t>
        </is>
      </c>
      <c r="D829" t="inlineStr">
        <is>
          <t>17309506</t>
        </is>
      </c>
      <c r="E829" t="inlineStr">
        <is>
          <t>2025-11</t>
        </is>
      </c>
      <c r="F829" t="n">
        <v>6.5</v>
      </c>
      <c r="G829" t="n">
        <v>7.67</v>
      </c>
      <c r="H829">
        <f>הגדרות!B4</f>
        <v/>
      </c>
      <c r="I829">
        <f>F829*(1-H829/100)*1.18</f>
        <v/>
      </c>
      <c r="J829">
        <f>הגדרות!C4</f>
        <v/>
      </c>
      <c r="K829">
        <f>הגדרות!D4</f>
        <v/>
      </c>
      <c r="L829">
        <f>I829*(1+J829/100)+K829</f>
        <v/>
      </c>
    </row>
    <row r="830">
      <c r="A830" t="inlineStr">
        <is>
          <t>בית ארז — ציוד מתכלה</t>
        </is>
      </c>
      <c r="B830" t="inlineStr">
        <is>
          <t>גיר סימון ירוק סחיפרס (בית ארז)</t>
        </is>
      </c>
      <c r="C830" t="inlineStr">
        <is>
          <t>ציוד</t>
        </is>
      </c>
      <c r="D830" t="inlineStr">
        <is>
          <t>17309507</t>
        </is>
      </c>
      <c r="E830" t="inlineStr">
        <is>
          <t>2025-11</t>
        </is>
      </c>
      <c r="F830" t="n">
        <v>6.5</v>
      </c>
      <c r="G830" t="n">
        <v>7.67</v>
      </c>
      <c r="H830">
        <f>הגדרות!B4</f>
        <v/>
      </c>
      <c r="I830">
        <f>F830*(1-H830/100)*1.18</f>
        <v/>
      </c>
      <c r="J830">
        <f>הגדרות!C4</f>
        <v/>
      </c>
      <c r="K830">
        <f>הגדרות!D4</f>
        <v/>
      </c>
      <c r="L830">
        <f>I830*(1+J830/100)+K830</f>
        <v/>
      </c>
    </row>
    <row r="831">
      <c r="A831" t="inlineStr">
        <is>
          <t>בית ארז — ציוד מתכלה</t>
        </is>
      </c>
      <c r="B831" t="inlineStr">
        <is>
          <t>ספריי סימון אדום לבע"ח 500 מ"ל (בית ארז)</t>
        </is>
      </c>
      <c r="C831" t="inlineStr">
        <is>
          <t>ציוד רפואי</t>
        </is>
      </c>
      <c r="D831" t="inlineStr">
        <is>
          <t>17500024</t>
        </is>
      </c>
      <c r="E831" t="inlineStr">
        <is>
          <t>2025-11</t>
        </is>
      </c>
      <c r="F831" t="n">
        <v>21</v>
      </c>
      <c r="G831" t="n">
        <v>24.78</v>
      </c>
      <c r="H831">
        <f>הגדרות!B4</f>
        <v/>
      </c>
      <c r="I831">
        <f>F831*(1-H831/100)*1.18</f>
        <v/>
      </c>
      <c r="J831">
        <f>הגדרות!C4</f>
        <v/>
      </c>
      <c r="K831">
        <f>הגדרות!D4</f>
        <v/>
      </c>
      <c r="L831">
        <f>I831*(1+J831/100)+K831</f>
        <v/>
      </c>
    </row>
    <row r="832">
      <c r="A832" t="inlineStr">
        <is>
          <t>בית ארז — ציוד מתכלה</t>
        </is>
      </c>
      <c r="B832" t="inlineStr">
        <is>
          <t>ספריי סימון ירוק לבע"ח 500 מ"ל (בית ארז)</t>
        </is>
      </c>
      <c r="C832" t="inlineStr">
        <is>
          <t>ציוד</t>
        </is>
      </c>
      <c r="D832" t="inlineStr">
        <is>
          <t>17500025</t>
        </is>
      </c>
      <c r="E832" t="inlineStr">
        <is>
          <t>2025-11</t>
        </is>
      </c>
      <c r="F832" t="n">
        <v>21</v>
      </c>
      <c r="G832" t="n">
        <v>24.78</v>
      </c>
      <c r="H832">
        <f>הגדרות!B4</f>
        <v/>
      </c>
      <c r="I832">
        <f>F832*(1-H832/100)*1.18</f>
        <v/>
      </c>
      <c r="J832">
        <f>הגדרות!C4</f>
        <v/>
      </c>
      <c r="K832">
        <f>הגדרות!D4</f>
        <v/>
      </c>
      <c r="L832">
        <f>I832*(1+J832/100)+K832</f>
        <v/>
      </c>
    </row>
    <row r="833">
      <c r="A833" t="inlineStr">
        <is>
          <t>בית ארז — ציוד מתכלה</t>
        </is>
      </c>
      <c r="B833" t="inlineStr">
        <is>
          <t>ספריי סימון כחול לבע"ח 500 מ"ל (בית ארז)</t>
        </is>
      </c>
      <c r="C833" t="inlineStr">
        <is>
          <t>ציוד רפואי</t>
        </is>
      </c>
      <c r="D833" t="inlineStr">
        <is>
          <t>17500026</t>
        </is>
      </c>
      <c r="E833" t="inlineStr">
        <is>
          <t>2025-11</t>
        </is>
      </c>
      <c r="F833" t="n">
        <v>21</v>
      </c>
      <c r="G833" t="n">
        <v>24.78</v>
      </c>
      <c r="H833">
        <f>הגדרות!B4</f>
        <v/>
      </c>
      <c r="I833">
        <f>F833*(1-H833/100)*1.18</f>
        <v/>
      </c>
      <c r="J833">
        <f>הגדרות!C4</f>
        <v/>
      </c>
      <c r="K833">
        <f>הגדרות!D4</f>
        <v/>
      </c>
      <c r="L833">
        <f>I833*(1+J833/100)+K833</f>
        <v/>
      </c>
    </row>
    <row r="834">
      <c r="A834" t="inlineStr">
        <is>
          <t>זואטיס (Zoetis)</t>
        </is>
      </c>
      <c r="B834" t="inlineStr">
        <is>
          <t>סינולקס 50 מ"ג (100 טבל' )</t>
        </is>
      </c>
      <c r="C834" t="inlineStr">
        <is>
          <t>אנטיביוטיקה</t>
        </is>
      </c>
      <c r="E834" t="inlineStr">
        <is>
          <t>2026</t>
        </is>
      </c>
      <c r="F834" t="n">
        <v>247</v>
      </c>
      <c r="G834" t="n">
        <v>291.46</v>
      </c>
      <c r="H834">
        <f>הגדרות!B5</f>
        <v/>
      </c>
      <c r="I834">
        <f>F834*(1-H834/100)*1.18</f>
        <v/>
      </c>
      <c r="J834">
        <f>הגדרות!C5</f>
        <v/>
      </c>
      <c r="K834">
        <f>הגדרות!D5</f>
        <v/>
      </c>
      <c r="L834">
        <f>I834*(1+J834/100)+K834</f>
        <v/>
      </c>
    </row>
    <row r="835">
      <c r="A835" t="inlineStr">
        <is>
          <t>זואטיס (Zoetis)</t>
        </is>
      </c>
      <c r="B835" t="inlineStr">
        <is>
          <t>סינולקס 250 מ"ג (100 טבל')</t>
        </is>
      </c>
      <c r="C835" t="inlineStr">
        <is>
          <t>אנטיביוטיקה</t>
        </is>
      </c>
      <c r="E835" t="inlineStr">
        <is>
          <t>2026</t>
        </is>
      </c>
      <c r="F835" t="n">
        <v>367</v>
      </c>
      <c r="G835" t="n">
        <v>433.06</v>
      </c>
      <c r="H835">
        <f>הגדרות!B5</f>
        <v/>
      </c>
      <c r="I835">
        <f>F835*(1-H835/100)*1.18</f>
        <v/>
      </c>
      <c r="J835">
        <f>הגדרות!C5</f>
        <v/>
      </c>
      <c r="K835">
        <f>הגדרות!D5</f>
        <v/>
      </c>
      <c r="L835">
        <f>I835*(1+J835/100)+K835</f>
        <v/>
      </c>
    </row>
    <row r="836">
      <c r="A836" t="inlineStr">
        <is>
          <t>זואטיס (Zoetis)</t>
        </is>
      </c>
      <c r="B836" t="inlineStr">
        <is>
          <t>סינולקס 500 מ"ג (100 טבל')</t>
        </is>
      </c>
      <c r="C836" t="inlineStr">
        <is>
          <t>אנטיביוטיקה</t>
        </is>
      </c>
      <c r="E836" t="inlineStr">
        <is>
          <t>2026</t>
        </is>
      </c>
      <c r="F836" t="n">
        <v>546</v>
      </c>
      <c r="G836" t="n">
        <v>644.28</v>
      </c>
      <c r="H836">
        <f>הגדרות!B5</f>
        <v/>
      </c>
      <c r="I836">
        <f>F836*(1-H836/100)*1.18</f>
        <v/>
      </c>
      <c r="J836">
        <f>הגדרות!C5</f>
        <v/>
      </c>
      <c r="K836">
        <f>הגדרות!D5</f>
        <v/>
      </c>
      <c r="L836">
        <f>I836*(1+J836/100)+K836</f>
        <v/>
      </c>
    </row>
    <row r="837">
      <c r="A837" t="inlineStr">
        <is>
          <t>זואטיס (Zoetis)</t>
        </is>
      </c>
      <c r="B837" t="inlineStr">
        <is>
          <t>סינולקס להזרקה 40 מ"ל</t>
        </is>
      </c>
      <c r="C837" t="inlineStr">
        <is>
          <t>אנטיביוטיקה</t>
        </is>
      </c>
      <c r="E837" t="inlineStr">
        <is>
          <t>2026</t>
        </is>
      </c>
      <c r="F837" t="n">
        <v>120</v>
      </c>
      <c r="G837" t="n">
        <v>141.6</v>
      </c>
      <c r="H837">
        <f>הגדרות!B5</f>
        <v/>
      </c>
      <c r="I837">
        <f>F837*(1-H837/100)*1.18</f>
        <v/>
      </c>
      <c r="J837">
        <f>הגדרות!C5</f>
        <v/>
      </c>
      <c r="K837">
        <f>הגדרות!D5</f>
        <v/>
      </c>
      <c r="L837">
        <f>I837*(1+J837/100)+K837</f>
        <v/>
      </c>
    </row>
    <row r="838">
      <c r="A838" t="inlineStr">
        <is>
          <t>זואטיס (Zoetis)</t>
        </is>
      </c>
      <c r="B838" t="inlineStr">
        <is>
          <t>קונבניה 10 מ"ל</t>
        </is>
      </c>
      <c r="C838" t="inlineStr">
        <is>
          <t>אנטיביוטיקה</t>
        </is>
      </c>
      <c r="E838" t="inlineStr">
        <is>
          <t>2026</t>
        </is>
      </c>
      <c r="F838" t="n">
        <v>1230</v>
      </c>
      <c r="G838" t="n">
        <v>1451.4</v>
      </c>
      <c r="H838">
        <f>הגדרות!B5</f>
        <v/>
      </c>
      <c r="I838">
        <f>F838*(1-H838/100)*1.18</f>
        <v/>
      </c>
      <c r="J838">
        <f>הגדרות!C5</f>
        <v/>
      </c>
      <c r="K838">
        <f>הגדרות!D5</f>
        <v/>
      </c>
      <c r="L838">
        <f>I838*(1+J838/100)+K838</f>
        <v/>
      </c>
    </row>
    <row r="839">
      <c r="A839" t="inlineStr">
        <is>
          <t>זואטיס (Zoetis)</t>
        </is>
      </c>
      <c r="B839" t="inlineStr">
        <is>
          <t>דקטומקס 50 מ" ל</t>
        </is>
      </c>
      <c r="C839" t="inlineStr">
        <is>
          <t>טיפולים מונעים</t>
        </is>
      </c>
      <c r="E839" t="inlineStr">
        <is>
          <t>2026</t>
        </is>
      </c>
      <c r="F839" t="n">
        <v>265</v>
      </c>
      <c r="G839" t="n">
        <v>312.7</v>
      </c>
      <c r="H839">
        <f>הגדרות!B5</f>
        <v/>
      </c>
      <c r="I839">
        <f>F839*(1-H839/100)*1.18</f>
        <v/>
      </c>
      <c r="J839">
        <f>הגדרות!C5</f>
        <v/>
      </c>
      <c r="K839">
        <f>הגדרות!D5</f>
        <v/>
      </c>
      <c r="L839">
        <f>I839*(1+J839/100)+K839</f>
        <v/>
      </c>
    </row>
    <row r="840">
      <c r="A840" t="inlineStr">
        <is>
          <t>זואטיס (Zoetis)</t>
        </is>
      </c>
      <c r="B840" t="inlineStr">
        <is>
          <t>קזיטל + ( 104 טבל')</t>
        </is>
      </c>
      <c r="C840" t="inlineStr">
        <is>
          <t>טיפולים מונעים</t>
        </is>
      </c>
      <c r="E840" t="inlineStr">
        <is>
          <t>2026</t>
        </is>
      </c>
      <c r="F840" t="n">
        <v>370</v>
      </c>
      <c r="G840" t="n">
        <v>436.6</v>
      </c>
      <c r="H840">
        <f>הגדרות!B5</f>
        <v/>
      </c>
      <c r="I840">
        <f>F840*(1-H840/100)*1.18</f>
        <v/>
      </c>
      <c r="J840">
        <f>הגדרות!C5</f>
        <v/>
      </c>
      <c r="K840">
        <f>הגדרות!D5</f>
        <v/>
      </c>
      <c r="L840">
        <f>I840*(1+J840/100)+K840</f>
        <v/>
      </c>
    </row>
    <row r="841">
      <c r="A841" t="inlineStr">
        <is>
          <t>זואטיס (Zoetis)</t>
        </is>
      </c>
      <c r="B841" t="inlineStr">
        <is>
          <t>דומיטור</t>
        </is>
      </c>
      <c r="C841" t="inlineStr">
        <is>
          <t>טשטוש והרדמה</t>
        </is>
      </c>
      <c r="E841" t="inlineStr">
        <is>
          <t>2026</t>
        </is>
      </c>
      <c r="F841" t="n">
        <v>283</v>
      </c>
      <c r="G841" t="n">
        <v>333.94</v>
      </c>
      <c r="H841">
        <f>הגדרות!B5</f>
        <v/>
      </c>
      <c r="I841">
        <f>F841*(1-H841/100)*1.18</f>
        <v/>
      </c>
      <c r="J841">
        <f>הגדרות!C5</f>
        <v/>
      </c>
      <c r="K841">
        <f>הגדרות!D5</f>
        <v/>
      </c>
      <c r="L841">
        <f>I841*(1+J841/100)+K841</f>
        <v/>
      </c>
    </row>
    <row r="842">
      <c r="A842" t="inlineStr">
        <is>
          <t>זואטיס (Zoetis)</t>
        </is>
      </c>
      <c r="B842" t="inlineStr">
        <is>
          <t>אנטיסדן</t>
        </is>
      </c>
      <c r="C842" t="inlineStr">
        <is>
          <t>טשטוש והרדמה</t>
        </is>
      </c>
      <c r="E842" t="inlineStr">
        <is>
          <t>2026</t>
        </is>
      </c>
      <c r="F842" t="n">
        <v>283</v>
      </c>
      <c r="G842" t="n">
        <v>333.94</v>
      </c>
      <c r="H842">
        <f>הגדרות!B5</f>
        <v/>
      </c>
      <c r="I842">
        <f>F842*(1-H842/100)*1.18</f>
        <v/>
      </c>
      <c r="J842">
        <f>הגדרות!C5</f>
        <v/>
      </c>
      <c r="K842">
        <f>הגדרות!D5</f>
        <v/>
      </c>
      <c r="L842">
        <f>I842*(1+J842/100)+K842</f>
        <v/>
      </c>
    </row>
    <row r="843">
      <c r="A843" t="inlineStr">
        <is>
          <t>זואטיס (Zoetis)</t>
        </is>
      </c>
      <c r="B843" t="inlineStr">
        <is>
          <t>סרניה להזרקה 10 מ"ג (20 מ"ל )</t>
        </is>
      </c>
      <c r="C843" t="inlineStr">
        <is>
          <t>נוגדי בחילה והקאה</t>
        </is>
      </c>
      <c r="E843" t="inlineStr">
        <is>
          <t>2026</t>
        </is>
      </c>
      <c r="F843" t="n">
        <v>536</v>
      </c>
      <c r="G843" t="n">
        <v>632.48</v>
      </c>
      <c r="H843">
        <f>הגדרות!B5</f>
        <v/>
      </c>
      <c r="I843">
        <f>F843*(1-H843/100)*1.18</f>
        <v/>
      </c>
      <c r="J843">
        <f>הגדרות!C5</f>
        <v/>
      </c>
      <c r="K843">
        <f>הגדרות!D5</f>
        <v/>
      </c>
      <c r="L843">
        <f>I843*(1+J843/100)+K843</f>
        <v/>
      </c>
    </row>
    <row r="844">
      <c r="A844" t="inlineStr">
        <is>
          <t>זואטיס (Zoetis)</t>
        </is>
      </c>
      <c r="B844" t="inlineStr">
        <is>
          <t>סרניה 16 מ"ג (4 טבל' )</t>
        </is>
      </c>
      <c r="C844" t="inlineStr">
        <is>
          <t>נוגדי בחילה והקאה</t>
        </is>
      </c>
      <c r="E844" t="inlineStr">
        <is>
          <t>2026</t>
        </is>
      </c>
      <c r="F844" t="n">
        <v>89</v>
      </c>
      <c r="G844" t="n">
        <v>105.02</v>
      </c>
      <c r="H844">
        <f>הגדרות!B5</f>
        <v/>
      </c>
      <c r="I844">
        <f>F844*(1-H844/100)*1.18</f>
        <v/>
      </c>
      <c r="J844">
        <f>הגדרות!C5</f>
        <v/>
      </c>
      <c r="K844">
        <f>הגדרות!D5</f>
        <v/>
      </c>
      <c r="L844">
        <f>I844*(1+J844/100)+K844</f>
        <v/>
      </c>
    </row>
    <row r="845">
      <c r="A845" t="inlineStr">
        <is>
          <t>זואטיס (Zoetis)</t>
        </is>
      </c>
      <c r="B845" t="inlineStr">
        <is>
          <t>סרניה 24 מ"ג (4 טבל' )</t>
        </is>
      </c>
      <c r="C845" t="inlineStr">
        <is>
          <t>נוגדי בחילה והקאה</t>
        </is>
      </c>
      <c r="E845" t="inlineStr">
        <is>
          <t>2026</t>
        </is>
      </c>
      <c r="F845" t="n">
        <v>96</v>
      </c>
      <c r="G845" t="n">
        <v>113.28</v>
      </c>
      <c r="H845">
        <f>הגדרות!B5</f>
        <v/>
      </c>
      <c r="I845">
        <f>F845*(1-H845/100)*1.18</f>
        <v/>
      </c>
      <c r="J845">
        <f>הגדרות!C5</f>
        <v/>
      </c>
      <c r="K845">
        <f>הגדרות!D5</f>
        <v/>
      </c>
      <c r="L845">
        <f>I845*(1+J845/100)+K845</f>
        <v/>
      </c>
    </row>
    <row r="846">
      <c r="A846" t="inlineStr">
        <is>
          <t>זואטיס (Zoetis)</t>
        </is>
      </c>
      <c r="B846" t="inlineStr">
        <is>
          <t>סרניה 60 מ"ג (4 טבל' )</t>
        </is>
      </c>
      <c r="C846" t="inlineStr">
        <is>
          <t>נוגדי בחילה והקאה</t>
        </is>
      </c>
      <c r="E846" t="inlineStr">
        <is>
          <t>2026</t>
        </is>
      </c>
      <c r="F846" t="n">
        <v>185</v>
      </c>
      <c r="G846" t="n">
        <v>218.3</v>
      </c>
      <c r="H846">
        <f>הגדרות!B5</f>
        <v/>
      </c>
      <c r="I846">
        <f>F846*(1-H846/100)*1.18</f>
        <v/>
      </c>
      <c r="J846">
        <f>הגדרות!C5</f>
        <v/>
      </c>
      <c r="K846">
        <f>הגדרות!D5</f>
        <v/>
      </c>
      <c r="L846">
        <f>I846*(1+J846/100)+K846</f>
        <v/>
      </c>
    </row>
    <row r="847">
      <c r="A847" t="inlineStr">
        <is>
          <t>זואטיס (Zoetis)</t>
        </is>
      </c>
      <c r="B847" t="inlineStr">
        <is>
          <t>אפקוול 3.6 מ"ג (100 טבל' )</t>
        </is>
      </c>
      <c r="C847" t="inlineStr">
        <is>
          <t>נוגדי גרד ואלרגיות</t>
        </is>
      </c>
      <c r="E847" t="inlineStr">
        <is>
          <t>2026</t>
        </is>
      </c>
      <c r="F847" t="n">
        <v>518</v>
      </c>
      <c r="G847" t="n">
        <v>611.24</v>
      </c>
      <c r="H847">
        <f>הגדרות!B5</f>
        <v/>
      </c>
      <c r="I847">
        <f>F847*(1-H847/100)*1.18</f>
        <v/>
      </c>
      <c r="J847">
        <f>הגדרות!C5</f>
        <v/>
      </c>
      <c r="K847">
        <f>הגדרות!D5</f>
        <v/>
      </c>
      <c r="L847">
        <f>I847*(1+J847/100)+K847</f>
        <v/>
      </c>
    </row>
    <row r="848">
      <c r="A848" t="inlineStr">
        <is>
          <t>זואטיס (Zoetis)</t>
        </is>
      </c>
      <c r="B848" t="inlineStr">
        <is>
          <t>אפקוול 5.4 מ"ג (100 טבל' )</t>
        </is>
      </c>
      <c r="C848" t="inlineStr">
        <is>
          <t>נוגדי גרד ואלרגיות</t>
        </is>
      </c>
      <c r="E848" t="inlineStr">
        <is>
          <t>2026</t>
        </is>
      </c>
      <c r="F848" t="n">
        <v>518</v>
      </c>
      <c r="G848" t="n">
        <v>611.24</v>
      </c>
      <c r="H848">
        <f>הגדרות!B5</f>
        <v/>
      </c>
      <c r="I848">
        <f>F848*(1-H848/100)*1.18</f>
        <v/>
      </c>
      <c r="J848">
        <f>הגדרות!C5</f>
        <v/>
      </c>
      <c r="K848">
        <f>הגדרות!D5</f>
        <v/>
      </c>
      <c r="L848">
        <f>I848*(1+J848/100)+K848</f>
        <v/>
      </c>
    </row>
    <row r="849">
      <c r="A849" t="inlineStr">
        <is>
          <t>זואטיס (Zoetis)</t>
        </is>
      </c>
      <c r="B849" t="inlineStr">
        <is>
          <t>אפקוול 16 מ"ג (100 טבל')</t>
        </is>
      </c>
      <c r="C849" t="inlineStr">
        <is>
          <t>נוגדי גרד ואלרגיות</t>
        </is>
      </c>
      <c r="E849" t="inlineStr">
        <is>
          <t>2026</t>
        </is>
      </c>
      <c r="F849" t="n">
        <v>940</v>
      </c>
      <c r="G849" t="n">
        <v>1109.2</v>
      </c>
      <c r="H849">
        <f>הגדרות!B5</f>
        <v/>
      </c>
      <c r="I849">
        <f>F849*(1-H849/100)*1.18</f>
        <v/>
      </c>
      <c r="J849">
        <f>הגדרות!C5</f>
        <v/>
      </c>
      <c r="K849">
        <f>הגדרות!D5</f>
        <v/>
      </c>
      <c r="L849">
        <f>I849*(1+J849/100)+K849</f>
        <v/>
      </c>
    </row>
    <row r="850">
      <c r="A850" t="inlineStr">
        <is>
          <t>זואטיס (Zoetis)</t>
        </is>
      </c>
      <c r="B850" t="inlineStr">
        <is>
          <t>ונקטיל P</t>
        </is>
      </c>
      <c r="C850" t="inlineStr">
        <is>
          <t>נוגדי גרד ואלרגיות</t>
        </is>
      </c>
      <c r="E850" t="inlineStr">
        <is>
          <t>2026</t>
        </is>
      </c>
      <c r="F850" t="n">
        <v>755</v>
      </c>
      <c r="G850" t="n">
        <v>890.9</v>
      </c>
      <c r="H850">
        <f>הגדרות!B5</f>
        <v/>
      </c>
      <c r="I850">
        <f>F850*(1-H850/100)*1.18</f>
        <v/>
      </c>
      <c r="J850">
        <f>הגדרות!C5</f>
        <v/>
      </c>
      <c r="K850">
        <f>הגדרות!D5</f>
        <v/>
      </c>
      <c r="L850">
        <f>I850*(1+J850/100)+K850</f>
        <v/>
      </c>
    </row>
    <row r="851">
      <c r="A851" t="inlineStr">
        <is>
          <t>זואטיס (Zoetis)</t>
        </is>
      </c>
      <c r="B851" t="inlineStr">
        <is>
          <t>ציטופוינט 10 מ"ג</t>
        </is>
      </c>
      <c r="C851" t="inlineStr">
        <is>
          <t>נוגדי גרד ואלרגיות</t>
        </is>
      </c>
      <c r="E851" t="inlineStr">
        <is>
          <t>2026</t>
        </is>
      </c>
      <c r="F851" t="n">
        <v>425</v>
      </c>
      <c r="G851" t="n">
        <v>501.5</v>
      </c>
      <c r="H851">
        <f>הגדרות!B5</f>
        <v/>
      </c>
      <c r="I851">
        <f>F851*(1-H851/100)*1.18</f>
        <v/>
      </c>
      <c r="J851">
        <f>הגדרות!C5</f>
        <v/>
      </c>
      <c r="K851">
        <f>הגדרות!D5</f>
        <v/>
      </c>
      <c r="L851">
        <f>I851*(1+J851/100)+K851</f>
        <v/>
      </c>
    </row>
    <row r="852">
      <c r="A852" t="inlineStr">
        <is>
          <t>זואטיס (Zoetis)</t>
        </is>
      </c>
      <c r="B852" t="inlineStr">
        <is>
          <t>ציטופוינט 20 מ"ג</t>
        </is>
      </c>
      <c r="C852" t="inlineStr">
        <is>
          <t>נוגדי גרד ואלרגיות</t>
        </is>
      </c>
      <c r="E852" t="inlineStr">
        <is>
          <t>2026</t>
        </is>
      </c>
      <c r="F852" t="n">
        <v>745</v>
      </c>
      <c r="G852" t="n">
        <v>879.1</v>
      </c>
      <c r="H852">
        <f>הגדרות!B5</f>
        <v/>
      </c>
      <c r="I852">
        <f>F852*(1-H852/100)*1.18</f>
        <v/>
      </c>
      <c r="J852">
        <f>הגדרות!C5</f>
        <v/>
      </c>
      <c r="K852">
        <f>הגדרות!D5</f>
        <v/>
      </c>
      <c r="L852">
        <f>I852*(1+J852/100)+K852</f>
        <v/>
      </c>
    </row>
    <row r="853">
      <c r="A853" t="inlineStr">
        <is>
          <t>זואטיס (Zoetis)</t>
        </is>
      </c>
      <c r="B853" t="inlineStr">
        <is>
          <t>ציטופוינט 40 מ"ג</t>
        </is>
      </c>
      <c r="C853" t="inlineStr">
        <is>
          <t>נוגדי גרד ואלרגיות</t>
        </is>
      </c>
      <c r="E853" t="inlineStr">
        <is>
          <t>2026</t>
        </is>
      </c>
      <c r="F853" t="n">
        <v>1218</v>
      </c>
      <c r="G853" t="n">
        <v>1437.24</v>
      </c>
      <c r="H853">
        <f>הגדרות!B5</f>
        <v/>
      </c>
      <c r="I853">
        <f>F853*(1-H853/100)*1.18</f>
        <v/>
      </c>
      <c r="J853">
        <f>הגדרות!C5</f>
        <v/>
      </c>
      <c r="K853">
        <f>הגדרות!D5</f>
        <v/>
      </c>
      <c r="L853">
        <f>I853*(1+J853/100)+K853</f>
        <v/>
      </c>
    </row>
    <row r="854">
      <c r="A854" t="inlineStr">
        <is>
          <t>זואטיס (Zoetis)</t>
        </is>
      </c>
      <c r="B854" t="inlineStr">
        <is>
          <t>רימדיל לעיס 50 מ"ג (100 טבל' )</t>
        </is>
      </c>
      <c r="C854" t="inlineStr">
        <is>
          <t>נוגדי דלקת ושיכוך כאב</t>
        </is>
      </c>
      <c r="E854" t="inlineStr">
        <is>
          <t>2026</t>
        </is>
      </c>
      <c r="F854" t="n">
        <v>360</v>
      </c>
      <c r="G854" t="n">
        <v>424.8</v>
      </c>
      <c r="H854">
        <f>הגדרות!B5</f>
        <v/>
      </c>
      <c r="I854">
        <f>F854*(1-H854/100)*1.18</f>
        <v/>
      </c>
      <c r="J854">
        <f>הגדרות!C5</f>
        <v/>
      </c>
      <c r="K854">
        <f>הגדרות!D5</f>
        <v/>
      </c>
      <c r="L854">
        <f>I854*(1+J854/100)+K854</f>
        <v/>
      </c>
    </row>
    <row r="855">
      <c r="A855" t="inlineStr">
        <is>
          <t>זואטיס (Zoetis)</t>
        </is>
      </c>
      <c r="B855" t="inlineStr">
        <is>
          <t>רימדיל לעיס 100 מ"ג (100 טבל')</t>
        </is>
      </c>
      <c r="C855" t="inlineStr">
        <is>
          <t>נוגדי דלקת ושיכוך כאב</t>
        </is>
      </c>
      <c r="E855" t="inlineStr">
        <is>
          <t>2026</t>
        </is>
      </c>
      <c r="F855" t="n">
        <v>480</v>
      </c>
      <c r="G855" t="n">
        <v>566.4</v>
      </c>
      <c r="H855">
        <f>הגדרות!B5</f>
        <v/>
      </c>
      <c r="I855">
        <f>F855*(1-H855/100)*1.18</f>
        <v/>
      </c>
      <c r="J855">
        <f>הגדרות!C5</f>
        <v/>
      </c>
      <c r="K855">
        <f>הגדרות!D5</f>
        <v/>
      </c>
      <c r="L855">
        <f>I855*(1+J855/100)+K855</f>
        <v/>
      </c>
    </row>
    <row r="856">
      <c r="A856" t="inlineStr">
        <is>
          <t>זואטיס (Zoetis)</t>
        </is>
      </c>
      <c r="B856" t="inlineStr">
        <is>
          <t>תרכיב מרובעת לחתול 1 מנה</t>
        </is>
      </c>
      <c r="C856" t="inlineStr">
        <is>
          <t>תרכיבים</t>
        </is>
      </c>
      <c r="E856" t="inlineStr">
        <is>
          <t>2026</t>
        </is>
      </c>
      <c r="F856" t="n">
        <v>25.3</v>
      </c>
      <c r="G856" t="n">
        <v>29.85</v>
      </c>
      <c r="H856">
        <f>הגדרות!B5</f>
        <v/>
      </c>
      <c r="I856">
        <f>F856*(1-H856/100)*1.18</f>
        <v/>
      </c>
      <c r="J856">
        <f>הגדרות!C5</f>
        <v/>
      </c>
      <c r="K856">
        <f>הגדרות!D5</f>
        <v/>
      </c>
      <c r="L856">
        <f>I856*(1+J856/100)+K856</f>
        <v/>
      </c>
    </row>
    <row r="857">
      <c r="A857" t="inlineStr">
        <is>
          <t>זואטיס (Zoetis)</t>
        </is>
      </c>
      <c r="B857" t="inlineStr">
        <is>
          <t>תרכיב משושה</t>
        </is>
      </c>
      <c r="C857" t="inlineStr">
        <is>
          <t>תרכיבים</t>
        </is>
      </c>
      <c r="E857" t="inlineStr">
        <is>
          <t>2026</t>
        </is>
      </c>
      <c r="F857" t="n">
        <v>25.3</v>
      </c>
      <c r="G857" t="n">
        <v>29.85</v>
      </c>
      <c r="H857">
        <f>הגדרות!B5</f>
        <v/>
      </c>
      <c r="I857">
        <f>F857*(1-H857/100)*1.18</f>
        <v/>
      </c>
      <c r="J857">
        <f>הגדרות!C5</f>
        <v/>
      </c>
      <c r="K857">
        <f>הגדרות!D5</f>
        <v/>
      </c>
      <c r="L857">
        <f>I857*(1+J857/100)+K857</f>
        <v/>
      </c>
    </row>
    <row r="858">
      <c r="A858" t="inlineStr">
        <is>
          <t>זואטיס (Zoetis)</t>
        </is>
      </c>
      <c r="B858" t="inlineStr">
        <is>
          <t>ליברלה 5 מ"ג</t>
        </is>
      </c>
      <c r="C858" t="inlineStr">
        <is>
          <t>שיכוך כאב</t>
        </is>
      </c>
      <c r="E858" t="inlineStr">
        <is>
          <t>2026</t>
        </is>
      </c>
      <c r="F858" t="n">
        <v>390</v>
      </c>
      <c r="G858" t="n">
        <v>460.2</v>
      </c>
      <c r="H858">
        <f>הגדרות!B5</f>
        <v/>
      </c>
      <c r="I858">
        <f>F858*(1-H858/100)*1.18</f>
        <v/>
      </c>
      <c r="J858">
        <f>הגדרות!C5</f>
        <v/>
      </c>
      <c r="K858">
        <f>הגדרות!D5</f>
        <v/>
      </c>
      <c r="L858">
        <f>I858*(1+J858/100)+K858</f>
        <v/>
      </c>
    </row>
    <row r="859">
      <c r="A859" t="inlineStr">
        <is>
          <t>זואטיס (Zoetis)</t>
        </is>
      </c>
      <c r="B859" t="inlineStr">
        <is>
          <t>ליברלה 10 מ"ג</t>
        </is>
      </c>
      <c r="C859" t="inlineStr">
        <is>
          <t>שיכוך כאב</t>
        </is>
      </c>
      <c r="E859" t="inlineStr">
        <is>
          <t>2026</t>
        </is>
      </c>
      <c r="F859" t="n">
        <v>454</v>
      </c>
      <c r="G859" t="n">
        <v>535.72</v>
      </c>
      <c r="H859">
        <f>הגדרות!B5</f>
        <v/>
      </c>
      <c r="I859">
        <f>F859*(1-H859/100)*1.18</f>
        <v/>
      </c>
      <c r="J859">
        <f>הגדרות!C5</f>
        <v/>
      </c>
      <c r="K859">
        <f>הגדרות!D5</f>
        <v/>
      </c>
      <c r="L859">
        <f>I859*(1+J859/100)+K859</f>
        <v/>
      </c>
    </row>
    <row r="860">
      <c r="A860" t="inlineStr">
        <is>
          <t>זואטיס (Zoetis)</t>
        </is>
      </c>
      <c r="B860" t="inlineStr">
        <is>
          <t>ליברלה 15 מ"ג</t>
        </is>
      </c>
      <c r="C860" t="inlineStr">
        <is>
          <t>שיכוך כאב</t>
        </is>
      </c>
      <c r="E860" t="inlineStr">
        <is>
          <t>2026</t>
        </is>
      </c>
      <c r="F860" t="n">
        <v>520</v>
      </c>
      <c r="G860" t="n">
        <v>613.6</v>
      </c>
      <c r="H860">
        <f>הגדרות!B5</f>
        <v/>
      </c>
      <c r="I860">
        <f>F860*(1-H860/100)*1.18</f>
        <v/>
      </c>
      <c r="J860">
        <f>הגדרות!C5</f>
        <v/>
      </c>
      <c r="K860">
        <f>הגדרות!D5</f>
        <v/>
      </c>
      <c r="L860">
        <f>I860*(1+J860/100)+K860</f>
        <v/>
      </c>
    </row>
    <row r="861">
      <c r="A861" t="inlineStr">
        <is>
          <t>זואטיס (Zoetis)</t>
        </is>
      </c>
      <c r="B861" t="inlineStr">
        <is>
          <t>ליברלה 20 מ"ג</t>
        </is>
      </c>
      <c r="C861" t="inlineStr">
        <is>
          <t>שיכוך כאב</t>
        </is>
      </c>
      <c r="E861" t="inlineStr">
        <is>
          <t>2026</t>
        </is>
      </c>
      <c r="F861" t="n">
        <v>594</v>
      </c>
      <c r="G861" t="n">
        <v>700.92</v>
      </c>
      <c r="H861">
        <f>הגדרות!B5</f>
        <v/>
      </c>
      <c r="I861">
        <f>F861*(1-H861/100)*1.18</f>
        <v/>
      </c>
      <c r="J861">
        <f>הגדרות!C5</f>
        <v/>
      </c>
      <c r="K861">
        <f>הגדרות!D5</f>
        <v/>
      </c>
      <c r="L861">
        <f>I861*(1+J861/100)+K861</f>
        <v/>
      </c>
    </row>
    <row r="862">
      <c r="A862" t="inlineStr">
        <is>
          <t>זואטיס (Zoetis)</t>
        </is>
      </c>
      <c r="B862" t="inlineStr">
        <is>
          <t>ליברלה 30 מ"ג</t>
        </is>
      </c>
      <c r="C862" t="inlineStr">
        <is>
          <t>שיכוך כאב</t>
        </is>
      </c>
      <c r="E862" t="inlineStr">
        <is>
          <t>2026</t>
        </is>
      </c>
      <c r="F862" t="n">
        <v>724</v>
      </c>
      <c r="G862" t="n">
        <v>854.3200000000001</v>
      </c>
      <c r="H862">
        <f>הגדרות!B5</f>
        <v/>
      </c>
      <c r="I862">
        <f>F862*(1-H862/100)*1.18</f>
        <v/>
      </c>
      <c r="J862">
        <f>הגדרות!C5</f>
        <v/>
      </c>
      <c r="K862">
        <f>הגדרות!D5</f>
        <v/>
      </c>
      <c r="L862">
        <f>I862*(1+J862/100)+K862</f>
        <v/>
      </c>
    </row>
    <row r="863">
      <c r="A863" t="inlineStr">
        <is>
          <t>זואטיס (Zoetis)</t>
        </is>
      </c>
      <c r="B863" t="inlineStr">
        <is>
          <t>סולנסיה 7 מ"ג</t>
        </is>
      </c>
      <c r="C863" t="inlineStr">
        <is>
          <t>שיכוך כאב</t>
        </is>
      </c>
      <c r="E863" t="inlineStr">
        <is>
          <t>2026</t>
        </is>
      </c>
      <c r="F863" t="n">
        <v>665</v>
      </c>
      <c r="G863" t="n">
        <v>784.7</v>
      </c>
      <c r="H863">
        <f>הגדרות!B5</f>
        <v/>
      </c>
      <c r="I863">
        <f>F863*(1-H863/100)*1.18</f>
        <v/>
      </c>
      <c r="J863">
        <f>הגדרות!C5</f>
        <v/>
      </c>
      <c r="K863">
        <f>הגדרות!D5</f>
        <v/>
      </c>
      <c r="L863">
        <f>I863*(1+J863/100)+K863</f>
        <v/>
      </c>
    </row>
    <row r="864">
      <c r="A864" t="inlineStr">
        <is>
          <t>זואטיס (Zoetis)</t>
        </is>
      </c>
      <c r="B864" t="inlineStr">
        <is>
          <t>סימפריקה 5 מ"ג לכלבים במשקל 1.3-2.5 ק"ג (3 טבל')</t>
        </is>
      </c>
      <c r="C864" t="inlineStr">
        <is>
          <t>טיפולים מונעים</t>
        </is>
      </c>
      <c r="E864" t="inlineStr">
        <is>
          <t>2026</t>
        </is>
      </c>
      <c r="F864" t="n">
        <v>54</v>
      </c>
      <c r="G864" t="n">
        <v>63.72</v>
      </c>
      <c r="H864">
        <f>הגדרות!B5</f>
        <v/>
      </c>
      <c r="I864">
        <f>F864*(1-H864/100)*1.18</f>
        <v/>
      </c>
      <c r="J864">
        <f>הגדרות!C5</f>
        <v/>
      </c>
      <c r="K864">
        <f>הגדרות!D5</f>
        <v/>
      </c>
      <c r="L864">
        <f>I864*(1+J864/100)+K864</f>
        <v/>
      </c>
    </row>
    <row r="865">
      <c r="A865" t="inlineStr">
        <is>
          <t>זואטיס (Zoetis)</t>
        </is>
      </c>
      <c r="B865" t="inlineStr">
        <is>
          <t>סימפריקה 10 מ"ג לכלבים במשקל 2.5-5 ק"ג (3 טבל')</t>
        </is>
      </c>
      <c r="C865" t="inlineStr">
        <is>
          <t>טיפולים מונעים</t>
        </is>
      </c>
      <c r="E865" t="inlineStr">
        <is>
          <t>2026</t>
        </is>
      </c>
      <c r="F865" t="n">
        <v>60</v>
      </c>
      <c r="G865" t="n">
        <v>70.8</v>
      </c>
      <c r="H865">
        <f>הגדרות!B5</f>
        <v/>
      </c>
      <c r="I865">
        <f>F865*(1-H865/100)*1.18</f>
        <v/>
      </c>
      <c r="J865">
        <f>הגדרות!C5</f>
        <v/>
      </c>
      <c r="K865">
        <f>הגדרות!D5</f>
        <v/>
      </c>
      <c r="L865">
        <f>I865*(1+J865/100)+K865</f>
        <v/>
      </c>
    </row>
    <row r="866">
      <c r="A866" t="inlineStr">
        <is>
          <t>זואטיס (Zoetis)</t>
        </is>
      </c>
      <c r="B866" t="inlineStr">
        <is>
          <t>סימפריקה 20 מ"ג לכלבים במשקל 5-10 ק"ג (3 טבל')</t>
        </is>
      </c>
      <c r="C866" t="inlineStr">
        <is>
          <t>טיפולים מונעים</t>
        </is>
      </c>
      <c r="E866" t="inlineStr">
        <is>
          <t>2026</t>
        </is>
      </c>
      <c r="F866" t="n">
        <v>64</v>
      </c>
      <c r="G866" t="n">
        <v>75.52</v>
      </c>
      <c r="H866">
        <f>הגדרות!B5</f>
        <v/>
      </c>
      <c r="I866">
        <f>F866*(1-H866/100)*1.18</f>
        <v/>
      </c>
      <c r="J866">
        <f>הגדרות!C5</f>
        <v/>
      </c>
      <c r="K866">
        <f>הגדרות!D5</f>
        <v/>
      </c>
      <c r="L866">
        <f>I866*(1+J866/100)+K866</f>
        <v/>
      </c>
    </row>
    <row r="867">
      <c r="A867" t="inlineStr">
        <is>
          <t>זואטיס (Zoetis)</t>
        </is>
      </c>
      <c r="B867" t="inlineStr">
        <is>
          <t>סימפריקה 40 מ"ג לכלבים במשקל 10-20 ק"ג (3 טבל')</t>
        </is>
      </c>
      <c r="C867" t="inlineStr">
        <is>
          <t>טיפולים מונעים</t>
        </is>
      </c>
      <c r="E867" t="inlineStr">
        <is>
          <t>2026</t>
        </is>
      </c>
      <c r="F867" t="n">
        <v>70</v>
      </c>
      <c r="G867" t="n">
        <v>82.59999999999999</v>
      </c>
      <c r="H867">
        <f>הגדרות!B5</f>
        <v/>
      </c>
      <c r="I867">
        <f>F867*(1-H867/100)*1.18</f>
        <v/>
      </c>
      <c r="J867">
        <f>הגדרות!C5</f>
        <v/>
      </c>
      <c r="K867">
        <f>הגדרות!D5</f>
        <v/>
      </c>
      <c r="L867">
        <f>I867*(1+J867/100)+K867</f>
        <v/>
      </c>
    </row>
    <row r="868">
      <c r="A868" t="inlineStr">
        <is>
          <t>זואטיס (Zoetis)</t>
        </is>
      </c>
      <c r="B868" t="inlineStr">
        <is>
          <t>סימפריקה 80 מ"ג לכלבים במשקל 20-40 ק"ג (3 טבל')</t>
        </is>
      </c>
      <c r="C868" t="inlineStr">
        <is>
          <t>טיפולים מונעים</t>
        </is>
      </c>
      <c r="E868" t="inlineStr">
        <is>
          <t>2026</t>
        </is>
      </c>
      <c r="F868" t="n">
        <v>76</v>
      </c>
      <c r="G868" t="n">
        <v>89.68000000000001</v>
      </c>
      <c r="H868">
        <f>הגדרות!B5</f>
        <v/>
      </c>
      <c r="I868">
        <f>F868*(1-H868/100)*1.18</f>
        <v/>
      </c>
      <c r="J868">
        <f>הגדרות!C5</f>
        <v/>
      </c>
      <c r="K868">
        <f>הגדרות!D5</f>
        <v/>
      </c>
      <c r="L868">
        <f>I868*(1+J868/100)+K868</f>
        <v/>
      </c>
    </row>
    <row r="869">
      <c r="A869" t="inlineStr">
        <is>
          <t>זואטיס (Zoetis)</t>
        </is>
      </c>
      <c r="B869" t="inlineStr">
        <is>
          <t>סימפריקה 120 מ"ג לכלבים במשקל 40-60 ק"ג (3 טבל')</t>
        </is>
      </c>
      <c r="C869" t="inlineStr">
        <is>
          <t>טיפולים מונעים</t>
        </is>
      </c>
      <c r="E869" t="inlineStr">
        <is>
          <t>2026</t>
        </is>
      </c>
      <c r="F869" t="n">
        <v>81</v>
      </c>
      <c r="G869" t="n">
        <v>95.58</v>
      </c>
      <c r="H869">
        <f>הגדרות!B5</f>
        <v/>
      </c>
      <c r="I869">
        <f>F869*(1-H869/100)*1.18</f>
        <v/>
      </c>
      <c r="J869">
        <f>הגדרות!C5</f>
        <v/>
      </c>
      <c r="K869">
        <f>הגדרות!D5</f>
        <v/>
      </c>
      <c r="L869">
        <f>I869*(1+J869/100)+K869</f>
        <v/>
      </c>
    </row>
    <row r="870">
      <c r="A870" t="inlineStr">
        <is>
          <t>זואטיס (Zoetis)</t>
        </is>
      </c>
      <c r="B870" t="inlineStr">
        <is>
          <t>סטרונגהולד פלוס 0.25 מ"ל חתול עד 2.5 ק"ג (3 שפורפרות)</t>
        </is>
      </c>
      <c r="C870" t="inlineStr">
        <is>
          <t>טיפולים מונעים</t>
        </is>
      </c>
      <c r="E870" t="inlineStr">
        <is>
          <t>2026</t>
        </is>
      </c>
      <c r="F870" t="n">
        <v>139</v>
      </c>
      <c r="G870" t="n">
        <v>164.02</v>
      </c>
      <c r="H870">
        <f>הגדרות!B5</f>
        <v/>
      </c>
      <c r="I870">
        <f>F870*(1-H870/100)*1.18</f>
        <v/>
      </c>
      <c r="J870">
        <f>הגדרות!C5</f>
        <v/>
      </c>
      <c r="K870">
        <f>הגדרות!D5</f>
        <v/>
      </c>
      <c r="L870">
        <f>I870*(1+J870/100)+K870</f>
        <v/>
      </c>
    </row>
    <row r="871">
      <c r="A871" t="inlineStr">
        <is>
          <t>זואטיס (Zoetis)</t>
        </is>
      </c>
      <c r="B871" t="inlineStr">
        <is>
          <t>סטרונגהולד פלוס 0.5 מ"ל חתול 2.5-5 ק"ג (3 שפורפרות )</t>
        </is>
      </c>
      <c r="C871" t="inlineStr">
        <is>
          <t>טיפולים מונעים</t>
        </is>
      </c>
      <c r="E871" t="inlineStr">
        <is>
          <t>2026</t>
        </is>
      </c>
      <c r="F871" t="n">
        <v>147</v>
      </c>
      <c r="G871" t="n">
        <v>173.46</v>
      </c>
      <c r="H871">
        <f>הגדרות!B5</f>
        <v/>
      </c>
      <c r="I871">
        <f>F871*(1-H871/100)*1.18</f>
        <v/>
      </c>
      <c r="J871">
        <f>הגדרות!C5</f>
        <v/>
      </c>
      <c r="K871">
        <f>הגדרות!D5</f>
        <v/>
      </c>
      <c r="L871">
        <f>I871*(1+J871/100)+K871</f>
        <v/>
      </c>
    </row>
    <row r="872">
      <c r="A872" t="inlineStr">
        <is>
          <t>זואטיס (Zoetis)</t>
        </is>
      </c>
      <c r="B872" t="inlineStr">
        <is>
          <t>סטרונגהולד פלוס 1 מ"ל חתול 5-10 ק"ג (3 שפורפרות )</t>
        </is>
      </c>
      <c r="C872" t="inlineStr">
        <is>
          <t>טיפולים מונעים</t>
        </is>
      </c>
      <c r="E872" t="inlineStr">
        <is>
          <t>2026</t>
        </is>
      </c>
      <c r="F872" t="n">
        <v>179</v>
      </c>
      <c r="G872" t="n">
        <v>211.22</v>
      </c>
      <c r="H872">
        <f>הגדרות!B5</f>
        <v/>
      </c>
      <c r="I872">
        <f>F872*(1-H872/100)*1.18</f>
        <v/>
      </c>
      <c r="J872">
        <f>הגדרות!C5</f>
        <v/>
      </c>
      <c r="K872">
        <f>הגדרות!D5</f>
        <v/>
      </c>
      <c r="L872">
        <f>I872*(1+J872/100)+K872</f>
        <v/>
      </c>
    </row>
    <row r="873">
      <c r="A873" t="inlineStr">
        <is>
          <t>וטמרקט</t>
        </is>
      </c>
      <c r="B873" t="inlineStr">
        <is>
          <t>פנוברביטון 15 מ"ג (30 טבליות)</t>
        </is>
      </c>
      <c r="D873" t="inlineStr">
        <is>
          <t>102570</t>
        </is>
      </c>
      <c r="E873" t="inlineStr">
        <is>
          <t>2026-08</t>
        </is>
      </c>
      <c r="F873" t="n">
        <v>88</v>
      </c>
      <c r="G873" t="n">
        <v>103.84</v>
      </c>
      <c r="H873">
        <f>הגדרות!B6</f>
        <v/>
      </c>
      <c r="I873">
        <f>F873*(1-H873/100)*1.18</f>
        <v/>
      </c>
      <c r="J873">
        <f>הגדרות!C6</f>
        <v/>
      </c>
      <c r="K873">
        <f>הגדרות!D6</f>
        <v/>
      </c>
      <c r="L873">
        <f>I873*(1+J873/100)+K873</f>
        <v/>
      </c>
    </row>
    <row r="874">
      <c r="A874" t="inlineStr">
        <is>
          <t>וטמרקט</t>
        </is>
      </c>
      <c r="B874" t="inlineStr">
        <is>
          <t>זטו 250 מ"ג (6 טבל')</t>
        </is>
      </c>
      <c r="C874" t="inlineStr">
        <is>
          <t>אנטיביוטיקה</t>
        </is>
      </c>
      <c r="D874" t="inlineStr">
        <is>
          <t>112009</t>
        </is>
      </c>
      <c r="E874" t="inlineStr">
        <is>
          <t>2026-08</t>
        </is>
      </c>
      <c r="F874" t="n">
        <v>30</v>
      </c>
      <c r="G874" t="n">
        <v>35.4</v>
      </c>
      <c r="H874">
        <f>הגדרות!B6</f>
        <v/>
      </c>
      <c r="I874">
        <f>F874*(1-H874/100)*1.18</f>
        <v/>
      </c>
      <c r="J874">
        <f>הגדרות!C6</f>
        <v/>
      </c>
      <c r="K874">
        <f>הגדרות!D6</f>
        <v/>
      </c>
      <c r="L874">
        <f>I874*(1+J874/100)+K874</f>
        <v/>
      </c>
    </row>
    <row r="875">
      <c r="A875" t="inlineStr">
        <is>
          <t>וטמרקט</t>
        </is>
      </c>
      <c r="B875" t="inlineStr">
        <is>
          <t>אמוקסי LA וטרינרי</t>
        </is>
      </c>
      <c r="D875" t="inlineStr">
        <is>
          <t>112186</t>
        </is>
      </c>
      <c r="E875" t="inlineStr">
        <is>
          <t>2026-08</t>
        </is>
      </c>
      <c r="F875" t="n">
        <v>48</v>
      </c>
      <c r="G875" t="n">
        <v>56.64</v>
      </c>
      <c r="H875">
        <f>הגדרות!B6</f>
        <v/>
      </c>
      <c r="I875">
        <f>F875*(1-H875/100)*1.18</f>
        <v/>
      </c>
      <c r="J875">
        <f>הגדרות!C6</f>
        <v/>
      </c>
      <c r="K875">
        <f>הגדרות!D6</f>
        <v/>
      </c>
      <c r="L875">
        <f>I875*(1+J875/100)+K875</f>
        <v/>
      </c>
    </row>
    <row r="876">
      <c r="A876" t="inlineStr">
        <is>
          <t>וטמרקט</t>
        </is>
      </c>
      <c r="B876" t="inlineStr">
        <is>
          <t>סינולוקס 500 מ"ג וטרינרי (100 טבליות)</t>
        </is>
      </c>
      <c r="C876" t="inlineStr">
        <is>
          <t>אנטיביוטיקה</t>
        </is>
      </c>
      <c r="D876" t="inlineStr">
        <is>
          <t>112688</t>
        </is>
      </c>
      <c r="E876" t="inlineStr">
        <is>
          <t>2026-08</t>
        </is>
      </c>
      <c r="F876" t="n">
        <v>546</v>
      </c>
      <c r="G876" t="n">
        <v>644.28</v>
      </c>
      <c r="H876">
        <f>הגדרות!B6</f>
        <v/>
      </c>
      <c r="I876">
        <f>F876*(1-H876/100)*1.18</f>
        <v/>
      </c>
      <c r="J876">
        <f>הגדרות!C6</f>
        <v/>
      </c>
      <c r="K876">
        <f>הגדרות!D6</f>
        <v/>
      </c>
      <c r="L876">
        <f>I876*(1+J876/100)+K876</f>
        <v/>
      </c>
    </row>
    <row r="877">
      <c r="A877" t="inlineStr">
        <is>
          <t>וטמרקט</t>
        </is>
      </c>
      <c r="B877" t="inlineStr">
        <is>
          <t>סינולוקס 250 מ"ג וטרינרי (100 טבליות)</t>
        </is>
      </c>
      <c r="C877" t="inlineStr">
        <is>
          <t>אנטיביוטיקה</t>
        </is>
      </c>
      <c r="D877" t="inlineStr">
        <is>
          <t>112689</t>
        </is>
      </c>
      <c r="E877" t="inlineStr">
        <is>
          <t>2026-08</t>
        </is>
      </c>
      <c r="F877" t="n">
        <v>367</v>
      </c>
      <c r="G877" t="n">
        <v>433.06</v>
      </c>
      <c r="H877">
        <f>הגדרות!B6</f>
        <v/>
      </c>
      <c r="I877">
        <f>F877*(1-H877/100)*1.18</f>
        <v/>
      </c>
      <c r="J877">
        <f>הגדרות!C6</f>
        <v/>
      </c>
      <c r="K877">
        <f>הגדרות!D6</f>
        <v/>
      </c>
      <c r="L877">
        <f>I877*(1+J877/100)+K877</f>
        <v/>
      </c>
    </row>
    <row r="878">
      <c r="A878" t="inlineStr">
        <is>
          <t>וטמרקט</t>
        </is>
      </c>
      <c r="B878" t="inlineStr">
        <is>
          <t>קונבניה וטרינרי 10 מ"ל</t>
        </is>
      </c>
      <c r="C878" t="inlineStr">
        <is>
          <t>אנטיביוטיקה</t>
        </is>
      </c>
      <c r="D878" t="inlineStr">
        <is>
          <t>116127</t>
        </is>
      </c>
      <c r="E878" t="inlineStr">
        <is>
          <t>2026-08</t>
        </is>
      </c>
      <c r="F878" t="n">
        <v>1150</v>
      </c>
      <c r="G878" t="n">
        <v>1357</v>
      </c>
      <c r="H878">
        <f>הגדרות!B6</f>
        <v/>
      </c>
      <c r="I878">
        <f>F878*(1-H878/100)*1.18</f>
        <v/>
      </c>
      <c r="J878">
        <f>הגדרות!C6</f>
        <v/>
      </c>
      <c r="K878">
        <f>הגדרות!D6</f>
        <v/>
      </c>
      <c r="L878">
        <f>I878*(1+J878/100)+K878</f>
        <v/>
      </c>
    </row>
    <row r="879">
      <c r="A879" t="inlineStr">
        <is>
          <t>וטמרקט</t>
        </is>
      </c>
      <c r="B879" t="inlineStr">
        <is>
          <t>טבל'( 20) מ"ג 10 פלדיה</t>
        </is>
      </c>
      <c r="D879" t="inlineStr">
        <is>
          <t>120001</t>
        </is>
      </c>
      <c r="E879" t="inlineStr">
        <is>
          <t>2026-08</t>
        </is>
      </c>
      <c r="F879" t="n">
        <v>600</v>
      </c>
      <c r="G879" t="n">
        <v>708</v>
      </c>
      <c r="H879">
        <f>הגדרות!B6</f>
        <v/>
      </c>
      <c r="I879">
        <f>F879*(1-H879/100)*1.18</f>
        <v/>
      </c>
      <c r="J879">
        <f>הגדרות!C6</f>
        <v/>
      </c>
      <c r="K879">
        <f>הגדרות!D6</f>
        <v/>
      </c>
      <c r="L879">
        <f>I879*(1+J879/100)+K879</f>
        <v/>
      </c>
    </row>
    <row r="880">
      <c r="A880" t="inlineStr">
        <is>
          <t>וטמרקט</t>
        </is>
      </c>
      <c r="B880" t="inlineStr">
        <is>
          <t>טבל'( 20) מ"ג 15 פלדיה</t>
        </is>
      </c>
      <c r="D880" t="inlineStr">
        <is>
          <t>120002</t>
        </is>
      </c>
      <c r="E880" t="inlineStr">
        <is>
          <t>2026-08</t>
        </is>
      </c>
      <c r="F880" t="n">
        <v>707</v>
      </c>
      <c r="G880" t="n">
        <v>834.26</v>
      </c>
      <c r="H880">
        <f>הגדרות!B6</f>
        <v/>
      </c>
      <c r="I880">
        <f>F880*(1-H880/100)*1.18</f>
        <v/>
      </c>
      <c r="J880">
        <f>הגדרות!C6</f>
        <v/>
      </c>
      <c r="K880">
        <f>הגדרות!D6</f>
        <v/>
      </c>
      <c r="L880">
        <f>I880*(1+J880/100)+K880</f>
        <v/>
      </c>
    </row>
    <row r="881">
      <c r="A881" t="inlineStr">
        <is>
          <t>וטמרקט</t>
        </is>
      </c>
      <c r="B881" t="inlineStr">
        <is>
          <t>ברבקטו ספוט-און 1400 מ"ג לכלב 40-56 ק"ג (1 אמפולה)</t>
        </is>
      </c>
      <c r="D881" t="inlineStr">
        <is>
          <t>120034</t>
        </is>
      </c>
      <c r="E881" t="inlineStr">
        <is>
          <t>2026-08</t>
        </is>
      </c>
      <c r="F881" t="n">
        <v>196</v>
      </c>
      <c r="G881" t="n">
        <v>231.28</v>
      </c>
      <c r="H881">
        <f>הגדרות!B6</f>
        <v/>
      </c>
      <c r="I881">
        <f>F881*(1-H881/100)*1.18</f>
        <v/>
      </c>
      <c r="J881">
        <f>הגדרות!C6</f>
        <v/>
      </c>
      <c r="K881">
        <f>הגדרות!D6</f>
        <v/>
      </c>
      <c r="L881">
        <f>I881*(1+J881/100)+K881</f>
        <v/>
      </c>
    </row>
    <row r="882">
      <c r="A882" t="inlineStr">
        <is>
          <t>וטמרקט</t>
        </is>
      </c>
      <c r="B882" t="inlineStr">
        <is>
          <t>אינקורין 1 מ"ג (30 טבליות)</t>
        </is>
      </c>
      <c r="C882" t="inlineStr">
        <is>
          <t>אנדוקרינולוגיה</t>
        </is>
      </c>
      <c r="D882" t="inlineStr">
        <is>
          <t>121222</t>
        </is>
      </c>
      <c r="E882" t="inlineStr">
        <is>
          <t>2026-08</t>
        </is>
      </c>
      <c r="F882" t="n">
        <v>80</v>
      </c>
      <c r="G882" t="n">
        <v>94.40000000000001</v>
      </c>
      <c r="H882">
        <f>הגדרות!B6</f>
        <v/>
      </c>
      <c r="I882">
        <f>F882*(1-H882/100)*1.18</f>
        <v/>
      </c>
      <c r="J882">
        <f>הגדרות!C6</f>
        <v/>
      </c>
      <c r="K882">
        <f>הגדרות!D6</f>
        <v/>
      </c>
      <c r="L882">
        <f>I882*(1+J882/100)+K882</f>
        <v/>
      </c>
    </row>
    <row r="883">
      <c r="A883" t="inlineStr">
        <is>
          <t>וטמרקט</t>
        </is>
      </c>
      <c r="B883" t="inlineStr">
        <is>
          <t>ליברלה 30 מ"ג תמיסה להזרקה (2 ויילים1X מ"ל) 40-60 ק"ג</t>
        </is>
      </c>
      <c r="C883" t="inlineStr">
        <is>
          <t>שיכוך כאב</t>
        </is>
      </c>
      <c r="D883" t="inlineStr">
        <is>
          <t>121231</t>
        </is>
      </c>
      <c r="E883" t="inlineStr">
        <is>
          <t>2026-08</t>
        </is>
      </c>
      <c r="F883" t="n">
        <v>724</v>
      </c>
      <c r="G883" t="n">
        <v>854.3200000000001</v>
      </c>
      <c r="H883">
        <f>הגדרות!B6</f>
        <v/>
      </c>
      <c r="I883">
        <f>F883*(1-H883/100)*1.18</f>
        <v/>
      </c>
      <c r="J883">
        <f>הגדרות!C6</f>
        <v/>
      </c>
      <c r="K883">
        <f>הגדרות!D6</f>
        <v/>
      </c>
      <c r="L883">
        <f>I883*(1+J883/100)+K883</f>
        <v/>
      </c>
    </row>
    <row r="884">
      <c r="A884" t="inlineStr">
        <is>
          <t>וטמרקט</t>
        </is>
      </c>
      <c r="B884" t="inlineStr">
        <is>
          <t>קרדישור בטעם וטרינרי 2.5 מ"ג (100 טבליות)</t>
        </is>
      </c>
      <c r="D884" t="inlineStr">
        <is>
          <t>122122</t>
        </is>
      </c>
      <c r="E884" t="inlineStr">
        <is>
          <t>2026-08</t>
        </is>
      </c>
      <c r="F884" t="n">
        <v>270</v>
      </c>
      <c r="G884" t="n">
        <v>318.6</v>
      </c>
      <c r="H884">
        <f>הגדרות!B6</f>
        <v/>
      </c>
      <c r="I884">
        <f>F884*(1-H884/100)*1.18</f>
        <v/>
      </c>
      <c r="J884">
        <f>הגדרות!C6</f>
        <v/>
      </c>
      <c r="K884">
        <f>הגדרות!D6</f>
        <v/>
      </c>
      <c r="L884">
        <f>I884*(1+J884/100)+K884</f>
        <v/>
      </c>
    </row>
    <row r="885">
      <c r="A885" t="inlineStr">
        <is>
          <t>וטמרקט</t>
        </is>
      </c>
      <c r="B885" t="inlineStr">
        <is>
          <t>קרדישור בטעם וטרינרי 5 מ"ג (100 טבליות)</t>
        </is>
      </c>
      <c r="C885" t="inlineStr">
        <is>
          <t>לב ולחץ דם</t>
        </is>
      </c>
      <c r="D885" t="inlineStr">
        <is>
          <t>122123</t>
        </is>
      </c>
      <c r="E885" t="inlineStr">
        <is>
          <t>2026-08</t>
        </is>
      </c>
      <c r="F885" t="n">
        <v>323</v>
      </c>
      <c r="G885" t="n">
        <v>381.14</v>
      </c>
      <c r="H885">
        <f>הגדרות!B6</f>
        <v/>
      </c>
      <c r="I885">
        <f>F885*(1-H885/100)*1.18</f>
        <v/>
      </c>
      <c r="J885">
        <f>הגדרות!C6</f>
        <v/>
      </c>
      <c r="K885">
        <f>הגדרות!D6</f>
        <v/>
      </c>
      <c r="L885">
        <f>I885*(1+J885/100)+K885</f>
        <v/>
      </c>
    </row>
    <row r="886">
      <c r="A886" t="inlineStr">
        <is>
          <t>וטמרקט</t>
        </is>
      </c>
      <c r="B886" t="inlineStr">
        <is>
          <t>קרדישור בטעם וטרינרי 10 מ"ג (100 טבליות)</t>
        </is>
      </c>
      <c r="D886" t="inlineStr">
        <is>
          <t>122130</t>
        </is>
      </c>
      <c r="E886" t="inlineStr">
        <is>
          <t>2026-08</t>
        </is>
      </c>
      <c r="F886" t="n">
        <v>370</v>
      </c>
      <c r="G886" t="n">
        <v>436.6</v>
      </c>
      <c r="H886">
        <f>הגדרות!B6</f>
        <v/>
      </c>
      <c r="I886">
        <f>F886*(1-H886/100)*1.18</f>
        <v/>
      </c>
      <c r="J886">
        <f>הגדרות!C6</f>
        <v/>
      </c>
      <c r="K886">
        <f>הגדרות!D6</f>
        <v/>
      </c>
      <c r="L886">
        <f>I886*(1+J886/100)+K886</f>
        <v/>
      </c>
    </row>
    <row r="887">
      <c r="A887" t="inlineStr">
        <is>
          <t>וטמרקט</t>
        </is>
      </c>
      <c r="B887" t="inlineStr">
        <is>
          <t>ברבקטו 112.5 מ"ג לכלב 2-4.5 ק"ג (1 טבליה לעיסה)</t>
        </is>
      </c>
      <c r="C887" t="inlineStr">
        <is>
          <t>הדברה</t>
        </is>
      </c>
      <c r="D887" t="inlineStr">
        <is>
          <t>122154</t>
        </is>
      </c>
      <c r="E887" t="inlineStr">
        <is>
          <t>2026-08</t>
        </is>
      </c>
      <c r="F887" t="n">
        <v>156</v>
      </c>
      <c r="G887" t="n">
        <v>184.08</v>
      </c>
      <c r="H887">
        <f>הגדרות!B6</f>
        <v/>
      </c>
      <c r="I887">
        <f>F887*(1-H887/100)*1.18</f>
        <v/>
      </c>
      <c r="J887">
        <f>הגדרות!C6</f>
        <v/>
      </c>
      <c r="K887">
        <f>הגדרות!D6</f>
        <v/>
      </c>
      <c r="L887">
        <f>I887*(1+J887/100)+K887</f>
        <v/>
      </c>
    </row>
    <row r="888">
      <c r="A888" t="inlineStr">
        <is>
          <t>וטמרקט</t>
        </is>
      </c>
      <c r="B888" t="inlineStr">
        <is>
          <t>ברבקטו 250 מ"ג לכלב 4.5-10 ק"ג (1 טבליה לעיסה)</t>
        </is>
      </c>
      <c r="C888" t="inlineStr">
        <is>
          <t>הדברה</t>
        </is>
      </c>
      <c r="D888" t="inlineStr">
        <is>
          <t>122155</t>
        </is>
      </c>
      <c r="E888" t="inlineStr">
        <is>
          <t>2026-08</t>
        </is>
      </c>
      <c r="F888" t="n">
        <v>166</v>
      </c>
      <c r="G888" t="n">
        <v>195.88</v>
      </c>
      <c r="H888">
        <f>הגדרות!B6</f>
        <v/>
      </c>
      <c r="I888">
        <f>F888*(1-H888/100)*1.18</f>
        <v/>
      </c>
      <c r="J888">
        <f>הגדרות!C6</f>
        <v/>
      </c>
      <c r="K888">
        <f>הגדרות!D6</f>
        <v/>
      </c>
      <c r="L888">
        <f>I888*(1+J888/100)+K888</f>
        <v/>
      </c>
    </row>
    <row r="889">
      <c r="A889" t="inlineStr">
        <is>
          <t>וטמרקט</t>
        </is>
      </c>
      <c r="B889" t="inlineStr">
        <is>
          <t>ברבקטו 500 מ"ג לכלב 10-20 ק"ג (1 טבליה לעיסה)</t>
        </is>
      </c>
      <c r="C889" t="inlineStr">
        <is>
          <t>הדברה</t>
        </is>
      </c>
      <c r="D889" t="inlineStr">
        <is>
          <t>122156</t>
        </is>
      </c>
      <c r="E889" t="inlineStr">
        <is>
          <t>2026-08</t>
        </is>
      </c>
      <c r="F889" t="n">
        <v>177</v>
      </c>
      <c r="G889" t="n">
        <v>208.86</v>
      </c>
      <c r="H889">
        <f>הגדרות!B6</f>
        <v/>
      </c>
      <c r="I889">
        <f>F889*(1-H889/100)*1.18</f>
        <v/>
      </c>
      <c r="J889">
        <f>הגדרות!C6</f>
        <v/>
      </c>
      <c r="K889">
        <f>הגדרות!D6</f>
        <v/>
      </c>
      <c r="L889">
        <f>I889*(1+J889/100)+K889</f>
        <v/>
      </c>
    </row>
    <row r="890">
      <c r="A890" t="inlineStr">
        <is>
          <t>וטמרקט</t>
        </is>
      </c>
      <c r="B890" t="inlineStr">
        <is>
          <t>ברבקטו 1000 מ"ג לכלב 20-40 ק"ג (1 טבליה לעיסה)</t>
        </is>
      </c>
      <c r="C890" t="inlineStr">
        <is>
          <t>הדברה</t>
        </is>
      </c>
      <c r="D890" t="inlineStr">
        <is>
          <t>122158</t>
        </is>
      </c>
      <c r="E890" t="inlineStr">
        <is>
          <t>2026-08</t>
        </is>
      </c>
      <c r="F890" t="n">
        <v>190</v>
      </c>
      <c r="G890" t="n">
        <v>224.2</v>
      </c>
      <c r="H890">
        <f>הגדרות!B6</f>
        <v/>
      </c>
      <c r="I890">
        <f>F890*(1-H890/100)*1.18</f>
        <v/>
      </c>
      <c r="J890">
        <f>הגדרות!C6</f>
        <v/>
      </c>
      <c r="K890">
        <f>הגדרות!D6</f>
        <v/>
      </c>
      <c r="L890">
        <f>I890*(1+J890/100)+K890</f>
        <v/>
      </c>
    </row>
    <row r="891">
      <c r="A891" t="inlineStr">
        <is>
          <t>וטמרקט</t>
        </is>
      </c>
      <c r="B891" t="inlineStr">
        <is>
          <t>לוקסיקום 5.0מ"ג/מ"ל תרחיף)51מ"ל(</t>
        </is>
      </c>
      <c r="D891" t="inlineStr">
        <is>
          <t>122196</t>
        </is>
      </c>
      <c r="E891" t="inlineStr">
        <is>
          <t>2026-08</t>
        </is>
      </c>
      <c r="F891" t="n">
        <v>44</v>
      </c>
      <c r="G891" t="n">
        <v>51.92</v>
      </c>
      <c r="H891">
        <f>הגדרות!B6</f>
        <v/>
      </c>
      <c r="I891">
        <f>F891*(1-H891/100)*1.18</f>
        <v/>
      </c>
      <c r="J891">
        <f>הגדרות!C6</f>
        <v/>
      </c>
      <c r="K891">
        <f>הגדרות!D6</f>
        <v/>
      </c>
      <c r="L891">
        <f>I891*(1+J891/100)+K891</f>
        <v/>
      </c>
    </row>
    <row r="892">
      <c r="A892" t="inlineStr">
        <is>
          <t>וטמרקט</t>
        </is>
      </c>
      <c r="B892" t="inlineStr">
        <is>
          <t>אפקוול 16 מ"ג (100 טבליות)</t>
        </is>
      </c>
      <c r="C892" t="inlineStr">
        <is>
          <t>דרמטולוגיה / אלרגיה</t>
        </is>
      </c>
      <c r="D892" t="inlineStr">
        <is>
          <t>122203</t>
        </is>
      </c>
      <c r="E892" t="inlineStr">
        <is>
          <t>2026-08</t>
        </is>
      </c>
      <c r="F892" t="n">
        <v>940</v>
      </c>
      <c r="G892" t="n">
        <v>1109.2</v>
      </c>
      <c r="H892">
        <f>הגדרות!B6</f>
        <v/>
      </c>
      <c r="I892">
        <f>F892*(1-H892/100)*1.18</f>
        <v/>
      </c>
      <c r="J892">
        <f>הגדרות!C6</f>
        <v/>
      </c>
      <c r="K892">
        <f>הגדרות!D6</f>
        <v/>
      </c>
      <c r="L892">
        <f>I892*(1+J892/100)+K892</f>
        <v/>
      </c>
    </row>
    <row r="893">
      <c r="A893" t="inlineStr">
        <is>
          <t>וטמרקט</t>
        </is>
      </c>
      <c r="B893" t="inlineStr">
        <is>
          <t>אפקוול 5.4 מ"ג (100 טבליות)</t>
        </is>
      </c>
      <c r="C893" t="inlineStr">
        <is>
          <t>דרמטולוגיה / אלרגיה</t>
        </is>
      </c>
      <c r="D893" t="inlineStr">
        <is>
          <t>122204</t>
        </is>
      </c>
      <c r="E893" t="inlineStr">
        <is>
          <t>2026-08</t>
        </is>
      </c>
      <c r="F893" t="n">
        <v>518</v>
      </c>
      <c r="G893" t="n">
        <v>611.24</v>
      </c>
      <c r="H893">
        <f>הגדרות!B6</f>
        <v/>
      </c>
      <c r="I893">
        <f>F893*(1-H893/100)*1.18</f>
        <v/>
      </c>
      <c r="J893">
        <f>הגדרות!C6</f>
        <v/>
      </c>
      <c r="K893">
        <f>הגדרות!D6</f>
        <v/>
      </c>
      <c r="L893">
        <f>I893*(1+J893/100)+K893</f>
        <v/>
      </c>
    </row>
    <row r="894">
      <c r="A894" t="inlineStr">
        <is>
          <t>וטמרקט</t>
        </is>
      </c>
      <c r="B894" t="inlineStr">
        <is>
          <t>אלפרליד 1 מ"ג 30 טבליות</t>
        </is>
      </c>
      <c r="D894" t="inlineStr">
        <is>
          <t>122235</t>
        </is>
      </c>
      <c r="E894" t="inlineStr">
        <is>
          <t>2026-08</t>
        </is>
      </c>
      <c r="F894" t="n">
        <v>22</v>
      </c>
      <c r="G894" t="n">
        <v>25.96</v>
      </c>
      <c r="H894">
        <f>הגדרות!B6</f>
        <v/>
      </c>
      <c r="I894">
        <f>F894*(1-H894/100)*1.18</f>
        <v/>
      </c>
      <c r="J894">
        <f>הגדרות!C6</f>
        <v/>
      </c>
      <c r="K894">
        <f>הגדרות!D6</f>
        <v/>
      </c>
      <c r="L894">
        <f>I894*(1+J894/100)+K894</f>
        <v/>
      </c>
    </row>
    <row r="895">
      <c r="A895" t="inlineStr">
        <is>
          <t>וטמרקט</t>
        </is>
      </c>
      <c r="B895" t="inlineStr">
        <is>
          <t>סימפריקה 10 מ"ג לכלבים במשקל 2.5-5 ק"ג (3 טבליות)</t>
        </is>
      </c>
      <c r="C895" t="inlineStr">
        <is>
          <t>הדברה</t>
        </is>
      </c>
      <c r="D895" t="inlineStr">
        <is>
          <t>122284</t>
        </is>
      </c>
      <c r="E895" t="inlineStr">
        <is>
          <t>2026-08</t>
        </is>
      </c>
      <c r="F895" t="n">
        <v>56</v>
      </c>
      <c r="G895" t="n">
        <v>66.08</v>
      </c>
      <c r="H895">
        <f>הגדרות!B6</f>
        <v/>
      </c>
      <c r="I895">
        <f>F895*(1-H895/100)*1.18</f>
        <v/>
      </c>
      <c r="J895">
        <f>הגדרות!C6</f>
        <v/>
      </c>
      <c r="K895">
        <f>הגדרות!D6</f>
        <v/>
      </c>
      <c r="L895">
        <f>I895*(1+J895/100)+K895</f>
        <v/>
      </c>
    </row>
    <row r="896">
      <c r="A896" t="inlineStr">
        <is>
          <t>וטמרקט</t>
        </is>
      </c>
      <c r="B896" t="inlineStr">
        <is>
          <t>סימפריקה 20 מ"ג לכלבים במשקל 5-10 ק"ג (3 טבליות)</t>
        </is>
      </c>
      <c r="C896" t="inlineStr">
        <is>
          <t>הדברה</t>
        </is>
      </c>
      <c r="D896" t="inlineStr">
        <is>
          <t>122285</t>
        </is>
      </c>
      <c r="E896" t="inlineStr">
        <is>
          <t>2026-08</t>
        </is>
      </c>
      <c r="F896" t="n">
        <v>60</v>
      </c>
      <c r="G896" t="n">
        <v>70.8</v>
      </c>
      <c r="H896">
        <f>הגדרות!B6</f>
        <v/>
      </c>
      <c r="I896">
        <f>F896*(1-H896/100)*1.18</f>
        <v/>
      </c>
      <c r="J896">
        <f>הגדרות!C6</f>
        <v/>
      </c>
      <c r="K896">
        <f>הגדרות!D6</f>
        <v/>
      </c>
      <c r="L896">
        <f>I896*(1+J896/100)+K896</f>
        <v/>
      </c>
    </row>
    <row r="897">
      <c r="A897" t="inlineStr">
        <is>
          <t>וטמרקט</t>
        </is>
      </c>
      <c r="B897" t="inlineStr">
        <is>
          <t>צפבקטין 1000 מ"ג (100 טבליות), צפלקסין</t>
        </is>
      </c>
      <c r="C897" t="inlineStr">
        <is>
          <t>אנטיביוטיקה</t>
        </is>
      </c>
      <c r="D897" t="inlineStr">
        <is>
          <t>122292</t>
        </is>
      </c>
      <c r="E897" t="inlineStr">
        <is>
          <t>2026-08</t>
        </is>
      </c>
      <c r="F897" t="n">
        <v>395</v>
      </c>
      <c r="G897" t="n">
        <v>466.1</v>
      </c>
      <c r="H897">
        <f>הגדרות!B6</f>
        <v/>
      </c>
      <c r="I897">
        <f>F897*(1-H897/100)*1.18</f>
        <v/>
      </c>
      <c r="J897">
        <f>הגדרות!C6</f>
        <v/>
      </c>
      <c r="K897">
        <f>הגדרות!D6</f>
        <v/>
      </c>
      <c r="L897">
        <f>I897*(1+J897/100)+K897</f>
        <v/>
      </c>
    </row>
    <row r="898">
      <c r="A898" t="inlineStr">
        <is>
          <t>וטמרקט</t>
        </is>
      </c>
      <c r="B898" t="inlineStr">
        <is>
          <t>טרזודון 50 מ"ג (30 טבליות)</t>
        </is>
      </c>
      <c r="D898" t="inlineStr">
        <is>
          <t>122311</t>
        </is>
      </c>
      <c r="E898" t="inlineStr">
        <is>
          <t>2026-08</t>
        </is>
      </c>
      <c r="F898" t="n">
        <v>20</v>
      </c>
      <c r="G898" t="n">
        <v>23.6</v>
      </c>
      <c r="H898">
        <f>הגדרות!B6</f>
        <v/>
      </c>
      <c r="I898">
        <f>F898*(1-H898/100)*1.18</f>
        <v/>
      </c>
      <c r="J898">
        <f>הגדרות!C6</f>
        <v/>
      </c>
      <c r="K898">
        <f>הגדרות!D6</f>
        <v/>
      </c>
      <c r="L898">
        <f>I898*(1+J898/100)+K898</f>
        <v/>
      </c>
    </row>
    <row r="899">
      <c r="A899" t="inlineStr">
        <is>
          <t>וטמרקט</t>
        </is>
      </c>
      <c r="B899" t="inlineStr">
        <is>
          <t>קרדישור בטעם וטרינרי 1.25 מ"ג (100 טבליות)</t>
        </is>
      </c>
      <c r="D899" t="inlineStr">
        <is>
          <t>122368</t>
        </is>
      </c>
      <c r="E899" t="inlineStr">
        <is>
          <t>2026-08</t>
        </is>
      </c>
      <c r="F899" t="n">
        <v>167</v>
      </c>
      <c r="G899" t="n">
        <v>197.06</v>
      </c>
      <c r="H899">
        <f>הגדרות!B6</f>
        <v/>
      </c>
      <c r="I899">
        <f>F899*(1-H899/100)*1.18</f>
        <v/>
      </c>
      <c r="J899">
        <f>הגדרות!C6</f>
        <v/>
      </c>
      <c r="K899">
        <f>הגדרות!D6</f>
        <v/>
      </c>
      <c r="L899">
        <f>I899*(1+J899/100)+K899</f>
        <v/>
      </c>
    </row>
    <row r="900">
      <c r="A900" t="inlineStr">
        <is>
          <t>וטמרקט</t>
        </is>
      </c>
      <c r="B900" t="inlineStr">
        <is>
          <t>ציטופוינט 20 מ"ג/מ"ל 1 מ"ל (2 ויאל)</t>
        </is>
      </c>
      <c r="C900" t="inlineStr">
        <is>
          <t>דרמטולוגיה / אלרגיה</t>
        </is>
      </c>
      <c r="D900" t="inlineStr">
        <is>
          <t>122644</t>
        </is>
      </c>
      <c r="E900" t="inlineStr">
        <is>
          <t>2026-08</t>
        </is>
      </c>
      <c r="F900" t="n">
        <v>710</v>
      </c>
      <c r="G900" t="n">
        <v>837.8</v>
      </c>
      <c r="H900">
        <f>הגדרות!B6</f>
        <v/>
      </c>
      <c r="I900">
        <f>F900*(1-H900/100)*1.18</f>
        <v/>
      </c>
      <c r="J900">
        <f>הגדרות!C6</f>
        <v/>
      </c>
      <c r="K900">
        <f>הגדרות!D6</f>
        <v/>
      </c>
      <c r="L900">
        <f>I900*(1+J900/100)+K900</f>
        <v/>
      </c>
    </row>
    <row r="901">
      <c r="A901" t="inlineStr">
        <is>
          <t>וטמרקט</t>
        </is>
      </c>
      <c r="B901" t="inlineStr">
        <is>
          <t>טבליות( 30) מ"ג 50 טרזודיל</t>
        </is>
      </c>
      <c r="D901" t="inlineStr">
        <is>
          <t>122652</t>
        </is>
      </c>
      <c r="E901" t="inlineStr">
        <is>
          <t>2026-08</t>
        </is>
      </c>
      <c r="F901" t="n">
        <v>21</v>
      </c>
      <c r="G901" t="n">
        <v>24.78</v>
      </c>
      <c r="H901">
        <f>הגדרות!B6</f>
        <v/>
      </c>
      <c r="I901">
        <f>F901*(1-H901/100)*1.18</f>
        <v/>
      </c>
      <c r="J901">
        <f>הגדרות!C6</f>
        <v/>
      </c>
      <c r="K901">
        <f>הגדרות!D6</f>
        <v/>
      </c>
      <c r="L901">
        <f>I901*(1+J901/100)+K901</f>
        <v/>
      </c>
    </row>
    <row r="902">
      <c r="A902" t="inlineStr">
        <is>
          <t>וטמרקט</t>
        </is>
      </c>
      <c r="B902" t="inlineStr">
        <is>
          <t>אנלדקס 5 מ"ג (30 טבליות)</t>
        </is>
      </c>
      <c r="D902" t="inlineStr">
        <is>
          <t>123076</t>
        </is>
      </c>
      <c r="E902" t="inlineStr">
        <is>
          <t>2026-08</t>
        </is>
      </c>
      <c r="F902" t="n">
        <v>10</v>
      </c>
      <c r="G902" t="n">
        <v>11.8</v>
      </c>
      <c r="H902">
        <f>הגדרות!B6</f>
        <v/>
      </c>
      <c r="I902">
        <f>F902*(1-H902/100)*1.18</f>
        <v/>
      </c>
      <c r="J902">
        <f>הגדרות!C6</f>
        <v/>
      </c>
      <c r="K902">
        <f>הגדרות!D6</f>
        <v/>
      </c>
      <c r="L902">
        <f>I902*(1+J902/100)+K902</f>
        <v/>
      </c>
    </row>
    <row r="903">
      <c r="A903" t="inlineStr">
        <is>
          <t>וטמרקט</t>
        </is>
      </c>
      <c r="B903" t="inlineStr">
        <is>
          <t>אנלדקס 10 מ"ג (30 טבליות)</t>
        </is>
      </c>
      <c r="D903" t="inlineStr">
        <is>
          <t>123122</t>
        </is>
      </c>
      <c r="E903" t="inlineStr">
        <is>
          <t>2026-08</t>
        </is>
      </c>
      <c r="F903" t="n">
        <v>14</v>
      </c>
      <c r="G903" t="n">
        <v>16.52</v>
      </c>
      <c r="H903">
        <f>הגדרות!B6</f>
        <v/>
      </c>
      <c r="I903">
        <f>F903*(1-H903/100)*1.18</f>
        <v/>
      </c>
      <c r="J903">
        <f>הגדרות!C6</f>
        <v/>
      </c>
      <c r="K903">
        <f>הגדרות!D6</f>
        <v/>
      </c>
      <c r="L903">
        <f>I903*(1+J903/100)+K903</f>
        <v/>
      </c>
    </row>
    <row r="904">
      <c r="A904" t="inlineStr">
        <is>
          <t>וטמרקט</t>
        </is>
      </c>
      <c r="B904" t="inlineStr">
        <is>
          <t>אורסוליט 100</t>
        </is>
      </c>
      <c r="C904" t="inlineStr">
        <is>
          <t>תוספי תזונה</t>
        </is>
      </c>
      <c r="D904" t="inlineStr">
        <is>
          <t>123155</t>
        </is>
      </c>
      <c r="E904" t="inlineStr">
        <is>
          <t>2026-08</t>
        </is>
      </c>
      <c r="F904" t="n">
        <v>150</v>
      </c>
      <c r="G904" t="n">
        <v>177</v>
      </c>
      <c r="H904">
        <f>הגדרות!B6</f>
        <v/>
      </c>
      <c r="I904">
        <f>F904*(1-H904/100)*1.18</f>
        <v/>
      </c>
      <c r="J904">
        <f>הגדרות!C6</f>
        <v/>
      </c>
      <c r="K904">
        <f>הגדרות!D6</f>
        <v/>
      </c>
      <c r="L904">
        <f>I904*(1+J904/100)+K904</f>
        <v/>
      </c>
    </row>
    <row r="905">
      <c r="A905" t="inlineStr">
        <is>
          <t>וטמרקט</t>
        </is>
      </c>
      <c r="B905" t="inlineStr">
        <is>
          <t>אורסוליט 300 (חבילה 30 טבליות)</t>
        </is>
      </c>
      <c r="D905" t="inlineStr">
        <is>
          <t>123259</t>
        </is>
      </c>
      <c r="E905" t="inlineStr">
        <is>
          <t>2026-08</t>
        </is>
      </c>
      <c r="F905" t="n">
        <v>59</v>
      </c>
      <c r="G905" t="n">
        <v>69.62</v>
      </c>
      <c r="H905">
        <f>הגדרות!B6</f>
        <v/>
      </c>
      <c r="I905">
        <f>F905*(1-H905/100)*1.18</f>
        <v/>
      </c>
      <c r="J905">
        <f>הגדרות!C6</f>
        <v/>
      </c>
      <c r="K905">
        <f>הגדרות!D6</f>
        <v/>
      </c>
      <c r="L905">
        <f>I905*(1+J905/100)+K905</f>
        <v/>
      </c>
    </row>
    <row r="906">
      <c r="A906" t="inlineStr">
        <is>
          <t>וטמרקט</t>
        </is>
      </c>
      <c r="B906" t="inlineStr">
        <is>
          <t>קפליות( 30) מ"ג 20 אומפרודקס</t>
        </is>
      </c>
      <c r="D906" t="inlineStr">
        <is>
          <t>123263</t>
        </is>
      </c>
      <c r="E906" t="inlineStr">
        <is>
          <t>2026-08</t>
        </is>
      </c>
      <c r="F906" t="n">
        <v>30</v>
      </c>
      <c r="G906" t="n">
        <v>35.4</v>
      </c>
      <c r="H906">
        <f>הגדרות!B6</f>
        <v/>
      </c>
      <c r="I906">
        <f>F906*(1-H906/100)*1.18</f>
        <v/>
      </c>
      <c r="J906">
        <f>הגדרות!C6</f>
        <v/>
      </c>
      <c r="K906">
        <f>הגדרות!D6</f>
        <v/>
      </c>
      <c r="L906">
        <f>I906*(1+J906/100)+K906</f>
        <v/>
      </c>
    </row>
    <row r="907">
      <c r="A907" t="inlineStr">
        <is>
          <t>וטמרקט</t>
        </is>
      </c>
      <c r="B907" t="inlineStr">
        <is>
          <t>סופרלורין 4.7 מ"ג (2 שתלים)</t>
        </is>
      </c>
      <c r="D907" t="inlineStr">
        <is>
          <t>123279</t>
        </is>
      </c>
      <c r="E907" t="inlineStr">
        <is>
          <t>2026-08</t>
        </is>
      </c>
      <c r="F907" t="n">
        <v>770</v>
      </c>
      <c r="G907" t="n">
        <v>908.6</v>
      </c>
      <c r="H907">
        <f>הגדרות!B6</f>
        <v/>
      </c>
      <c r="I907">
        <f>F907*(1-H907/100)*1.18</f>
        <v/>
      </c>
      <c r="J907">
        <f>הגדרות!C6</f>
        <v/>
      </c>
      <c r="K907">
        <f>הגדרות!D6</f>
        <v/>
      </c>
      <c r="L907">
        <f>I907*(1+J907/100)+K907</f>
        <v/>
      </c>
    </row>
    <row r="908">
      <c r="A908" t="inlineStr">
        <is>
          <t>וטמרקט</t>
        </is>
      </c>
      <c r="B908" t="inlineStr">
        <is>
          <t>סופרלורין 9.4 מ"ג (2 שתלים)</t>
        </is>
      </c>
      <c r="D908" t="inlineStr">
        <is>
          <t>123681</t>
        </is>
      </c>
      <c r="E908" t="inlineStr">
        <is>
          <t>2026-08</t>
        </is>
      </c>
      <c r="F908" t="n">
        <v>882</v>
      </c>
      <c r="G908" t="n">
        <v>1040.76</v>
      </c>
      <c r="H908">
        <f>הגדרות!B6</f>
        <v/>
      </c>
      <c r="I908">
        <f>F908*(1-H908/100)*1.18</f>
        <v/>
      </c>
      <c r="J908">
        <f>הגדרות!C6</f>
        <v/>
      </c>
      <c r="K908">
        <f>הגדרות!D6</f>
        <v/>
      </c>
      <c r="L908">
        <f>I908*(1+J908/100)+K908</f>
        <v/>
      </c>
    </row>
    <row r="909">
      <c r="A909" t="inlineStr">
        <is>
          <t>וטמרקט</t>
        </is>
      </c>
      <c r="B909" t="inlineStr">
        <is>
          <t>סרניה זריקה וטרינרי 10 מ"ג (20 מ"ל)</t>
        </is>
      </c>
      <c r="C909" t="inlineStr">
        <is>
          <t>מערכת עיכול</t>
        </is>
      </c>
      <c r="D909" t="inlineStr">
        <is>
          <t>128504</t>
        </is>
      </c>
      <c r="E909" t="inlineStr">
        <is>
          <t>2026-08</t>
        </is>
      </c>
      <c r="F909" t="n">
        <v>520</v>
      </c>
      <c r="G909" t="n">
        <v>613.6</v>
      </c>
      <c r="H909">
        <f>הגדרות!B6</f>
        <v/>
      </c>
      <c r="I909">
        <f>F909*(1-H909/100)*1.18</f>
        <v/>
      </c>
      <c r="J909">
        <f>הגדרות!C6</f>
        <v/>
      </c>
      <c r="K909">
        <f>הגדרות!D6</f>
        <v/>
      </c>
      <c r="L909">
        <f>I909*(1+J909/100)+K909</f>
        <v/>
      </c>
    </row>
    <row r="910">
      <c r="A910" t="inlineStr">
        <is>
          <t>וטמרקט</t>
        </is>
      </c>
      <c r="B910" t="inlineStr">
        <is>
          <t>ציטופוינט 40 מ"ג/מ"ל 1 מ"ל (2 ויאל)</t>
        </is>
      </c>
      <c r="C910" t="inlineStr">
        <is>
          <t>דרמטולוגיה / אלרגיה</t>
        </is>
      </c>
      <c r="D910" t="inlineStr">
        <is>
          <t>129875</t>
        </is>
      </c>
      <c r="E910" t="inlineStr">
        <is>
          <t>2026-08</t>
        </is>
      </c>
      <c r="F910" t="n">
        <v>1218</v>
      </c>
      <c r="G910" t="n">
        <v>1437.24</v>
      </c>
      <c r="H910">
        <f>הגדרות!B6</f>
        <v/>
      </c>
      <c r="I910">
        <f>F910*(1-H910/100)*1.18</f>
        <v/>
      </c>
      <c r="J910">
        <f>הגדרות!C6</f>
        <v/>
      </c>
      <c r="K910">
        <f>הגדרות!D6</f>
        <v/>
      </c>
      <c r="L910">
        <f>I910*(1+J910/100)+K910</f>
        <v/>
      </c>
    </row>
    <row r="911">
      <c r="A911" t="inlineStr">
        <is>
          <t>וטמרקט</t>
        </is>
      </c>
      <c r="B911" t="inlineStr">
        <is>
          <t>ציטופוינט 10 מ"ג/מ"ל 1 מ"ל (2 בקבוקונים)</t>
        </is>
      </c>
      <c r="C911" t="inlineStr">
        <is>
          <t>דרמטולוגיה / אלרגיה</t>
        </is>
      </c>
      <c r="D911" t="inlineStr">
        <is>
          <t>129876</t>
        </is>
      </c>
      <c r="E911" t="inlineStr">
        <is>
          <t>2026-08</t>
        </is>
      </c>
      <c r="F911" t="n">
        <v>405</v>
      </c>
      <c r="G911" t="n">
        <v>477.9</v>
      </c>
      <c r="H911">
        <f>הגדרות!B6</f>
        <v/>
      </c>
      <c r="I911">
        <f>F911*(1-H911/100)*1.18</f>
        <v/>
      </c>
      <c r="J911">
        <f>הגדרות!C6</f>
        <v/>
      </c>
      <c r="K911">
        <f>הגדרות!D6</f>
        <v/>
      </c>
      <c r="L911">
        <f>I911*(1+J911/100)+K911</f>
        <v/>
      </c>
    </row>
    <row r="912">
      <c r="A912" t="inlineStr">
        <is>
          <t>וטמרקט</t>
        </is>
      </c>
      <c r="B912" t="inlineStr">
        <is>
          <t>רילקסין (צפלקסין) 600 מ"ג (210 טב')</t>
        </is>
      </c>
      <c r="C912" t="inlineStr">
        <is>
          <t>אנטיביוטיקה</t>
        </is>
      </c>
      <c r="D912" t="inlineStr">
        <is>
          <t>129887</t>
        </is>
      </c>
      <c r="E912" t="inlineStr">
        <is>
          <t>2026-08</t>
        </is>
      </c>
      <c r="F912" t="n">
        <v>710</v>
      </c>
      <c r="G912" t="n">
        <v>837.8</v>
      </c>
      <c r="H912">
        <f>הגדרות!B6</f>
        <v/>
      </c>
      <c r="I912">
        <f>F912*(1-H912/100)*1.18</f>
        <v/>
      </c>
      <c r="J912">
        <f>הגדרות!C6</f>
        <v/>
      </c>
      <c r="K912">
        <f>הגדרות!D6</f>
        <v/>
      </c>
      <c r="L912">
        <f>I912*(1+J912/100)+K912</f>
        <v/>
      </c>
    </row>
    <row r="913">
      <c r="A913" t="inlineStr">
        <is>
          <t>וטמרקט</t>
        </is>
      </c>
      <c r="B913" t="inlineStr">
        <is>
          <t>סורולן וטרינרי 15 מ"ל</t>
        </is>
      </c>
      <c r="D913" t="inlineStr">
        <is>
          <t>134016</t>
        </is>
      </c>
      <c r="E913" t="inlineStr">
        <is>
          <t>2026-08</t>
        </is>
      </c>
      <c r="F913" t="n">
        <v>50</v>
      </c>
      <c r="G913" t="n">
        <v>59</v>
      </c>
      <c r="H913">
        <f>הגדרות!B6</f>
        <v/>
      </c>
      <c r="I913">
        <f>F913*(1-H913/100)*1.18</f>
        <v/>
      </c>
      <c r="J913">
        <f>הגדרות!C6</f>
        <v/>
      </c>
      <c r="K913">
        <f>הגדרות!D6</f>
        <v/>
      </c>
      <c r="L913">
        <f>I913*(1+J913/100)+K913</f>
        <v/>
      </c>
    </row>
    <row r="914">
      <c r="A914" t="inlineStr">
        <is>
          <t>וטמרקט</t>
        </is>
      </c>
      <c r="B914" t="inlineStr">
        <is>
          <t>אפיוטיק שטיפת אוזניים וירבק, 125 מ"ל</t>
        </is>
      </c>
      <c r="C914" t="inlineStr">
        <is>
          <t>עיניים ואוזניים</t>
        </is>
      </c>
      <c r="D914" t="inlineStr">
        <is>
          <t>134028</t>
        </is>
      </c>
      <c r="E914" t="inlineStr">
        <is>
          <t>2026-08</t>
        </is>
      </c>
      <c r="F914" t="n">
        <v>53</v>
      </c>
      <c r="G914" t="n">
        <v>62.54</v>
      </c>
      <c r="H914">
        <f>הגדרות!B6</f>
        <v/>
      </c>
      <c r="I914">
        <f>F914*(1-H914/100)*1.18</f>
        <v/>
      </c>
      <c r="J914">
        <f>הגדרות!C6</f>
        <v/>
      </c>
      <c r="K914">
        <f>הגדרות!D6</f>
        <v/>
      </c>
      <c r="L914">
        <f>I914*(1+J914/100)+K914</f>
        <v/>
      </c>
    </row>
    <row r="915">
      <c r="A915" t="inlineStr">
        <is>
          <t>וטמרקט</t>
        </is>
      </c>
      <c r="B915" t="inlineStr">
        <is>
          <t>מקסיטרול משחת עיניים</t>
        </is>
      </c>
      <c r="D915" t="inlineStr">
        <is>
          <t>134079</t>
        </is>
      </c>
      <c r="E915" t="inlineStr">
        <is>
          <t>2026-08</t>
        </is>
      </c>
      <c r="F915" t="n">
        <v>24</v>
      </c>
      <c r="G915" t="n">
        <v>28.32</v>
      </c>
      <c r="H915">
        <f>הגדרות!B6</f>
        <v/>
      </c>
      <c r="I915">
        <f>F915*(1-H915/100)*1.18</f>
        <v/>
      </c>
      <c r="J915">
        <f>הגדרות!C6</f>
        <v/>
      </c>
      <c r="K915">
        <f>הגדרות!D6</f>
        <v/>
      </c>
      <c r="L915">
        <f>I915*(1+J915/100)+K915</f>
        <v/>
      </c>
    </row>
    <row r="916">
      <c r="A916" t="inlineStr">
        <is>
          <t>וטמרקט</t>
        </is>
      </c>
      <c r="B916" t="inlineStr">
        <is>
          <t>מקסיטרול טיפות עיניים</t>
        </is>
      </c>
      <c r="D916" t="inlineStr">
        <is>
          <t>134081</t>
        </is>
      </c>
      <c r="E916" t="inlineStr">
        <is>
          <t>2026-08</t>
        </is>
      </c>
      <c r="F916" t="n">
        <v>18</v>
      </c>
      <c r="G916" t="n">
        <v>21.24</v>
      </c>
      <c r="H916">
        <f>הגדרות!B6</f>
        <v/>
      </c>
      <c r="I916">
        <f>F916*(1-H916/100)*1.18</f>
        <v/>
      </c>
      <c r="J916">
        <f>הגדרות!C6</f>
        <v/>
      </c>
      <c r="K916">
        <f>הגדרות!D6</f>
        <v/>
      </c>
      <c r="L916">
        <f>I916*(1+J916/100)+K916</f>
        <v/>
      </c>
    </row>
    <row r="917">
      <c r="A917" t="inlineStr">
        <is>
          <t>וטמרקט</t>
        </is>
      </c>
      <c r="B917" t="inlineStr">
        <is>
          <t>נטויאנט תמיסה לניקוי סביבת העיניים וירבק, 125 מ"ל</t>
        </is>
      </c>
      <c r="D917" t="inlineStr">
        <is>
          <t>137207</t>
        </is>
      </c>
      <c r="E917" t="inlineStr">
        <is>
          <t>2026-08</t>
        </is>
      </c>
      <c r="F917" t="n">
        <v>53</v>
      </c>
      <c r="G917" t="n">
        <v>62.54</v>
      </c>
      <c r="H917">
        <f>הגדרות!B6</f>
        <v/>
      </c>
      <c r="I917">
        <f>F917*(1-H917/100)*1.18</f>
        <v/>
      </c>
      <c r="J917">
        <f>הגדרות!C6</f>
        <v/>
      </c>
      <c r="K917">
        <f>הגדרות!D6</f>
        <v/>
      </c>
      <c r="L917">
        <f>I917*(1+J917/100)+K917</f>
        <v/>
      </c>
    </row>
    <row r="918">
      <c r="A918" t="inlineStr">
        <is>
          <t>וטמרקט</t>
        </is>
      </c>
      <c r="B918" t="inlineStr">
        <is>
          <t>איסוטיק וטרינרי טיפות אוזניים 10 מ"ל וירבק</t>
        </is>
      </c>
      <c r="C918" t="inlineStr">
        <is>
          <t>עיניים ואוזניים</t>
        </is>
      </c>
      <c r="D918" t="inlineStr">
        <is>
          <t>137221</t>
        </is>
      </c>
      <c r="E918" t="inlineStr">
        <is>
          <t>2026-08</t>
        </is>
      </c>
      <c r="F918" t="n">
        <v>92</v>
      </c>
      <c r="G918" t="n">
        <v>108.56</v>
      </c>
      <c r="H918">
        <f>הגדרות!B6</f>
        <v/>
      </c>
      <c r="I918">
        <f>F918*(1-H918/100)*1.18</f>
        <v/>
      </c>
      <c r="J918">
        <f>הגדרות!C6</f>
        <v/>
      </c>
      <c r="K918">
        <f>הגדרות!D6</f>
        <v/>
      </c>
      <c r="L918">
        <f>I918*(1+J918/100)+K918</f>
        <v/>
      </c>
    </row>
    <row r="919">
      <c r="A919" t="inlineStr">
        <is>
          <t>וטמרקט</t>
        </is>
      </c>
      <c r="B919" t="inlineStr">
        <is>
          <t>מיטקס וטרינרי טיפות אוזניים (20 מ"ל)</t>
        </is>
      </c>
      <c r="C919" t="inlineStr">
        <is>
          <t>עיניים ואוזניים</t>
        </is>
      </c>
      <c r="D919" t="inlineStr">
        <is>
          <t>137226</t>
        </is>
      </c>
      <c r="E919" t="inlineStr">
        <is>
          <t>2026-08</t>
        </is>
      </c>
      <c r="F919" t="n">
        <v>46</v>
      </c>
      <c r="G919" t="n">
        <v>54.28</v>
      </c>
      <c r="H919">
        <f>הגדרות!B6</f>
        <v/>
      </c>
      <c r="I919">
        <f>F919*(1-H919/100)*1.18</f>
        <v/>
      </c>
      <c r="J919">
        <f>הגדרות!C6</f>
        <v/>
      </c>
      <c r="K919">
        <f>הגדרות!D6</f>
        <v/>
      </c>
      <c r="L919">
        <f>I919*(1+J919/100)+K919</f>
        <v/>
      </c>
    </row>
    <row r="920">
      <c r="A920" t="inlineStr">
        <is>
          <t>וטמרקט</t>
        </is>
      </c>
      <c r="B920" t="inlineStr">
        <is>
          <t>סטרונגהולד פלוס 1 מ"ל 5-10 ק"ג (3 שפופרות) לחתולים</t>
        </is>
      </c>
      <c r="D920" t="inlineStr">
        <is>
          <t>146080</t>
        </is>
      </c>
      <c r="E920" t="inlineStr">
        <is>
          <t>2026-08</t>
        </is>
      </c>
      <c r="F920" t="n">
        <v>179</v>
      </c>
      <c r="G920" t="n">
        <v>211.22</v>
      </c>
      <c r="H920">
        <f>הגדרות!B6</f>
        <v/>
      </c>
      <c r="I920">
        <f>F920*(1-H920/100)*1.18</f>
        <v/>
      </c>
      <c r="J920">
        <f>הגדרות!C6</f>
        <v/>
      </c>
      <c r="K920">
        <f>הגדרות!D6</f>
        <v/>
      </c>
      <c r="L920">
        <f>I920*(1+J920/100)+K920</f>
        <v/>
      </c>
    </row>
    <row r="921">
      <c r="A921" t="inlineStr">
        <is>
          <t>וטמרקט</t>
        </is>
      </c>
      <c r="B921" t="inlineStr">
        <is>
          <t>סטרונגהולד פלוס 0.5 מ"ל 2.5-5 ק"ג (3 שפופרות) לחתולים</t>
        </is>
      </c>
      <c r="C921" t="inlineStr">
        <is>
          <t>הדברה</t>
        </is>
      </c>
      <c r="D921" t="inlineStr">
        <is>
          <t>146089</t>
        </is>
      </c>
      <c r="E921" t="inlineStr">
        <is>
          <t>2026-08</t>
        </is>
      </c>
      <c r="F921" t="n">
        <v>147</v>
      </c>
      <c r="G921" t="n">
        <v>173.46</v>
      </c>
      <c r="H921">
        <f>הגדרות!B6</f>
        <v/>
      </c>
      <c r="I921">
        <f>F921*(1-H921/100)*1.18</f>
        <v/>
      </c>
      <c r="J921">
        <f>הגדרות!C6</f>
        <v/>
      </c>
      <c r="K921">
        <f>הגדרות!D6</f>
        <v/>
      </c>
      <c r="L921">
        <f>I921*(1+J921/100)+K921</f>
        <v/>
      </c>
    </row>
    <row r="922">
      <c r="A922" t="inlineStr">
        <is>
          <t>וטמרקט</t>
        </is>
      </c>
      <c r="B922" t="inlineStr">
        <is>
          <t>טאופילין 100 מ"ג 100 טבליות (שחרור מיידי)</t>
        </is>
      </c>
      <c r="C922" t="inlineStr">
        <is>
          <t>נשימה / שיעול</t>
        </is>
      </c>
      <c r="D922" t="inlineStr">
        <is>
          <t>160005</t>
        </is>
      </c>
      <c r="E922" t="inlineStr">
        <is>
          <t>2026-08</t>
        </is>
      </c>
      <c r="F922" t="n">
        <v>200</v>
      </c>
      <c r="G922" t="n">
        <v>236</v>
      </c>
      <c r="H922">
        <f>הגדרות!B6</f>
        <v/>
      </c>
      <c r="I922">
        <f>F922*(1-H922/100)*1.18</f>
        <v/>
      </c>
      <c r="J922">
        <f>הגדרות!C6</f>
        <v/>
      </c>
      <c r="K922">
        <f>הגדרות!D6</f>
        <v/>
      </c>
      <c r="L922">
        <f>I922*(1+J922/100)+K922</f>
        <v/>
      </c>
    </row>
    <row r="923">
      <c r="A923" t="inlineStr">
        <is>
          <t>וטמרקט</t>
        </is>
      </c>
      <c r="B923" t="inlineStr">
        <is>
          <t>מרבופלוקסצין 27 מ"ג (50 טבליות)</t>
        </is>
      </c>
      <c r="C923" t="inlineStr">
        <is>
          <t>אנטיביוטיקה</t>
        </is>
      </c>
      <c r="D923" t="inlineStr">
        <is>
          <t>160145</t>
        </is>
      </c>
      <c r="E923" t="inlineStr">
        <is>
          <t>2026-08</t>
        </is>
      </c>
      <c r="F923" t="n">
        <v>100</v>
      </c>
      <c r="G923" t="n">
        <v>118</v>
      </c>
      <c r="H923">
        <f>הגדרות!B6</f>
        <v/>
      </c>
      <c r="I923">
        <f>F923*(1-H923/100)*1.18</f>
        <v/>
      </c>
      <c r="J923">
        <f>הגדרות!C6</f>
        <v/>
      </c>
      <c r="K923">
        <f>הגדרות!D6</f>
        <v/>
      </c>
      <c r="L923">
        <f>I923*(1+J923/100)+K923</f>
        <v/>
      </c>
    </row>
    <row r="924">
      <c r="A924" t="inlineStr">
        <is>
          <t>וטמרקט</t>
        </is>
      </c>
      <c r="B924" t="inlineStr">
        <is>
          <t>דוקסילין 500 מ"ג (50 טבליות)</t>
        </is>
      </c>
      <c r="C924" t="inlineStr">
        <is>
          <t>אנטיביוטיקה</t>
        </is>
      </c>
      <c r="D924" t="inlineStr">
        <is>
          <t>160285</t>
        </is>
      </c>
      <c r="E924" t="inlineStr">
        <is>
          <t>2026-08</t>
        </is>
      </c>
      <c r="F924" t="n">
        <v>170</v>
      </c>
      <c r="G924" t="n">
        <v>200.6</v>
      </c>
      <c r="H924">
        <f>הגדרות!B6</f>
        <v/>
      </c>
      <c r="I924">
        <f>F924*(1-H924/100)*1.18</f>
        <v/>
      </c>
      <c r="J924">
        <f>הגדרות!C6</f>
        <v/>
      </c>
      <c r="K924">
        <f>הגדרות!D6</f>
        <v/>
      </c>
      <c r="L924">
        <f>I924*(1+J924/100)+K924</f>
        <v/>
      </c>
    </row>
    <row r="925">
      <c r="A925" t="inlineStr">
        <is>
          <t>וטמרקט</t>
        </is>
      </c>
      <c r="B925" t="inlineStr">
        <is>
          <t>פנוברביטון 15 מ"ג (100 טבליות)</t>
        </is>
      </c>
      <c r="C925" t="inlineStr">
        <is>
          <t>נוירולוגיה</t>
        </is>
      </c>
      <c r="D925" t="inlineStr">
        <is>
          <t>160320</t>
        </is>
      </c>
      <c r="E925" t="inlineStr">
        <is>
          <t>2026-08</t>
        </is>
      </c>
      <c r="F925" t="n">
        <v>150</v>
      </c>
      <c r="G925" t="n">
        <v>177</v>
      </c>
      <c r="H925">
        <f>הגדרות!B6</f>
        <v/>
      </c>
      <c r="I925">
        <f>F925*(1-H925/100)*1.18</f>
        <v/>
      </c>
      <c r="J925">
        <f>הגדרות!C6</f>
        <v/>
      </c>
      <c r="K925">
        <f>הגדרות!D6</f>
        <v/>
      </c>
      <c r="L925">
        <f>I925*(1+J925/100)+K925</f>
        <v/>
      </c>
    </row>
    <row r="926">
      <c r="A926" t="inlineStr">
        <is>
          <t>וטמרקט</t>
        </is>
      </c>
      <c r="B926" t="inlineStr">
        <is>
          <t>פרדניזולון 5 מ"ג\0.1 מ"ל ג'ל טרנסדרמלי 1 מ"ל</t>
        </is>
      </c>
      <c r="C926" t="inlineStr">
        <is>
          <t>תרופות שונות</t>
        </is>
      </c>
      <c r="D926" t="inlineStr">
        <is>
          <t>160359</t>
        </is>
      </c>
      <c r="E926" t="inlineStr">
        <is>
          <t>2026-08</t>
        </is>
      </c>
      <c r="F926" t="n">
        <v>33</v>
      </c>
      <c r="G926" t="n">
        <v>38.94</v>
      </c>
      <c r="H926">
        <f>הגדרות!B6</f>
        <v/>
      </c>
      <c r="I926">
        <f>F926*(1-H926/100)*1.18</f>
        <v/>
      </c>
      <c r="J926">
        <f>הגדרות!C6</f>
        <v/>
      </c>
      <c r="K926">
        <f>הגדרות!D6</f>
        <v/>
      </c>
      <c r="L926">
        <f>I926*(1+J926/100)+K926</f>
        <v/>
      </c>
    </row>
    <row r="927">
      <c r="A927" t="inlineStr">
        <is>
          <t>וטמרקט</t>
        </is>
      </c>
      <c r="B927" t="inlineStr">
        <is>
          <t>דיפירון 140 מ"ג (50 טבליות)</t>
        </is>
      </c>
      <c r="C927" t="inlineStr">
        <is>
          <t>שיכוך כאב</t>
        </is>
      </c>
      <c r="D927" t="inlineStr">
        <is>
          <t>160475</t>
        </is>
      </c>
      <c r="E927" t="inlineStr">
        <is>
          <t>2026-08</t>
        </is>
      </c>
      <c r="F927" t="n">
        <v>100</v>
      </c>
      <c r="G927" t="n">
        <v>118</v>
      </c>
      <c r="H927">
        <f>הגדרות!B6</f>
        <v/>
      </c>
      <c r="I927">
        <f>F927*(1-H927/100)*1.18</f>
        <v/>
      </c>
      <c r="J927">
        <f>הגדרות!C6</f>
        <v/>
      </c>
      <c r="K927">
        <f>הגדרות!D6</f>
        <v/>
      </c>
      <c r="L927">
        <f>I927*(1+J927/100)+K927</f>
        <v/>
      </c>
    </row>
    <row r="928">
      <c r="A928" t="inlineStr">
        <is>
          <t>וטמרקט</t>
        </is>
      </c>
      <c r="B928" t="inlineStr">
        <is>
          <t>הכנה רוקחית תסופק כנגד מרשם רופא</t>
        </is>
      </c>
      <c r="D928" t="inlineStr">
        <is>
          <t>160542</t>
        </is>
      </c>
      <c r="E928" t="inlineStr">
        <is>
          <t>2026-08</t>
        </is>
      </c>
      <c r="F928" t="n">
        <v>39</v>
      </c>
      <c r="G928" t="n">
        <v>46.02</v>
      </c>
      <c r="H928">
        <f>הגדרות!B6</f>
        <v/>
      </c>
      <c r="I928">
        <f>F928*(1-H928/100)*1.18</f>
        <v/>
      </c>
      <c r="J928">
        <f>הגדרות!C6</f>
        <v/>
      </c>
      <c r="K928">
        <f>הגדרות!D6</f>
        <v/>
      </c>
      <c r="L928">
        <f>I928*(1+J928/100)+K928</f>
        <v/>
      </c>
    </row>
    <row r="929">
      <c r="A929" t="inlineStr">
        <is>
          <t>וטמרקט</t>
        </is>
      </c>
      <c r="B929" t="inlineStr">
        <is>
          <t>ציקלוספורין 100 מ"ג/ מ"ל 20 מ"ל תמיסה אורלית</t>
        </is>
      </c>
      <c r="D929" t="inlineStr">
        <is>
          <t>160568</t>
        </is>
      </c>
      <c r="E929" t="inlineStr">
        <is>
          <t>2026-08</t>
        </is>
      </c>
      <c r="F929" t="n">
        <v>190</v>
      </c>
      <c r="G929" t="n">
        <v>224.2</v>
      </c>
      <c r="H929">
        <f>הגדרות!B6</f>
        <v/>
      </c>
      <c r="I929">
        <f>F929*(1-H929/100)*1.18</f>
        <v/>
      </c>
      <c r="J929">
        <f>הגדרות!C6</f>
        <v/>
      </c>
      <c r="K929">
        <f>הגדרות!D6</f>
        <v/>
      </c>
      <c r="L929">
        <f>I929*(1+J929/100)+K929</f>
        <v/>
      </c>
    </row>
    <row r="930">
      <c r="A930" t="inlineStr">
        <is>
          <t>וטמרקט</t>
        </is>
      </c>
      <c r="B930" t="inlineStr">
        <is>
          <t>טקרולימוס טיפות עיניים %0.03 10 מ"ל</t>
        </is>
      </c>
      <c r="D930" t="inlineStr">
        <is>
          <t>160854</t>
        </is>
      </c>
      <c r="E930" t="inlineStr">
        <is>
          <t>2026-08</t>
        </is>
      </c>
      <c r="F930" t="n">
        <v>180</v>
      </c>
      <c r="G930" t="n">
        <v>212.4</v>
      </c>
      <c r="H930">
        <f>הגדרות!B6</f>
        <v/>
      </c>
      <c r="I930">
        <f>F930*(1-H930/100)*1.18</f>
        <v/>
      </c>
      <c r="J930">
        <f>הגדרות!C6</f>
        <v/>
      </c>
      <c r="K930">
        <f>הגדרות!D6</f>
        <v/>
      </c>
      <c r="L930">
        <f>I930*(1+J930/100)+K930</f>
        <v/>
      </c>
    </row>
    <row r="931">
      <c r="A931" t="inlineStr">
        <is>
          <t>וטמרקט</t>
        </is>
      </c>
      <c r="B931" t="inlineStr">
        <is>
          <t>מרבופלוקסצין 100 מ"ג (50 טבליות)</t>
        </is>
      </c>
      <c r="C931" t="inlineStr">
        <is>
          <t>אנטיביוטיקה</t>
        </is>
      </c>
      <c r="D931" t="inlineStr">
        <is>
          <t>160950</t>
        </is>
      </c>
      <c r="E931" t="inlineStr">
        <is>
          <t>2026-08</t>
        </is>
      </c>
      <c r="F931" t="n">
        <v>290</v>
      </c>
      <c r="G931" t="n">
        <v>342.2</v>
      </c>
      <c r="H931">
        <f>הגדרות!B6</f>
        <v/>
      </c>
      <c r="I931">
        <f>F931*(1-H931/100)*1.18</f>
        <v/>
      </c>
      <c r="J931">
        <f>הגדרות!C6</f>
        <v/>
      </c>
      <c r="K931">
        <f>הגדרות!D6</f>
        <v/>
      </c>
      <c r="L931">
        <f>I931*(1+J931/100)+K931</f>
        <v/>
      </c>
    </row>
    <row r="932">
      <c r="A932" t="inlineStr">
        <is>
          <t>וטמרקט</t>
        </is>
      </c>
      <c r="B932" t="inlineStr">
        <is>
          <t>טרים פי ל-20 ק"ג, 10/4, 100 טבליות</t>
        </is>
      </c>
      <c r="C932" t="inlineStr">
        <is>
          <t>אנטיביוטיקה</t>
        </is>
      </c>
      <c r="D932" t="inlineStr">
        <is>
          <t>162634</t>
        </is>
      </c>
      <c r="E932" t="inlineStr">
        <is>
          <t>2026-08</t>
        </is>
      </c>
      <c r="F932" t="n">
        <v>290</v>
      </c>
      <c r="G932" t="n">
        <v>342.2</v>
      </c>
      <c r="H932">
        <f>הגדרות!B6</f>
        <v/>
      </c>
      <c r="I932">
        <f>F932*(1-H932/100)*1.18</f>
        <v/>
      </c>
      <c r="J932">
        <f>הגדרות!C6</f>
        <v/>
      </c>
      <c r="K932">
        <f>הגדרות!D6</f>
        <v/>
      </c>
      <c r="L932">
        <f>I932*(1+J932/100)+K932</f>
        <v/>
      </c>
    </row>
    <row r="933">
      <c r="A933" t="inlineStr">
        <is>
          <t>וטמרקט</t>
        </is>
      </c>
      <c r="B933" t="inlineStr">
        <is>
          <t>לבוטירוקסין 0.8 מ"ג (100 טבליות)</t>
        </is>
      </c>
      <c r="C933" t="inlineStr">
        <is>
          <t>אנדוקרינולוגיה</t>
        </is>
      </c>
      <c r="D933" t="inlineStr">
        <is>
          <t>162748</t>
        </is>
      </c>
      <c r="E933" t="inlineStr">
        <is>
          <t>2026-08</t>
        </is>
      </c>
      <c r="F933" t="n">
        <v>150</v>
      </c>
      <c r="G933" t="n">
        <v>177</v>
      </c>
      <c r="H933">
        <f>הגדרות!B6</f>
        <v/>
      </c>
      <c r="I933">
        <f>F933*(1-H933/100)*1.18</f>
        <v/>
      </c>
      <c r="J933">
        <f>הגדרות!C6</f>
        <v/>
      </c>
      <c r="K933">
        <f>הגדרות!D6</f>
        <v/>
      </c>
      <c r="L933">
        <f>I933*(1+J933/100)+K933</f>
        <v/>
      </c>
    </row>
    <row r="934">
      <c r="A934" t="inlineStr">
        <is>
          <t>וטמרקט</t>
        </is>
      </c>
      <c r="B934" t="inlineStr">
        <is>
          <t>לבוטירוקסין 0.6 מ"ג (100 טבליות)</t>
        </is>
      </c>
      <c r="D934" t="inlineStr">
        <is>
          <t>162749</t>
        </is>
      </c>
      <c r="E934" t="inlineStr">
        <is>
          <t>2026-08</t>
        </is>
      </c>
      <c r="F934" t="n">
        <v>140</v>
      </c>
      <c r="G934" t="n">
        <v>165.2</v>
      </c>
      <c r="H934">
        <f>הגדרות!B6</f>
        <v/>
      </c>
      <c r="I934">
        <f>F934*(1-H934/100)*1.18</f>
        <v/>
      </c>
      <c r="J934">
        <f>הגדרות!C6</f>
        <v/>
      </c>
      <c r="K934">
        <f>הגדרות!D6</f>
        <v/>
      </c>
      <c r="L934">
        <f>I934*(1+J934/100)+K934</f>
        <v/>
      </c>
    </row>
    <row r="935">
      <c r="A935" t="inlineStr">
        <is>
          <t>וטמרקט</t>
        </is>
      </c>
      <c r="B935" t="inlineStr">
        <is>
          <t>OCCAC once-a-week otic gel</t>
        </is>
      </c>
      <c r="D935" t="inlineStr">
        <is>
          <t>162837</t>
        </is>
      </c>
      <c r="E935" t="inlineStr">
        <is>
          <t>2026-08</t>
        </is>
      </c>
      <c r="F935" t="n">
        <v>200</v>
      </c>
      <c r="G935" t="n">
        <v>236</v>
      </c>
      <c r="H935">
        <f>הגדרות!B6</f>
        <v/>
      </c>
      <c r="I935">
        <f>F935*(1-H935/100)*1.18</f>
        <v/>
      </c>
      <c r="J935">
        <f>הגדרות!C6</f>
        <v/>
      </c>
      <c r="K935">
        <f>הגדרות!D6</f>
        <v/>
      </c>
      <c r="L935">
        <f>I935*(1+J935/100)+K935</f>
        <v/>
      </c>
    </row>
    <row r="936">
      <c r="A936" t="inlineStr">
        <is>
          <t>וטמרקט</t>
        </is>
      </c>
      <c r="B936" t="inlineStr">
        <is>
          <t>מרופיטנט 24 מ"ג 10 טבליות</t>
        </is>
      </c>
      <c r="D936" t="inlineStr">
        <is>
          <t>163047</t>
        </is>
      </c>
      <c r="E936" t="inlineStr">
        <is>
          <t>2026-08</t>
        </is>
      </c>
      <c r="F936" t="n">
        <v>98</v>
      </c>
      <c r="G936" t="n">
        <v>115.64</v>
      </c>
      <c r="H936">
        <f>הגדרות!B6</f>
        <v/>
      </c>
      <c r="I936">
        <f>F936*(1-H936/100)*1.18</f>
        <v/>
      </c>
      <c r="J936">
        <f>הגדרות!C6</f>
        <v/>
      </c>
      <c r="K936">
        <f>הגדרות!D6</f>
        <v/>
      </c>
      <c r="L936">
        <f>I936*(1+J936/100)+K936</f>
        <v/>
      </c>
    </row>
    <row r="937">
      <c r="A937" t="inlineStr">
        <is>
          <t>וטמרקט</t>
        </is>
      </c>
      <c r="B937" t="inlineStr">
        <is>
          <t>מרופיטנט 16 מ"ג 10 טבליות</t>
        </is>
      </c>
      <c r="C937" t="inlineStr">
        <is>
          <t>מערכת עיכול</t>
        </is>
      </c>
      <c r="D937" t="inlineStr">
        <is>
          <t>163048</t>
        </is>
      </c>
      <c r="E937" t="inlineStr">
        <is>
          <t>2026-08</t>
        </is>
      </c>
      <c r="F937" t="n">
        <v>85</v>
      </c>
      <c r="G937" t="n">
        <v>100.3</v>
      </c>
      <c r="H937">
        <f>הגדרות!B6</f>
        <v/>
      </c>
      <c r="I937">
        <f>F937*(1-H937/100)*1.18</f>
        <v/>
      </c>
      <c r="J937">
        <f>הגדרות!C6</f>
        <v/>
      </c>
      <c r="K937">
        <f>הגדרות!D6</f>
        <v/>
      </c>
      <c r="L937">
        <f>I937*(1+J937/100)+K937</f>
        <v/>
      </c>
    </row>
    <row r="938">
      <c r="A938" t="inlineStr">
        <is>
          <t>וטמרקט</t>
        </is>
      </c>
      <c r="B938" t="inlineStr">
        <is>
          <t>פמציקלוביר 250 מ"ג 30 טבליות</t>
        </is>
      </c>
      <c r="C938" t="inlineStr">
        <is>
          <t>תרופות שונות</t>
        </is>
      </c>
      <c r="D938" t="inlineStr">
        <is>
          <t>163110</t>
        </is>
      </c>
      <c r="E938" t="inlineStr">
        <is>
          <t>2026-08</t>
        </is>
      </c>
      <c r="F938" t="n">
        <v>350</v>
      </c>
      <c r="G938" t="n">
        <v>413</v>
      </c>
      <c r="H938">
        <f>הגדרות!B6</f>
        <v/>
      </c>
      <c r="I938">
        <f>F938*(1-H938/100)*1.18</f>
        <v/>
      </c>
      <c r="J938">
        <f>הגדרות!C6</f>
        <v/>
      </c>
      <c r="K938">
        <f>הגדרות!D6</f>
        <v/>
      </c>
      <c r="L938">
        <f>I938*(1+J938/100)+K938</f>
        <v/>
      </c>
    </row>
    <row r="939">
      <c r="A939" t="inlineStr">
        <is>
          <t>וטמרקט</t>
        </is>
      </c>
      <c r="B939" t="inlineStr">
        <is>
          <t>אטנולול 10 מ"ג\מ"ל 30 מ"ל תרחיף</t>
        </is>
      </c>
      <c r="D939" t="inlineStr">
        <is>
          <t>163229</t>
        </is>
      </c>
      <c r="E939" t="inlineStr">
        <is>
          <t>2026-08</t>
        </is>
      </c>
      <c r="F939" t="n">
        <v>100</v>
      </c>
      <c r="G939" t="n">
        <v>118</v>
      </c>
      <c r="H939">
        <f>הגדרות!B6</f>
        <v/>
      </c>
      <c r="I939">
        <f>F939*(1-H939/100)*1.18</f>
        <v/>
      </c>
      <c r="J939">
        <f>הגדרות!C6</f>
        <v/>
      </c>
      <c r="K939">
        <f>הגדרות!D6</f>
        <v/>
      </c>
      <c r="L939">
        <f>I939*(1+J939/100)+K939</f>
        <v/>
      </c>
    </row>
    <row r="940">
      <c r="A940" t="inlineStr">
        <is>
          <t>וטמרקט</t>
        </is>
      </c>
      <c r="B940" t="inlineStr">
        <is>
          <t>כלומיפרמין 3 מ"ג (100 קפסולות)</t>
        </is>
      </c>
      <c r="C940" t="inlineStr">
        <is>
          <t>פסיכיאטריה והרגעה</t>
        </is>
      </c>
      <c r="D940" t="inlineStr">
        <is>
          <t>163241</t>
        </is>
      </c>
      <c r="E940" t="inlineStr">
        <is>
          <t>2026-08</t>
        </is>
      </c>
      <c r="F940" t="n">
        <v>150</v>
      </c>
      <c r="G940" t="n">
        <v>177</v>
      </c>
      <c r="H940">
        <f>הגדרות!B6</f>
        <v/>
      </c>
      <c r="I940">
        <f>F940*(1-H940/100)*1.18</f>
        <v/>
      </c>
      <c r="J940">
        <f>הגדרות!C6</f>
        <v/>
      </c>
      <c r="K940">
        <f>הגדרות!D6</f>
        <v/>
      </c>
      <c r="L940">
        <f>I940*(1+J940/100)+K940</f>
        <v/>
      </c>
    </row>
    <row r="941">
      <c r="A941" t="inlineStr">
        <is>
          <t>וטמרקט</t>
        </is>
      </c>
      <c r="B941" t="inlineStr">
        <is>
          <t>טיאמפניקול דיקלו טיפות עיניים 15 מ"ל</t>
        </is>
      </c>
      <c r="C941" t="inlineStr">
        <is>
          <t>עיניים ואוזניים</t>
        </is>
      </c>
      <c r="D941" t="inlineStr">
        <is>
          <t>163358</t>
        </is>
      </c>
      <c r="E941" t="inlineStr">
        <is>
          <t>2026-08</t>
        </is>
      </c>
      <c r="F941" t="n">
        <v>33</v>
      </c>
      <c r="G941" t="n">
        <v>38.94</v>
      </c>
      <c r="H941">
        <f>הגדרות!B6</f>
        <v/>
      </c>
      <c r="I941">
        <f>F941*(1-H941/100)*1.18</f>
        <v/>
      </c>
      <c r="J941">
        <f>הגדרות!C6</f>
        <v/>
      </c>
      <c r="K941">
        <f>הגדרות!D6</f>
        <v/>
      </c>
      <c r="L941">
        <f>I941*(1+J941/100)+K941</f>
        <v/>
      </c>
    </row>
    <row r="942">
      <c r="A942" t="inlineStr">
        <is>
          <t>וטמרקט</t>
        </is>
      </c>
      <c r="B942" t="inlineStr">
        <is>
          <t>גבפנטין 200 מ"ג (100 טבליות)</t>
        </is>
      </c>
      <c r="C942" t="inlineStr">
        <is>
          <t>נוירולוגיה</t>
        </is>
      </c>
      <c r="D942" t="inlineStr">
        <is>
          <t>163418</t>
        </is>
      </c>
      <c r="E942" t="inlineStr">
        <is>
          <t>2026-08</t>
        </is>
      </c>
      <c r="F942" t="n">
        <v>250</v>
      </c>
      <c r="G942" t="n">
        <v>295</v>
      </c>
      <c r="H942">
        <f>הגדרות!B6</f>
        <v/>
      </c>
      <c r="I942">
        <f>F942*(1-H942/100)*1.18</f>
        <v/>
      </c>
      <c r="J942">
        <f>הגדרות!C6</f>
        <v/>
      </c>
      <c r="K942">
        <f>הגדרות!D6</f>
        <v/>
      </c>
      <c r="L942">
        <f>I942*(1+J942/100)+K942</f>
        <v/>
      </c>
    </row>
    <row r="943">
      <c r="A943" t="inlineStr">
        <is>
          <t>וטמרקט</t>
        </is>
      </c>
      <c r="B943" t="inlineStr">
        <is>
          <t>מרופיטנט 4 מ"ג 10 טבליות</t>
        </is>
      </c>
      <c r="C943" t="inlineStr">
        <is>
          <t>מערכת עיכול</t>
        </is>
      </c>
      <c r="D943" t="inlineStr">
        <is>
          <t>163465</t>
        </is>
      </c>
      <c r="E943" t="inlineStr">
        <is>
          <t>2026-08</t>
        </is>
      </c>
      <c r="F943" t="n">
        <v>70</v>
      </c>
      <c r="G943" t="n">
        <v>82.59999999999999</v>
      </c>
      <c r="H943">
        <f>הגדרות!B6</f>
        <v/>
      </c>
      <c r="I943">
        <f>F943*(1-H943/100)*1.18</f>
        <v/>
      </c>
      <c r="J943">
        <f>הגדרות!C6</f>
        <v/>
      </c>
      <c r="K943">
        <f>הגדרות!D6</f>
        <v/>
      </c>
      <c r="L943">
        <f>I943*(1+J943/100)+K943</f>
        <v/>
      </c>
    </row>
    <row r="944">
      <c r="A944" t="inlineStr">
        <is>
          <t>וטמרקט</t>
        </is>
      </c>
      <c r="B944" t="inlineStr">
        <is>
          <t>גבפנטין 1000 מ"ג (30 טבליות)</t>
        </is>
      </c>
      <c r="D944" t="inlineStr">
        <is>
          <t>163497</t>
        </is>
      </c>
      <c r="E944" t="inlineStr">
        <is>
          <t>2026-08</t>
        </is>
      </c>
      <c r="F944" t="n">
        <v>180</v>
      </c>
      <c r="G944" t="n">
        <v>212.4</v>
      </c>
      <c r="H944">
        <f>הגדרות!B6</f>
        <v/>
      </c>
      <c r="I944">
        <f>F944*(1-H944/100)*1.18</f>
        <v/>
      </c>
      <c r="J944">
        <f>הגדרות!C6</f>
        <v/>
      </c>
      <c r="K944">
        <f>הגדרות!D6</f>
        <v/>
      </c>
      <c r="L944">
        <f>I944*(1+J944/100)+K944</f>
        <v/>
      </c>
    </row>
    <row r="945">
      <c r="A945" t="inlineStr">
        <is>
          <t>וטמרקט</t>
        </is>
      </c>
      <c r="B945" t="inlineStr">
        <is>
          <t>Clopidogrel 10 mg/ml 30 ml oral suspension</t>
        </is>
      </c>
      <c r="D945" t="inlineStr">
        <is>
          <t>163502</t>
        </is>
      </c>
      <c r="E945" t="inlineStr">
        <is>
          <t>2026-08</t>
        </is>
      </c>
      <c r="F945" t="n">
        <v>120</v>
      </c>
      <c r="G945" t="n">
        <v>141.6</v>
      </c>
      <c r="H945">
        <f>הגדרות!B6</f>
        <v/>
      </c>
      <c r="I945">
        <f>F945*(1-H945/100)*1.18</f>
        <v/>
      </c>
      <c r="J945">
        <f>הגדרות!C6</f>
        <v/>
      </c>
      <c r="K945">
        <f>הגדרות!D6</f>
        <v/>
      </c>
      <c r="L945">
        <f>I945*(1+J945/100)+K945</f>
        <v/>
      </c>
    </row>
    <row r="946">
      <c r="A946" t="inlineStr">
        <is>
          <t>וטמרקט</t>
        </is>
      </c>
      <c r="B946" t="inlineStr">
        <is>
          <t>טרים פי 15/6 ל-30 ק"ג (100 טבליות)</t>
        </is>
      </c>
      <c r="C946" t="inlineStr">
        <is>
          <t>אנטיביוטיקה</t>
        </is>
      </c>
      <c r="D946" t="inlineStr">
        <is>
          <t>163695</t>
        </is>
      </c>
      <c r="E946" t="inlineStr">
        <is>
          <t>2026-08</t>
        </is>
      </c>
      <c r="F946" t="n">
        <v>330</v>
      </c>
      <c r="G946" t="n">
        <v>389.4</v>
      </c>
      <c r="H946">
        <f>הגדרות!B6</f>
        <v/>
      </c>
      <c r="I946">
        <f>F946*(1-H946/100)*1.18</f>
        <v/>
      </c>
      <c r="J946">
        <f>הגדרות!C6</f>
        <v/>
      </c>
      <c r="K946">
        <f>הגדרות!D6</f>
        <v/>
      </c>
      <c r="L946">
        <f>I946*(1+J946/100)+K946</f>
        <v/>
      </c>
    </row>
    <row r="947">
      <c r="A947" t="inlineStr">
        <is>
          <t>וטמרקט</t>
        </is>
      </c>
      <c r="B947" t="inlineStr">
        <is>
          <t>אזיתרומיצין 50 מ"ג 30 טבליות</t>
        </is>
      </c>
      <c r="D947" t="inlineStr">
        <is>
          <t>163755</t>
        </is>
      </c>
      <c r="E947" t="inlineStr">
        <is>
          <t>2026-08</t>
        </is>
      </c>
      <c r="F947" t="n">
        <v>85</v>
      </c>
      <c r="G947" t="n">
        <v>100.3</v>
      </c>
      <c r="H947">
        <f>הגדרות!B6</f>
        <v/>
      </c>
      <c r="I947">
        <f>F947*(1-H947/100)*1.18</f>
        <v/>
      </c>
      <c r="J947">
        <f>הגדרות!C6</f>
        <v/>
      </c>
      <c r="K947">
        <f>הגדרות!D6</f>
        <v/>
      </c>
      <c r="L947">
        <f>I947*(1+J947/100)+K947</f>
        <v/>
      </c>
    </row>
    <row r="948">
      <c r="A948" t="inlineStr">
        <is>
          <t>וטמרקט</t>
        </is>
      </c>
      <c r="B948" t="inlineStr">
        <is>
          <t>Codeine phosphate 5mg/ml 30ml oral suspension</t>
        </is>
      </c>
      <c r="D948" t="inlineStr">
        <is>
          <t>163967</t>
        </is>
      </c>
      <c r="E948" t="inlineStr">
        <is>
          <t>2026-08</t>
        </is>
      </c>
      <c r="F948" t="n">
        <v>120</v>
      </c>
      <c r="G948" t="n">
        <v>141.6</v>
      </c>
      <c r="H948">
        <f>הגדרות!B6</f>
        <v/>
      </c>
      <c r="I948">
        <f>F948*(1-H948/100)*1.18</f>
        <v/>
      </c>
      <c r="J948">
        <f>הגדרות!C6</f>
        <v/>
      </c>
      <c r="K948">
        <f>הגדרות!D6</f>
        <v/>
      </c>
      <c r="L948">
        <f>I948*(1+J948/100)+K948</f>
        <v/>
      </c>
    </row>
    <row r="949">
      <c r="A949" t="inlineStr">
        <is>
          <t>וטמרקט</t>
        </is>
      </c>
      <c r="B949" t="inlineStr">
        <is>
          <t>Trilostane 20 mg 100 tab</t>
        </is>
      </c>
      <c r="D949" t="inlineStr">
        <is>
          <t>164041</t>
        </is>
      </c>
      <c r="E949" t="inlineStr">
        <is>
          <t>2026-08</t>
        </is>
      </c>
      <c r="F949" t="n">
        <v>500</v>
      </c>
      <c r="G949" t="n">
        <v>590</v>
      </c>
      <c r="H949">
        <f>הגדרות!B6</f>
        <v/>
      </c>
      <c r="I949">
        <f>F949*(1-H949/100)*1.18</f>
        <v/>
      </c>
      <c r="J949">
        <f>הגדרות!C6</f>
        <v/>
      </c>
      <c r="K949">
        <f>הגדרות!D6</f>
        <v/>
      </c>
      <c r="L949">
        <f>I949*(1+J949/100)+K949</f>
        <v/>
      </c>
    </row>
    <row r="950">
      <c r="A950" t="inlineStr">
        <is>
          <t>וטמרקט</t>
        </is>
      </c>
      <c r="B950" t="inlineStr">
        <is>
          <t>טרילוסטן 50 מ"ג (100 טבליות)</t>
        </is>
      </c>
      <c r="C950" t="inlineStr">
        <is>
          <t>אנדוקרינולוגיה</t>
        </is>
      </c>
      <c r="D950" t="inlineStr">
        <is>
          <t>164055</t>
        </is>
      </c>
      <c r="E950" t="inlineStr">
        <is>
          <t>2026-08</t>
        </is>
      </c>
      <c r="F950" t="n">
        <v>750</v>
      </c>
      <c r="G950" t="n">
        <v>885</v>
      </c>
      <c r="H950">
        <f>הגדרות!B6</f>
        <v/>
      </c>
      <c r="I950">
        <f>F950*(1-H950/100)*1.18</f>
        <v/>
      </c>
      <c r="J950">
        <f>הגדרות!C6</f>
        <v/>
      </c>
      <c r="K950">
        <f>הגדרות!D6</f>
        <v/>
      </c>
      <c r="L950">
        <f>I950*(1+J950/100)+K950</f>
        <v/>
      </c>
    </row>
    <row r="951">
      <c r="A951" t="inlineStr">
        <is>
          <t>וטמרקט</t>
        </is>
      </c>
      <c r="B951" t="inlineStr">
        <is>
          <t>מרופיטנט 60 מ"ג 10 טבליות</t>
        </is>
      </c>
      <c r="D951" t="inlineStr">
        <is>
          <t>164283</t>
        </is>
      </c>
      <c r="E951" t="inlineStr">
        <is>
          <t>2026-08</t>
        </is>
      </c>
      <c r="F951" t="n">
        <v>160</v>
      </c>
      <c r="G951" t="n">
        <v>188.8</v>
      </c>
      <c r="H951">
        <f>הגדרות!B6</f>
        <v/>
      </c>
      <c r="I951">
        <f>F951*(1-H951/100)*1.18</f>
        <v/>
      </c>
      <c r="J951">
        <f>הגדרות!C6</f>
        <v/>
      </c>
      <c r="K951">
        <f>הגדרות!D6</f>
        <v/>
      </c>
      <c r="L951">
        <f>I951*(1+J951/100)+K951</f>
        <v/>
      </c>
    </row>
    <row r="952">
      <c r="A952" t="inlineStr">
        <is>
          <t>וטמרקט</t>
        </is>
      </c>
      <c r="B952" t="inlineStr">
        <is>
          <t>טרים פי 5/2 ל-10 ק"ג (100 טבליות)</t>
        </is>
      </c>
      <c r="C952" t="inlineStr">
        <is>
          <t>אנטיביוטיקה</t>
        </is>
      </c>
      <c r="D952" t="inlineStr">
        <is>
          <t>164954</t>
        </is>
      </c>
      <c r="E952" t="inlineStr">
        <is>
          <t>2026-08</t>
        </is>
      </c>
      <c r="F952" t="n">
        <v>180</v>
      </c>
      <c r="G952" t="n">
        <v>212.4</v>
      </c>
      <c r="H952">
        <f>הגדרות!B6</f>
        <v/>
      </c>
      <c r="I952">
        <f>F952*(1-H952/100)*1.18</f>
        <v/>
      </c>
      <c r="J952">
        <f>הגדרות!C6</f>
        <v/>
      </c>
      <c r="K952">
        <f>הגדרות!D6</f>
        <v/>
      </c>
      <c r="L952">
        <f>I952*(1+J952/100)+K952</f>
        <v/>
      </c>
    </row>
    <row r="953">
      <c r="A953" t="inlineStr">
        <is>
          <t>וטמרקט</t>
        </is>
      </c>
      <c r="B953" t="inlineStr">
        <is>
          <t>פלורי ג'ל לאוזן פעם בשבוע</t>
        </is>
      </c>
      <c r="C953" t="inlineStr">
        <is>
          <t>עיניים ואוזניים</t>
        </is>
      </c>
      <c r="D953" t="inlineStr">
        <is>
          <t>164983</t>
        </is>
      </c>
      <c r="E953" t="inlineStr">
        <is>
          <t>2026-08</t>
        </is>
      </c>
      <c r="F953" t="n">
        <v>39</v>
      </c>
      <c r="G953" t="n">
        <v>46.02</v>
      </c>
      <c r="H953">
        <f>הגדרות!B6</f>
        <v/>
      </c>
      <c r="I953">
        <f>F953*(1-H953/100)*1.18</f>
        <v/>
      </c>
      <c r="J953">
        <f>הגדרות!C6</f>
        <v/>
      </c>
      <c r="K953">
        <f>הגדרות!D6</f>
        <v/>
      </c>
      <c r="L953">
        <f>I953*(1+J953/100)+K953</f>
        <v/>
      </c>
    </row>
    <row r="954">
      <c r="A954" t="inlineStr">
        <is>
          <t>וטמרקט</t>
        </is>
      </c>
      <c r="B954" t="inlineStr">
        <is>
          <t>לבוטירוקסין 1 מ"ג (100 טבליות)</t>
        </is>
      </c>
      <c r="C954" t="inlineStr">
        <is>
          <t>אנדוקרינולוגיה</t>
        </is>
      </c>
      <c r="D954" t="inlineStr">
        <is>
          <t>165401</t>
        </is>
      </c>
      <c r="E954" t="inlineStr">
        <is>
          <t>2026-08</t>
        </is>
      </c>
      <c r="F954" t="n">
        <v>200</v>
      </c>
      <c r="G954" t="n">
        <v>236</v>
      </c>
      <c r="H954">
        <f>הגדרות!B6</f>
        <v/>
      </c>
      <c r="I954">
        <f>F954*(1-H954/100)*1.18</f>
        <v/>
      </c>
      <c r="J954">
        <f>הגדרות!C6</f>
        <v/>
      </c>
      <c r="K954">
        <f>הגדרות!D6</f>
        <v/>
      </c>
      <c r="L954">
        <f>I954*(1+J954/100)+K954</f>
        <v/>
      </c>
    </row>
    <row r="955">
      <c r="A955" t="inlineStr">
        <is>
          <t>וטמרקט</t>
        </is>
      </c>
      <c r="B955" t="inlineStr">
        <is>
          <t>טיאמפניקול D, טיפות עיניים 15 מ"ל</t>
        </is>
      </c>
      <c r="C955" t="inlineStr">
        <is>
          <t>עיניים ואוזניים</t>
        </is>
      </c>
      <c r="D955" t="inlineStr">
        <is>
          <t>165524</t>
        </is>
      </c>
      <c r="E955" t="inlineStr">
        <is>
          <t>2026-08</t>
        </is>
      </c>
      <c r="F955" t="n">
        <v>33</v>
      </c>
      <c r="G955" t="n">
        <v>38.94</v>
      </c>
      <c r="H955">
        <f>הגדרות!B6</f>
        <v/>
      </c>
      <c r="I955">
        <f>F955*(1-H955/100)*1.18</f>
        <v/>
      </c>
      <c r="J955">
        <f>הגדרות!C6</f>
        <v/>
      </c>
      <c r="K955">
        <f>הגדרות!D6</f>
        <v/>
      </c>
      <c r="L955">
        <f>I955*(1+J955/100)+K955</f>
        <v/>
      </c>
    </row>
    <row r="956">
      <c r="A956" t="inlineStr">
        <is>
          <t>וטמרקט</t>
        </is>
      </c>
      <c r="B956" t="inlineStr">
        <is>
          <t>אנרופלוקסצין 200 מ"ג (50 טבליות)</t>
        </is>
      </c>
      <c r="D956" t="inlineStr">
        <is>
          <t>165876</t>
        </is>
      </c>
      <c r="E956" t="inlineStr">
        <is>
          <t>2026-08</t>
        </is>
      </c>
      <c r="F956" t="n">
        <v>175</v>
      </c>
      <c r="G956" t="n">
        <v>206.5</v>
      </c>
      <c r="H956">
        <f>הגדרות!B6</f>
        <v/>
      </c>
      <c r="I956">
        <f>F956*(1-H956/100)*1.18</f>
        <v/>
      </c>
      <c r="J956">
        <f>הגדרות!C6</f>
        <v/>
      </c>
      <c r="K956">
        <f>הגדרות!D6</f>
        <v/>
      </c>
      <c r="L956">
        <f>I956*(1+J956/100)+K956</f>
        <v/>
      </c>
    </row>
    <row r="957">
      <c r="A957" t="inlineStr">
        <is>
          <t>וטמרקט</t>
        </is>
      </c>
      <c r="B957" t="inlineStr">
        <is>
          <t>בוטורפנול 5 מ"ג\מ"ל 30 מ"ל תרחיף</t>
        </is>
      </c>
      <c r="C957" t="inlineStr">
        <is>
          <t>תרופות שונות</t>
        </is>
      </c>
      <c r="D957" t="inlineStr">
        <is>
          <t>166789</t>
        </is>
      </c>
      <c r="E957" t="inlineStr">
        <is>
          <t>2026-08</t>
        </is>
      </c>
      <c r="F957" t="n">
        <v>350</v>
      </c>
      <c r="G957" t="n">
        <v>413</v>
      </c>
      <c r="H957">
        <f>הגדרות!B6</f>
        <v/>
      </c>
      <c r="I957">
        <f>F957*(1-H957/100)*1.18</f>
        <v/>
      </c>
      <c r="J957">
        <f>הגדרות!C6</f>
        <v/>
      </c>
      <c r="K957">
        <f>הגדרות!D6</f>
        <v/>
      </c>
      <c r="L957">
        <f>I957*(1+J957/100)+K957</f>
        <v/>
      </c>
    </row>
    <row r="958">
      <c r="A958" t="inlineStr">
        <is>
          <t>וטמרקט</t>
        </is>
      </c>
      <c r="B958" t="inlineStr">
        <is>
          <t>אלפרזולם 0.25 מ"ג\0.1 מ"ל ג'ל טרנסדרמלי 1 מ"ל</t>
        </is>
      </c>
      <c r="D958" t="inlineStr">
        <is>
          <t>167484</t>
        </is>
      </c>
      <c r="E958" t="inlineStr">
        <is>
          <t>2026-08</t>
        </is>
      </c>
      <c r="F958" t="n">
        <v>70</v>
      </c>
      <c r="G958" t="n">
        <v>82.59999999999999</v>
      </c>
      <c r="H958">
        <f>הגדרות!B6</f>
        <v/>
      </c>
      <c r="I958">
        <f>F958*(1-H958/100)*1.18</f>
        <v/>
      </c>
      <c r="J958">
        <f>הגדרות!C6</f>
        <v/>
      </c>
      <c r="K958">
        <f>הגדרות!D6</f>
        <v/>
      </c>
      <c r="L958">
        <f>I958*(1+J958/100)+K958</f>
        <v/>
      </c>
    </row>
    <row r="959">
      <c r="A959" t="inlineStr">
        <is>
          <t>וטמרקט</t>
        </is>
      </c>
      <c r="B959" t="inlineStr">
        <is>
          <t>דיפירון 600 מ"ג (50 טבליות)</t>
        </is>
      </c>
      <c r="C959" t="inlineStr">
        <is>
          <t>שיכוך כאב</t>
        </is>
      </c>
      <c r="D959" t="inlineStr">
        <is>
          <t>168374</t>
        </is>
      </c>
      <c r="E959" t="inlineStr">
        <is>
          <t>2026-08</t>
        </is>
      </c>
      <c r="F959" t="n">
        <v>130</v>
      </c>
      <c r="G959" t="n">
        <v>153.4</v>
      </c>
      <c r="H959">
        <f>הגדרות!B6</f>
        <v/>
      </c>
      <c r="I959">
        <f>F959*(1-H959/100)*1.18</f>
        <v/>
      </c>
      <c r="J959">
        <f>הגדרות!C6</f>
        <v/>
      </c>
      <c r="K959">
        <f>הגדרות!D6</f>
        <v/>
      </c>
      <c r="L959">
        <f>I959*(1+J959/100)+K959</f>
        <v/>
      </c>
    </row>
    <row r="960">
      <c r="A960" t="inlineStr">
        <is>
          <t>וטמרקט</t>
        </is>
      </c>
      <c r="B960" t="inlineStr">
        <is>
          <t>דוקסילין 100 מ"ג (100 טבליות)</t>
        </is>
      </c>
      <c r="C960" t="inlineStr">
        <is>
          <t>אנטיביוטיקה</t>
        </is>
      </c>
      <c r="D960" t="inlineStr">
        <is>
          <t>168525</t>
        </is>
      </c>
      <c r="E960" t="inlineStr">
        <is>
          <t>2026-08</t>
        </is>
      </c>
      <c r="F960" t="n">
        <v>130</v>
      </c>
      <c r="G960" t="n">
        <v>153.4</v>
      </c>
      <c r="H960">
        <f>הגדרות!B6</f>
        <v/>
      </c>
      <c r="I960">
        <f>F960*(1-H960/100)*1.18</f>
        <v/>
      </c>
      <c r="J960">
        <f>הגדרות!C6</f>
        <v/>
      </c>
      <c r="K960">
        <f>הגדרות!D6</f>
        <v/>
      </c>
      <c r="L960">
        <f>I960*(1+J960/100)+K960</f>
        <v/>
      </c>
    </row>
    <row r="961">
      <c r="A961" t="inlineStr">
        <is>
          <t>וטמרקט</t>
        </is>
      </c>
      <c r="B961" t="inlineStr">
        <is>
          <t>גבפנטין 100 מ"ג 100 טבליות</t>
        </is>
      </c>
      <c r="C961" t="inlineStr">
        <is>
          <t>נוירולוגיה</t>
        </is>
      </c>
      <c r="D961" t="inlineStr">
        <is>
          <t>168530</t>
        </is>
      </c>
      <c r="E961" t="inlineStr">
        <is>
          <t>2026-08</t>
        </is>
      </c>
      <c r="F961" t="n">
        <v>160</v>
      </c>
      <c r="G961" t="n">
        <v>188.8</v>
      </c>
      <c r="H961">
        <f>הגדרות!B6</f>
        <v/>
      </c>
      <c r="I961">
        <f>F961*(1-H961/100)*1.18</f>
        <v/>
      </c>
      <c r="J961">
        <f>הגדרות!C6</f>
        <v/>
      </c>
      <c r="K961">
        <f>הגדרות!D6</f>
        <v/>
      </c>
      <c r="L961">
        <f>I961*(1+J961/100)+K961</f>
        <v/>
      </c>
    </row>
    <row r="962">
      <c r="A962" t="inlineStr">
        <is>
          <t>וטמרקט</t>
        </is>
      </c>
      <c r="B962" t="inlineStr">
        <is>
          <t>Buprenorphine 5mg/ml 10ml solution for injection</t>
        </is>
      </c>
      <c r="D962" t="inlineStr">
        <is>
          <t>168594</t>
        </is>
      </c>
      <c r="E962" t="inlineStr">
        <is>
          <t>2026-08</t>
        </is>
      </c>
      <c r="F962" t="n">
        <v>350</v>
      </c>
      <c r="G962" t="n">
        <v>413</v>
      </c>
      <c r="H962">
        <f>הגדרות!B6</f>
        <v/>
      </c>
      <c r="I962">
        <f>F962*(1-H962/100)*1.18</f>
        <v/>
      </c>
      <c r="J962">
        <f>הגדרות!C6</f>
        <v/>
      </c>
      <c r="K962">
        <f>הגדרות!D6</f>
        <v/>
      </c>
      <c r="L962">
        <f>I962*(1+J962/100)+K962</f>
        <v/>
      </c>
    </row>
    <row r="963">
      <c r="A963" t="inlineStr">
        <is>
          <t>וטמרקט</t>
        </is>
      </c>
      <c r="B963" t="inlineStr">
        <is>
          <t>פורוסמיד 20 מ"ג 100 טאב</t>
        </is>
      </c>
      <c r="D963" t="inlineStr">
        <is>
          <t>169330</t>
        </is>
      </c>
      <c r="E963" t="inlineStr">
        <is>
          <t>2026-08</t>
        </is>
      </c>
      <c r="F963" t="n">
        <v>150</v>
      </c>
      <c r="G963" t="n">
        <v>177</v>
      </c>
      <c r="H963">
        <f>הגדרות!B6</f>
        <v/>
      </c>
      <c r="I963">
        <f>F963*(1-H963/100)*1.18</f>
        <v/>
      </c>
      <c r="J963">
        <f>הגדרות!C6</f>
        <v/>
      </c>
      <c r="K963">
        <f>הגדרות!D6</f>
        <v/>
      </c>
      <c r="L963">
        <f>I963*(1+J963/100)+K963</f>
        <v/>
      </c>
    </row>
    <row r="964">
      <c r="A964" t="inlineStr">
        <is>
          <t>וטמרקט</t>
        </is>
      </c>
      <c r="B964" t="inlineStr">
        <is>
          <t>אוטיק ג'ל לאוזן פעם בשבוע (קט ג'ל)</t>
        </is>
      </c>
      <c r="C964" t="inlineStr">
        <is>
          <t>עיניים ואוזניים</t>
        </is>
      </c>
      <c r="D964" t="inlineStr">
        <is>
          <t>169349</t>
        </is>
      </c>
      <c r="E964" t="inlineStr">
        <is>
          <t>2026-08</t>
        </is>
      </c>
      <c r="F964" t="n">
        <v>39</v>
      </c>
      <c r="G964" t="n">
        <v>46.02</v>
      </c>
      <c r="H964">
        <f>הגדרות!B6</f>
        <v/>
      </c>
      <c r="I964">
        <f>F964*(1-H964/100)*1.18</f>
        <v/>
      </c>
      <c r="J964">
        <f>הגדרות!C6</f>
        <v/>
      </c>
      <c r="K964">
        <f>הגדרות!D6</f>
        <v/>
      </c>
      <c r="L964">
        <f>I964*(1+J964/100)+K964</f>
        <v/>
      </c>
    </row>
    <row r="965">
      <c r="A965" t="inlineStr">
        <is>
          <t>וטמרקט</t>
        </is>
      </c>
      <c r="B965" t="inlineStr">
        <is>
          <t>מרבופלוקסצין 50 מ"ג\מ"ל 30 מ"ל תרחיף</t>
        </is>
      </c>
      <c r="C965" t="inlineStr">
        <is>
          <t>תרופות שונות</t>
        </is>
      </c>
      <c r="D965" t="inlineStr">
        <is>
          <t>169354</t>
        </is>
      </c>
      <c r="E965" t="inlineStr">
        <is>
          <t>2026-08</t>
        </is>
      </c>
      <c r="F965" t="n">
        <v>60</v>
      </c>
      <c r="G965" t="n">
        <v>70.8</v>
      </c>
      <c r="H965">
        <f>הגדרות!B6</f>
        <v/>
      </c>
      <c r="I965">
        <f>F965*(1-H965/100)*1.18</f>
        <v/>
      </c>
      <c r="J965">
        <f>הגדרות!C6</f>
        <v/>
      </c>
      <c r="K965">
        <f>הגדרות!D6</f>
        <v/>
      </c>
      <c r="L965">
        <f>I965*(1+J965/100)+K965</f>
        <v/>
      </c>
    </row>
    <row r="966">
      <c r="A966" t="inlineStr">
        <is>
          <t>וטמרקט</t>
        </is>
      </c>
      <c r="B966" t="inlineStr">
        <is>
          <t>פרדניזולון 10 מ"ג + הידרו 20 מ"ג (100 טבליות)</t>
        </is>
      </c>
      <c r="C966" t="inlineStr">
        <is>
          <t>סטרואידים</t>
        </is>
      </c>
      <c r="D966" t="inlineStr">
        <is>
          <t>169429</t>
        </is>
      </c>
      <c r="E966" t="inlineStr">
        <is>
          <t>2026-08</t>
        </is>
      </c>
      <c r="F966" t="n">
        <v>260</v>
      </c>
      <c r="G966" t="n">
        <v>306.8</v>
      </c>
      <c r="H966">
        <f>הגדרות!B6</f>
        <v/>
      </c>
      <c r="I966">
        <f>F966*(1-H966/100)*1.18</f>
        <v/>
      </c>
      <c r="J966">
        <f>הגדרות!C6</f>
        <v/>
      </c>
      <c r="K966">
        <f>הגדרות!D6</f>
        <v/>
      </c>
      <c r="L966">
        <f>I966*(1+J966/100)+K966</f>
        <v/>
      </c>
    </row>
    <row r="967">
      <c r="A967" t="inlineStr">
        <is>
          <t>וטמרקט</t>
        </is>
      </c>
      <c r="B967" t="inlineStr">
        <is>
          <t>מירטזפין 3.75 מ"ג (50 טבליות)</t>
        </is>
      </c>
      <c r="C967" t="inlineStr">
        <is>
          <t>תרופות שונות</t>
        </is>
      </c>
      <c r="D967" t="inlineStr">
        <is>
          <t>169457</t>
        </is>
      </c>
      <c r="E967" t="inlineStr">
        <is>
          <t>2026-08</t>
        </is>
      </c>
      <c r="F967" t="n">
        <v>110</v>
      </c>
      <c r="G967" t="n">
        <v>129.8</v>
      </c>
      <c r="H967">
        <f>הגדרות!B6</f>
        <v/>
      </c>
      <c r="I967">
        <f>F967*(1-H967/100)*1.18</f>
        <v/>
      </c>
      <c r="J967">
        <f>הגדרות!C6</f>
        <v/>
      </c>
      <c r="K967">
        <f>הגדרות!D6</f>
        <v/>
      </c>
      <c r="L967">
        <f>I967*(1+J967/100)+K967</f>
        <v/>
      </c>
    </row>
    <row r="968">
      <c r="A968" t="inlineStr">
        <is>
          <t>וטמרקט</t>
        </is>
      </c>
      <c r="B968" t="inlineStr">
        <is>
          <t>Pyrfen puppy 60 ml oral suspension</t>
        </is>
      </c>
      <c r="D968" t="inlineStr">
        <is>
          <t>169486</t>
        </is>
      </c>
      <c r="E968" t="inlineStr">
        <is>
          <t>2026-08</t>
        </is>
      </c>
      <c r="F968" t="n">
        <v>70</v>
      </c>
      <c r="G968" t="n">
        <v>82.59999999999999</v>
      </c>
      <c r="H968">
        <f>הגדרות!B6</f>
        <v/>
      </c>
      <c r="I968">
        <f>F968*(1-H968/100)*1.18</f>
        <v/>
      </c>
      <c r="J968">
        <f>הגדרות!C6</f>
        <v/>
      </c>
      <c r="K968">
        <f>הגדרות!D6</f>
        <v/>
      </c>
      <c r="L968">
        <f>I968*(1+J968/100)+K968</f>
        <v/>
      </c>
    </row>
    <row r="969">
      <c r="A969" t="inlineStr">
        <is>
          <t>וטמרקט</t>
        </is>
      </c>
      <c r="B969" t="inlineStr">
        <is>
          <t>נוטריפלוס ג'ל וירבק תוסף לכלבים וחתולים, 120 גרם</t>
        </is>
      </c>
      <c r="D969" t="inlineStr">
        <is>
          <t>181584</t>
        </is>
      </c>
      <c r="E969" t="inlineStr">
        <is>
          <t>2026-08</t>
        </is>
      </c>
      <c r="F969" t="n">
        <v>45</v>
      </c>
      <c r="G969" t="n">
        <v>53.1</v>
      </c>
      <c r="H969">
        <f>הגדרות!B6</f>
        <v/>
      </c>
      <c r="I969">
        <f>F969*(1-H969/100)*1.18</f>
        <v/>
      </c>
      <c r="J969">
        <f>הגדרות!C6</f>
        <v/>
      </c>
      <c r="K969">
        <f>הגדרות!D6</f>
        <v/>
      </c>
      <c r="L969">
        <f>I969*(1+J969/100)+K969</f>
        <v/>
      </c>
    </row>
    <row r="970">
      <c r="A970" t="inlineStr">
        <is>
          <t>וטמרקט</t>
        </is>
      </c>
      <c r="B970" t="inlineStr">
        <is>
          <t>אנדופר וטרינרי (100 מ"ל)</t>
        </is>
      </c>
      <c r="D970" t="inlineStr">
        <is>
          <t>185242</t>
        </is>
      </c>
      <c r="E970" t="inlineStr">
        <is>
          <t>2026-08</t>
        </is>
      </c>
      <c r="F970" t="n">
        <v>90</v>
      </c>
      <c r="G970" t="n">
        <v>106.2</v>
      </c>
      <c r="H970">
        <f>הגדרות!B6</f>
        <v/>
      </c>
      <c r="I970">
        <f>F970*(1-H970/100)*1.18</f>
        <v/>
      </c>
      <c r="J970">
        <f>הגדרות!C6</f>
        <v/>
      </c>
      <c r="K970">
        <f>הגדרות!D6</f>
        <v/>
      </c>
      <c r="L970">
        <f>I970*(1+J970/100)+K970</f>
        <v/>
      </c>
    </row>
    <row r="971">
      <c r="A971" t="inlineStr">
        <is>
          <t>וטמרקט</t>
        </is>
      </c>
      <c r="B971" t="inlineStr">
        <is>
          <t>קולר סרסטו לכלב גדול מעל 8 ק"ג, היקף 70 ס"מ</t>
        </is>
      </c>
      <c r="D971" t="inlineStr">
        <is>
          <t>216038</t>
        </is>
      </c>
      <c r="E971" t="inlineStr">
        <is>
          <t>2026-08</t>
        </is>
      </c>
      <c r="F971" t="n">
        <v>180</v>
      </c>
      <c r="G971" t="n">
        <v>212.4</v>
      </c>
      <c r="H971">
        <f>הגדרות!B6</f>
        <v/>
      </c>
      <c r="I971">
        <f>F971*(1-H971/100)*1.18</f>
        <v/>
      </c>
      <c r="J971">
        <f>הגדרות!C6</f>
        <v/>
      </c>
      <c r="K971">
        <f>הגדרות!D6</f>
        <v/>
      </c>
      <c r="L971">
        <f>I971*(1+J971/100)+K971</f>
        <v/>
      </c>
    </row>
    <row r="972">
      <c r="A972" t="inlineStr">
        <is>
          <t>וטמרקט</t>
        </is>
      </c>
      <c r="B972" t="inlineStr">
        <is>
          <t>דרמוסנט ATOP 7 ספוט און כלבים וחתולים 0-10 ק"ג</t>
        </is>
      </c>
      <c r="C972" t="inlineStr">
        <is>
          <t>תוספי תזונה</t>
        </is>
      </c>
      <c r="D972" t="inlineStr">
        <is>
          <t>218769</t>
        </is>
      </c>
      <c r="E972" t="inlineStr">
        <is>
          <t>2026-08</t>
        </is>
      </c>
      <c r="F972" t="n">
        <v>64</v>
      </c>
      <c r="G972" t="n">
        <v>75.52</v>
      </c>
      <c r="H972">
        <f>הגדרות!B6</f>
        <v/>
      </c>
      <c r="I972">
        <f>F972*(1-H972/100)*1.18</f>
        <v/>
      </c>
      <c r="J972">
        <f>הגדרות!C6</f>
        <v/>
      </c>
      <c r="K972">
        <f>הגדרות!D6</f>
        <v/>
      </c>
      <c r="L972">
        <f>I972*(1+J972/100)+K972</f>
        <v/>
      </c>
    </row>
    <row r="973">
      <c r="A973" t="inlineStr">
        <is>
          <t>וטמרקט</t>
        </is>
      </c>
      <c r="B973" t="inlineStr">
        <is>
          <t>משחת שיניים אנזימתית C.E.T וירבק, 70 גרם</t>
        </is>
      </c>
      <c r="D973" t="inlineStr">
        <is>
          <t>267066</t>
        </is>
      </c>
      <c r="E973" t="inlineStr">
        <is>
          <t>2026-08</t>
        </is>
      </c>
      <c r="F973" t="n">
        <v>44</v>
      </c>
      <c r="G973" t="n">
        <v>51.92</v>
      </c>
      <c r="H973">
        <f>הגדרות!B6</f>
        <v/>
      </c>
      <c r="I973">
        <f>F973*(1-H973/100)*1.18</f>
        <v/>
      </c>
      <c r="J973">
        <f>הגדרות!C6</f>
        <v/>
      </c>
      <c r="K973">
        <f>הגדרות!D6</f>
        <v/>
      </c>
      <c r="L973">
        <f>I973*(1+J973/100)+K973</f>
        <v/>
      </c>
    </row>
    <row r="974">
      <c r="A974" t="inlineStr">
        <is>
          <t>וטמרקט</t>
        </is>
      </c>
      <c r="B974" t="inlineStr">
        <is>
          <t>תרכיב משושה ואנגרד זואטיס (1 מנה)</t>
        </is>
      </c>
      <c r="C974" t="inlineStr">
        <is>
          <t>חיסונים</t>
        </is>
      </c>
      <c r="D974" t="inlineStr">
        <is>
          <t>309700</t>
        </is>
      </c>
      <c r="E974" t="inlineStr">
        <is>
          <t>2026-08</t>
        </is>
      </c>
      <c r="F974" t="n">
        <v>25.3</v>
      </c>
      <c r="G974" t="n">
        <v>29.85</v>
      </c>
      <c r="H974">
        <f>הגדרות!B6</f>
        <v/>
      </c>
      <c r="I974">
        <f>F974*(1-H974/100)*1.18</f>
        <v/>
      </c>
      <c r="J974">
        <f>הגדרות!C6</f>
        <v/>
      </c>
      <c r="K974">
        <f>הגדרות!D6</f>
        <v/>
      </c>
      <c r="L974">
        <f>I974*(1+J974/100)+K974</f>
        <v/>
      </c>
    </row>
    <row r="975">
      <c r="A975" t="inlineStr">
        <is>
          <t>וטמרקט</t>
        </is>
      </c>
      <c r="B975" t="inlineStr">
        <is>
          <t>תרכיב קואנטום לכלב DA2PPvL (כמות 1 מנה)</t>
        </is>
      </c>
      <c r="D975" t="inlineStr">
        <is>
          <t>309704</t>
        </is>
      </c>
      <c r="E975" t="inlineStr">
        <is>
          <t>2026-08</t>
        </is>
      </c>
      <c r="F975" t="n">
        <v>25.3</v>
      </c>
      <c r="G975" t="n">
        <v>29.85</v>
      </c>
      <c r="H975">
        <f>הגדרות!B6</f>
        <v/>
      </c>
      <c r="I975">
        <f>F975*(1-H975/100)*1.18</f>
        <v/>
      </c>
      <c r="J975">
        <f>הגדרות!C6</f>
        <v/>
      </c>
      <c r="K975">
        <f>הגדרות!D6</f>
        <v/>
      </c>
      <c r="L975">
        <f>I975*(1+J975/100)+K975</f>
        <v/>
      </c>
    </row>
    <row r="976">
      <c r="A976" t="inlineStr">
        <is>
          <t>וטמרקט</t>
        </is>
      </c>
      <c r="B976" t="inlineStr">
        <is>
          <t>תרכיב ואנגרד פלוס לפטו 4 זואטיס (1 מנה)</t>
        </is>
      </c>
      <c r="C976" t="inlineStr">
        <is>
          <t>חיסונים</t>
        </is>
      </c>
      <c r="D976" t="inlineStr">
        <is>
          <t>309723</t>
        </is>
      </c>
      <c r="E976" t="inlineStr">
        <is>
          <t>2026-08</t>
        </is>
      </c>
      <c r="F976" t="n">
        <v>23</v>
      </c>
      <c r="G976" t="n">
        <v>27.14</v>
      </c>
      <c r="H976">
        <f>הגדרות!B6</f>
        <v/>
      </c>
      <c r="I976">
        <f>F976*(1-H976/100)*1.18</f>
        <v/>
      </c>
      <c r="J976">
        <f>הגדרות!C6</f>
        <v/>
      </c>
      <c r="K976">
        <f>הגדרות!D6</f>
        <v/>
      </c>
      <c r="L976">
        <f>I976*(1+J976/100)+K976</f>
        <v/>
      </c>
    </row>
    <row r="977">
      <c r="A977" t="inlineStr">
        <is>
          <t>וטמרקט</t>
        </is>
      </c>
      <c r="B977" t="inlineStr">
        <is>
          <t>תרכיב נוביווק Puppy DP PLUS עם מדלל, 1 מנה</t>
        </is>
      </c>
      <c r="C977" t="inlineStr">
        <is>
          <t>חיסונים</t>
        </is>
      </c>
      <c r="D977" t="inlineStr">
        <is>
          <t>309730</t>
        </is>
      </c>
      <c r="E977" t="inlineStr">
        <is>
          <t>2026-08</t>
        </is>
      </c>
      <c r="F977" t="n">
        <v>28</v>
      </c>
      <c r="G977" t="n">
        <v>33.04</v>
      </c>
      <c r="H977">
        <f>הגדרות!B6</f>
        <v/>
      </c>
      <c r="I977">
        <f>F977*(1-H977/100)*1.18</f>
        <v/>
      </c>
      <c r="J977">
        <f>הגדרות!C6</f>
        <v/>
      </c>
      <c r="K977">
        <f>הגדרות!D6</f>
        <v/>
      </c>
      <c r="L977">
        <f>I977*(1+J977/100)+K977</f>
        <v/>
      </c>
    </row>
    <row r="978">
      <c r="A978" t="inlineStr">
        <is>
          <t>וטמרקט</t>
        </is>
      </c>
      <c r="B978" t="inlineStr">
        <is>
          <t>תרכיב נוביווק מתומן כלב DAPPv + L4 (מכיל 1 מנה)</t>
        </is>
      </c>
      <c r="D978" t="inlineStr">
        <is>
          <t>309733</t>
        </is>
      </c>
      <c r="E978" t="inlineStr">
        <is>
          <t>2026-08</t>
        </is>
      </c>
      <c r="F978" t="n">
        <v>25.3</v>
      </c>
      <c r="G978" t="n">
        <v>29.85</v>
      </c>
      <c r="H978">
        <f>הגדרות!B6</f>
        <v/>
      </c>
      <c r="I978">
        <f>F978*(1-H978/100)*1.18</f>
        <v/>
      </c>
      <c r="J978">
        <f>הגדרות!C6</f>
        <v/>
      </c>
      <c r="K978">
        <f>הגדרות!D6</f>
        <v/>
      </c>
      <c r="L978">
        <f>I978*(1+J978/100)+K978</f>
        <v/>
      </c>
    </row>
    <row r="979">
      <c r="A979" t="inlineStr">
        <is>
          <t>וטמרקט</t>
        </is>
      </c>
      <c r="B979" t="inlineStr">
        <is>
          <t>תרכיב מרובעת פלוסל 4 זואטיס</t>
        </is>
      </c>
      <c r="C979" t="inlineStr">
        <is>
          <t>חיסונים</t>
        </is>
      </c>
      <c r="D979" t="inlineStr">
        <is>
          <t>319705</t>
        </is>
      </c>
      <c r="E979" t="inlineStr">
        <is>
          <t>2026-08</t>
        </is>
      </c>
      <c r="F979" t="n">
        <v>23</v>
      </c>
      <c r="G979" t="n">
        <v>27.14</v>
      </c>
      <c r="H979">
        <f>הגדרות!B6</f>
        <v/>
      </c>
      <c r="I979">
        <f>F979*(1-H979/100)*1.18</f>
        <v/>
      </c>
      <c r="J979">
        <f>הגדרות!C6</f>
        <v/>
      </c>
      <c r="K979">
        <f>הגדרות!D6</f>
        <v/>
      </c>
      <c r="L979">
        <f>I979*(1+J979/100)+K979</f>
        <v/>
      </c>
    </row>
    <row r="980">
      <c r="A980" t="inlineStr">
        <is>
          <t>וטמרקט</t>
        </is>
      </c>
      <c r="B980" t="inlineStr">
        <is>
          <t>גרם 82 חתול **Stew** C/D מ</t>
        </is>
      </c>
      <c r="D980" t="inlineStr">
        <is>
          <t>40605644</t>
        </is>
      </c>
      <c r="E980" t="inlineStr">
        <is>
          <t>2026-08</t>
        </is>
      </c>
      <c r="F980" t="n">
        <v>6.9</v>
      </c>
      <c r="G980" t="n">
        <v>8.140000000000001</v>
      </c>
      <c r="H980">
        <f>הגדרות!B6</f>
        <v/>
      </c>
      <c r="I980">
        <f>F980*(1-H980/100)*1.18</f>
        <v/>
      </c>
      <c r="J980">
        <f>הגדרות!C6</f>
        <v/>
      </c>
      <c r="K980">
        <f>הגדרות!D6</f>
        <v/>
      </c>
      <c r="L980">
        <f>I980*(1+J980/100)+K980</f>
        <v/>
      </c>
    </row>
    <row r="981">
      <c r="A981" t="inlineStr">
        <is>
          <t>וטמרקט</t>
        </is>
      </c>
      <c r="B981" t="inlineStr">
        <is>
          <t>GI Biome | Hill's Prescription Diet לכלב בוגר (עם עוף), 1.5 ק"ג</t>
        </is>
      </c>
      <c r="C981" t="inlineStr">
        <is>
          <t>מזון רפואי</t>
        </is>
      </c>
      <c r="D981" t="inlineStr">
        <is>
          <t>40605843</t>
        </is>
      </c>
      <c r="E981" t="inlineStr">
        <is>
          <t>2026-08</t>
        </is>
      </c>
      <c r="F981" t="n">
        <v>96</v>
      </c>
      <c r="G981" t="n">
        <v>113.28</v>
      </c>
      <c r="H981">
        <f>הגדרות!B6</f>
        <v/>
      </c>
      <c r="I981">
        <f>F981*(1-H981/100)*1.18</f>
        <v/>
      </c>
      <c r="J981">
        <f>הגדרות!C6</f>
        <v/>
      </c>
      <c r="K981">
        <f>הגדרות!D6</f>
        <v/>
      </c>
      <c r="L981">
        <f>I981*(1+J981/100)+K981</f>
        <v/>
      </c>
    </row>
    <row r="982">
      <c r="A982" t="inlineStr">
        <is>
          <t>וטמרקט</t>
        </is>
      </c>
      <c r="B982" t="inlineStr">
        <is>
          <t>i/d | Hill's Prescription Diet דייג'סטיב קייר לכלב בוגר, 4 ק"ג (עם עוף)</t>
        </is>
      </c>
      <c r="C982" t="inlineStr">
        <is>
          <t>מזון רפואי</t>
        </is>
      </c>
      <c r="D982" t="inlineStr">
        <is>
          <t>40605845</t>
        </is>
      </c>
      <c r="E982" t="inlineStr">
        <is>
          <t>2026-08</t>
        </is>
      </c>
      <c r="F982" t="n">
        <v>179</v>
      </c>
      <c r="G982" t="n">
        <v>211.22</v>
      </c>
      <c r="H982">
        <f>הגדרות!B6</f>
        <v/>
      </c>
      <c r="I982">
        <f>F982*(1-H982/100)*1.18</f>
        <v/>
      </c>
      <c r="J982">
        <f>הגדרות!C6</f>
        <v/>
      </c>
      <c r="K982">
        <f>הגדרות!D6</f>
        <v/>
      </c>
      <c r="L982">
        <f>I982*(1+J982/100)+K982</f>
        <v/>
      </c>
    </row>
    <row r="983">
      <c r="A983" t="inlineStr">
        <is>
          <t>וטמרקט</t>
        </is>
      </c>
      <c r="B983" t="inlineStr">
        <is>
          <t>GI Biome | Hill's Prescription Diet לכלב בוגר, 4 ק"ג (עם עוף)</t>
        </is>
      </c>
      <c r="C983" t="inlineStr">
        <is>
          <t>מזון רפואי</t>
        </is>
      </c>
      <c r="D983" t="inlineStr">
        <is>
          <t>40605847</t>
        </is>
      </c>
      <c r="E983" t="inlineStr">
        <is>
          <t>2026-08</t>
        </is>
      </c>
      <c r="F983" t="n">
        <v>219</v>
      </c>
      <c r="G983" t="n">
        <v>258.42</v>
      </c>
      <c r="H983">
        <f>הגדרות!B6</f>
        <v/>
      </c>
      <c r="I983">
        <f>F983*(1-H983/100)*1.18</f>
        <v/>
      </c>
      <c r="J983">
        <f>הגדרות!C6</f>
        <v/>
      </c>
      <c r="K983">
        <f>הגדרות!D6</f>
        <v/>
      </c>
      <c r="L983">
        <f>I983*(1+J983/100)+K983</f>
        <v/>
      </c>
    </row>
    <row r="984">
      <c r="A984" t="inlineStr">
        <is>
          <t>וטמרקט</t>
        </is>
      </c>
      <c r="B984" t="inlineStr">
        <is>
          <t>GI Biome | Hill's Prescription Diet לחתול בוגר, 1.5 ק"ג (עם עוף)</t>
        </is>
      </c>
      <c r="C984" t="inlineStr">
        <is>
          <t>מזון רפואי</t>
        </is>
      </c>
      <c r="D984" t="inlineStr">
        <is>
          <t>40605850</t>
        </is>
      </c>
      <c r="E984" t="inlineStr">
        <is>
          <t>2026-08</t>
        </is>
      </c>
      <c r="F984" t="n">
        <v>113</v>
      </c>
      <c r="G984" t="n">
        <v>133.34</v>
      </c>
      <c r="H984">
        <f>הגדרות!B6</f>
        <v/>
      </c>
      <c r="I984">
        <f>F984*(1-H984/100)*1.18</f>
        <v/>
      </c>
      <c r="J984">
        <f>הגדרות!C6</f>
        <v/>
      </c>
      <c r="K984">
        <f>הגדרות!D6</f>
        <v/>
      </c>
      <c r="L984">
        <f>I984*(1+J984/100)+K984</f>
        <v/>
      </c>
    </row>
    <row r="985">
      <c r="A985" t="inlineStr">
        <is>
          <t>וטמרקט</t>
        </is>
      </c>
      <c r="B985" t="inlineStr">
        <is>
          <t>GI Biome | Hill's Prescription Diet לחתול בוגר, 3 ק"ג (עם עוף)</t>
        </is>
      </c>
      <c r="D985" t="inlineStr">
        <is>
          <t>40605851</t>
        </is>
      </c>
      <c r="E985" t="inlineStr">
        <is>
          <t>2026-08</t>
        </is>
      </c>
      <c r="F985" t="n">
        <v>187</v>
      </c>
      <c r="G985" t="n">
        <v>220.66</v>
      </c>
      <c r="H985">
        <f>הגדרות!B6</f>
        <v/>
      </c>
      <c r="I985">
        <f>F985*(1-H985/100)*1.18</f>
        <v/>
      </c>
      <c r="J985">
        <f>הגדרות!C6</f>
        <v/>
      </c>
      <c r="K985">
        <f>הגדרות!D6</f>
        <v/>
      </c>
      <c r="L985">
        <f>I985*(1+J985/100)+K985</f>
        <v/>
      </c>
    </row>
    <row r="986">
      <c r="A986" t="inlineStr">
        <is>
          <t>וטמרקט</t>
        </is>
      </c>
      <c r="B986" t="inlineStr">
        <is>
          <t>i/d Low Fat | Hill's Prescription Diet דייג'סטיב קייר לכלב בוגר, 4 ק"ג</t>
        </is>
      </c>
      <c r="C986" t="inlineStr">
        <is>
          <t>מזון רפואי</t>
        </is>
      </c>
      <c r="D986" t="inlineStr">
        <is>
          <t>40605872</t>
        </is>
      </c>
      <c r="E986" t="inlineStr">
        <is>
          <t>2026-08</t>
        </is>
      </c>
      <c r="F986" t="n">
        <v>177</v>
      </c>
      <c r="G986" t="n">
        <v>208.86</v>
      </c>
      <c r="H986">
        <f>הגדרות!B6</f>
        <v/>
      </c>
      <c r="I986">
        <f>F986*(1-H986/100)*1.18</f>
        <v/>
      </c>
      <c r="J986">
        <f>הגדרות!C6</f>
        <v/>
      </c>
      <c r="K986">
        <f>הגדרות!D6</f>
        <v/>
      </c>
      <c r="L986">
        <f>I986*(1+J986/100)+K986</f>
        <v/>
      </c>
    </row>
    <row r="987">
      <c r="A987" t="inlineStr">
        <is>
          <t>וטמרקט</t>
        </is>
      </c>
      <c r="B987" t="inlineStr">
        <is>
          <t>i/d Low Fat | Hill's Prescription Diet דייג'סטיב קייר לכלב בוגר, 1.5 ק"ג</t>
        </is>
      </c>
      <c r="C987" t="inlineStr">
        <is>
          <t>מזון רפואי</t>
        </is>
      </c>
      <c r="D987" t="inlineStr">
        <is>
          <t>40605876</t>
        </is>
      </c>
      <c r="E987" t="inlineStr">
        <is>
          <t>2026-08</t>
        </is>
      </c>
      <c r="F987" t="n">
        <v>100</v>
      </c>
      <c r="G987" t="n">
        <v>118</v>
      </c>
      <c r="H987">
        <f>הגדרות!B6</f>
        <v/>
      </c>
      <c r="I987">
        <f>F987*(1-H987/100)*1.18</f>
        <v/>
      </c>
      <c r="J987">
        <f>הגדרות!C6</f>
        <v/>
      </c>
      <c r="K987">
        <f>הגדרות!D6</f>
        <v/>
      </c>
      <c r="L987">
        <f>I987*(1+J987/100)+K987</f>
        <v/>
      </c>
    </row>
    <row r="988">
      <c r="A988" t="inlineStr">
        <is>
          <t>וטמרקט</t>
        </is>
      </c>
      <c r="B988" t="inlineStr">
        <is>
          <t>c/d | Hill's Prescription Diet מולטיקייר לחתול, 3 ק"ג (עם עוף)</t>
        </is>
      </c>
      <c r="D988" t="inlineStr">
        <is>
          <t>40605890</t>
        </is>
      </c>
      <c r="E988" t="inlineStr">
        <is>
          <t>2026-08</t>
        </is>
      </c>
      <c r="F988" t="n">
        <v>143</v>
      </c>
      <c r="G988" t="n">
        <v>168.74</v>
      </c>
      <c r="H988">
        <f>הגדרות!B6</f>
        <v/>
      </c>
      <c r="I988">
        <f>F988*(1-H988/100)*1.18</f>
        <v/>
      </c>
      <c r="J988">
        <f>הגדרות!C6</f>
        <v/>
      </c>
      <c r="K988">
        <f>הגדרות!D6</f>
        <v/>
      </c>
      <c r="L988">
        <f>I988*(1+J988/100)+K988</f>
        <v/>
      </c>
    </row>
    <row r="989">
      <c r="A989" t="inlineStr">
        <is>
          <t>וטמרקט</t>
        </is>
      </c>
      <c r="B989" t="inlineStr">
        <is>
          <t>z/d | Hill's Prescription Diet רגישות למזון לכלב, 3 ק"ג</t>
        </is>
      </c>
      <c r="C989" t="inlineStr">
        <is>
          <t>מזון רפואי</t>
        </is>
      </c>
      <c r="D989" t="inlineStr">
        <is>
          <t>40605911</t>
        </is>
      </c>
      <c r="E989" t="inlineStr">
        <is>
          <t>2026-08</t>
        </is>
      </c>
      <c r="F989" t="n">
        <v>183</v>
      </c>
      <c r="G989" t="n">
        <v>215.94</v>
      </c>
      <c r="H989">
        <f>הגדרות!B6</f>
        <v/>
      </c>
      <c r="I989">
        <f>F989*(1-H989/100)*1.18</f>
        <v/>
      </c>
      <c r="J989">
        <f>הגדרות!C6</f>
        <v/>
      </c>
      <c r="K989">
        <f>הגדרות!D6</f>
        <v/>
      </c>
      <c r="L989">
        <f>I989*(1+J989/100)+K989</f>
        <v/>
      </c>
    </row>
    <row r="990">
      <c r="A990" t="inlineStr">
        <is>
          <t>וטמרקט</t>
        </is>
      </c>
      <c r="B990" t="inlineStr">
        <is>
          <t>r/d | Hill's Prescription Diet הפחתת משקל לכלב, 4 ק"ג (עם עוף)</t>
        </is>
      </c>
      <c r="D990" t="inlineStr">
        <is>
          <t>40605938</t>
        </is>
      </c>
      <c r="E990" t="inlineStr">
        <is>
          <t>2026-08</t>
        </is>
      </c>
      <c r="F990" t="n">
        <v>172</v>
      </c>
      <c r="G990" t="n">
        <v>202.96</v>
      </c>
      <c r="H990">
        <f>הגדרות!B6</f>
        <v/>
      </c>
      <c r="I990">
        <f>F990*(1-H990/100)*1.18</f>
        <v/>
      </c>
      <c r="J990">
        <f>הגדרות!C6</f>
        <v/>
      </c>
      <c r="K990">
        <f>הגדרות!D6</f>
        <v/>
      </c>
      <c r="L990">
        <f>I990*(1+J990/100)+K990</f>
        <v/>
      </c>
    </row>
    <row r="991">
      <c r="A991" t="inlineStr">
        <is>
          <t>וטמרקט</t>
        </is>
      </c>
      <c r="B991" t="inlineStr">
        <is>
          <t>Hill's Prescription Diet | מטבוליק לכלב, 12 ק"ג (עם עוף)</t>
        </is>
      </c>
      <c r="C991" t="inlineStr">
        <is>
          <t>מזון רפואי</t>
        </is>
      </c>
      <c r="D991" t="inlineStr">
        <is>
          <t>40605942</t>
        </is>
      </c>
      <c r="E991" t="inlineStr">
        <is>
          <t>2026-08</t>
        </is>
      </c>
      <c r="F991" t="n">
        <v>450</v>
      </c>
      <c r="G991" t="n">
        <v>531</v>
      </c>
      <c r="H991">
        <f>הגדרות!B6</f>
        <v/>
      </c>
      <c r="I991">
        <f>F991*(1-H991/100)*1.18</f>
        <v/>
      </c>
      <c r="J991">
        <f>הגדרות!C6</f>
        <v/>
      </c>
      <c r="K991">
        <f>הגדרות!D6</f>
        <v/>
      </c>
      <c r="L991">
        <f>I991*(1+J991/100)+K991</f>
        <v/>
      </c>
    </row>
    <row r="992">
      <c r="A992" t="inlineStr">
        <is>
          <t>וטמרקט</t>
        </is>
      </c>
      <c r="B992" t="inlineStr">
        <is>
          <t>Hill's Prescription Diet | מטבוליק לכלב מגזע קטן, 6 ק"ג (עם עוף)</t>
        </is>
      </c>
      <c r="D992" t="inlineStr">
        <is>
          <t>40605946</t>
        </is>
      </c>
      <c r="E992" t="inlineStr">
        <is>
          <t>2026-08</t>
        </is>
      </c>
      <c r="F992" t="n">
        <v>269</v>
      </c>
      <c r="G992" t="n">
        <v>317.42</v>
      </c>
      <c r="H992">
        <f>הגדרות!B6</f>
        <v/>
      </c>
      <c r="I992">
        <f>F992*(1-H992/100)*1.18</f>
        <v/>
      </c>
      <c r="J992">
        <f>הגדרות!C6</f>
        <v/>
      </c>
      <c r="K992">
        <f>הגדרות!D6</f>
        <v/>
      </c>
      <c r="L992">
        <f>I992*(1+J992/100)+K992</f>
        <v/>
      </c>
    </row>
    <row r="993">
      <c r="A993" t="inlineStr">
        <is>
          <t>וטמרקט</t>
        </is>
      </c>
      <c r="B993" t="inlineStr">
        <is>
          <t>c/d | Hill's Prescription Diet יורינרי סטרס + מטבוליק לחתול, 3 ק"ג (עם עוף)</t>
        </is>
      </c>
      <c r="D993" t="inlineStr">
        <is>
          <t>40605983</t>
        </is>
      </c>
      <c r="E993" t="inlineStr">
        <is>
          <t>2026-08</t>
        </is>
      </c>
      <c r="F993" t="n">
        <v>176</v>
      </c>
      <c r="G993" t="n">
        <v>207.68</v>
      </c>
      <c r="H993">
        <f>הגדרות!B6</f>
        <v/>
      </c>
      <c r="I993">
        <f>F993*(1-H993/100)*1.18</f>
        <v/>
      </c>
      <c r="J993">
        <f>הגדרות!C6</f>
        <v/>
      </c>
      <c r="K993">
        <f>הגדרות!D6</f>
        <v/>
      </c>
      <c r="L993">
        <f>I993*(1+J993/100)+K993</f>
        <v/>
      </c>
    </row>
    <row r="994">
      <c r="A994" t="inlineStr">
        <is>
          <t>וטמרקט</t>
        </is>
      </c>
      <c r="B994" t="inlineStr">
        <is>
          <t>k/d | Hill's Prescription Diet קידני קייר לחתול, 3 ק"ג (עם עוף)</t>
        </is>
      </c>
      <c r="D994" t="inlineStr">
        <is>
          <t>40605986</t>
        </is>
      </c>
      <c r="E994" t="inlineStr">
        <is>
          <t>2026-08</t>
        </is>
      </c>
      <c r="F994" t="n">
        <v>155</v>
      </c>
      <c r="G994" t="n">
        <v>182.9</v>
      </c>
      <c r="H994">
        <f>הגדרות!B6</f>
        <v/>
      </c>
      <c r="I994">
        <f>F994*(1-H994/100)*1.18</f>
        <v/>
      </c>
      <c r="J994">
        <f>הגדרות!C6</f>
        <v/>
      </c>
      <c r="K994">
        <f>הגדרות!D6</f>
        <v/>
      </c>
      <c r="L994">
        <f>I994*(1+J994/100)+K994</f>
        <v/>
      </c>
    </row>
    <row r="995">
      <c r="A995" t="inlineStr">
        <is>
          <t>וטמרקט</t>
        </is>
      </c>
      <c r="B995" t="inlineStr">
        <is>
          <t>k/d | Hill's Prescription Diet קידני קייר לחתול, 1.5 ק"ג (עם עוף)</t>
        </is>
      </c>
      <c r="D995" t="inlineStr">
        <is>
          <t>40605988</t>
        </is>
      </c>
      <c r="E995" t="inlineStr">
        <is>
          <t>2026-08</t>
        </is>
      </c>
      <c r="F995" t="n">
        <v>96</v>
      </c>
      <c r="G995" t="n">
        <v>113.28</v>
      </c>
      <c r="H995">
        <f>הגדרות!B6</f>
        <v/>
      </c>
      <c r="I995">
        <f>F995*(1-H995/100)*1.18</f>
        <v/>
      </c>
      <c r="J995">
        <f>הגדרות!C6</f>
        <v/>
      </c>
      <c r="K995">
        <f>הגדרות!D6</f>
        <v/>
      </c>
      <c r="L995">
        <f>I995*(1+J995/100)+K995</f>
        <v/>
      </c>
    </row>
    <row r="996">
      <c r="A996" t="inlineStr">
        <is>
          <t>וטמרקט</t>
        </is>
      </c>
      <c r="B996" t="inlineStr">
        <is>
          <t>ק"ג 12 מ מטבוליק כבש ואורז כלב</t>
        </is>
      </c>
      <c r="D996" t="inlineStr">
        <is>
          <t>40606148</t>
        </is>
      </c>
      <c r="E996" t="inlineStr">
        <is>
          <t>2026-08</t>
        </is>
      </c>
      <c r="F996" t="n">
        <v>455</v>
      </c>
      <c r="G996" t="n">
        <v>536.9</v>
      </c>
      <c r="H996">
        <f>הגדרות!B6</f>
        <v/>
      </c>
      <c r="I996">
        <f>F996*(1-H996/100)*1.18</f>
        <v/>
      </c>
      <c r="J996">
        <f>הגדרות!C6</f>
        <v/>
      </c>
      <c r="K996">
        <f>הגדרות!D6</f>
        <v/>
      </c>
      <c r="L996">
        <f>I996*(1+J996/100)+K996</f>
        <v/>
      </c>
    </row>
    <row r="997">
      <c r="A997" t="inlineStr">
        <is>
          <t>וטמרקט</t>
        </is>
      </c>
      <c r="B997" t="inlineStr">
        <is>
          <t>ק"ג 3 מ מטבוליק+מוביליטי כלב מיני</t>
        </is>
      </c>
      <c r="D997" t="inlineStr">
        <is>
          <t>40606179</t>
        </is>
      </c>
      <c r="E997" t="inlineStr">
        <is>
          <t>2026-08</t>
        </is>
      </c>
      <c r="F997" t="n">
        <v>198</v>
      </c>
      <c r="G997" t="n">
        <v>233.64</v>
      </c>
      <c r="H997">
        <f>הגדרות!B6</f>
        <v/>
      </c>
      <c r="I997">
        <f>F997*(1-H997/100)*1.18</f>
        <v/>
      </c>
      <c r="J997">
        <f>הגדרות!C6</f>
        <v/>
      </c>
      <c r="K997">
        <f>הגדרות!D6</f>
        <v/>
      </c>
      <c r="L997">
        <f>I997*(1+J997/100)+K997</f>
        <v/>
      </c>
    </row>
    <row r="998">
      <c r="A998" t="inlineStr">
        <is>
          <t>וטמרקט</t>
        </is>
      </c>
      <c r="B998" t="inlineStr">
        <is>
          <t>z/d | Hill's Prescription Diet רגישות למזון לכלב גזע קטן, 1 ק"ג</t>
        </is>
      </c>
      <c r="C998" t="inlineStr">
        <is>
          <t>מזון רפואי</t>
        </is>
      </c>
      <c r="D998" t="inlineStr">
        <is>
          <t>40606206</t>
        </is>
      </c>
      <c r="E998" t="inlineStr">
        <is>
          <t>2026-08</t>
        </is>
      </c>
      <c r="F998" t="n">
        <v>69</v>
      </c>
      <c r="G998" t="n">
        <v>81.42</v>
      </c>
      <c r="H998">
        <f>הגדרות!B6</f>
        <v/>
      </c>
      <c r="I998">
        <f>F998*(1-H998/100)*1.18</f>
        <v/>
      </c>
      <c r="J998">
        <f>הגדרות!C6</f>
        <v/>
      </c>
      <c r="K998">
        <f>הגדרות!D6</f>
        <v/>
      </c>
      <c r="L998">
        <f>I998*(1+J998/100)+K998</f>
        <v/>
      </c>
    </row>
    <row r="999">
      <c r="A999" t="inlineStr">
        <is>
          <t>וטמרקט</t>
        </is>
      </c>
      <c r="B999" t="inlineStr">
        <is>
          <t>i/d | Hill's Prescription Diet דייג'סטיב קייר לכלב בוגר, 1.5 ק"ג (עם עוף)</t>
        </is>
      </c>
      <c r="C999" t="inlineStr">
        <is>
          <t>מזון רפואי</t>
        </is>
      </c>
      <c r="D999" t="inlineStr">
        <is>
          <t>40606276</t>
        </is>
      </c>
      <c r="E999" t="inlineStr">
        <is>
          <t>2026-08</t>
        </is>
      </c>
      <c r="F999" t="n">
        <v>83</v>
      </c>
      <c r="G999" t="n">
        <v>97.94</v>
      </c>
      <c r="H999">
        <f>הגדרות!B6</f>
        <v/>
      </c>
      <c r="I999">
        <f>F999*(1-H999/100)*1.18</f>
        <v/>
      </c>
      <c r="J999">
        <f>הגדרות!C6</f>
        <v/>
      </c>
      <c r="K999">
        <f>הגדרות!D6</f>
        <v/>
      </c>
      <c r="L999">
        <f>I999*(1+J999/100)+K999</f>
        <v/>
      </c>
    </row>
    <row r="1000">
      <c r="A1000" t="inlineStr">
        <is>
          <t>וטמרקט</t>
        </is>
      </c>
      <c r="B1000" t="inlineStr">
        <is>
          <t>שימורי i/d | Hill's Prescription Diet דייג'סטיב קייר לחתול בוגר, 156 גר'</t>
        </is>
      </c>
      <c r="C1000" t="inlineStr">
        <is>
          <t>מזון רפואי</t>
        </is>
      </c>
      <c r="D1000" t="inlineStr">
        <is>
          <t>40606345</t>
        </is>
      </c>
      <c r="E1000" t="inlineStr">
        <is>
          <t>2026-08</t>
        </is>
      </c>
      <c r="F1000" t="n">
        <v>10.3</v>
      </c>
      <c r="G1000" t="n">
        <v>12.15</v>
      </c>
      <c r="H1000">
        <f>הגדרות!B6</f>
        <v/>
      </c>
      <c r="I1000">
        <f>F1000*(1-H1000/100)*1.18</f>
        <v/>
      </c>
      <c r="J1000">
        <f>הגדרות!C6</f>
        <v/>
      </c>
      <c r="K1000">
        <f>הגדרות!D6</f>
        <v/>
      </c>
      <c r="L1000">
        <f>I1000*(1+J1000/100)+K1000</f>
        <v/>
      </c>
    </row>
    <row r="1001">
      <c r="A1001" t="inlineStr">
        <is>
          <t>וטמרקט</t>
        </is>
      </c>
      <c r="B1001" t="inlineStr">
        <is>
          <t>שימורי z/d | Hill's Prescription Diet רגישות למזון לחתול, 156 גר'</t>
        </is>
      </c>
      <c r="C1001" t="inlineStr">
        <is>
          <t>מזון רפואי</t>
        </is>
      </c>
      <c r="D1001" t="inlineStr">
        <is>
          <t>40606374</t>
        </is>
      </c>
      <c r="E1001" t="inlineStr">
        <is>
          <t>2026-08</t>
        </is>
      </c>
      <c r="F1001" t="n">
        <v>11</v>
      </c>
      <c r="G1001" t="n">
        <v>12.98</v>
      </c>
      <c r="H1001">
        <f>הגדרות!B6</f>
        <v/>
      </c>
      <c r="I1001">
        <f>F1001*(1-H1001/100)*1.18</f>
        <v/>
      </c>
      <c r="J1001">
        <f>הגדרות!C6</f>
        <v/>
      </c>
      <c r="K1001">
        <f>הגדרות!D6</f>
        <v/>
      </c>
      <c r="L1001">
        <f>I1001*(1+J1001/100)+K1001</f>
        <v/>
      </c>
    </row>
    <row r="1002">
      <c r="A1002" t="inlineStr">
        <is>
          <t>וטמרקט</t>
        </is>
      </c>
      <c r="B1002" t="inlineStr">
        <is>
          <t>שימורי z/d | Hill's Prescription Diet רגישות למזון כלב, 370 גר'</t>
        </is>
      </c>
      <c r="D1002" t="inlineStr">
        <is>
          <t>40606375</t>
        </is>
      </c>
      <c r="E1002" t="inlineStr">
        <is>
          <t>2026-08</t>
        </is>
      </c>
      <c r="F1002" t="n">
        <v>16.4</v>
      </c>
      <c r="G1002" t="n">
        <v>19.35</v>
      </c>
      <c r="H1002">
        <f>הגדרות!B6</f>
        <v/>
      </c>
      <c r="I1002">
        <f>F1002*(1-H1002/100)*1.18</f>
        <v/>
      </c>
      <c r="J1002">
        <f>הגדרות!C6</f>
        <v/>
      </c>
      <c r="K1002">
        <f>הגדרות!D6</f>
        <v/>
      </c>
      <c r="L1002">
        <f>I1002*(1+J1002/100)+K1002</f>
        <v/>
      </c>
    </row>
    <row r="1003">
      <c r="A1003" t="inlineStr">
        <is>
          <t>וטמרקט</t>
        </is>
      </c>
      <c r="B1003" t="inlineStr">
        <is>
          <t>i/d Low Fat | Hill's Prescription Diet דייג'סטיב קייר לכלב בוגר, 12 ק"ג (עוף)</t>
        </is>
      </c>
      <c r="C1003" t="inlineStr">
        <is>
          <t>מזון רפואי</t>
        </is>
      </c>
      <c r="D1003" t="inlineStr">
        <is>
          <t>40606430</t>
        </is>
      </c>
      <c r="E1003" t="inlineStr">
        <is>
          <t>2026-08</t>
        </is>
      </c>
      <c r="F1003" t="n">
        <v>456</v>
      </c>
      <c r="G1003" t="n">
        <v>538.08</v>
      </c>
      <c r="H1003">
        <f>הגדרות!B6</f>
        <v/>
      </c>
      <c r="I1003">
        <f>F1003*(1-H1003/100)*1.18</f>
        <v/>
      </c>
      <c r="J1003">
        <f>הגדרות!C6</f>
        <v/>
      </c>
      <c r="K1003">
        <f>הגדרות!D6</f>
        <v/>
      </c>
      <c r="L1003">
        <f>I1003*(1+J1003/100)+K1003</f>
        <v/>
      </c>
    </row>
    <row r="1004">
      <c r="A1004" t="inlineStr">
        <is>
          <t>וטמרקט</t>
        </is>
      </c>
      <c r="B1004" t="inlineStr">
        <is>
          <t>שימורי נזיד i/d | Hill's Prescription Diet דייג'סטיב קייר לכלב בוגר, 354 גרם</t>
        </is>
      </c>
      <c r="D1004" t="inlineStr">
        <is>
          <t>40606448</t>
        </is>
      </c>
      <c r="E1004" t="inlineStr">
        <is>
          <t>2026-08</t>
        </is>
      </c>
      <c r="F1004" t="n">
        <v>18.3</v>
      </c>
      <c r="G1004" t="n">
        <v>21.59</v>
      </c>
      <c r="H1004">
        <f>הגדרות!B6</f>
        <v/>
      </c>
      <c r="I1004">
        <f>F1004*(1-H1004/100)*1.18</f>
        <v/>
      </c>
      <c r="J1004">
        <f>הגדרות!C6</f>
        <v/>
      </c>
      <c r="K1004">
        <f>הגדרות!D6</f>
        <v/>
      </c>
      <c r="L1004">
        <f>I1004*(1+J1004/100)+K1004</f>
        <v/>
      </c>
    </row>
    <row r="1005">
      <c r="A1005" t="inlineStr">
        <is>
          <t>וטמרקט</t>
        </is>
      </c>
      <c r="B1005" t="inlineStr">
        <is>
          <t>m/d | Hill's Prescription Diet דיאביטיס קייר לחתול, 3 ק"ג (עם עוף)</t>
        </is>
      </c>
      <c r="C1005" t="inlineStr">
        <is>
          <t>מזון רפואי</t>
        </is>
      </c>
      <c r="D1005" t="inlineStr">
        <is>
          <t>40606522</t>
        </is>
      </c>
      <c r="E1005" t="inlineStr">
        <is>
          <t>2026-08</t>
        </is>
      </c>
      <c r="F1005" t="n">
        <v>155</v>
      </c>
      <c r="G1005" t="n">
        <v>182.9</v>
      </c>
      <c r="H1005">
        <f>הגדרות!B6</f>
        <v/>
      </c>
      <c r="I1005">
        <f>F1005*(1-H1005/100)*1.18</f>
        <v/>
      </c>
      <c r="J1005">
        <f>הגדרות!C6</f>
        <v/>
      </c>
      <c r="K1005">
        <f>הגדרות!D6</f>
        <v/>
      </c>
      <c r="L1005">
        <f>I1005*(1+J1005/100)+K1005</f>
        <v/>
      </c>
    </row>
    <row r="1006">
      <c r="A1006" t="inlineStr">
        <is>
          <t>וטמרקט</t>
        </is>
      </c>
      <c r="B1006" t="inlineStr">
        <is>
          <t>c/d | Hill's Prescription Diet מולטיקייר לכלב, 4 ק"ג (עם עוף)</t>
        </is>
      </c>
      <c r="D1006" t="inlineStr">
        <is>
          <t>40607025</t>
        </is>
      </c>
      <c r="E1006" t="inlineStr">
        <is>
          <t>2026-08</t>
        </is>
      </c>
      <c r="F1006" t="n">
        <v>162</v>
      </c>
      <c r="G1006" t="n">
        <v>191.16</v>
      </c>
      <c r="H1006">
        <f>הגדרות!B6</f>
        <v/>
      </c>
      <c r="I1006">
        <f>F1006*(1-H1006/100)*1.18</f>
        <v/>
      </c>
      <c r="J1006">
        <f>הגדרות!C6</f>
        <v/>
      </c>
      <c r="K1006">
        <f>הגדרות!D6</f>
        <v/>
      </c>
      <c r="L1006">
        <f>I1006*(1+J1006/100)+K1006</f>
        <v/>
      </c>
    </row>
    <row r="1007">
      <c r="A1007" t="inlineStr">
        <is>
          <t>וטמרקט</t>
        </is>
      </c>
      <c r="B1007" t="inlineStr">
        <is>
          <t>שימורי i/d | Hill's Prescription Diet דייג'סטיב קייר לכלב בוגר, 360 גרם</t>
        </is>
      </c>
      <c r="D1007" t="inlineStr">
        <is>
          <t>40607215</t>
        </is>
      </c>
      <c r="E1007" t="inlineStr">
        <is>
          <t>2026-08</t>
        </is>
      </c>
      <c r="F1007" t="n">
        <v>13.8</v>
      </c>
      <c r="G1007" t="n">
        <v>16.28</v>
      </c>
      <c r="H1007">
        <f>הגדרות!B6</f>
        <v/>
      </c>
      <c r="I1007">
        <f>F1007*(1-H1007/100)*1.18</f>
        <v/>
      </c>
      <c r="J1007">
        <f>הגדרות!C6</f>
        <v/>
      </c>
      <c r="K1007">
        <f>הגדרות!D6</f>
        <v/>
      </c>
      <c r="L1007">
        <f>I1007*(1+J1007/100)+K1007</f>
        <v/>
      </c>
    </row>
    <row r="1008">
      <c r="A1008" t="inlineStr">
        <is>
          <t>וטמרקט</t>
        </is>
      </c>
      <c r="B1008" t="inlineStr">
        <is>
          <t>i/d Low Fat | Hill's Prescription Diet דייג'סטיב קייר לכלב בוגר 360 גרם</t>
        </is>
      </c>
      <c r="C1008" t="inlineStr">
        <is>
          <t>מזון רפואי</t>
        </is>
      </c>
      <c r="D1008" t="inlineStr">
        <is>
          <t>40607447</t>
        </is>
      </c>
      <c r="E1008" t="inlineStr">
        <is>
          <t>2026-08</t>
        </is>
      </c>
      <c r="F1008" t="n">
        <v>14.4</v>
      </c>
      <c r="G1008" t="n">
        <v>16.99</v>
      </c>
      <c r="H1008">
        <f>הגדרות!B6</f>
        <v/>
      </c>
      <c r="I1008">
        <f>F1008*(1-H1008/100)*1.18</f>
        <v/>
      </c>
      <c r="J1008">
        <f>הגדרות!C6</f>
        <v/>
      </c>
      <c r="K1008">
        <f>הגדרות!D6</f>
        <v/>
      </c>
      <c r="L1008">
        <f>I1008*(1+J1008/100)+K1008</f>
        <v/>
      </c>
    </row>
    <row r="1009">
      <c r="A1009" t="inlineStr">
        <is>
          <t>וטמרקט</t>
        </is>
      </c>
      <c r="B1009" t="inlineStr">
        <is>
          <t>שימורי GI Biome | Hill's Prescription Diet לכלב בוגר, 370 גר'</t>
        </is>
      </c>
      <c r="D1009" t="inlineStr">
        <is>
          <t>40607719</t>
        </is>
      </c>
      <c r="E1009" t="inlineStr">
        <is>
          <t>2026-08</t>
        </is>
      </c>
      <c r="F1009" t="n">
        <v>15.4</v>
      </c>
      <c r="G1009" t="n">
        <v>18.17</v>
      </c>
      <c r="H1009">
        <f>הגדרות!B6</f>
        <v/>
      </c>
      <c r="I1009">
        <f>F1009*(1-H1009/100)*1.18</f>
        <v/>
      </c>
      <c r="J1009">
        <f>הגדרות!C6</f>
        <v/>
      </c>
      <c r="K1009">
        <f>הגדרות!D6</f>
        <v/>
      </c>
      <c r="L1009">
        <f>I1009*(1+J1009/100)+K1009</f>
        <v/>
      </c>
    </row>
    <row r="1010">
      <c r="A1010" t="inlineStr">
        <is>
          <t>וטמרקט</t>
        </is>
      </c>
      <c r="B1010" t="inlineStr">
        <is>
          <t>גרם 370 כלב פחית Z/D מ</t>
        </is>
      </c>
      <c r="D1010" t="inlineStr">
        <is>
          <t>40608397</t>
        </is>
      </c>
      <c r="E1010" t="inlineStr">
        <is>
          <t>2026-08</t>
        </is>
      </c>
      <c r="F1010" t="n">
        <v>19.2</v>
      </c>
      <c r="G1010" t="n">
        <v>22.66</v>
      </c>
      <c r="H1010">
        <f>הגדרות!B6</f>
        <v/>
      </c>
      <c r="I1010">
        <f>F1010*(1-H1010/100)*1.18</f>
        <v/>
      </c>
      <c r="J1010">
        <f>הגדרות!C6</f>
        <v/>
      </c>
      <c r="K1010">
        <f>הגדרות!D6</f>
        <v/>
      </c>
      <c r="L1010">
        <f>I1010*(1+J1010/100)+K1010</f>
        <v/>
      </c>
    </row>
    <row r="1011">
      <c r="A1011" t="inlineStr">
        <is>
          <t>וטמרקט</t>
        </is>
      </c>
      <c r="B1011" t="inlineStr">
        <is>
          <t>גרם 85 יח'* 12 *גור חתול* פאוץ הילס I/D מ</t>
        </is>
      </c>
      <c r="D1011" t="inlineStr">
        <is>
          <t>40609419</t>
        </is>
      </c>
      <c r="E1011" t="inlineStr">
        <is>
          <t>2026-08</t>
        </is>
      </c>
      <c r="F1011" t="n">
        <v>76</v>
      </c>
      <c r="G1011" t="n">
        <v>89.68000000000001</v>
      </c>
      <c r="H1011">
        <f>הגדרות!B6</f>
        <v/>
      </c>
      <c r="I1011">
        <f>F1011*(1-H1011/100)*1.18</f>
        <v/>
      </c>
      <c r="J1011">
        <f>הגדרות!C6</f>
        <v/>
      </c>
      <c r="K1011">
        <f>הגדרות!D6</f>
        <v/>
      </c>
      <c r="L1011">
        <f>I1011*(1+J1011/100)+K1011</f>
        <v/>
      </c>
    </row>
    <row r="1012">
      <c r="A1012" t="inlineStr">
        <is>
          <t>וטמרקט</t>
        </is>
      </c>
      <c r="B1012" t="inlineStr">
        <is>
          <t>טיפות עיניים אוקולניס ביוהנס סנטרקס, 3 מ"ל</t>
        </is>
      </c>
      <c r="C1012" t="inlineStr">
        <is>
          <t>עיניים ואוזניים</t>
        </is>
      </c>
      <c r="D1012" t="inlineStr">
        <is>
          <t>5501018</t>
        </is>
      </c>
      <c r="E1012" t="inlineStr">
        <is>
          <t>2026-08</t>
        </is>
      </c>
      <c r="F1012" t="n">
        <v>58</v>
      </c>
      <c r="G1012" t="n">
        <v>68.44</v>
      </c>
      <c r="H1012">
        <f>הגדרות!B6</f>
        <v/>
      </c>
      <c r="I1012">
        <f>F1012*(1-H1012/100)*1.18</f>
        <v/>
      </c>
      <c r="J1012">
        <f>הגדרות!C6</f>
        <v/>
      </c>
      <c r="K1012">
        <f>הגדרות!D6</f>
        <v/>
      </c>
      <c r="L1012">
        <f>I1012*(1+J1012/100)+K1012</f>
        <v/>
      </c>
    </row>
    <row r="1013">
      <c r="A1013" t="inlineStr">
        <is>
          <t>וטמרקט</t>
        </is>
      </c>
      <c r="B1013" t="inlineStr">
        <is>
          <t>טיפות עיניים אוקונוביס ביוהנס סנטרקס, 5 מ"ל</t>
        </is>
      </c>
      <c r="D1013" t="inlineStr">
        <is>
          <t>5501019</t>
        </is>
      </c>
      <c r="E1013" t="inlineStr">
        <is>
          <t>2026-08</t>
        </is>
      </c>
      <c r="F1013" t="n">
        <v>40</v>
      </c>
      <c r="G1013" t="n">
        <v>47.2</v>
      </c>
      <c r="H1013">
        <f>הגדרות!B6</f>
        <v/>
      </c>
      <c r="I1013">
        <f>F1013*(1-H1013/100)*1.18</f>
        <v/>
      </c>
      <c r="J1013">
        <f>הגדרות!C6</f>
        <v/>
      </c>
      <c r="K1013">
        <f>הגדרות!D6</f>
        <v/>
      </c>
      <c r="L1013">
        <f>I1013*(1+J1013/100)+K1013</f>
        <v/>
      </c>
    </row>
    <row r="1014">
      <c r="A1014" t="inlineStr">
        <is>
          <t>וטמרקט</t>
        </is>
      </c>
      <c r="B1014" t="inlineStr">
        <is>
          <t>Kruuse חב כתום 1 25/5.8 מחט ח.פ</t>
        </is>
      </c>
      <c r="D1014" t="inlineStr">
        <is>
          <t>551121270</t>
        </is>
      </c>
      <c r="E1014" t="inlineStr">
        <is>
          <t>2026-08</t>
        </is>
      </c>
      <c r="F1014" t="n">
        <v>8</v>
      </c>
      <c r="G1014" t="n">
        <v>9.44</v>
      </c>
      <c r="H1014">
        <f>הגדרות!B6</f>
        <v/>
      </c>
      <c r="I1014">
        <f>F1014*(1-H1014/100)*1.18</f>
        <v/>
      </c>
      <c r="J1014">
        <f>הגדרות!C6</f>
        <v/>
      </c>
      <c r="K1014">
        <f>הגדרות!D6</f>
        <v/>
      </c>
      <c r="L1014">
        <f>I1014*(1+J1014/100)+K1014</f>
        <v/>
      </c>
    </row>
    <row r="1015">
      <c r="A1015" t="inlineStr">
        <is>
          <t>וטמרקט</t>
        </is>
      </c>
      <c r="B1015" t="inlineStr">
        <is>
          <t>מחט חד פעמית "23Gx1, כחול 0.6x25) KRUUSE מ"מ)</t>
        </is>
      </c>
      <c r="C1015" t="inlineStr">
        <is>
          <t>חומרים מתכלים</t>
        </is>
      </c>
      <c r="D1015" t="inlineStr">
        <is>
          <t>551121272</t>
        </is>
      </c>
      <c r="E1015" t="inlineStr">
        <is>
          <t>2026-08</t>
        </is>
      </c>
      <c r="F1015" t="n">
        <v>8</v>
      </c>
      <c r="G1015" t="n">
        <v>9.44</v>
      </c>
      <c r="H1015">
        <f>הגדרות!B6</f>
        <v/>
      </c>
      <c r="I1015">
        <f>F1015*(1-H1015/100)*1.18</f>
        <v/>
      </c>
      <c r="J1015">
        <f>הגדרות!C6</f>
        <v/>
      </c>
      <c r="K1015">
        <f>הגדרות!D6</f>
        <v/>
      </c>
      <c r="L1015">
        <f>I1015*(1+J1015/100)+K1015</f>
        <v/>
      </c>
    </row>
    <row r="1016">
      <c r="A1016" t="inlineStr">
        <is>
          <t>וטמרקט</t>
        </is>
      </c>
      <c r="B1016" t="inlineStr">
        <is>
          <t>מחט חד פעמית "21Gx1, ירוק KRUUSE</t>
        </is>
      </c>
      <c r="C1016" t="inlineStr">
        <is>
          <t>חומרים מתכלים</t>
        </is>
      </c>
      <c r="D1016" t="inlineStr">
        <is>
          <t>551121273</t>
        </is>
      </c>
      <c r="E1016" t="inlineStr">
        <is>
          <t>2026-08</t>
        </is>
      </c>
      <c r="F1016" t="n">
        <v>8</v>
      </c>
      <c r="G1016" t="n">
        <v>9.44</v>
      </c>
      <c r="H1016">
        <f>הגדרות!B6</f>
        <v/>
      </c>
      <c r="I1016">
        <f>F1016*(1-H1016/100)*1.18</f>
        <v/>
      </c>
      <c r="J1016">
        <f>הגדרות!C6</f>
        <v/>
      </c>
      <c r="K1016">
        <f>הגדרות!D6</f>
        <v/>
      </c>
      <c r="L1016">
        <f>I1016*(1+J1016/100)+K1016</f>
        <v/>
      </c>
    </row>
    <row r="1017">
      <c r="A1017" t="inlineStr">
        <is>
          <t>וטמרקט</t>
        </is>
      </c>
      <c r="B1017" t="inlineStr">
        <is>
          <t>מחט חד פעמית "½18Gx1, ורוד KRUUSE (כמות 100 יח')</t>
        </is>
      </c>
      <c r="D1017" t="inlineStr">
        <is>
          <t>551121282</t>
        </is>
      </c>
      <c r="E1017" t="inlineStr">
        <is>
          <t>2026-08</t>
        </is>
      </c>
      <c r="F1017" t="n">
        <v>10.5</v>
      </c>
      <c r="G1017" t="n">
        <v>12.39</v>
      </c>
      <c r="H1017">
        <f>הגדרות!B6</f>
        <v/>
      </c>
      <c r="I1017">
        <f>F1017*(1-H1017/100)*1.18</f>
        <v/>
      </c>
      <c r="J1017">
        <f>הגדרות!C6</f>
        <v/>
      </c>
      <c r="K1017">
        <f>הגדרות!D6</f>
        <v/>
      </c>
      <c r="L1017">
        <f>I1017*(1+J1017/100)+K1017</f>
        <v/>
      </c>
    </row>
    <row r="1018">
      <c r="A1018" t="inlineStr">
        <is>
          <t>וטמרקט</t>
        </is>
      </c>
      <c r="B1018" t="inlineStr">
        <is>
          <t>מחט חד פעמי 23/1 כחול מדי פלוס</t>
        </is>
      </c>
      <c r="C1018" t="inlineStr">
        <is>
          <t>חומרים מתכלים</t>
        </is>
      </c>
      <c r="D1018" t="inlineStr">
        <is>
          <t>5518380</t>
        </is>
      </c>
      <c r="E1018" t="inlineStr">
        <is>
          <t>2026-08</t>
        </is>
      </c>
      <c r="F1018" t="n">
        <v>6.5</v>
      </c>
      <c r="G1018" t="n">
        <v>7.67</v>
      </c>
      <c r="H1018">
        <f>הגדרות!B6</f>
        <v/>
      </c>
      <c r="I1018">
        <f>F1018*(1-H1018/100)*1.18</f>
        <v/>
      </c>
      <c r="J1018">
        <f>הגדרות!C6</f>
        <v/>
      </c>
      <c r="K1018">
        <f>הגדרות!D6</f>
        <v/>
      </c>
      <c r="L1018">
        <f>I1018*(1+J1018/100)+K1018</f>
        <v/>
      </c>
    </row>
    <row r="1019">
      <c r="A1019" t="inlineStr">
        <is>
          <t>וטמרקט</t>
        </is>
      </c>
      <c r="B1019" t="inlineStr">
        <is>
          <t>SET טונווט פלוס טונומטר</t>
        </is>
      </c>
      <c r="D1019" t="inlineStr">
        <is>
          <t>5549495</t>
        </is>
      </c>
      <c r="E1019" t="inlineStr">
        <is>
          <t>2026-08</t>
        </is>
      </c>
      <c r="F1019" t="n">
        <v>12500</v>
      </c>
      <c r="G1019" t="n">
        <v>14750</v>
      </c>
      <c r="H1019">
        <f>הגדרות!B6</f>
        <v/>
      </c>
      <c r="I1019">
        <f>F1019*(1-H1019/100)*1.18</f>
        <v/>
      </c>
      <c r="J1019">
        <f>הגדרות!C6</f>
        <v/>
      </c>
      <c r="K1019">
        <f>הגדרות!D6</f>
        <v/>
      </c>
      <c r="L1019">
        <f>I1019*(1+J1019/100)+K1019</f>
        <v/>
      </c>
    </row>
    <row r="1020">
      <c r="A1020" t="inlineStr">
        <is>
          <t>וטמרקט</t>
        </is>
      </c>
      <c r="B1020" t="inlineStr">
        <is>
          <t>קיט צביעה ל PROCYTE DX</t>
        </is>
      </c>
      <c r="C1020" t="inlineStr">
        <is>
          <t>בדיקות מעבדה</t>
        </is>
      </c>
      <c r="D1020" t="inlineStr">
        <is>
          <t>5598604</t>
        </is>
      </c>
      <c r="E1020" t="inlineStr">
        <is>
          <t>2026-08</t>
        </is>
      </c>
      <c r="F1020" t="n">
        <v>538</v>
      </c>
      <c r="G1020" t="n">
        <v>634.84</v>
      </c>
      <c r="H1020">
        <f>הגדרות!B6</f>
        <v/>
      </c>
      <c r="I1020">
        <f>F1020*(1-H1020/100)*1.18</f>
        <v/>
      </c>
      <c r="J1020">
        <f>הגדרות!C6</f>
        <v/>
      </c>
      <c r="K1020">
        <f>הגדרות!D6</f>
        <v/>
      </c>
      <c r="L1020">
        <f>I1020*(1+J1020/100)+K1020</f>
        <v/>
      </c>
    </row>
    <row r="1021">
      <c r="A1021" t="inlineStr">
        <is>
          <t>וטמרקט</t>
        </is>
      </c>
      <c r="B1021" t="inlineStr">
        <is>
          <t>סנאפ פרוו - כלב (5 בדיקות)</t>
        </is>
      </c>
      <c r="D1021" t="inlineStr">
        <is>
          <t>5598806</t>
        </is>
      </c>
      <c r="E1021" t="inlineStr">
        <is>
          <t>2026-08</t>
        </is>
      </c>
      <c r="F1021" t="n">
        <v>200</v>
      </c>
      <c r="G1021" t="n">
        <v>236</v>
      </c>
      <c r="H1021">
        <f>הגדרות!B6</f>
        <v/>
      </c>
      <c r="I1021">
        <f>F1021*(1-H1021/100)*1.18</f>
        <v/>
      </c>
      <c r="J1021">
        <f>הגדרות!C6</f>
        <v/>
      </c>
      <c r="K1021">
        <f>הגדרות!D6</f>
        <v/>
      </c>
      <c r="L1021">
        <f>I1021*(1+J1021/100)+K1021</f>
        <v/>
      </c>
    </row>
    <row r="1022">
      <c r="A1022" t="inlineStr">
        <is>
          <t>וטמרקט</t>
        </is>
      </c>
      <c r="B1022" t="inlineStr">
        <is>
          <t>סנאפ CPL לבלב - כלב (5 בדיקות)</t>
        </is>
      </c>
      <c r="C1022" t="inlineStr">
        <is>
          <t>בדיקות מעבדה</t>
        </is>
      </c>
      <c r="D1022" t="inlineStr">
        <is>
          <t>5598921</t>
        </is>
      </c>
      <c r="E1022" t="inlineStr">
        <is>
          <t>2026-08</t>
        </is>
      </c>
      <c r="F1022" t="n">
        <v>436</v>
      </c>
      <c r="G1022" t="n">
        <v>514.48</v>
      </c>
      <c r="H1022">
        <f>הגדרות!B6</f>
        <v/>
      </c>
      <c r="I1022">
        <f>F1022*(1-H1022/100)*1.18</f>
        <v/>
      </c>
      <c r="J1022">
        <f>הגדרות!C6</f>
        <v/>
      </c>
      <c r="K1022">
        <f>הגדרות!D6</f>
        <v/>
      </c>
      <c r="L1022">
        <f>I1022*(1+J1022/100)+K1022</f>
        <v/>
      </c>
    </row>
    <row r="1023">
      <c r="A1023" t="inlineStr">
        <is>
          <t>וטמרקט</t>
        </is>
      </c>
      <c r="B1023" t="inlineStr">
        <is>
          <t>מבחנות EDTA וט-קולקט של איידקס</t>
        </is>
      </c>
      <c r="C1023" t="inlineStr">
        <is>
          <t>בדיקות מעבדה</t>
        </is>
      </c>
      <c r="D1023" t="inlineStr">
        <is>
          <t>5598948</t>
        </is>
      </c>
      <c r="E1023" t="inlineStr">
        <is>
          <t>2026-08</t>
        </is>
      </c>
      <c r="F1023" t="n">
        <v>168</v>
      </c>
      <c r="G1023" t="n">
        <v>198.24</v>
      </c>
      <c r="H1023">
        <f>הגדרות!B6</f>
        <v/>
      </c>
      <c r="I1023">
        <f>F1023*(1-H1023/100)*1.18</f>
        <v/>
      </c>
      <c r="J1023">
        <f>הגדרות!C6</f>
        <v/>
      </c>
      <c r="K1023">
        <f>הגדרות!D6</f>
        <v/>
      </c>
      <c r="L1023">
        <f>I1023*(1+J1023/100)+K1023</f>
        <v/>
      </c>
    </row>
    <row r="1024">
      <c r="A1024" t="inlineStr">
        <is>
          <t>וטמרקט</t>
        </is>
      </c>
      <c r="B1024" t="inlineStr">
        <is>
          <t>סנאפ 4DX ארליכיה ולישמניה - כלב (5 בדיקות)</t>
        </is>
      </c>
      <c r="C1024" t="inlineStr">
        <is>
          <t>בדיקות מעבדה</t>
        </is>
      </c>
      <c r="D1024" t="inlineStr">
        <is>
          <t>5598966</t>
        </is>
      </c>
      <c r="E1024" t="inlineStr">
        <is>
          <t>2026-08</t>
        </is>
      </c>
      <c r="F1024" t="n">
        <v>365</v>
      </c>
      <c r="G1024" t="n">
        <v>430.7</v>
      </c>
      <c r="H1024">
        <f>הגדרות!B6</f>
        <v/>
      </c>
      <c r="I1024">
        <f>F1024*(1-H1024/100)*1.18</f>
        <v/>
      </c>
      <c r="J1024">
        <f>הגדרות!C6</f>
        <v/>
      </c>
      <c r="K1024">
        <f>הגדרות!D6</f>
        <v/>
      </c>
      <c r="L1024">
        <f>I1024*(1+J1024/100)+K1024</f>
        <v/>
      </c>
    </row>
    <row r="1025">
      <c r="A1025" t="inlineStr">
        <is>
          <t>וטמרקט</t>
        </is>
      </c>
      <c r="B1025" t="inlineStr">
        <is>
          <t>מבחנת מיקרו עם ליתיום הפרין 1.3 ,LH מ"ל, פקק כתום דחיפה Sarstedt (100 מבחנות)</t>
        </is>
      </c>
      <c r="D1025" t="inlineStr">
        <is>
          <t>5599328</t>
        </is>
      </c>
      <c r="E1025" t="inlineStr">
        <is>
          <t>2026-08</t>
        </is>
      </c>
      <c r="F1025" t="n">
        <v>180</v>
      </c>
      <c r="G1025" t="n">
        <v>212.4</v>
      </c>
      <c r="H1025">
        <f>הגדרות!B6</f>
        <v/>
      </c>
      <c r="I1025">
        <f>F1025*(1-H1025/100)*1.18</f>
        <v/>
      </c>
      <c r="J1025">
        <f>הגדרות!C6</f>
        <v/>
      </c>
      <c r="K1025">
        <f>הגדרות!D6</f>
        <v/>
      </c>
      <c r="L1025">
        <f>I1025*(1+J1025/100)+K1025</f>
        <v/>
      </c>
    </row>
    <row r="1026">
      <c r="A1026" t="inlineStr">
        <is>
          <t>וטמרקט</t>
        </is>
      </c>
      <c r="B1026" t="inlineStr">
        <is>
          <t>כוסיות דגימה לקטליסט (450 יח')</t>
        </is>
      </c>
      <c r="D1026" t="inlineStr">
        <is>
          <t>5599374</t>
        </is>
      </c>
      <c r="E1026" t="inlineStr">
        <is>
          <t>2026-08</t>
        </is>
      </c>
      <c r="F1026" t="n">
        <v>284</v>
      </c>
      <c r="G1026" t="n">
        <v>335.12</v>
      </c>
      <c r="H1026">
        <f>הגדרות!B6</f>
        <v/>
      </c>
      <c r="I1026">
        <f>F1026*(1-H1026/100)*1.18</f>
        <v/>
      </c>
      <c r="J1026">
        <f>הגדרות!C6</f>
        <v/>
      </c>
      <c r="K1026">
        <f>הגדרות!D6</f>
        <v/>
      </c>
      <c r="L1026">
        <f>I1026*(1+J1026/100)+K1026</f>
        <v/>
      </c>
    </row>
    <row r="1027">
      <c r="A1027" t="inlineStr">
        <is>
          <t>וטמרקט</t>
        </is>
      </c>
      <c r="B1027" t="inlineStr">
        <is>
          <t>מבחנות ליתיום הפרין 1.3 (100 יחידות)</t>
        </is>
      </c>
      <c r="C1027" t="inlineStr">
        <is>
          <t>בדיקות מעבדה</t>
        </is>
      </c>
      <c r="D1027" t="inlineStr">
        <is>
          <t>5599380</t>
        </is>
      </c>
      <c r="E1027" t="inlineStr">
        <is>
          <t>2026-08</t>
        </is>
      </c>
      <c r="F1027" t="n">
        <v>217</v>
      </c>
      <c r="G1027" t="n">
        <v>256.06</v>
      </c>
      <c r="H1027">
        <f>הגדרות!B6</f>
        <v/>
      </c>
      <c r="I1027">
        <f>F1027*(1-H1027/100)*1.18</f>
        <v/>
      </c>
      <c r="J1027">
        <f>הגדרות!C6</f>
        <v/>
      </c>
      <c r="K1027">
        <f>הגדרות!D6</f>
        <v/>
      </c>
      <c r="L1027">
        <f>I1027*(1+J1027/100)+K1027</f>
        <v/>
      </c>
    </row>
    <row r="1028">
      <c r="A1028" t="inlineStr">
        <is>
          <t>וטמרקט</t>
        </is>
      </c>
      <c r="B1028" t="inlineStr">
        <is>
          <t>קטליסט סלייד LYTE 4 (מכיל 12 יח')</t>
        </is>
      </c>
      <c r="C1028" t="inlineStr">
        <is>
          <t>בדיקות מעבדה</t>
        </is>
      </c>
      <c r="D1028" t="inlineStr">
        <is>
          <t>5599382</t>
        </is>
      </c>
      <c r="E1028" t="inlineStr">
        <is>
          <t>2026-08</t>
        </is>
      </c>
      <c r="F1028" t="n">
        <v>600</v>
      </c>
      <c r="G1028" t="n">
        <v>708</v>
      </c>
      <c r="H1028">
        <f>הגדרות!B6</f>
        <v/>
      </c>
      <c r="I1028">
        <f>F1028*(1-H1028/100)*1.18</f>
        <v/>
      </c>
      <c r="J1028">
        <f>הגדרות!C6</f>
        <v/>
      </c>
      <c r="K1028">
        <f>הגדרות!D6</f>
        <v/>
      </c>
      <c r="L1028">
        <f>I1028*(1+J1028/100)+K1028</f>
        <v/>
      </c>
    </row>
    <row r="1029">
      <c r="A1029" t="inlineStr">
        <is>
          <t>וטמרקט</t>
        </is>
      </c>
      <c r="B1029" t="inlineStr">
        <is>
          <t>קטליסט סלייד CREA</t>
        </is>
      </c>
      <c r="D1029" t="inlineStr">
        <is>
          <t>5599384</t>
        </is>
      </c>
      <c r="E1029" t="inlineStr">
        <is>
          <t>2026-08</t>
        </is>
      </c>
      <c r="F1029" t="n">
        <v>23</v>
      </c>
      <c r="G1029" t="n">
        <v>27.14</v>
      </c>
      <c r="H1029">
        <f>הגדרות!B6</f>
        <v/>
      </c>
      <c r="I1029">
        <f>F1029*(1-H1029/100)*1.18</f>
        <v/>
      </c>
      <c r="J1029">
        <f>הגדרות!C6</f>
        <v/>
      </c>
      <c r="K1029">
        <f>הגדרות!D6</f>
        <v/>
      </c>
      <c r="L1029">
        <f>I1029*(1+J1029/100)+K1029</f>
        <v/>
      </c>
    </row>
    <row r="1030">
      <c r="A1030" t="inlineStr">
        <is>
          <t>וטמרקט</t>
        </is>
      </c>
      <c r="B1030" t="inlineStr">
        <is>
          <t>קטליסט סלייד ALT</t>
        </is>
      </c>
      <c r="C1030" t="inlineStr">
        <is>
          <t>בדיקות מעבדה</t>
        </is>
      </c>
      <c r="D1030" t="inlineStr">
        <is>
          <t>5599386</t>
        </is>
      </c>
      <c r="E1030" t="inlineStr">
        <is>
          <t>2026-08</t>
        </is>
      </c>
      <c r="F1030" t="n">
        <v>21</v>
      </c>
      <c r="G1030" t="n">
        <v>24.78</v>
      </c>
      <c r="H1030">
        <f>הגדרות!B6</f>
        <v/>
      </c>
      <c r="I1030">
        <f>F1030*(1-H1030/100)*1.18</f>
        <v/>
      </c>
      <c r="J1030">
        <f>הגדרות!C6</f>
        <v/>
      </c>
      <c r="K1030">
        <f>הגדרות!D6</f>
        <v/>
      </c>
      <c r="L1030">
        <f>I1030*(1+J1030/100)+K1030</f>
        <v/>
      </c>
    </row>
    <row r="1031">
      <c r="A1031" t="inlineStr">
        <is>
          <t>וטמרקט</t>
        </is>
      </c>
      <c r="B1031" t="inlineStr">
        <is>
          <t>קטליסט סלייד CHEM 10 (מכיל 12 יח')</t>
        </is>
      </c>
      <c r="C1031" t="inlineStr">
        <is>
          <t>בדיקות מעבדה</t>
        </is>
      </c>
      <c r="D1031" t="inlineStr">
        <is>
          <t>5599390</t>
        </is>
      </c>
      <c r="E1031" t="inlineStr">
        <is>
          <t>2026-08</t>
        </is>
      </c>
      <c r="F1031" t="n">
        <v>750</v>
      </c>
      <c r="G1031" t="n">
        <v>885</v>
      </c>
      <c r="H1031">
        <f>הגדרות!B6</f>
        <v/>
      </c>
      <c r="I1031">
        <f>F1031*(1-H1031/100)*1.18</f>
        <v/>
      </c>
      <c r="J1031">
        <f>הגדרות!C6</f>
        <v/>
      </c>
      <c r="K1031">
        <f>הגדרות!D6</f>
        <v/>
      </c>
      <c r="L1031">
        <f>I1031*(1+J1031/100)+K1031</f>
        <v/>
      </c>
    </row>
    <row r="1032">
      <c r="A1032" t="inlineStr">
        <is>
          <t>וטמרקט</t>
        </is>
      </c>
      <c r="B1032" t="inlineStr">
        <is>
          <t>קטליסט סלייד CHEM 17 (מכיל 12 יח')</t>
        </is>
      </c>
      <c r="C1032" t="inlineStr">
        <is>
          <t>בדיקות מעבדה</t>
        </is>
      </c>
      <c r="D1032" t="inlineStr">
        <is>
          <t>5599391</t>
        </is>
      </c>
      <c r="E1032" t="inlineStr">
        <is>
          <t>2026-08</t>
        </is>
      </c>
      <c r="F1032" t="n">
        <v>1506</v>
      </c>
      <c r="G1032" t="n">
        <v>1777.08</v>
      </c>
      <c r="H1032">
        <f>הגדרות!B6</f>
        <v/>
      </c>
      <c r="I1032">
        <f>F1032*(1-H1032/100)*1.18</f>
        <v/>
      </c>
      <c r="J1032">
        <f>הגדרות!C6</f>
        <v/>
      </c>
      <c r="K1032">
        <f>הגדרות!D6</f>
        <v/>
      </c>
      <c r="L1032">
        <f>I1032*(1+J1032/100)+K1032</f>
        <v/>
      </c>
    </row>
    <row r="1033">
      <c r="A1033" t="inlineStr">
        <is>
          <t>וטמרקט</t>
        </is>
      </c>
      <c r="B1033" t="inlineStr">
        <is>
          <t>קטליסט סלייד CK</t>
        </is>
      </c>
      <c r="D1033" t="inlineStr">
        <is>
          <t>5599400</t>
        </is>
      </c>
      <c r="E1033" t="inlineStr">
        <is>
          <t>2026-08</t>
        </is>
      </c>
      <c r="F1033" t="n">
        <v>22</v>
      </c>
      <c r="G1033" t="n">
        <v>25.96</v>
      </c>
      <c r="H1033">
        <f>הגדרות!B6</f>
        <v/>
      </c>
      <c r="I1033">
        <f>F1033*(1-H1033/100)*1.18</f>
        <v/>
      </c>
      <c r="J1033">
        <f>הגדרות!C6</f>
        <v/>
      </c>
      <c r="K1033">
        <f>הגדרות!D6</f>
        <v/>
      </c>
      <c r="L1033">
        <f>I1033*(1+J1033/100)+K1033</f>
        <v/>
      </c>
    </row>
    <row r="1034">
      <c r="A1034" t="inlineStr">
        <is>
          <t>וטמרקט</t>
        </is>
      </c>
      <c r="B1034" t="inlineStr">
        <is>
          <t>קיט למעבדת IDEXX ProCyte Dx</t>
        </is>
      </c>
      <c r="C1034" t="inlineStr">
        <is>
          <t>בדיקות מעבדה</t>
        </is>
      </c>
      <c r="D1034" t="inlineStr">
        <is>
          <t>5599411</t>
        </is>
      </c>
      <c r="E1034" t="inlineStr">
        <is>
          <t>2026-08</t>
        </is>
      </c>
      <c r="F1034" t="n">
        <v>1476</v>
      </c>
      <c r="G1034" t="n">
        <v>1741.68</v>
      </c>
      <c r="H1034">
        <f>הגדרות!B6</f>
        <v/>
      </c>
      <c r="I1034">
        <f>F1034*(1-H1034/100)*1.18</f>
        <v/>
      </c>
      <c r="J1034">
        <f>הגדרות!C6</f>
        <v/>
      </c>
      <c r="K1034">
        <f>הגדרות!D6</f>
        <v/>
      </c>
      <c r="L1034">
        <f>I1034*(1+J1034/100)+K1034</f>
        <v/>
      </c>
    </row>
    <row r="1035">
      <c r="A1035" t="inlineStr">
        <is>
          <t>וטמרקט</t>
        </is>
      </c>
      <c r="B1035" t="inlineStr">
        <is>
          <t>קטליסט סלייד PHBR + סלייד שטיפה (1 בדיקה)</t>
        </is>
      </c>
      <c r="D1035" t="inlineStr">
        <is>
          <t>5599422</t>
        </is>
      </c>
      <c r="E1035" t="inlineStr">
        <is>
          <t>2026-08</t>
        </is>
      </c>
      <c r="F1035" t="n">
        <v>99</v>
      </c>
      <c r="G1035" t="n">
        <v>116.82</v>
      </c>
      <c r="H1035">
        <f>הגדרות!B6</f>
        <v/>
      </c>
      <c r="I1035">
        <f>F1035*(1-H1035/100)*1.18</f>
        <v/>
      </c>
      <c r="J1035">
        <f>הגדרות!C6</f>
        <v/>
      </c>
      <c r="K1035">
        <f>הגדרות!D6</f>
        <v/>
      </c>
      <c r="L1035">
        <f>I1035*(1+J1035/100)+K1035</f>
        <v/>
      </c>
    </row>
    <row r="1036">
      <c r="A1036" t="inlineStr">
        <is>
          <t>וטמרקט</t>
        </is>
      </c>
      <c r="B1036" t="inlineStr">
        <is>
          <t>נוזל ניקוי לפרוסייט הידרוקלין</t>
        </is>
      </c>
      <c r="D1036" t="inlineStr">
        <is>
          <t>5599435</t>
        </is>
      </c>
      <c r="E1036" t="inlineStr">
        <is>
          <t>2026-08</t>
        </is>
      </c>
      <c r="F1036" t="n">
        <v>200</v>
      </c>
      <c r="G1036" t="n">
        <v>236</v>
      </c>
      <c r="H1036">
        <f>הגדרות!B6</f>
        <v/>
      </c>
      <c r="I1036">
        <f>F1036*(1-H1036/100)*1.18</f>
        <v/>
      </c>
      <c r="J1036">
        <f>הגדרות!C6</f>
        <v/>
      </c>
      <c r="K1036">
        <f>הגדרות!D6</f>
        <v/>
      </c>
      <c r="L1036">
        <f>I1036*(1+J1036/100)+K1036</f>
        <v/>
      </c>
    </row>
    <row r="1037">
      <c r="A1037" t="inlineStr">
        <is>
          <t>וטמרקט</t>
        </is>
      </c>
      <c r="B1037" t="inlineStr">
        <is>
          <t>קטליסט סלייד פרוקטוזאמין</t>
        </is>
      </c>
      <c r="C1037" t="inlineStr">
        <is>
          <t>בדיקות מעבדה</t>
        </is>
      </c>
      <c r="D1037" t="inlineStr">
        <is>
          <t>5599438</t>
        </is>
      </c>
      <c r="E1037" t="inlineStr">
        <is>
          <t>2026-08</t>
        </is>
      </c>
      <c r="F1037" t="n">
        <v>52</v>
      </c>
      <c r="G1037" t="n">
        <v>61.36</v>
      </c>
      <c r="H1037">
        <f>הגדרות!B6</f>
        <v/>
      </c>
      <c r="I1037">
        <f>F1037*(1-H1037/100)*1.18</f>
        <v/>
      </c>
      <c r="J1037">
        <f>הגדרות!C6</f>
        <v/>
      </c>
      <c r="K1037">
        <f>הגדרות!D6</f>
        <v/>
      </c>
      <c r="L1037">
        <f>I1037*(1+J1037/100)+K1037</f>
        <v/>
      </c>
    </row>
    <row r="1038">
      <c r="A1038" t="inlineStr">
        <is>
          <t>וטמרקט</t>
        </is>
      </c>
      <c r="B1038" t="inlineStr">
        <is>
          <t>סנאפ proBNP - חתול (5 בדיקות)</t>
        </is>
      </c>
      <c r="C1038" t="inlineStr">
        <is>
          <t>בדיקות מעבדה</t>
        </is>
      </c>
      <c r="D1038" t="inlineStr">
        <is>
          <t>5599447</t>
        </is>
      </c>
      <c r="E1038" t="inlineStr">
        <is>
          <t>2026-08</t>
        </is>
      </c>
      <c r="F1038" t="n">
        <v>469</v>
      </c>
      <c r="G1038" t="n">
        <v>553.42</v>
      </c>
      <c r="H1038">
        <f>הגדרות!B6</f>
        <v/>
      </c>
      <c r="I1038">
        <f>F1038*(1-H1038/100)*1.18</f>
        <v/>
      </c>
      <c r="J1038">
        <f>הגדרות!C6</f>
        <v/>
      </c>
      <c r="K1038">
        <f>הגדרות!D6</f>
        <v/>
      </c>
      <c r="L1038">
        <f>I1038*(1+J1038/100)+K1038</f>
        <v/>
      </c>
    </row>
    <row r="1039">
      <c r="A1039" t="inlineStr">
        <is>
          <t>וטמרקט</t>
        </is>
      </c>
      <c r="B1039" t="inlineStr">
        <is>
          <t>קטליסט סלייד TT4</t>
        </is>
      </c>
      <c r="D1039" t="inlineStr">
        <is>
          <t>5599452</t>
        </is>
      </c>
      <c r="E1039" t="inlineStr">
        <is>
          <t>2026-08</t>
        </is>
      </c>
      <c r="F1039" t="n">
        <v>80</v>
      </c>
      <c r="G1039" t="n">
        <v>94.40000000000001</v>
      </c>
      <c r="H1039">
        <f>הגדרות!B6</f>
        <v/>
      </c>
      <c r="I1039">
        <f>F1039*(1-H1039/100)*1.18</f>
        <v/>
      </c>
      <c r="J1039">
        <f>הגדרות!C6</f>
        <v/>
      </c>
      <c r="K1039">
        <f>הגדרות!D6</f>
        <v/>
      </c>
      <c r="L1039">
        <f>I1039*(1+J1039/100)+K1039</f>
        <v/>
      </c>
    </row>
    <row r="1040">
      <c r="A1040" t="inlineStr">
        <is>
          <t>וטמרקט</t>
        </is>
      </c>
      <c r="B1040" t="inlineStr">
        <is>
          <t>קטליסט סלייד CRP (מכיל 1 בדיקה)</t>
        </is>
      </c>
      <c r="C1040" t="inlineStr">
        <is>
          <t>בדיקות מעבדה</t>
        </is>
      </c>
      <c r="D1040" t="inlineStr">
        <is>
          <t>5599455</t>
        </is>
      </c>
      <c r="E1040" t="inlineStr">
        <is>
          <t>2026-08</t>
        </is>
      </c>
      <c r="F1040" t="n">
        <v>101</v>
      </c>
      <c r="G1040" t="n">
        <v>119.18</v>
      </c>
      <c r="H1040">
        <f>הגדרות!B6</f>
        <v/>
      </c>
      <c r="I1040">
        <f>F1040*(1-H1040/100)*1.18</f>
        <v/>
      </c>
      <c r="J1040">
        <f>הגדרות!C6</f>
        <v/>
      </c>
      <c r="K1040">
        <f>הגדרות!D6</f>
        <v/>
      </c>
      <c r="L1040">
        <f>I1040*(1+J1040/100)+K1040</f>
        <v/>
      </c>
    </row>
    <row r="1041">
      <c r="A1041" t="inlineStr">
        <is>
          <t>וטמרקט</t>
        </is>
      </c>
      <c r="B1041" t="inlineStr">
        <is>
          <t>קטליסט סלייד פרוגסטרון (1 יח')</t>
        </is>
      </c>
      <c r="D1041" t="inlineStr">
        <is>
          <t>5599503</t>
        </is>
      </c>
      <c r="E1041" t="inlineStr">
        <is>
          <t>2026-08</t>
        </is>
      </c>
      <c r="F1041" t="n">
        <v>118</v>
      </c>
      <c r="G1041" t="n">
        <v>139.24</v>
      </c>
      <c r="H1041">
        <f>הגדרות!B6</f>
        <v/>
      </c>
      <c r="I1041">
        <f>F1041*(1-H1041/100)*1.18</f>
        <v/>
      </c>
      <c r="J1041">
        <f>הגדרות!C6</f>
        <v/>
      </c>
      <c r="K1041">
        <f>הגדרות!D6</f>
        <v/>
      </c>
      <c r="L1041">
        <f>I1041*(1+J1041/100)+K1041</f>
        <v/>
      </c>
    </row>
    <row r="1042">
      <c r="A1042" t="inlineStr">
        <is>
          <t>וטמרקט</t>
        </is>
      </c>
      <c r="B1042" t="inlineStr">
        <is>
          <t>קטליסט סלייד 1 SDMA בדיקה</t>
        </is>
      </c>
      <c r="C1042" t="inlineStr">
        <is>
          <t>בדיקות מעבדה</t>
        </is>
      </c>
      <c r="D1042" t="inlineStr">
        <is>
          <t>5599530</t>
        </is>
      </c>
      <c r="E1042" t="inlineStr">
        <is>
          <t>2026-08</t>
        </is>
      </c>
      <c r="F1042" t="n">
        <v>87</v>
      </c>
      <c r="G1042" t="n">
        <v>102.66</v>
      </c>
      <c r="H1042">
        <f>הגדרות!B6</f>
        <v/>
      </c>
      <c r="I1042">
        <f>F1042*(1-H1042/100)*1.18</f>
        <v/>
      </c>
      <c r="J1042">
        <f>הגדרות!C6</f>
        <v/>
      </c>
      <c r="K1042">
        <f>הגדרות!D6</f>
        <v/>
      </c>
      <c r="L1042">
        <f>I1042*(1+J1042/100)+K1042</f>
        <v/>
      </c>
    </row>
    <row r="1043">
      <c r="A1043" t="inlineStr">
        <is>
          <t>וטמרקט</t>
        </is>
      </c>
      <c r="B1043" t="inlineStr">
        <is>
          <t>קטאליסט סלייד לבדיקת Pancreatic Lipase, סלייד 1</t>
        </is>
      </c>
      <c r="C1043" t="inlineStr">
        <is>
          <t>בדיקות מעבדה</t>
        </is>
      </c>
      <c r="D1043" t="inlineStr">
        <is>
          <t>5599535</t>
        </is>
      </c>
      <c r="E1043" t="inlineStr">
        <is>
          <t>2026-08</t>
        </is>
      </c>
      <c r="F1043" t="n">
        <v>95</v>
      </c>
      <c r="G1043" t="n">
        <v>112.1</v>
      </c>
      <c r="H1043">
        <f>הגדרות!B6</f>
        <v/>
      </c>
      <c r="I1043">
        <f>F1043*(1-H1043/100)*1.18</f>
        <v/>
      </c>
      <c r="J1043">
        <f>הגדרות!C6</f>
        <v/>
      </c>
      <c r="K1043">
        <f>הגדרות!D6</f>
        <v/>
      </c>
      <c r="L1043">
        <f>I1043*(1+J1043/100)+K1043</f>
        <v/>
      </c>
    </row>
    <row r="1044">
      <c r="A1044" t="inlineStr">
        <is>
          <t>מדי-מרקט</t>
        </is>
      </c>
      <c r="B1044" t="inlineStr">
        <is>
          <t>.Caps.Levo/Thyroxine  600 mcg 100 uni -נופק ע"י בית מרקחת</t>
        </is>
      </c>
      <c r="C1044" t="inlineStr">
        <is>
          <t>הכנות בית מרקחת</t>
        </is>
      </c>
      <c r="D1044" t="inlineStr">
        <is>
          <t>9523</t>
        </is>
      </c>
      <c r="E1044" t="inlineStr">
        <is>
          <t>2026-06</t>
        </is>
      </c>
      <c r="F1044" t="n">
        <v>93.22</v>
      </c>
      <c r="G1044" t="n">
        <v>110</v>
      </c>
      <c r="H1044">
        <f>הגדרות!B7</f>
        <v/>
      </c>
      <c r="I1044">
        <f>F1044*(1-H1044/100)*1.18</f>
        <v/>
      </c>
      <c r="J1044">
        <f>הגדרות!C7</f>
        <v/>
      </c>
      <c r="K1044">
        <f>הגדרות!D7</f>
        <v/>
      </c>
      <c r="L1044">
        <f>I1044*(1+J1044/100)+K1044</f>
        <v/>
      </c>
    </row>
    <row r="1045">
      <c r="A1045" t="inlineStr">
        <is>
          <t>מדי-מרקט</t>
        </is>
      </c>
      <c r="B1045" t="inlineStr">
        <is>
          <t>.MASK S F. USE W. RESPICHAMBER VHC BULK PAC -מסיכה מבוגר</t>
        </is>
      </c>
      <c r="C1045" t="inlineStr">
        <is>
          <t>ציוד ומכשור רפואי</t>
        </is>
      </c>
      <c r="D1045" t="inlineStr">
        <is>
          <t>3069917220</t>
        </is>
      </c>
      <c r="E1045" t="inlineStr">
        <is>
          <t>2026-06</t>
        </is>
      </c>
      <c r="F1045" t="n">
        <v>37.42</v>
      </c>
      <c r="G1045" t="n">
        <v>44.15</v>
      </c>
      <c r="H1045">
        <f>הגדרות!B7</f>
        <v/>
      </c>
      <c r="I1045">
        <f>F1045*(1-H1045/100)*1.18</f>
        <v/>
      </c>
      <c r="J1045">
        <f>הגדרות!C7</f>
        <v/>
      </c>
      <c r="K1045">
        <f>הגדרות!D7</f>
        <v/>
      </c>
      <c r="L1045">
        <f>I1045*(1+J1045/100)+K1045</f>
        <v/>
      </c>
    </row>
    <row r="1046">
      <c r="A1046" t="inlineStr">
        <is>
          <t>מדי-מרקט</t>
        </is>
      </c>
      <c r="B1046" t="inlineStr">
        <is>
          <t>.RESPICHAMBER L SILICONE MASK BULK PAC-תינוק</t>
        </is>
      </c>
      <c r="C1046" t="inlineStr">
        <is>
          <t>ציוד ומכשור רפואי</t>
        </is>
      </c>
      <c r="D1046" t="inlineStr">
        <is>
          <t>3069917234</t>
        </is>
      </c>
      <c r="E1046" t="inlineStr">
        <is>
          <t>2026-06</t>
        </is>
      </c>
      <c r="F1046" t="n">
        <v>37.42</v>
      </c>
      <c r="G1046" t="n">
        <v>44.15</v>
      </c>
      <c r="H1046">
        <f>הגדרות!B7</f>
        <v/>
      </c>
      <c r="I1046">
        <f>F1046*(1-H1046/100)*1.18</f>
        <v/>
      </c>
      <c r="J1046">
        <f>הגדרות!C7</f>
        <v/>
      </c>
      <c r="K1046">
        <f>הגדרות!D7</f>
        <v/>
      </c>
      <c r="L1046">
        <f>I1046*(1+J1046/100)+K1046</f>
        <v/>
      </c>
    </row>
    <row r="1047">
      <c r="A1047" t="inlineStr">
        <is>
          <t>מדי-מרקט</t>
        </is>
      </c>
      <c r="B1047" t="inlineStr">
        <is>
          <t>"KVP Soft Muzzle L   45-60KG  7.5 מחסום/זמם רך @</t>
        </is>
      </c>
      <c r="C1047" t="inlineStr">
        <is>
          <t>KVP</t>
        </is>
      </c>
      <c r="D1047" t="inlineStr">
        <is>
          <t>500-623</t>
        </is>
      </c>
      <c r="E1047" t="inlineStr">
        <is>
          <t>2026-06</t>
        </is>
      </c>
      <c r="F1047" t="n">
        <v>33.05</v>
      </c>
      <c r="G1047" t="n">
        <v>39</v>
      </c>
      <c r="H1047">
        <f>הגדרות!B7</f>
        <v/>
      </c>
      <c r="I1047">
        <f>F1047*(1-H1047/100)*1.18</f>
        <v/>
      </c>
      <c r="J1047">
        <f>הגדרות!C7</f>
        <v/>
      </c>
      <c r="K1047">
        <f>הגדרות!D7</f>
        <v/>
      </c>
      <c r="L1047">
        <f>I1047*(1+J1047/100)+K1047</f>
        <v/>
      </c>
    </row>
    <row r="1048">
      <c r="A1048" t="inlineStr">
        <is>
          <t>מדי-מרקט</t>
        </is>
      </c>
      <c r="B1048" t="inlineStr">
        <is>
          <t>"KVP Soft Muzzle M   25-45KG  6.5 מחסום/זמם רך @</t>
        </is>
      </c>
      <c r="C1048" t="inlineStr">
        <is>
          <t>KVP</t>
        </is>
      </c>
      <c r="D1048" t="inlineStr">
        <is>
          <t>500-622</t>
        </is>
      </c>
      <c r="E1048" t="inlineStr">
        <is>
          <t>2026-06</t>
        </is>
      </c>
      <c r="F1048" t="n">
        <v>13.82</v>
      </c>
      <c r="G1048" t="n">
        <v>16.31</v>
      </c>
      <c r="H1048">
        <f>הגדרות!B7</f>
        <v/>
      </c>
      <c r="I1048">
        <f>F1048*(1-H1048/100)*1.18</f>
        <v/>
      </c>
      <c r="J1048">
        <f>הגדרות!C7</f>
        <v/>
      </c>
      <c r="K1048">
        <f>הגדרות!D7</f>
        <v/>
      </c>
      <c r="L1048">
        <f>I1048*(1+J1048/100)+K1048</f>
        <v/>
      </c>
    </row>
    <row r="1049">
      <c r="A1049" t="inlineStr">
        <is>
          <t>מדי-מרקט</t>
        </is>
      </c>
      <c r="B1049" t="inlineStr">
        <is>
          <t>(FECAL SPECIMEN CONTAINER (empty,w/spoon, white מבחנה צואה</t>
        </is>
      </c>
      <c r="C1049" t="inlineStr">
        <is>
          <t>ציוד מעבדתי</t>
        </is>
      </c>
      <c r="D1049" t="inlineStr">
        <is>
          <t>31466</t>
        </is>
      </c>
      <c r="E1049" t="inlineStr">
        <is>
          <t>2026-06</t>
        </is>
      </c>
      <c r="F1049" t="n">
        <v>1.07</v>
      </c>
      <c r="G1049" t="n">
        <v>1.26</v>
      </c>
      <c r="H1049">
        <f>הגדרות!B7</f>
        <v/>
      </c>
      <c r="I1049">
        <f>F1049*(1-H1049/100)*1.18</f>
        <v/>
      </c>
      <c r="J1049">
        <f>הגדרות!C7</f>
        <v/>
      </c>
      <c r="K1049">
        <f>הגדרות!D7</f>
        <v/>
      </c>
      <c r="L1049">
        <f>I1049*(1+J1049/100)+K1049</f>
        <v/>
      </c>
    </row>
    <row r="1050">
      <c r="A1050" t="inlineStr">
        <is>
          <t>מדי-מרקט</t>
        </is>
      </c>
      <c r="B1050" t="inlineStr">
        <is>
          <t>(Isoket) Nitrolingual Spray</t>
        </is>
      </c>
      <c r="C1050" t="inlineStr">
        <is>
          <t>תרופות</t>
        </is>
      </c>
      <c r="D1050" t="inlineStr">
        <is>
          <t>4775</t>
        </is>
      </c>
      <c r="E1050" t="inlineStr">
        <is>
          <t>2026-06</t>
        </is>
      </c>
      <c r="F1050" t="n">
        <v>25.64</v>
      </c>
      <c r="G1050" t="n">
        <v>30.26</v>
      </c>
      <c r="H1050">
        <f>הגדרות!B7</f>
        <v/>
      </c>
      <c r="I1050">
        <f>F1050*(1-H1050/100)*1.18</f>
        <v/>
      </c>
      <c r="J1050">
        <f>הגדרות!C7</f>
        <v/>
      </c>
      <c r="K1050">
        <f>הגדרות!D7</f>
        <v/>
      </c>
      <c r="L1050">
        <f>I1050*(1+J1050/100)+K1050</f>
        <v/>
      </c>
    </row>
    <row r="1051">
      <c r="A1051" t="inlineStr">
        <is>
          <t>מדי-מרקט</t>
        </is>
      </c>
      <c r="B1051" t="inlineStr">
        <is>
          <t>(Mucolit) Mical 375 20 Tablets</t>
        </is>
      </c>
      <c r="C1051" t="inlineStr">
        <is>
          <t>תרופות</t>
        </is>
      </c>
      <c r="D1051" t="inlineStr">
        <is>
          <t>13403</t>
        </is>
      </c>
      <c r="E1051" t="inlineStr">
        <is>
          <t>2026-06</t>
        </is>
      </c>
      <c r="F1051" t="n">
        <v>29.66</v>
      </c>
      <c r="G1051" t="n">
        <v>35</v>
      </c>
      <c r="H1051">
        <f>הגדרות!B7</f>
        <v/>
      </c>
      <c r="I1051">
        <f>F1051*(1-H1051/100)*1.18</f>
        <v/>
      </c>
      <c r="J1051">
        <f>הגדרות!C7</f>
        <v/>
      </c>
      <c r="K1051">
        <f>הגדרות!D7</f>
        <v/>
      </c>
      <c r="L1051">
        <f>I1051*(1+J1051/100)+K1051</f>
        <v/>
      </c>
    </row>
    <row r="1052">
      <c r="A1052" t="inlineStr">
        <is>
          <t>מדי-מרקט</t>
        </is>
      </c>
      <c r="B1052" t="inlineStr">
        <is>
          <t>@ Enrofloxacin Medimarket 5% 100Ml Injection Veterinary</t>
        </is>
      </c>
      <c r="C1052" t="inlineStr">
        <is>
          <t>תרופות</t>
        </is>
      </c>
      <c r="D1052" t="inlineStr">
        <is>
          <t>M003752</t>
        </is>
      </c>
      <c r="E1052" t="inlineStr">
        <is>
          <t>2026-06</t>
        </is>
      </c>
      <c r="F1052" t="n">
        <v>127.12</v>
      </c>
      <c r="G1052" t="n">
        <v>150</v>
      </c>
      <c r="H1052">
        <f>הגדרות!B7</f>
        <v/>
      </c>
      <c r="I1052">
        <f>F1052*(1-H1052/100)*1.18</f>
        <v/>
      </c>
      <c r="J1052">
        <f>הגדרות!C7</f>
        <v/>
      </c>
      <c r="K1052">
        <f>הגדרות!D7</f>
        <v/>
      </c>
      <c r="L1052">
        <f>I1052*(1+J1052/100)+K1052</f>
        <v/>
      </c>
    </row>
    <row r="1053">
      <c r="A1053" t="inlineStr">
        <is>
          <t>מדי-מרקט</t>
        </is>
      </c>
      <c r="B1053" t="inlineStr">
        <is>
          <t>@ Vetaraxoid Pred 10Mg + Hydroxyzin20Mg 100 Caps</t>
        </is>
      </c>
      <c r="C1053" t="inlineStr">
        <is>
          <t>הכנות בית מרקחת</t>
        </is>
      </c>
      <c r="D1053" t="inlineStr">
        <is>
          <t>686</t>
        </is>
      </c>
      <c r="E1053" t="inlineStr">
        <is>
          <t>2026-06</t>
        </is>
      </c>
      <c r="F1053" t="n">
        <v>203.39</v>
      </c>
      <c r="G1053" t="n">
        <v>240</v>
      </c>
      <c r="H1053">
        <f>הגדרות!B7</f>
        <v/>
      </c>
      <c r="I1053">
        <f>F1053*(1-H1053/100)*1.18</f>
        <v/>
      </c>
      <c r="J1053">
        <f>הגדרות!C7</f>
        <v/>
      </c>
      <c r="K1053">
        <f>הגדרות!D7</f>
        <v/>
      </c>
      <c r="L1053">
        <f>I1053*(1+J1053/100)+K1053</f>
        <v/>
      </c>
    </row>
    <row r="1054">
      <c r="A1054" t="inlineStr">
        <is>
          <t>מדי-מרקט</t>
        </is>
      </c>
      <c r="B1054" t="inlineStr">
        <is>
          <t>@ סדיניה 30 60X90 יח' ארטזנה EGOSAN/SERENITY / PIC @</t>
        </is>
      </c>
      <c r="C1054" t="inlineStr">
        <is>
          <t>מוצרי נייר וניקוי</t>
        </is>
      </c>
      <c r="D1054" t="inlineStr">
        <is>
          <t>33262</t>
        </is>
      </c>
      <c r="E1054" t="inlineStr">
        <is>
          <t>2026-06</t>
        </is>
      </c>
      <c r="F1054" t="n">
        <v>33.75</v>
      </c>
      <c r="G1054" t="n">
        <v>39.83</v>
      </c>
      <c r="H1054">
        <f>הגדרות!B7</f>
        <v/>
      </c>
      <c r="I1054">
        <f>F1054*(1-H1054/100)*1.18</f>
        <v/>
      </c>
      <c r="J1054">
        <f>הגדרות!C7</f>
        <v/>
      </c>
      <c r="K1054">
        <f>הגדרות!D7</f>
        <v/>
      </c>
      <c r="L1054">
        <f>I1054*(1+J1054/100)+K1054</f>
        <v/>
      </c>
    </row>
    <row r="1055">
      <c r="A1055" t="inlineStr">
        <is>
          <t>מדי-מרקט</t>
        </is>
      </c>
      <c r="B1055" t="inlineStr">
        <is>
          <t>@ קרם סיליקון באריזת משאבה 1 ליטר- חדש</t>
        </is>
      </c>
      <c r="C1055" t="inlineStr">
        <is>
          <t>מוצרים משלימים הומני</t>
        </is>
      </c>
      <c r="D1055" t="inlineStr">
        <is>
          <t>44450</t>
        </is>
      </c>
      <c r="E1055" t="inlineStr">
        <is>
          <t>2026-06</t>
        </is>
      </c>
      <c r="F1055" t="n">
        <v>13.22</v>
      </c>
      <c r="G1055" t="n">
        <v>15.6</v>
      </c>
      <c r="H1055">
        <f>הגדרות!B7</f>
        <v/>
      </c>
      <c r="I1055">
        <f>F1055*(1-H1055/100)*1.18</f>
        <v/>
      </c>
      <c r="J1055">
        <f>הגדרות!C7</f>
        <v/>
      </c>
      <c r="K1055">
        <f>הגדרות!D7</f>
        <v/>
      </c>
      <c r="L1055">
        <f>I1055*(1+J1055/100)+K1055</f>
        <v/>
      </c>
    </row>
    <row r="1056">
      <c r="A1056" t="inlineStr">
        <is>
          <t>מדי-מרקט</t>
        </is>
      </c>
      <c r="B1056" t="inlineStr">
        <is>
          <t>@ שמפו היפואלרגני לשיער/עור עדין 250 מ"ל Herbaderm</t>
        </is>
      </c>
      <c r="C1056" t="inlineStr">
        <is>
          <t>מוצרים לטיפוח ונשיאת בע"ח</t>
        </is>
      </c>
      <c r="D1056" t="inlineStr">
        <is>
          <t>67-108</t>
        </is>
      </c>
      <c r="E1056" t="inlineStr">
        <is>
          <t>2026-06</t>
        </is>
      </c>
      <c r="F1056" t="n">
        <v>14.75</v>
      </c>
      <c r="G1056" t="n">
        <v>17.4</v>
      </c>
      <c r="H1056">
        <f>הגדרות!B7</f>
        <v/>
      </c>
      <c r="I1056">
        <f>F1056*(1-H1056/100)*1.18</f>
        <v/>
      </c>
      <c r="J1056">
        <f>הגדרות!C7</f>
        <v/>
      </c>
      <c r="K1056">
        <f>הגדרות!D7</f>
        <v/>
      </c>
      <c r="L1056">
        <f>I1056*(1+J1056/100)+K1056</f>
        <v/>
      </c>
    </row>
    <row r="1057">
      <c r="A1057" t="inlineStr">
        <is>
          <t>מדי-מרקט</t>
        </is>
      </c>
      <c r="B1057" t="inlineStr">
        <is>
          <t>@ שמפו צמחי לשיער רגיל עד שמן 250 מ"ל Herbaderm</t>
        </is>
      </c>
      <c r="C1057" t="inlineStr">
        <is>
          <t>מוצרים לטיפוח ונשיאת בע"ח</t>
        </is>
      </c>
      <c r="D1057" t="inlineStr">
        <is>
          <t>67-106</t>
        </is>
      </c>
      <c r="E1057" t="inlineStr">
        <is>
          <t>2026-06</t>
        </is>
      </c>
      <c r="F1057" t="n">
        <v>11.44</v>
      </c>
      <c r="G1057" t="n">
        <v>13.5</v>
      </c>
      <c r="H1057">
        <f>הגדרות!B7</f>
        <v/>
      </c>
      <c r="I1057">
        <f>F1057*(1-H1057/100)*1.18</f>
        <v/>
      </c>
      <c r="J1057">
        <f>הגדרות!C7</f>
        <v/>
      </c>
      <c r="K1057">
        <f>הגדרות!D7</f>
        <v/>
      </c>
      <c r="L1057">
        <f>I1057*(1+J1057/100)+K1057</f>
        <v/>
      </c>
    </row>
    <row r="1058">
      <c r="A1058" t="inlineStr">
        <is>
          <t>מדי-מרקט</t>
        </is>
      </c>
      <c r="B1058" t="inlineStr">
        <is>
          <t>@Cardisure (Pimobendan) 10 mg 100 tablets</t>
        </is>
      </c>
      <c r="C1058" t="inlineStr">
        <is>
          <t>29ג' וטרינרי</t>
        </is>
      </c>
      <c r="D1058" t="inlineStr">
        <is>
          <t>30120</t>
        </is>
      </c>
      <c r="E1058" t="inlineStr">
        <is>
          <t>2026-06</t>
        </is>
      </c>
      <c r="F1058" t="n">
        <v>300.85</v>
      </c>
      <c r="G1058" t="n">
        <v>355</v>
      </c>
      <c r="H1058">
        <f>הגדרות!B7</f>
        <v/>
      </c>
      <c r="I1058">
        <f>F1058*(1-H1058/100)*1.18</f>
        <v/>
      </c>
      <c r="J1058">
        <f>הגדרות!C7</f>
        <v/>
      </c>
      <c r="K1058">
        <f>הגדרות!D7</f>
        <v/>
      </c>
      <c r="L1058">
        <f>I1058*(1+J1058/100)+K1058</f>
        <v/>
      </c>
    </row>
    <row r="1059">
      <c r="A1059" t="inlineStr">
        <is>
          <t>מדי-מרקט</t>
        </is>
      </c>
      <c r="B1059" t="inlineStr">
        <is>
          <t>150 Pressure Line F/MLL, 150cm DEHP Free יח</t>
        </is>
      </c>
      <c r="C1059" t="inlineStr">
        <is>
          <t>ציוד ומכשור רפואי</t>
        </is>
      </c>
      <c r="D1059" t="inlineStr">
        <is>
          <t>AK-1150</t>
        </is>
      </c>
      <c r="E1059" t="inlineStr">
        <is>
          <t>2026-06</t>
        </is>
      </c>
      <c r="F1059" t="n">
        <v>767.67</v>
      </c>
      <c r="G1059" t="n">
        <v>905.85</v>
      </c>
      <c r="H1059">
        <f>הגדרות!B7</f>
        <v/>
      </c>
      <c r="I1059">
        <f>F1059*(1-H1059/100)*1.18</f>
        <v/>
      </c>
      <c r="J1059">
        <f>הגדרות!C7</f>
        <v/>
      </c>
      <c r="K1059">
        <f>הגדרות!D7</f>
        <v/>
      </c>
      <c r="L1059">
        <f>I1059*(1+J1059/100)+K1059</f>
        <v/>
      </c>
    </row>
    <row r="1060">
      <c r="A1060" t="inlineStr">
        <is>
          <t>מדי-מרקט</t>
        </is>
      </c>
      <c r="B1060" t="inlineStr">
        <is>
          <t>2.5m umec12 vet צינורית לקפנו מבוגר, 1 יח'</t>
        </is>
      </c>
      <c r="C1060" t="inlineStr">
        <is>
          <t>Mindray</t>
        </is>
      </c>
      <c r="D1060" t="inlineStr">
        <is>
          <t>115-043017-00</t>
        </is>
      </c>
      <c r="E1060" t="inlineStr">
        <is>
          <t>2026-06</t>
        </is>
      </c>
      <c r="F1060" t="n">
        <v>46.61</v>
      </c>
      <c r="G1060" t="n">
        <v>55</v>
      </c>
      <c r="H1060">
        <f>הגדרות!B7</f>
        <v/>
      </c>
      <c r="I1060">
        <f>F1060*(1-H1060/100)*1.18</f>
        <v/>
      </c>
      <c r="J1060">
        <f>הגדרות!C7</f>
        <v/>
      </c>
      <c r="K1060">
        <f>הגדרות!D7</f>
        <v/>
      </c>
      <c r="L1060">
        <f>I1060*(1+J1060/100)+K1060</f>
        <v/>
      </c>
    </row>
    <row r="1061">
      <c r="A1061" t="inlineStr">
        <is>
          <t>מדי-מרקט</t>
        </is>
      </c>
      <c r="B1061" t="inlineStr">
        <is>
          <t>29 - BUPIVACAINE 5MG WITH ADRENALINE 5MCR X 10ג'</t>
        </is>
      </c>
      <c r="C1061" t="inlineStr">
        <is>
          <t>29 יבוא תרופות הומניות חו"ל</t>
        </is>
      </c>
      <c r="D1061" t="inlineStr">
        <is>
          <t>2195</t>
        </is>
      </c>
      <c r="E1061" t="inlineStr">
        <is>
          <t>2026-06</t>
        </is>
      </c>
      <c r="F1061" t="n">
        <v>177.97</v>
      </c>
      <c r="G1061" t="n">
        <v>210</v>
      </c>
      <c r="H1061">
        <f>הגדרות!B7</f>
        <v/>
      </c>
      <c r="I1061">
        <f>F1061*(1-H1061/100)*1.18</f>
        <v/>
      </c>
      <c r="J1061">
        <f>הגדרות!C7</f>
        <v/>
      </c>
      <c r="K1061">
        <f>הגדרות!D7</f>
        <v/>
      </c>
      <c r="L1061">
        <f>I1061*(1+J1061/100)+K1061</f>
        <v/>
      </c>
    </row>
    <row r="1062">
      <c r="A1062" t="inlineStr">
        <is>
          <t>מדי-מרקט</t>
        </is>
      </c>
      <c r="B1062" t="inlineStr">
        <is>
          <t>29 - PROMEROL (METOPROLOL)1mg/1ml  10 ampoules x 5 mlג'</t>
        </is>
      </c>
      <c r="C1062" t="inlineStr">
        <is>
          <t>29 יבוא תרופות הומניות חו"ל</t>
        </is>
      </c>
      <c r="D1062" t="inlineStr">
        <is>
          <t>56985236</t>
        </is>
      </c>
      <c r="E1062" t="inlineStr">
        <is>
          <t>2026-06</t>
        </is>
      </c>
      <c r="F1062" t="n">
        <v>64.06999999999999</v>
      </c>
      <c r="G1062" t="n">
        <v>75.59999999999999</v>
      </c>
      <c r="H1062">
        <f>הגדרות!B7</f>
        <v/>
      </c>
      <c r="I1062">
        <f>F1062*(1-H1062/100)*1.18</f>
        <v/>
      </c>
      <c r="J1062">
        <f>הגדרות!C7</f>
        <v/>
      </c>
      <c r="K1062">
        <f>הגדרות!D7</f>
        <v/>
      </c>
      <c r="L1062">
        <f>I1062*(1+J1062/100)+K1062</f>
        <v/>
      </c>
    </row>
    <row r="1063">
      <c r="A1063" t="inlineStr">
        <is>
          <t>מדי-מרקט</t>
        </is>
      </c>
      <c r="B1063" t="inlineStr">
        <is>
          <t>29 PROPRANOLOL/Dociton1MG X 10INג'</t>
        </is>
      </c>
      <c r="C1063" t="inlineStr">
        <is>
          <t>29 יבוא תרופות הומניות חו"ל</t>
        </is>
      </c>
      <c r="D1063" t="inlineStr">
        <is>
          <t>23579-1</t>
        </is>
      </c>
      <c r="E1063" t="inlineStr">
        <is>
          <t>2026-06</t>
        </is>
      </c>
      <c r="F1063" t="n">
        <v>189.24</v>
      </c>
      <c r="G1063" t="n">
        <v>223.3</v>
      </c>
      <c r="H1063">
        <f>הגדרות!B7</f>
        <v/>
      </c>
      <c r="I1063">
        <f>F1063*(1-H1063/100)*1.18</f>
        <v/>
      </c>
      <c r="J1063">
        <f>הגדרות!C7</f>
        <v/>
      </c>
      <c r="K1063">
        <f>הגדרות!D7</f>
        <v/>
      </c>
      <c r="L1063">
        <f>I1063*(1+J1063/100)+K1063</f>
        <v/>
      </c>
    </row>
    <row r="1064">
      <c r="A1064" t="inlineStr">
        <is>
          <t>מדי-מרקט</t>
        </is>
      </c>
      <c r="B1064" t="inlineStr">
        <is>
          <t>29- Cicloplegicedol (Cyclopento te) 1% 5mlג'</t>
        </is>
      </c>
      <c r="C1064" t="inlineStr">
        <is>
          <t>29 יבוא תרופות הומניות חו"ל</t>
        </is>
      </c>
      <c r="D1064" t="inlineStr">
        <is>
          <t>96857456</t>
        </is>
      </c>
      <c r="E1064" t="inlineStr">
        <is>
          <t>2026-06</t>
        </is>
      </c>
      <c r="F1064" t="n">
        <v>5.88</v>
      </c>
      <c r="G1064" t="n">
        <v>6.94</v>
      </c>
      <c r="H1064">
        <f>הגדרות!B7</f>
        <v/>
      </c>
      <c r="I1064">
        <f>F1064*(1-H1064/100)*1.18</f>
        <v/>
      </c>
      <c r="J1064">
        <f>הגדרות!C7</f>
        <v/>
      </c>
      <c r="K1064">
        <f>הגדרות!D7</f>
        <v/>
      </c>
      <c r="L1064">
        <f>I1064*(1+J1064/100)+K1064</f>
        <v/>
      </c>
    </row>
    <row r="1065">
      <c r="A1065" t="inlineStr">
        <is>
          <t>מדי-מרקט</t>
        </is>
      </c>
      <c r="B1065" t="inlineStr">
        <is>
          <t>29- LANOXIN 0.5MG/2ML INJ X 6AMPג'</t>
        </is>
      </c>
      <c r="C1065" t="inlineStr">
        <is>
          <t>29 יבוא תרופות הומניות חו"ל</t>
        </is>
      </c>
      <c r="D1065" t="inlineStr">
        <is>
          <t>1166-1</t>
        </is>
      </c>
      <c r="E1065" t="inlineStr">
        <is>
          <t>2026-06</t>
        </is>
      </c>
      <c r="F1065" t="n">
        <v>33.05</v>
      </c>
      <c r="G1065" t="n">
        <v>39</v>
      </c>
      <c r="H1065">
        <f>הגדרות!B7</f>
        <v/>
      </c>
      <c r="I1065">
        <f>F1065*(1-H1065/100)*1.18</f>
        <v/>
      </c>
      <c r="J1065">
        <f>הגדרות!C7</f>
        <v/>
      </c>
      <c r="K1065">
        <f>הגדרות!D7</f>
        <v/>
      </c>
      <c r="L1065">
        <f>I1065*(1+J1065/100)+K1065</f>
        <v/>
      </c>
    </row>
    <row r="1066">
      <c r="A1066" t="inlineStr">
        <is>
          <t>מדי-מרקט</t>
        </is>
      </c>
      <c r="B1066" t="inlineStr">
        <is>
          <t>29) HYDRALAZINE 20MG INJ*5 ג') HYDRAPRESS</t>
        </is>
      </c>
      <c r="C1066" t="inlineStr">
        <is>
          <t>29 יבוא תרופות הומניות חו"ל</t>
        </is>
      </c>
      <c r="D1066" t="inlineStr">
        <is>
          <t>98021</t>
        </is>
      </c>
      <c r="E1066" t="inlineStr">
        <is>
          <t>2026-06</t>
        </is>
      </c>
      <c r="F1066" t="n">
        <v>82.2</v>
      </c>
      <c r="G1066" t="n">
        <v>97</v>
      </c>
      <c r="H1066">
        <f>הגדרות!B7</f>
        <v/>
      </c>
      <c r="I1066">
        <f>F1066*(1-H1066/100)*1.18</f>
        <v/>
      </c>
      <c r="J1066">
        <f>הגדרות!C7</f>
        <v/>
      </c>
      <c r="K1066">
        <f>הגדרות!D7</f>
        <v/>
      </c>
      <c r="L1066">
        <f>I1066*(1+J1066/100)+K1066</f>
        <v/>
      </c>
    </row>
    <row r="1067">
      <c r="A1067" t="inlineStr">
        <is>
          <t>מדי-מרקט</t>
        </is>
      </c>
      <c r="B1067" t="inlineStr">
        <is>
          <t>29ג'  RECOTHROM 5,000 units vial</t>
        </is>
      </c>
      <c r="C1067" t="inlineStr">
        <is>
          <t>29 יבוא תרופות הומניות חו"ל</t>
        </is>
      </c>
      <c r="D1067" t="inlineStr">
        <is>
          <t>43825-606-41</t>
        </is>
      </c>
      <c r="E1067" t="inlineStr">
        <is>
          <t>2026-06</t>
        </is>
      </c>
      <c r="F1067" t="n">
        <v>202.5</v>
      </c>
      <c r="G1067" t="n">
        <v>238.95</v>
      </c>
      <c r="H1067">
        <f>הגדרות!B7</f>
        <v/>
      </c>
      <c r="I1067">
        <f>F1067*(1-H1067/100)*1.18</f>
        <v/>
      </c>
      <c r="J1067">
        <f>הגדרות!C7</f>
        <v/>
      </c>
      <c r="K1067">
        <f>הגדרות!D7</f>
        <v/>
      </c>
      <c r="L1067">
        <f>I1067*(1+J1067/100)+K1067</f>
        <v/>
      </c>
    </row>
    <row r="1068">
      <c r="A1068" t="inlineStr">
        <is>
          <t>מדי-מרקט</t>
        </is>
      </c>
      <c r="B1068" t="inlineStr">
        <is>
          <t>31GX8MM BX100 מחט לעט אינסולין PIC</t>
        </is>
      </c>
      <c r="C1068" t="inlineStr">
        <is>
          <t>מזרקים,מחטים,ונפלונים,סקלפלים</t>
        </is>
      </c>
      <c r="D1068" t="inlineStr">
        <is>
          <t>302214-1</t>
        </is>
      </c>
      <c r="E1068" t="inlineStr">
        <is>
          <t>2026-06</t>
        </is>
      </c>
      <c r="F1068" t="n">
        <v>88.98</v>
      </c>
      <c r="G1068" t="n">
        <v>105</v>
      </c>
      <c r="H1068">
        <f>הגדרות!B7</f>
        <v/>
      </c>
      <c r="I1068">
        <f>F1068*(1-H1068/100)*1.18</f>
        <v/>
      </c>
      <c r="J1068">
        <f>הגדרות!C7</f>
        <v/>
      </c>
      <c r="K1068">
        <f>הגדרות!D7</f>
        <v/>
      </c>
      <c r="L1068">
        <f>I1068*(1+J1068/100)+K1068</f>
        <v/>
      </c>
    </row>
    <row r="1069">
      <c r="A1069" t="inlineStr">
        <is>
          <t>מדי-מרקט</t>
        </is>
      </c>
      <c r="B1069" t="inlineStr">
        <is>
          <t>4 Way Stopcock with 25cm Extension Line</t>
        </is>
      </c>
      <c r="C1069" t="inlineStr">
        <is>
          <t>ציוד ומכשור רפואי</t>
        </is>
      </c>
      <c r="D1069" t="inlineStr">
        <is>
          <t>CR4025</t>
        </is>
      </c>
      <c r="E1069" t="inlineStr">
        <is>
          <t>2026-06</t>
        </is>
      </c>
      <c r="F1069" t="n">
        <v>1200.13</v>
      </c>
      <c r="G1069" t="n">
        <v>1416.15</v>
      </c>
      <c r="H1069">
        <f>הגדרות!B7</f>
        <v/>
      </c>
      <c r="I1069">
        <f>F1069*(1-H1069/100)*1.18</f>
        <v/>
      </c>
      <c r="J1069">
        <f>הגדרות!C7</f>
        <v/>
      </c>
      <c r="K1069">
        <f>הגדרות!D7</f>
        <v/>
      </c>
      <c r="L1069">
        <f>I1069*(1+J1069/100)+K1069</f>
        <v/>
      </c>
    </row>
    <row r="1070">
      <c r="A1070" t="inlineStr">
        <is>
          <t>מדי-מרקט</t>
        </is>
      </c>
      <c r="B1070" t="inlineStr">
        <is>
          <t>5 meter double shield cable כבל משקל/צג</t>
        </is>
      </c>
      <c r="C1070" t="inlineStr">
        <is>
          <t>אביזרים, חלקים ושונות</t>
        </is>
      </c>
      <c r="D1070" t="inlineStr">
        <is>
          <t>cable</t>
        </is>
      </c>
      <c r="E1070" t="inlineStr">
        <is>
          <t>2026-06</t>
        </is>
      </c>
      <c r="F1070" t="n">
        <v>211.86</v>
      </c>
      <c r="G1070" t="n">
        <v>250</v>
      </c>
      <c r="H1070">
        <f>הגדרות!B7</f>
        <v/>
      </c>
      <c r="I1070">
        <f>F1070*(1-H1070/100)*1.18</f>
        <v/>
      </c>
      <c r="J1070">
        <f>הגדרות!C7</f>
        <v/>
      </c>
      <c r="K1070">
        <f>הגדרות!D7</f>
        <v/>
      </c>
      <c r="L1070">
        <f>I1070*(1+J1070/100)+K1070</f>
        <v/>
      </c>
    </row>
    <row r="1071">
      <c r="A1071" t="inlineStr">
        <is>
          <t>מדי-מרקט</t>
        </is>
      </c>
      <c r="B1071" t="inlineStr">
        <is>
          <t>50 15 parameters Strips-15 for UA-60V סטיקים למכשיר</t>
        </is>
      </c>
      <c r="C1071" t="inlineStr">
        <is>
          <t>Mindray</t>
        </is>
      </c>
      <c r="D1071" t="inlineStr">
        <is>
          <t>100-000465-00</t>
        </is>
      </c>
      <c r="E1071" t="inlineStr">
        <is>
          <t>2026-06</t>
        </is>
      </c>
      <c r="F1071" t="n">
        <v>144.07</v>
      </c>
      <c r="G1071" t="n">
        <v>170</v>
      </c>
      <c r="H1071">
        <f>הגדרות!B7</f>
        <v/>
      </c>
      <c r="I1071">
        <f>F1071*(1-H1071/100)*1.18</f>
        <v/>
      </c>
      <c r="J1071">
        <f>הגדרות!C7</f>
        <v/>
      </c>
      <c r="K1071">
        <f>הגדרות!D7</f>
        <v/>
      </c>
      <c r="L1071">
        <f>I1071*(1+J1071/100)+K1071</f>
        <v/>
      </c>
    </row>
    <row r="1072">
      <c r="A1072" t="inlineStr">
        <is>
          <t>מדי-מרקט</t>
        </is>
      </c>
      <c r="B1072" t="inlineStr">
        <is>
          <t>Abitren Teva 75Mg/3Ml 10 Amp</t>
        </is>
      </c>
      <c r="C1072" t="inlineStr">
        <is>
          <t>תרופות</t>
        </is>
      </c>
      <c r="D1072" t="inlineStr">
        <is>
          <t>6684</t>
        </is>
      </c>
      <c r="E1072" t="inlineStr">
        <is>
          <t>2026-06</t>
        </is>
      </c>
      <c r="F1072" t="n">
        <v>23.31</v>
      </c>
      <c r="G1072" t="n">
        <v>27.5</v>
      </c>
      <c r="H1072">
        <f>הגדרות!B7</f>
        <v/>
      </c>
      <c r="I1072">
        <f>F1072*(1-H1072/100)*1.18</f>
        <v/>
      </c>
      <c r="J1072">
        <f>הגדרות!C7</f>
        <v/>
      </c>
      <c r="K1072">
        <f>הגדרות!D7</f>
        <v/>
      </c>
      <c r="L1072">
        <f>I1072*(1+J1072/100)+K1072</f>
        <v/>
      </c>
    </row>
    <row r="1073">
      <c r="A1073" t="inlineStr">
        <is>
          <t>מדי-מרקט</t>
        </is>
      </c>
      <c r="B1073" t="inlineStr">
        <is>
          <t>Abraxane 5Mg/Ml 100 Mg</t>
        </is>
      </c>
      <c r="C1073" t="inlineStr">
        <is>
          <t>תרופות</t>
        </is>
      </c>
      <c r="D1073" t="inlineStr">
        <is>
          <t>107428001</t>
        </is>
      </c>
      <c r="E1073" t="inlineStr">
        <is>
          <t>2026-06</t>
        </is>
      </c>
      <c r="F1073" t="n">
        <v>1059.32</v>
      </c>
      <c r="G1073" t="n">
        <v>1250</v>
      </c>
      <c r="H1073">
        <f>הגדרות!B7</f>
        <v/>
      </c>
      <c r="I1073">
        <f>F1073*(1-H1073/100)*1.18</f>
        <v/>
      </c>
      <c r="J1073">
        <f>הגדרות!C7</f>
        <v/>
      </c>
      <c r="K1073">
        <f>הגדרות!D7</f>
        <v/>
      </c>
      <c r="L1073">
        <f>I1073*(1+J1073/100)+K1073</f>
        <v/>
      </c>
    </row>
    <row r="1074">
      <c r="A1074" t="inlineStr">
        <is>
          <t>מדי-מרקט</t>
        </is>
      </c>
      <c r="B1074" t="inlineStr">
        <is>
          <t>Abrol 500Mg X 20Tabs</t>
        </is>
      </c>
      <c r="C1074" t="inlineStr">
        <is>
          <t>תרופות</t>
        </is>
      </c>
      <c r="D1074" t="inlineStr">
        <is>
          <t>5147</t>
        </is>
      </c>
      <c r="E1074" t="inlineStr">
        <is>
          <t>2026-06</t>
        </is>
      </c>
      <c r="F1074" t="n">
        <v>3.31</v>
      </c>
      <c r="G1074" t="n">
        <v>3.9</v>
      </c>
      <c r="H1074">
        <f>הגדרות!B7</f>
        <v/>
      </c>
      <c r="I1074">
        <f>F1074*(1-H1074/100)*1.18</f>
        <v/>
      </c>
      <c r="J1074">
        <f>הגדרות!C7</f>
        <v/>
      </c>
      <c r="K1074">
        <f>הגדרות!D7</f>
        <v/>
      </c>
      <c r="L1074">
        <f>I1074*(1+J1074/100)+K1074</f>
        <v/>
      </c>
    </row>
    <row r="1075">
      <c r="A1075" t="inlineStr">
        <is>
          <t>מדי-מרקט</t>
        </is>
      </c>
      <c r="B1075" t="inlineStr">
        <is>
          <t>Acamol 500Gm X 20Tabs</t>
        </is>
      </c>
      <c r="C1075" t="inlineStr">
        <is>
          <t>תרופות</t>
        </is>
      </c>
      <c r="D1075" t="inlineStr">
        <is>
          <t>105007</t>
        </is>
      </c>
      <c r="E1075" t="inlineStr">
        <is>
          <t>2026-06</t>
        </is>
      </c>
      <c r="F1075" t="n">
        <v>7.63</v>
      </c>
      <c r="G1075" t="n">
        <v>9</v>
      </c>
      <c r="H1075">
        <f>הגדרות!B7</f>
        <v/>
      </c>
      <c r="I1075">
        <f>F1075*(1-H1075/100)*1.18</f>
        <v/>
      </c>
      <c r="J1075">
        <f>הגדרות!C7</f>
        <v/>
      </c>
      <c r="K1075">
        <f>הגדרות!D7</f>
        <v/>
      </c>
      <c r="L1075">
        <f>I1075*(1+J1075/100)+K1075</f>
        <v/>
      </c>
    </row>
    <row r="1076">
      <c r="A1076" t="inlineStr">
        <is>
          <t>מדי-מרקט</t>
        </is>
      </c>
      <c r="B1076" t="inlineStr">
        <is>
          <t>Acamol Caplets 30</t>
        </is>
      </c>
      <c r="C1076" t="inlineStr">
        <is>
          <t>תרופות</t>
        </is>
      </c>
      <c r="D1076" t="inlineStr">
        <is>
          <t>5005-1</t>
        </is>
      </c>
      <c r="E1076" t="inlineStr">
        <is>
          <t>2026-06</t>
        </is>
      </c>
      <c r="F1076" t="n">
        <v>17.2</v>
      </c>
      <c r="G1076" t="n">
        <v>20.3</v>
      </c>
      <c r="H1076">
        <f>הגדרות!B7</f>
        <v/>
      </c>
      <c r="I1076">
        <f>F1076*(1-H1076/100)*1.18</f>
        <v/>
      </c>
      <c r="J1076">
        <f>הגדרות!C7</f>
        <v/>
      </c>
      <c r="K1076">
        <f>הגדרות!D7</f>
        <v/>
      </c>
      <c r="L1076">
        <f>I1076*(1+J1076/100)+K1076</f>
        <v/>
      </c>
    </row>
    <row r="1077">
      <c r="A1077" t="inlineStr">
        <is>
          <t>מדי-מרקט</t>
        </is>
      </c>
      <c r="B1077" t="inlineStr">
        <is>
          <t>Acamol Caplets 50</t>
        </is>
      </c>
      <c r="C1077" t="inlineStr">
        <is>
          <t>תרופות</t>
        </is>
      </c>
      <c r="D1077" t="inlineStr">
        <is>
          <t>5006</t>
        </is>
      </c>
      <c r="E1077" t="inlineStr">
        <is>
          <t>2026-06</t>
        </is>
      </c>
      <c r="F1077" t="n">
        <v>21.47</v>
      </c>
      <c r="G1077" t="n">
        <v>25.33</v>
      </c>
      <c r="H1077">
        <f>הגדרות!B7</f>
        <v/>
      </c>
      <c r="I1077">
        <f>F1077*(1-H1077/100)*1.18</f>
        <v/>
      </c>
      <c r="J1077">
        <f>הגדרות!C7</f>
        <v/>
      </c>
      <c r="K1077">
        <f>הגדרות!D7</f>
        <v/>
      </c>
      <c r="L1077">
        <f>I1077*(1+J1077/100)+K1077</f>
        <v/>
      </c>
    </row>
    <row r="1078">
      <c r="A1078" t="inlineStr">
        <is>
          <t>מדי-מרקט</t>
        </is>
      </c>
      <c r="B1078" t="inlineStr">
        <is>
          <t>Acamoli Forte Straw /Tutti-Frutti 250Mg/5Ml 100Ml.Syr</t>
        </is>
      </c>
      <c r="C1078" t="inlineStr">
        <is>
          <t>תרופות</t>
        </is>
      </c>
      <c r="D1078" t="inlineStr">
        <is>
          <t>5009</t>
        </is>
      </c>
      <c r="E1078" t="inlineStr">
        <is>
          <t>2026-06</t>
        </is>
      </c>
      <c r="F1078" t="n">
        <v>20.66</v>
      </c>
      <c r="G1078" t="n">
        <v>24.38</v>
      </c>
      <c r="H1078">
        <f>הגדרות!B7</f>
        <v/>
      </c>
      <c r="I1078">
        <f>F1078*(1-H1078/100)*1.18</f>
        <v/>
      </c>
      <c r="J1078">
        <f>הגדרות!C7</f>
        <v/>
      </c>
      <c r="K1078">
        <f>הגדרות!D7</f>
        <v/>
      </c>
      <c r="L1078">
        <f>I1078*(1+J1078/100)+K1078</f>
        <v/>
      </c>
    </row>
    <row r="1079">
      <c r="A1079" t="inlineStr">
        <is>
          <t>מדי-מרקט</t>
        </is>
      </c>
      <c r="B1079" t="inlineStr">
        <is>
          <t>Aceril 12.5Mg X 90Tabs</t>
        </is>
      </c>
      <c r="C1079" t="inlineStr">
        <is>
          <t>תרופות</t>
        </is>
      </c>
      <c r="D1079" t="inlineStr">
        <is>
          <t>12111</t>
        </is>
      </c>
      <c r="E1079" t="inlineStr">
        <is>
          <t>2026-06</t>
        </is>
      </c>
      <c r="F1079" t="n">
        <v>11.06</v>
      </c>
      <c r="G1079" t="n">
        <v>13.05</v>
      </c>
      <c r="H1079">
        <f>הגדרות!B7</f>
        <v/>
      </c>
      <c r="I1079">
        <f>F1079*(1-H1079/100)*1.18</f>
        <v/>
      </c>
      <c r="J1079">
        <f>הגדרות!C7</f>
        <v/>
      </c>
      <c r="K1079">
        <f>הגדרות!D7</f>
        <v/>
      </c>
      <c r="L1079">
        <f>I1079*(1+J1079/100)+K1079</f>
        <v/>
      </c>
    </row>
    <row r="1080">
      <c r="A1080" t="inlineStr">
        <is>
          <t>מדי-מרקט</t>
        </is>
      </c>
      <c r="B1080" t="inlineStr">
        <is>
          <t>Aceril 25Mg X 90Tabs</t>
        </is>
      </c>
      <c r="C1080" t="inlineStr">
        <is>
          <t>תרופות</t>
        </is>
      </c>
      <c r="D1080" t="inlineStr">
        <is>
          <t>1304215</t>
        </is>
      </c>
      <c r="E1080" t="inlineStr">
        <is>
          <t>2026-06</t>
        </is>
      </c>
      <c r="F1080" t="n">
        <v>19.49</v>
      </c>
      <c r="G1080" t="n">
        <v>23</v>
      </c>
      <c r="H1080">
        <f>הגדרות!B7</f>
        <v/>
      </c>
      <c r="I1080">
        <f>F1080*(1-H1080/100)*1.18</f>
        <v/>
      </c>
      <c r="J1080">
        <f>הגדרות!C7</f>
        <v/>
      </c>
      <c r="K1080">
        <f>הגדרות!D7</f>
        <v/>
      </c>
      <c r="L1080">
        <f>I1080*(1+J1080/100)+K1080</f>
        <v/>
      </c>
    </row>
    <row r="1081">
      <c r="A1081" t="inlineStr">
        <is>
          <t>מדי-מרקט</t>
        </is>
      </c>
      <c r="B1081" t="inlineStr">
        <is>
          <t>Actilite Dressing Honey w. Activon Plus 10cm*20cm 1/10</t>
        </is>
      </c>
      <c r="C1081" t="inlineStr">
        <is>
          <t>אדבינסיס ADVANCIS</t>
        </is>
      </c>
      <c r="D1081" t="inlineStr">
        <is>
          <t>CR3852</t>
        </is>
      </c>
      <c r="E1081" t="inlineStr">
        <is>
          <t>2026-06</t>
        </is>
      </c>
      <c r="F1081" t="n">
        <v>169.49</v>
      </c>
      <c r="G1081" t="n">
        <v>200</v>
      </c>
      <c r="H1081">
        <f>הגדרות!B7</f>
        <v/>
      </c>
      <c r="I1081">
        <f>F1081*(1-H1081/100)*1.18</f>
        <v/>
      </c>
      <c r="J1081">
        <f>הגדרות!C7</f>
        <v/>
      </c>
      <c r="K1081">
        <f>הגדרות!D7</f>
        <v/>
      </c>
      <c r="L1081">
        <f>I1081*(1+J1081/100)+K1081</f>
        <v/>
      </c>
    </row>
    <row r="1082">
      <c r="A1082" t="inlineStr">
        <is>
          <t>מדי-מרקט</t>
        </is>
      </c>
      <c r="B1082" t="inlineStr">
        <is>
          <t>Actionis Ceftiofur 50Mg/Ml 100Ml Inj</t>
        </is>
      </c>
      <c r="C1082" t="inlineStr">
        <is>
          <t>תרופות</t>
        </is>
      </c>
      <c r="D1082" t="inlineStr">
        <is>
          <t>3081</t>
        </is>
      </c>
      <c r="E1082" t="inlineStr">
        <is>
          <t>2026-06</t>
        </is>
      </c>
      <c r="F1082" t="n">
        <v>101.69</v>
      </c>
      <c r="G1082" t="n">
        <v>120</v>
      </c>
      <c r="H1082">
        <f>הגדרות!B7</f>
        <v/>
      </c>
      <c r="I1082">
        <f>F1082*(1-H1082/100)*1.18</f>
        <v/>
      </c>
      <c r="J1082">
        <f>הגדרות!C7</f>
        <v/>
      </c>
      <c r="K1082">
        <f>הגדרות!D7</f>
        <v/>
      </c>
      <c r="L1082">
        <f>I1082*(1+J1082/100)+K1082</f>
        <v/>
      </c>
    </row>
    <row r="1083">
      <c r="A1083" t="inlineStr">
        <is>
          <t>מדי-מרקט</t>
        </is>
      </c>
      <c r="B1083" t="inlineStr">
        <is>
          <t>Actiq 400Mcg/Loz (30)</t>
        </is>
      </c>
      <c r="C1083" t="inlineStr">
        <is>
          <t>תרופות</t>
        </is>
      </c>
      <c r="D1083" t="inlineStr">
        <is>
          <t>91246</t>
        </is>
      </c>
      <c r="E1083" t="inlineStr">
        <is>
          <t>2026-06</t>
        </is>
      </c>
      <c r="F1083" t="n">
        <v>770.45</v>
      </c>
      <c r="G1083" t="n">
        <v>909.13</v>
      </c>
      <c r="H1083">
        <f>הגדרות!B7</f>
        <v/>
      </c>
      <c r="I1083">
        <f>F1083*(1-H1083/100)*1.18</f>
        <v/>
      </c>
      <c r="J1083">
        <f>הגדרות!C7</f>
        <v/>
      </c>
      <c r="K1083">
        <f>הגדרות!D7</f>
        <v/>
      </c>
      <c r="L1083">
        <f>I1083*(1+J1083/100)+K1083</f>
        <v/>
      </c>
    </row>
    <row r="1084">
      <c r="A1084" t="inlineStr">
        <is>
          <t>מדי-מרקט</t>
        </is>
      </c>
      <c r="B1084" t="inlineStr">
        <is>
          <t>Actiq 600Mcg/Loz (30)</t>
        </is>
      </c>
      <c r="C1084" t="inlineStr">
        <is>
          <t>תרופות</t>
        </is>
      </c>
      <c r="D1084" t="inlineStr">
        <is>
          <t>91245</t>
        </is>
      </c>
      <c r="E1084" t="inlineStr">
        <is>
          <t>2026-06</t>
        </is>
      </c>
      <c r="F1084" t="n">
        <v>862.7</v>
      </c>
      <c r="G1084" t="n">
        <v>1017.99</v>
      </c>
      <c r="H1084">
        <f>הגדרות!B7</f>
        <v/>
      </c>
      <c r="I1084">
        <f>F1084*(1-H1084/100)*1.18</f>
        <v/>
      </c>
      <c r="J1084">
        <f>הגדרות!C7</f>
        <v/>
      </c>
      <c r="K1084">
        <f>הגדרות!D7</f>
        <v/>
      </c>
      <c r="L1084">
        <f>I1084*(1+J1084/100)+K1084</f>
        <v/>
      </c>
    </row>
    <row r="1085">
      <c r="A1085" t="inlineStr">
        <is>
          <t>מדי-מרקט</t>
        </is>
      </c>
      <c r="B1085" t="inlineStr">
        <is>
          <t>Acyclovir 250Mg 5Amp</t>
        </is>
      </c>
      <c r="C1085" t="inlineStr">
        <is>
          <t>תרופות</t>
        </is>
      </c>
      <c r="D1085" t="inlineStr">
        <is>
          <t>1081800060</t>
        </is>
      </c>
      <c r="E1085" t="inlineStr">
        <is>
          <t>2026-06</t>
        </is>
      </c>
      <c r="F1085" t="n">
        <v>40.51</v>
      </c>
      <c r="G1085" t="n">
        <v>47.8</v>
      </c>
      <c r="H1085">
        <f>הגדרות!B7</f>
        <v/>
      </c>
      <c r="I1085">
        <f>F1085*(1-H1085/100)*1.18</f>
        <v/>
      </c>
      <c r="J1085">
        <f>הגדרות!C7</f>
        <v/>
      </c>
      <c r="K1085">
        <f>הגדרות!D7</f>
        <v/>
      </c>
      <c r="L1085">
        <f>I1085*(1+J1085/100)+K1085</f>
        <v/>
      </c>
    </row>
    <row r="1086">
      <c r="A1086" t="inlineStr">
        <is>
          <t>מדי-מרקט</t>
        </is>
      </c>
      <c r="B1086" t="inlineStr">
        <is>
          <t>ADAPTIL CALM COLLAR Large for dog</t>
        </is>
      </c>
      <c r="C1086" t="inlineStr">
        <is>
          <t>מוצרי הדברה והתנהגות CEVA</t>
        </is>
      </c>
      <c r="D1086" t="inlineStr">
        <is>
          <t>C66451C</t>
        </is>
      </c>
      <c r="E1086" t="inlineStr">
        <is>
          <t>2026-06</t>
        </is>
      </c>
      <c r="F1086" t="n">
        <v>55.93</v>
      </c>
      <c r="G1086" t="n">
        <v>66</v>
      </c>
      <c r="H1086">
        <f>הגדרות!B7</f>
        <v/>
      </c>
      <c r="I1086">
        <f>F1086*(1-H1086/100)*1.18</f>
        <v/>
      </c>
      <c r="J1086">
        <f>הגדרות!C7</f>
        <v/>
      </c>
      <c r="K1086">
        <f>הגדרות!D7</f>
        <v/>
      </c>
      <c r="L1086">
        <f>I1086*(1+J1086/100)+K1086</f>
        <v/>
      </c>
    </row>
    <row r="1087">
      <c r="A1087" t="inlineStr">
        <is>
          <t>מדי-מרקט</t>
        </is>
      </c>
      <c r="B1087" t="inlineStr">
        <is>
          <t>ADAPTIL CALM COLLAR Small for dog</t>
        </is>
      </c>
      <c r="C1087" t="inlineStr">
        <is>
          <t>מוצרי הדברה והתנהגות CEVA</t>
        </is>
      </c>
      <c r="D1087" t="inlineStr">
        <is>
          <t>C66461C</t>
        </is>
      </c>
      <c r="E1087" t="inlineStr">
        <is>
          <t>2026-06</t>
        </is>
      </c>
      <c r="F1087" t="n">
        <v>54.52</v>
      </c>
      <c r="G1087" t="n">
        <v>64.33</v>
      </c>
      <c r="H1087">
        <f>הגדרות!B7</f>
        <v/>
      </c>
      <c r="I1087">
        <f>F1087*(1-H1087/100)*1.18</f>
        <v/>
      </c>
      <c r="J1087">
        <f>הגדרות!C7</f>
        <v/>
      </c>
      <c r="K1087">
        <f>הגדרות!D7</f>
        <v/>
      </c>
      <c r="L1087">
        <f>I1087*(1+J1087/100)+K1087</f>
        <v/>
      </c>
    </row>
    <row r="1088">
      <c r="A1088" t="inlineStr">
        <is>
          <t>מדי-מרקט</t>
        </is>
      </c>
      <c r="B1088" t="inlineStr">
        <is>
          <t>ADCETRIS 50MG/VIAL</t>
        </is>
      </c>
      <c r="C1088" t="inlineStr">
        <is>
          <t>תרופות</t>
        </is>
      </c>
      <c r="D1088" t="inlineStr">
        <is>
          <t>09722</t>
        </is>
      </c>
      <c r="E1088" t="inlineStr">
        <is>
          <t>2026-06</t>
        </is>
      </c>
      <c r="F1088" t="n">
        <v>11783.9</v>
      </c>
      <c r="G1088" t="n">
        <v>13905</v>
      </c>
      <c r="H1088">
        <f>הגדרות!B7</f>
        <v/>
      </c>
      <c r="I1088">
        <f>F1088*(1-H1088/100)*1.18</f>
        <v/>
      </c>
      <c r="J1088">
        <f>הגדרות!C7</f>
        <v/>
      </c>
      <c r="K1088">
        <f>הגדרות!D7</f>
        <v/>
      </c>
      <c r="L1088">
        <f>I1088*(1+J1088/100)+K1088</f>
        <v/>
      </c>
    </row>
    <row r="1089">
      <c r="A1089" t="inlineStr">
        <is>
          <t>מדי-מרקט</t>
        </is>
      </c>
      <c r="B1089" t="inlineStr">
        <is>
          <t>Adenohardt 6Mg * 6Amp</t>
        </is>
      </c>
      <c r="C1089" t="inlineStr">
        <is>
          <t>תרופות</t>
        </is>
      </c>
      <c r="D1089" t="inlineStr">
        <is>
          <t>1400091</t>
        </is>
      </c>
      <c r="E1089" t="inlineStr">
        <is>
          <t>2026-06</t>
        </is>
      </c>
      <c r="F1089" t="n">
        <v>68.64</v>
      </c>
      <c r="G1089" t="n">
        <v>81</v>
      </c>
      <c r="H1089">
        <f>הגדרות!B7</f>
        <v/>
      </c>
      <c r="I1089">
        <f>F1089*(1-H1089/100)*1.18</f>
        <v/>
      </c>
      <c r="J1089">
        <f>הגדרות!C7</f>
        <v/>
      </c>
      <c r="K1089">
        <f>הגדרות!D7</f>
        <v/>
      </c>
      <c r="L1089">
        <f>I1089*(1+J1089/100)+K1089</f>
        <v/>
      </c>
    </row>
    <row r="1090">
      <c r="A1090" t="inlineStr">
        <is>
          <t>מדי-מרקט</t>
        </is>
      </c>
      <c r="B1090" t="inlineStr">
        <is>
          <t>Adex 200Mg X 16Tab</t>
        </is>
      </c>
      <c r="C1090" t="inlineStr">
        <is>
          <t>תרופות</t>
        </is>
      </c>
      <c r="D1090" t="inlineStr">
        <is>
          <t>14585</t>
        </is>
      </c>
      <c r="E1090" t="inlineStr">
        <is>
          <t>2026-06</t>
        </is>
      </c>
      <c r="F1090" t="n">
        <v>13.47</v>
      </c>
      <c r="G1090" t="n">
        <v>15.9</v>
      </c>
      <c r="H1090">
        <f>הגדרות!B7</f>
        <v/>
      </c>
      <c r="I1090">
        <f>F1090*(1-H1090/100)*1.18</f>
        <v/>
      </c>
      <c r="J1090">
        <f>הגדרות!C7</f>
        <v/>
      </c>
      <c r="K1090">
        <f>הגדרות!D7</f>
        <v/>
      </c>
      <c r="L1090">
        <f>I1090*(1+J1090/100)+K1090</f>
        <v/>
      </c>
    </row>
    <row r="1091">
      <c r="A1091" t="inlineStr">
        <is>
          <t>מדי-מרקט</t>
        </is>
      </c>
      <c r="B1091" t="inlineStr">
        <is>
          <t>Adex 200Mg X 40Tab</t>
        </is>
      </c>
      <c r="C1091" t="inlineStr">
        <is>
          <t>תרופות</t>
        </is>
      </c>
      <c r="D1091" t="inlineStr">
        <is>
          <t>14585-1</t>
        </is>
      </c>
      <c r="E1091" t="inlineStr">
        <is>
          <t>2026-06</t>
        </is>
      </c>
      <c r="F1091" t="n">
        <v>25.17</v>
      </c>
      <c r="G1091" t="n">
        <v>29.7</v>
      </c>
      <c r="H1091">
        <f>הגדרות!B7</f>
        <v/>
      </c>
      <c r="I1091">
        <f>F1091*(1-H1091/100)*1.18</f>
        <v/>
      </c>
      <c r="J1091">
        <f>הגדרות!C7</f>
        <v/>
      </c>
      <c r="K1091">
        <f>הגדרות!D7</f>
        <v/>
      </c>
      <c r="L1091">
        <f>I1091*(1+J1091/100)+K1091</f>
        <v/>
      </c>
    </row>
    <row r="1092">
      <c r="A1092" t="inlineStr">
        <is>
          <t>מדי-מרקט</t>
        </is>
      </c>
      <c r="B1092" t="inlineStr">
        <is>
          <t>Adrenaline 1Mg/Ml X 5 Amp</t>
        </is>
      </c>
      <c r="C1092" t="inlineStr">
        <is>
          <t>תרופות</t>
        </is>
      </c>
      <c r="D1092" t="inlineStr">
        <is>
          <t>110036</t>
        </is>
      </c>
      <c r="E1092" t="inlineStr">
        <is>
          <t>2026-06</t>
        </is>
      </c>
      <c r="F1092" t="n">
        <v>14.41</v>
      </c>
      <c r="G1092" t="n">
        <v>17</v>
      </c>
      <c r="H1092">
        <f>הגדרות!B7</f>
        <v/>
      </c>
      <c r="I1092">
        <f>F1092*(1-H1092/100)*1.18</f>
        <v/>
      </c>
      <c r="J1092">
        <f>הגדרות!C7</f>
        <v/>
      </c>
      <c r="K1092">
        <f>הגדרות!D7</f>
        <v/>
      </c>
      <c r="L1092">
        <f>I1092*(1+J1092/100)+K1092</f>
        <v/>
      </c>
    </row>
    <row r="1093">
      <c r="A1093" t="inlineStr">
        <is>
          <t>מדי-מרקט</t>
        </is>
      </c>
      <c r="B1093" t="inlineStr">
        <is>
          <t>Adrocil Eye Drops Ketorolac 5Mg/Ml 10Ml</t>
        </is>
      </c>
      <c r="C1093" t="inlineStr">
        <is>
          <t>29ג' וטרינרי</t>
        </is>
      </c>
      <c r="D1093" t="inlineStr">
        <is>
          <t>412370</t>
        </is>
      </c>
      <c r="E1093" t="inlineStr">
        <is>
          <t>2026-06</t>
        </is>
      </c>
      <c r="F1093" t="n">
        <v>10.22</v>
      </c>
      <c r="G1093" t="n">
        <v>12.06</v>
      </c>
      <c r="H1093">
        <f>הגדרות!B7</f>
        <v/>
      </c>
      <c r="I1093">
        <f>F1093*(1-H1093/100)*1.18</f>
        <v/>
      </c>
      <c r="J1093">
        <f>הגדרות!C7</f>
        <v/>
      </c>
      <c r="K1093">
        <f>הגדרות!D7</f>
        <v/>
      </c>
      <c r="L1093">
        <f>I1093*(1+J1093/100)+K1093</f>
        <v/>
      </c>
    </row>
    <row r="1094">
      <c r="A1094" t="inlineStr">
        <is>
          <t>מדי-מרקט</t>
        </is>
      </c>
      <c r="B1094" t="inlineStr">
        <is>
          <t>Advil Liqui-Gels 20 Caps</t>
        </is>
      </c>
      <c r="C1094" t="inlineStr">
        <is>
          <t>תרופות</t>
        </is>
      </c>
      <c r="D1094" t="inlineStr">
        <is>
          <t>7284</t>
        </is>
      </c>
      <c r="E1094" t="inlineStr">
        <is>
          <t>2026-06</t>
        </is>
      </c>
      <c r="F1094" t="n">
        <v>19.49</v>
      </c>
      <c r="G1094" t="n">
        <v>23</v>
      </c>
      <c r="H1094">
        <f>הגדרות!B7</f>
        <v/>
      </c>
      <c r="I1094">
        <f>F1094*(1-H1094/100)*1.18</f>
        <v/>
      </c>
      <c r="J1094">
        <f>הגדרות!C7</f>
        <v/>
      </c>
      <c r="K1094">
        <f>הגדרות!D7</f>
        <v/>
      </c>
      <c r="L1094">
        <f>I1094*(1+J1094/100)+K1094</f>
        <v/>
      </c>
    </row>
    <row r="1095">
      <c r="A1095" t="inlineStr">
        <is>
          <t>מדי-מרקט</t>
        </is>
      </c>
      <c r="B1095" t="inlineStr">
        <is>
          <t>Advil Liqui-Gels 40 Caps</t>
        </is>
      </c>
      <c r="C1095" t="inlineStr">
        <is>
          <t>תרופות</t>
        </is>
      </c>
      <c r="D1095" t="inlineStr">
        <is>
          <t>41025</t>
        </is>
      </c>
      <c r="E1095" t="inlineStr">
        <is>
          <t>2026-06</t>
        </is>
      </c>
      <c r="F1095" t="n">
        <v>38.22</v>
      </c>
      <c r="G1095" t="n">
        <v>45.1</v>
      </c>
      <c r="H1095">
        <f>הגדרות!B7</f>
        <v/>
      </c>
      <c r="I1095">
        <f>F1095*(1-H1095/100)*1.18</f>
        <v/>
      </c>
      <c r="J1095">
        <f>הגדרות!C7</f>
        <v/>
      </c>
      <c r="K1095">
        <f>הגדרות!D7</f>
        <v/>
      </c>
      <c r="L1095">
        <f>I1095*(1+J1095/100)+K1095</f>
        <v/>
      </c>
    </row>
    <row r="1096">
      <c r="A1096" t="inlineStr">
        <is>
          <t>מדי-מרקט</t>
        </is>
      </c>
      <c r="B1096" t="inlineStr">
        <is>
          <t>Advil Liqui-Gels 80 Caps</t>
        </is>
      </c>
      <c r="C1096" t="inlineStr">
        <is>
          <t>תרופות</t>
        </is>
      </c>
      <c r="D1096" t="inlineStr">
        <is>
          <t>5079</t>
        </is>
      </c>
      <c r="E1096" t="inlineStr">
        <is>
          <t>2026-06</t>
        </is>
      </c>
      <c r="F1096" t="n">
        <v>63.56</v>
      </c>
      <c r="G1096" t="n">
        <v>75</v>
      </c>
      <c r="H1096">
        <f>הגדרות!B7</f>
        <v/>
      </c>
      <c r="I1096">
        <f>F1096*(1-H1096/100)*1.18</f>
        <v/>
      </c>
      <c r="J1096">
        <f>הגדרות!C7</f>
        <v/>
      </c>
      <c r="K1096">
        <f>הגדרות!D7</f>
        <v/>
      </c>
      <c r="L1096">
        <f>I1096*(1+J1096/100)+K1096</f>
        <v/>
      </c>
    </row>
    <row r="1097">
      <c r="A1097" t="inlineStr">
        <is>
          <t>מדי-מרקט</t>
        </is>
      </c>
      <c r="B1097" t="inlineStr">
        <is>
          <t>Aerius 5 Mg 30 Tab</t>
        </is>
      </c>
      <c r="C1097" t="inlineStr">
        <is>
          <t>תרופות</t>
        </is>
      </c>
      <c r="D1097" t="inlineStr">
        <is>
          <t>32985</t>
        </is>
      </c>
      <c r="E1097" t="inlineStr">
        <is>
          <t>2026-06</t>
        </is>
      </c>
      <c r="F1097" t="n">
        <v>21.2</v>
      </c>
      <c r="G1097" t="n">
        <v>25.02</v>
      </c>
      <c r="H1097">
        <f>הגדרות!B7</f>
        <v/>
      </c>
      <c r="I1097">
        <f>F1097*(1-H1097/100)*1.18</f>
        <v/>
      </c>
      <c r="J1097">
        <f>הגדרות!C7</f>
        <v/>
      </c>
      <c r="K1097">
        <f>הגדרות!D7</f>
        <v/>
      </c>
      <c r="L1097">
        <f>I1097*(1+J1097/100)+K1097</f>
        <v/>
      </c>
    </row>
    <row r="1098">
      <c r="A1098" t="inlineStr">
        <is>
          <t>מדי-מרקט</t>
        </is>
      </c>
      <c r="B1098" t="inlineStr">
        <is>
          <t>Aerovent 20Ml Solution ארוונט</t>
        </is>
      </c>
      <c r="C1098" t="inlineStr">
        <is>
          <t>תרופות</t>
        </is>
      </c>
      <c r="D1098" t="inlineStr">
        <is>
          <t>489</t>
        </is>
      </c>
      <c r="E1098" t="inlineStr">
        <is>
          <t>2026-06</t>
        </is>
      </c>
      <c r="F1098" t="n">
        <v>25.44</v>
      </c>
      <c r="G1098" t="n">
        <v>30.02</v>
      </c>
      <c r="H1098">
        <f>הגדרות!B7</f>
        <v/>
      </c>
      <c r="I1098">
        <f>F1098*(1-H1098/100)*1.18</f>
        <v/>
      </c>
      <c r="J1098">
        <f>הגדרות!C7</f>
        <v/>
      </c>
      <c r="K1098">
        <f>הגדרות!D7</f>
        <v/>
      </c>
      <c r="L1098">
        <f>I1098*(1+J1098/100)+K1098</f>
        <v/>
      </c>
    </row>
    <row r="1099">
      <c r="A1099" t="inlineStr">
        <is>
          <t>מדי-מרקט</t>
        </is>
      </c>
      <c r="B1099" t="inlineStr">
        <is>
          <t>Aflumycin 20G Cream</t>
        </is>
      </c>
      <c r="C1099" t="inlineStr">
        <is>
          <t>תרופות</t>
        </is>
      </c>
      <c r="D1099" t="inlineStr">
        <is>
          <t>10330</t>
        </is>
      </c>
      <c r="E1099" t="inlineStr">
        <is>
          <t>2026-06</t>
        </is>
      </c>
      <c r="F1099" t="n">
        <v>28.47</v>
      </c>
      <c r="G1099" t="n">
        <v>33.6</v>
      </c>
      <c r="H1099">
        <f>הגדרות!B7</f>
        <v/>
      </c>
      <c r="I1099">
        <f>F1099*(1-H1099/100)*1.18</f>
        <v/>
      </c>
      <c r="J1099">
        <f>הגדרות!C7</f>
        <v/>
      </c>
      <c r="K1099">
        <f>הגדרות!D7</f>
        <v/>
      </c>
      <c r="L1099">
        <f>I1099*(1+J1099/100)+K1099</f>
        <v/>
      </c>
    </row>
    <row r="1100">
      <c r="A1100" t="inlineStr">
        <is>
          <t>מדי-מרקט</t>
        </is>
      </c>
      <c r="B1100" t="inlineStr">
        <is>
          <t>Agispor 15Ml Sol</t>
        </is>
      </c>
      <c r="C1100" t="inlineStr">
        <is>
          <t>תרופות</t>
        </is>
      </c>
      <c r="D1100" t="inlineStr">
        <is>
          <t>1813</t>
        </is>
      </c>
      <c r="E1100" t="inlineStr">
        <is>
          <t>2026-06</t>
        </is>
      </c>
      <c r="F1100" t="n">
        <v>13.47</v>
      </c>
      <c r="G1100" t="n">
        <v>15.9</v>
      </c>
      <c r="H1100">
        <f>הגדרות!B7</f>
        <v/>
      </c>
      <c r="I1100">
        <f>F1100*(1-H1100/100)*1.18</f>
        <v/>
      </c>
      <c r="J1100">
        <f>הגדרות!C7</f>
        <v/>
      </c>
      <c r="K1100">
        <f>הגדרות!D7</f>
        <v/>
      </c>
      <c r="L1100">
        <f>I1100*(1+J1100/100)+K1100</f>
        <v/>
      </c>
    </row>
    <row r="1101">
      <c r="A1101" t="inlineStr">
        <is>
          <t>מדי-מרקט</t>
        </is>
      </c>
      <c r="B1101" t="inlineStr">
        <is>
          <t>AGISTEN 3 VAG.CREAM 2%</t>
        </is>
      </c>
      <c r="C1101" t="inlineStr">
        <is>
          <t>תרופות</t>
        </is>
      </c>
      <c r="D1101" t="inlineStr">
        <is>
          <t>963596</t>
        </is>
      </c>
      <c r="E1101" t="inlineStr">
        <is>
          <t>2026-06</t>
        </is>
      </c>
      <c r="F1101" t="n">
        <v>23.73</v>
      </c>
      <c r="G1101" t="n">
        <v>28</v>
      </c>
      <c r="H1101">
        <f>הגדרות!B7</f>
        <v/>
      </c>
      <c r="I1101">
        <f>F1101*(1-H1101/100)*1.18</f>
        <v/>
      </c>
      <c r="J1101">
        <f>הגדרות!C7</f>
        <v/>
      </c>
      <c r="K1101">
        <f>הגדרות!D7</f>
        <v/>
      </c>
      <c r="L1101">
        <f>I1101*(1+J1101/100)+K1101</f>
        <v/>
      </c>
    </row>
    <row r="1102">
      <c r="A1102" t="inlineStr">
        <is>
          <t>מדי-מרקט</t>
        </is>
      </c>
      <c r="B1102" t="inlineStr">
        <is>
          <t>Agisten Aloevera 20G Cream</t>
        </is>
      </c>
      <c r="C1102" t="inlineStr">
        <is>
          <t>תרופות</t>
        </is>
      </c>
      <c r="D1102" t="inlineStr">
        <is>
          <t>1696353653</t>
        </is>
      </c>
      <c r="E1102" t="inlineStr">
        <is>
          <t>2026-06</t>
        </is>
      </c>
      <c r="F1102" t="n">
        <v>21.19</v>
      </c>
      <c r="G1102" t="n">
        <v>25</v>
      </c>
      <c r="H1102">
        <f>הגדרות!B7</f>
        <v/>
      </c>
      <c r="I1102">
        <f>F1102*(1-H1102/100)*1.18</f>
        <v/>
      </c>
      <c r="J1102">
        <f>הגדרות!C7</f>
        <v/>
      </c>
      <c r="K1102">
        <f>הגדרות!D7</f>
        <v/>
      </c>
      <c r="L1102">
        <f>I1102*(1+J1102/100)+K1102</f>
        <v/>
      </c>
    </row>
    <row r="1103">
      <c r="A1103" t="inlineStr">
        <is>
          <t>מדי-מרקט</t>
        </is>
      </c>
      <c r="B1103" t="inlineStr">
        <is>
          <t>Agisten Baby 1% 30G Paste</t>
        </is>
      </c>
      <c r="C1103" t="inlineStr">
        <is>
          <t>תרופות</t>
        </is>
      </c>
      <c r="D1103" t="inlineStr">
        <is>
          <t>1121</t>
        </is>
      </c>
      <c r="E1103" t="inlineStr">
        <is>
          <t>2026-06</t>
        </is>
      </c>
      <c r="F1103" t="n">
        <v>23.47</v>
      </c>
      <c r="G1103" t="n">
        <v>27.7</v>
      </c>
      <c r="H1103">
        <f>הגדרות!B7</f>
        <v/>
      </c>
      <c r="I1103">
        <f>F1103*(1-H1103/100)*1.18</f>
        <v/>
      </c>
      <c r="J1103">
        <f>הגדרות!C7</f>
        <v/>
      </c>
      <c r="K1103">
        <f>הגדרות!D7</f>
        <v/>
      </c>
      <c r="L1103">
        <f>I1103*(1+J1103/100)+K1103</f>
        <v/>
      </c>
    </row>
    <row r="1104">
      <c r="A1104" t="inlineStr">
        <is>
          <t>מדי-מרקט</t>
        </is>
      </c>
      <c r="B1104" t="inlineStr">
        <is>
          <t>Agisten Vagin. 0.5 Gr 1 Tabl</t>
        </is>
      </c>
      <c r="C1104" t="inlineStr">
        <is>
          <t>תרופות</t>
        </is>
      </c>
      <c r="D1104" t="inlineStr">
        <is>
          <t>9367</t>
        </is>
      </c>
      <c r="E1104" t="inlineStr">
        <is>
          <t>2026-06</t>
        </is>
      </c>
      <c r="F1104" t="n">
        <v>24.24</v>
      </c>
      <c r="G1104" t="n">
        <v>28.6</v>
      </c>
      <c r="H1104">
        <f>הגדרות!B7</f>
        <v/>
      </c>
      <c r="I1104">
        <f>F1104*(1-H1104/100)*1.18</f>
        <v/>
      </c>
      <c r="J1104">
        <f>הגדרות!C7</f>
        <v/>
      </c>
      <c r="K1104">
        <f>הגדרות!D7</f>
        <v/>
      </c>
      <c r="L1104">
        <f>I1104*(1+J1104/100)+K1104</f>
        <v/>
      </c>
    </row>
    <row r="1105">
      <c r="A1105" t="inlineStr">
        <is>
          <t>מדי-מרקט</t>
        </is>
      </c>
      <c r="B1105" t="inlineStr">
        <is>
          <t>AIRWAY NASOPHARYNGEAL 28FR X10</t>
        </is>
      </c>
      <c r="C1105" t="inlineStr">
        <is>
          <t>מיטות ומזרנים סביון</t>
        </is>
      </c>
      <c r="D1105" t="inlineStr">
        <is>
          <t>3060250230</t>
        </is>
      </c>
      <c r="E1105" t="inlineStr">
        <is>
          <t>2026-06</t>
        </is>
      </c>
      <c r="F1105" t="n">
        <v>111.55</v>
      </c>
      <c r="G1105" t="n">
        <v>131.63</v>
      </c>
      <c r="H1105">
        <f>הגדרות!B7</f>
        <v/>
      </c>
      <c r="I1105">
        <f>F1105*(1-H1105/100)*1.18</f>
        <v/>
      </c>
      <c r="J1105">
        <f>הגדרות!C7</f>
        <v/>
      </c>
      <c r="K1105">
        <f>הגדרות!D7</f>
        <v/>
      </c>
      <c r="L1105">
        <f>I1105*(1+J1105/100)+K1105</f>
        <v/>
      </c>
    </row>
    <row r="1106">
      <c r="A1106" t="inlineStr">
        <is>
          <t>מדי-מרקט</t>
        </is>
      </c>
      <c r="B1106" t="inlineStr">
        <is>
          <t>Aktiferrin-F 30 Caps -אקטפירין</t>
        </is>
      </c>
      <c r="C1106" t="inlineStr">
        <is>
          <t>תרופות</t>
        </is>
      </c>
      <c r="D1106" t="inlineStr">
        <is>
          <t>31825</t>
        </is>
      </c>
      <c r="E1106" t="inlineStr">
        <is>
          <t>2026-06</t>
        </is>
      </c>
      <c r="F1106" t="n">
        <v>17.74</v>
      </c>
      <c r="G1106" t="n">
        <v>20.93</v>
      </c>
      <c r="H1106">
        <f>הגדרות!B7</f>
        <v/>
      </c>
      <c r="I1106">
        <f>F1106*(1-H1106/100)*1.18</f>
        <v/>
      </c>
      <c r="J1106">
        <f>הגדרות!C7</f>
        <v/>
      </c>
      <c r="K1106">
        <f>הגדרות!D7</f>
        <v/>
      </c>
      <c r="L1106">
        <f>I1106*(1+J1106/100)+K1106</f>
        <v/>
      </c>
    </row>
    <row r="1107">
      <c r="A1107" t="inlineStr">
        <is>
          <t>מדי-מרקט</t>
        </is>
      </c>
      <c r="B1107" t="inlineStr">
        <is>
          <t>Alamycin LA 20% 100ml sol for im inj</t>
        </is>
      </c>
      <c r="C1107" t="inlineStr">
        <is>
          <t>תרופות</t>
        </is>
      </c>
      <c r="D1107" t="inlineStr">
        <is>
          <t>M0200</t>
        </is>
      </c>
      <c r="E1107" t="inlineStr">
        <is>
          <t>2026-06</t>
        </is>
      </c>
      <c r="F1107" t="n">
        <v>33.05</v>
      </c>
      <c r="G1107" t="n">
        <v>39</v>
      </c>
      <c r="H1107">
        <f>הגדרות!B7</f>
        <v/>
      </c>
      <c r="I1107">
        <f>F1107*(1-H1107/100)*1.18</f>
        <v/>
      </c>
      <c r="J1107">
        <f>הגדרות!C7</f>
        <v/>
      </c>
      <c r="K1107">
        <f>הגדרות!D7</f>
        <v/>
      </c>
      <c r="L1107">
        <f>I1107*(1+J1107/100)+K1107</f>
        <v/>
      </c>
    </row>
    <row r="1108">
      <c r="A1108" t="inlineStr">
        <is>
          <t>מדי-מרקט</t>
        </is>
      </c>
      <c r="B1108" t="inlineStr">
        <is>
          <t>ALCOHOL 70% MEDICAL 1Liter  אלכוהול רפואי 1 ליטר</t>
        </is>
      </c>
      <c r="C1108" t="inlineStr">
        <is>
          <t>מוצרי חיטוי ואנטיספטיקה</t>
        </is>
      </c>
      <c r="D1108" t="inlineStr">
        <is>
          <t>2522</t>
        </is>
      </c>
      <c r="E1108" t="inlineStr">
        <is>
          <t>2026-06</t>
        </is>
      </c>
      <c r="F1108" t="n">
        <v>19.75</v>
      </c>
      <c r="G1108" t="n">
        <v>23.31</v>
      </c>
      <c r="H1108">
        <f>הגדרות!B7</f>
        <v/>
      </c>
      <c r="I1108">
        <f>F1108*(1-H1108/100)*1.18</f>
        <v/>
      </c>
      <c r="J1108">
        <f>הגדרות!C7</f>
        <v/>
      </c>
      <c r="K1108">
        <f>הגדרות!D7</f>
        <v/>
      </c>
      <c r="L1108">
        <f>I1108*(1+J1108/100)+K1108</f>
        <v/>
      </c>
    </row>
    <row r="1109">
      <c r="A1109" t="inlineStr">
        <is>
          <t>מדי-מרקט</t>
        </is>
      </c>
      <c r="B1109" t="inlineStr">
        <is>
          <t>ALCOHOL CHLORHEXIDINE 500ML  אלכוספט 500 מ"ל</t>
        </is>
      </c>
      <c r="C1109" t="inlineStr">
        <is>
          <t>מוצרי חיטוי ואנטיספטיקה</t>
        </is>
      </c>
      <c r="D1109" t="inlineStr">
        <is>
          <t>9383</t>
        </is>
      </c>
      <c r="E1109" t="inlineStr">
        <is>
          <t>2026-06</t>
        </is>
      </c>
      <c r="F1109" t="n">
        <v>10.45</v>
      </c>
      <c r="G1109" t="n">
        <v>12.33</v>
      </c>
      <c r="H1109">
        <f>הגדרות!B7</f>
        <v/>
      </c>
      <c r="I1109">
        <f>F1109*(1-H1109/100)*1.18</f>
        <v/>
      </c>
      <c r="J1109">
        <f>הגדרות!C7</f>
        <v/>
      </c>
      <c r="K1109">
        <f>הגדרות!D7</f>
        <v/>
      </c>
      <c r="L1109">
        <f>I1109*(1+J1109/100)+K1109</f>
        <v/>
      </c>
    </row>
    <row r="1110">
      <c r="A1110" t="inlineStr">
        <is>
          <t>מדי-מרקט</t>
        </is>
      </c>
      <c r="B1110" t="inlineStr">
        <is>
          <t>Algivon Alginate with Honey 10cm*10cm 1/5</t>
        </is>
      </c>
      <c r="C1110" t="inlineStr">
        <is>
          <t>אדבינסיס ADVANCIS</t>
        </is>
      </c>
      <c r="D1110" t="inlineStr">
        <is>
          <t>CR3659</t>
        </is>
      </c>
      <c r="E1110" t="inlineStr">
        <is>
          <t>2026-06</t>
        </is>
      </c>
      <c r="F1110" t="n">
        <v>169.49</v>
      </c>
      <c r="G1110" t="n">
        <v>200</v>
      </c>
      <c r="H1110">
        <f>הגדרות!B7</f>
        <v/>
      </c>
      <c r="I1110">
        <f>F1110*(1-H1110/100)*1.18</f>
        <v/>
      </c>
      <c r="J1110">
        <f>הגדרות!C7</f>
        <v/>
      </c>
      <c r="K1110">
        <f>הגדרות!D7</f>
        <v/>
      </c>
      <c r="L1110">
        <f>I1110*(1+J1110/100)+K1110</f>
        <v/>
      </c>
    </row>
    <row r="1111">
      <c r="A1111" t="inlineStr">
        <is>
          <t>מדי-מרקט</t>
        </is>
      </c>
      <c r="B1111" t="inlineStr">
        <is>
          <t>Alloril 100Mg X 50Tabs</t>
        </is>
      </c>
      <c r="C1111" t="inlineStr">
        <is>
          <t>תרופות</t>
        </is>
      </c>
      <c r="D1111" t="inlineStr">
        <is>
          <t>44441</t>
        </is>
      </c>
      <c r="E1111" t="inlineStr">
        <is>
          <t>2026-06</t>
        </is>
      </c>
      <c r="F1111" t="n">
        <v>9.24</v>
      </c>
      <c r="G1111" t="n">
        <v>10.9</v>
      </c>
      <c r="H1111">
        <f>הגדרות!B7</f>
        <v/>
      </c>
      <c r="I1111">
        <f>F1111*(1-H1111/100)*1.18</f>
        <v/>
      </c>
      <c r="J1111">
        <f>הגדרות!C7</f>
        <v/>
      </c>
      <c r="K1111">
        <f>הגדרות!D7</f>
        <v/>
      </c>
      <c r="L1111">
        <f>I1111*(1+J1111/100)+K1111</f>
        <v/>
      </c>
    </row>
    <row r="1112">
      <c r="A1112" t="inlineStr">
        <is>
          <t>מדי-מרקט</t>
        </is>
      </c>
      <c r="B1112" t="inlineStr">
        <is>
          <t>Alloril 300Mg X 30Tabs</t>
        </is>
      </c>
      <c r="C1112" t="inlineStr">
        <is>
          <t>תרופות</t>
        </is>
      </c>
      <c r="D1112" t="inlineStr">
        <is>
          <t>7899</t>
        </is>
      </c>
      <c r="E1112" t="inlineStr">
        <is>
          <t>2026-06</t>
        </is>
      </c>
      <c r="F1112" t="n">
        <v>11.78</v>
      </c>
      <c r="G1112" t="n">
        <v>13.9</v>
      </c>
      <c r="H1112">
        <f>הגדרות!B7</f>
        <v/>
      </c>
      <c r="I1112">
        <f>F1112*(1-H1112/100)*1.18</f>
        <v/>
      </c>
      <c r="J1112">
        <f>הגדרות!C7</f>
        <v/>
      </c>
      <c r="K1112">
        <f>הגדרות!D7</f>
        <v/>
      </c>
      <c r="L1112">
        <f>I1112*(1+J1112/100)+K1112</f>
        <v/>
      </c>
    </row>
    <row r="1113">
      <c r="A1113" t="inlineStr">
        <is>
          <t>מדי-מרקט</t>
        </is>
      </c>
      <c r="B1113" t="inlineStr">
        <is>
          <t>Alpralid 0.5Mg X 30Tab</t>
        </is>
      </c>
      <c r="C1113" t="inlineStr">
        <is>
          <t>תרופות</t>
        </is>
      </c>
      <c r="D1113" t="inlineStr">
        <is>
          <t>5697</t>
        </is>
      </c>
      <c r="E1113" t="inlineStr">
        <is>
          <t>2026-06</t>
        </is>
      </c>
      <c r="F1113" t="n">
        <v>10.08</v>
      </c>
      <c r="G1113" t="n">
        <v>11.9</v>
      </c>
      <c r="H1113">
        <f>הגדרות!B7</f>
        <v/>
      </c>
      <c r="I1113">
        <f>F1113*(1-H1113/100)*1.18</f>
        <v/>
      </c>
      <c r="J1113">
        <f>הגדרות!C7</f>
        <v/>
      </c>
      <c r="K1113">
        <f>הגדרות!D7</f>
        <v/>
      </c>
      <c r="L1113">
        <f>I1113*(1+J1113/100)+K1113</f>
        <v/>
      </c>
    </row>
    <row r="1114">
      <c r="A1114" t="inlineStr">
        <is>
          <t>מדי-מרקט</t>
        </is>
      </c>
      <c r="B1114" t="inlineStr">
        <is>
          <t>Alpralid 1 Mg 30 Tabs</t>
        </is>
      </c>
      <c r="C1114" t="inlineStr">
        <is>
          <t>תרופות</t>
        </is>
      </c>
      <c r="D1114" t="inlineStr">
        <is>
          <t>M01145</t>
        </is>
      </c>
      <c r="E1114" t="inlineStr">
        <is>
          <t>2026-06</t>
        </is>
      </c>
      <c r="F1114" t="n">
        <v>15.25</v>
      </c>
      <c r="G1114" t="n">
        <v>18</v>
      </c>
      <c r="H1114">
        <f>הגדרות!B7</f>
        <v/>
      </c>
      <c r="I1114">
        <f>F1114*(1-H1114/100)*1.18</f>
        <v/>
      </c>
      <c r="J1114">
        <f>הגדרות!C7</f>
        <v/>
      </c>
      <c r="K1114">
        <f>הגדרות!D7</f>
        <v/>
      </c>
      <c r="L1114">
        <f>I1114*(1+J1114/100)+K1114</f>
        <v/>
      </c>
    </row>
    <row r="1115">
      <c r="A1115" t="inlineStr">
        <is>
          <t>מדי-מרקט</t>
        </is>
      </c>
      <c r="B1115" t="inlineStr">
        <is>
          <t>AMBIEN CR 6.25 MG 14tabs</t>
        </is>
      </c>
      <c r="C1115" t="inlineStr">
        <is>
          <t>תרופות</t>
        </is>
      </c>
      <c r="D1115" t="inlineStr">
        <is>
          <t>19653658</t>
        </is>
      </c>
      <c r="E1115" t="inlineStr">
        <is>
          <t>2026-06</t>
        </is>
      </c>
      <c r="F1115" t="n">
        <v>59.32</v>
      </c>
      <c r="G1115" t="n">
        <v>70</v>
      </c>
      <c r="H1115">
        <f>הגדרות!B7</f>
        <v/>
      </c>
      <c r="I1115">
        <f>F1115*(1-H1115/100)*1.18</f>
        <v/>
      </c>
      <c r="J1115">
        <f>הגדרות!C7</f>
        <v/>
      </c>
      <c r="K1115">
        <f>הגדרות!D7</f>
        <v/>
      </c>
      <c r="L1115">
        <f>I1115*(1+J1115/100)+K1115</f>
        <v/>
      </c>
    </row>
    <row r="1116">
      <c r="A1116" t="inlineStr">
        <is>
          <t>מדי-מרקט</t>
        </is>
      </c>
      <c r="B1116" t="inlineStr">
        <is>
          <t>Amikacin Medo 500Mg/2Ml X 10 Amp (Il)</t>
        </is>
      </c>
      <c r="C1116" t="inlineStr">
        <is>
          <t>תרופות רשומות- מדי מרקט</t>
        </is>
      </c>
      <c r="D1116" t="inlineStr">
        <is>
          <t>26987</t>
        </is>
      </c>
      <c r="E1116" t="inlineStr">
        <is>
          <t>2026-06</t>
        </is>
      </c>
      <c r="F1116" t="n">
        <v>46.61</v>
      </c>
      <c r="G1116" t="n">
        <v>55</v>
      </c>
      <c r="H1116">
        <f>הגדרות!B7</f>
        <v/>
      </c>
      <c r="I1116">
        <f>F1116*(1-H1116/100)*1.18</f>
        <v/>
      </c>
      <c r="J1116">
        <f>הגדרות!C7</f>
        <v/>
      </c>
      <c r="K1116">
        <f>הגדרות!D7</f>
        <v/>
      </c>
      <c r="L1116">
        <f>I1116*(1+J1116/100)+K1116</f>
        <v/>
      </c>
    </row>
    <row r="1117">
      <c r="A1117" t="inlineStr">
        <is>
          <t>מדי-מרקט</t>
        </is>
      </c>
      <c r="B1117" t="inlineStr">
        <is>
          <t>Aminophylline 240Mg/10Ml * 5 Inj</t>
        </is>
      </c>
      <c r="C1117" t="inlineStr">
        <is>
          <t>תרופות</t>
        </is>
      </c>
      <c r="D1117" t="inlineStr">
        <is>
          <t>110240</t>
        </is>
      </c>
      <c r="E1117" t="inlineStr">
        <is>
          <t>2026-06</t>
        </is>
      </c>
      <c r="F1117" t="n">
        <v>14.58</v>
      </c>
      <c r="G1117" t="n">
        <v>17.21</v>
      </c>
      <c r="H1117">
        <f>הגדרות!B7</f>
        <v/>
      </c>
      <c r="I1117">
        <f>F1117*(1-H1117/100)*1.18</f>
        <v/>
      </c>
      <c r="J1117">
        <f>הגדרות!C7</f>
        <v/>
      </c>
      <c r="K1117">
        <f>הגדרות!D7</f>
        <v/>
      </c>
      <c r="L1117">
        <f>I1117*(1+J1117/100)+K1117</f>
        <v/>
      </c>
    </row>
    <row r="1118">
      <c r="A1118" t="inlineStr">
        <is>
          <t>מדי-מרקט</t>
        </is>
      </c>
      <c r="B1118" t="inlineStr">
        <is>
          <t>Amiodacore 150Mg/3 Ml - 6 Amp</t>
        </is>
      </c>
      <c r="C1118" t="inlineStr">
        <is>
          <t>תרופות</t>
        </is>
      </c>
      <c r="D1118" t="inlineStr">
        <is>
          <t>3409</t>
        </is>
      </c>
      <c r="E1118" t="inlineStr">
        <is>
          <t>2026-06</t>
        </is>
      </c>
      <c r="F1118" t="n">
        <v>11.4</v>
      </c>
      <c r="G1118" t="n">
        <v>13.45</v>
      </c>
      <c r="H1118">
        <f>הגדרות!B7</f>
        <v/>
      </c>
      <c r="I1118">
        <f>F1118*(1-H1118/100)*1.18</f>
        <v/>
      </c>
      <c r="J1118">
        <f>הגדרות!C7</f>
        <v/>
      </c>
      <c r="K1118">
        <f>הגדרות!D7</f>
        <v/>
      </c>
      <c r="L1118">
        <f>I1118*(1+J1118/100)+K1118</f>
        <v/>
      </c>
    </row>
    <row r="1119">
      <c r="A1119" t="inlineStr">
        <is>
          <t>מדי-מרקט</t>
        </is>
      </c>
      <c r="B1119" t="inlineStr">
        <is>
          <t>Amlodipine Teva 10 Mg*30 Tab</t>
        </is>
      </c>
      <c r="C1119" t="inlineStr">
        <is>
          <t>תרופות</t>
        </is>
      </c>
      <c r="D1119" t="inlineStr">
        <is>
          <t>70204</t>
        </is>
      </c>
      <c r="E1119" t="inlineStr">
        <is>
          <t>2026-06</t>
        </is>
      </c>
      <c r="F1119" t="n">
        <v>13.39</v>
      </c>
      <c r="G1119" t="n">
        <v>15.8</v>
      </c>
      <c r="H1119">
        <f>הגדרות!B7</f>
        <v/>
      </c>
      <c r="I1119">
        <f>F1119*(1-H1119/100)*1.18</f>
        <v/>
      </c>
      <c r="J1119">
        <f>הגדרות!C7</f>
        <v/>
      </c>
      <c r="K1119">
        <f>הגדרות!D7</f>
        <v/>
      </c>
      <c r="L1119">
        <f>I1119*(1+J1119/100)+K1119</f>
        <v/>
      </c>
    </row>
    <row r="1120">
      <c r="A1120" t="inlineStr">
        <is>
          <t>מדי-מרקט</t>
        </is>
      </c>
      <c r="B1120" t="inlineStr">
        <is>
          <t>Amlodipine Teva 5Mg 3X10Tbl</t>
        </is>
      </c>
      <c r="C1120" t="inlineStr">
        <is>
          <t>תרופות</t>
        </is>
      </c>
      <c r="D1120" t="inlineStr">
        <is>
          <t>2AK05281</t>
        </is>
      </c>
      <c r="E1120" t="inlineStr">
        <is>
          <t>2026-06</t>
        </is>
      </c>
      <c r="F1120" t="n">
        <v>10.25</v>
      </c>
      <c r="G1120" t="n">
        <v>12.1</v>
      </c>
      <c r="H1120">
        <f>הגדרות!B7</f>
        <v/>
      </c>
      <c r="I1120">
        <f>F1120*(1-H1120/100)*1.18</f>
        <v/>
      </c>
      <c r="J1120">
        <f>הגדרות!C7</f>
        <v/>
      </c>
      <c r="K1120">
        <f>הגדרות!D7</f>
        <v/>
      </c>
      <c r="L1120">
        <f>I1120*(1+J1120/100)+K1120</f>
        <v/>
      </c>
    </row>
    <row r="1121">
      <c r="A1121" t="inlineStr">
        <is>
          <t>מדי-מרקט</t>
        </is>
      </c>
      <c r="B1121" t="inlineStr">
        <is>
          <t>AMODIP 1.25MG CAT 10X10T</t>
        </is>
      </c>
      <c r="C1121" t="inlineStr">
        <is>
          <t>29ג' וטרינרי CEVA</t>
        </is>
      </c>
      <c r="D1121" t="inlineStr">
        <is>
          <t>F45410J</t>
        </is>
      </c>
      <c r="E1121" t="inlineStr">
        <is>
          <t>2026-06</t>
        </is>
      </c>
      <c r="F1121" t="n">
        <v>237.29</v>
      </c>
      <c r="G1121" t="n">
        <v>280</v>
      </c>
      <c r="H1121">
        <f>הגדרות!B7</f>
        <v/>
      </c>
      <c r="I1121">
        <f>F1121*(1-H1121/100)*1.18</f>
        <v/>
      </c>
      <c r="J1121">
        <f>הגדרות!C7</f>
        <v/>
      </c>
      <c r="K1121">
        <f>הגדרות!D7</f>
        <v/>
      </c>
      <c r="L1121">
        <f>I1121*(1+J1121/100)+K1121</f>
        <v/>
      </c>
    </row>
    <row r="1122">
      <c r="A1122" t="inlineStr">
        <is>
          <t>מדי-מרקט</t>
        </is>
      </c>
      <c r="B1122" t="inlineStr">
        <is>
          <t>Amoxicillin Medo 500 Mg, 20 Capsules(Il)</t>
        </is>
      </c>
      <c r="C1122" t="inlineStr">
        <is>
          <t>תרופות רשומות- מדי מרקט</t>
        </is>
      </c>
      <c r="D1122" t="inlineStr">
        <is>
          <t>65478</t>
        </is>
      </c>
      <c r="E1122" t="inlineStr">
        <is>
          <t>2026-06</t>
        </is>
      </c>
      <c r="F1122" t="n">
        <v>15.49</v>
      </c>
      <c r="G1122" t="n">
        <v>18.28</v>
      </c>
      <c r="H1122">
        <f>הגדרות!B7</f>
        <v/>
      </c>
      <c r="I1122">
        <f>F1122*(1-H1122/100)*1.18</f>
        <v/>
      </c>
      <c r="J1122">
        <f>הגדרות!C7</f>
        <v/>
      </c>
      <c r="K1122">
        <f>הגדרות!D7</f>
        <v/>
      </c>
      <c r="L1122">
        <f>I1122*(1+J1122/100)+K1122</f>
        <v/>
      </c>
    </row>
    <row r="1123">
      <c r="A1123" t="inlineStr">
        <is>
          <t>מדי-מרקט</t>
        </is>
      </c>
      <c r="B1123" t="inlineStr">
        <is>
          <t>AMOXICLAV TEVA 875MG 14TAB</t>
        </is>
      </c>
      <c r="C1123" t="inlineStr">
        <is>
          <t>תרופות</t>
        </is>
      </c>
      <c r="D1123" t="inlineStr">
        <is>
          <t>9505</t>
        </is>
      </c>
      <c r="E1123" t="inlineStr">
        <is>
          <t>2026-06</t>
        </is>
      </c>
      <c r="F1123" t="n">
        <v>20.6</v>
      </c>
      <c r="G1123" t="n">
        <v>24.31</v>
      </c>
      <c r="H1123">
        <f>הגדרות!B7</f>
        <v/>
      </c>
      <c r="I1123">
        <f>F1123*(1-H1123/100)*1.18</f>
        <v/>
      </c>
      <c r="J1123">
        <f>הגדרות!C7</f>
        <v/>
      </c>
      <c r="K1123">
        <f>הגדרות!D7</f>
        <v/>
      </c>
      <c r="L1123">
        <f>I1123*(1+J1123/100)+K1123</f>
        <v/>
      </c>
    </row>
    <row r="1124">
      <c r="A1124" t="inlineStr">
        <is>
          <t>מדי-מרקט</t>
        </is>
      </c>
      <c r="B1124" t="inlineStr">
        <is>
          <t>ANAFRANIL 25 MG TABS: 30</t>
        </is>
      </c>
      <c r="C1124" t="inlineStr">
        <is>
          <t>תרופות</t>
        </is>
      </c>
      <c r="D1124" t="inlineStr">
        <is>
          <t>1182</t>
        </is>
      </c>
      <c r="E1124" t="inlineStr">
        <is>
          <t>2026-06</t>
        </is>
      </c>
      <c r="F1124" t="n">
        <v>11.32</v>
      </c>
      <c r="G1124" t="n">
        <v>13.36</v>
      </c>
      <c r="H1124">
        <f>הגדרות!B7</f>
        <v/>
      </c>
      <c r="I1124">
        <f>F1124*(1-H1124/100)*1.18</f>
        <v/>
      </c>
      <c r="J1124">
        <f>הגדרות!C7</f>
        <v/>
      </c>
      <c r="K1124">
        <f>הגדרות!D7</f>
        <v/>
      </c>
      <c r="L1124">
        <f>I1124*(1+J1124/100)+K1124</f>
        <v/>
      </c>
    </row>
    <row r="1125">
      <c r="A1125" t="inlineStr">
        <is>
          <t>מדי-מרקט</t>
        </is>
      </c>
      <c r="B1125" t="inlineStr">
        <is>
          <t>Angiocath 14GX133MM BD X10PCS קטטר/ונפלון לסוסים</t>
        </is>
      </c>
      <c r="C1125" t="inlineStr">
        <is>
          <t>מזרקים,מחטים,ונפלונים,סקלפלים</t>
        </is>
      </c>
      <c r="D1125" t="inlineStr">
        <is>
          <t>382269</t>
        </is>
      </c>
      <c r="E1125" t="inlineStr">
        <is>
          <t>2026-06</t>
        </is>
      </c>
      <c r="F1125" t="n">
        <v>266.95</v>
      </c>
      <c r="G1125" t="n">
        <v>315</v>
      </c>
      <c r="H1125">
        <f>הגדרות!B7</f>
        <v/>
      </c>
      <c r="I1125">
        <f>F1125*(1-H1125/100)*1.18</f>
        <v/>
      </c>
      <c r="J1125">
        <f>הגדרות!C7</f>
        <v/>
      </c>
      <c r="K1125">
        <f>הגדרות!D7</f>
        <v/>
      </c>
      <c r="L1125">
        <f>I1125*(1+J1125/100)+K1125</f>
        <v/>
      </c>
    </row>
    <row r="1126">
      <c r="A1126" t="inlineStr">
        <is>
          <t>מדי-מרקט</t>
        </is>
      </c>
      <c r="B1126" t="inlineStr">
        <is>
          <t>ANTIGONE spray 750 ml</t>
        </is>
      </c>
      <c r="C1126" t="inlineStr">
        <is>
          <t>מוצרי חיטוי ואנטיספטיקה</t>
        </is>
      </c>
      <c r="D1126" t="inlineStr">
        <is>
          <t>100002</t>
        </is>
      </c>
      <c r="E1126" t="inlineStr">
        <is>
          <t>2026-06</t>
        </is>
      </c>
      <c r="F1126" t="n">
        <v>22.88</v>
      </c>
      <c r="G1126" t="n">
        <v>27</v>
      </c>
      <c r="H1126">
        <f>הגדרות!B7</f>
        <v/>
      </c>
      <c r="I1126">
        <f>F1126*(1-H1126/100)*1.18</f>
        <v/>
      </c>
      <c r="J1126">
        <f>הגדרות!C7</f>
        <v/>
      </c>
      <c r="K1126">
        <f>הגדרות!D7</f>
        <v/>
      </c>
      <c r="L1126">
        <f>I1126*(1+J1126/100)+K1126</f>
        <v/>
      </c>
    </row>
    <row r="1127">
      <c r="A1127" t="inlineStr">
        <is>
          <t>מדי-מרקט</t>
        </is>
      </c>
      <c r="B1127" t="inlineStr">
        <is>
          <t>ANTIGONE-CONCENTRATE 1 L</t>
        </is>
      </c>
      <c r="C1127" t="inlineStr">
        <is>
          <t>מוצרי חיטוי ואנטיספטיקה</t>
        </is>
      </c>
      <c r="D1127" t="inlineStr">
        <is>
          <t>M00031</t>
        </is>
      </c>
      <c r="E1127" t="inlineStr">
        <is>
          <t>2026-06</t>
        </is>
      </c>
      <c r="F1127" t="n">
        <v>61.86</v>
      </c>
      <c r="G1127" t="n">
        <v>73</v>
      </c>
      <c r="H1127">
        <f>הגדרות!B7</f>
        <v/>
      </c>
      <c r="I1127">
        <f>F1127*(1-H1127/100)*1.18</f>
        <v/>
      </c>
      <c r="J1127">
        <f>הגדרות!C7</f>
        <v/>
      </c>
      <c r="K1127">
        <f>הגדרות!D7</f>
        <v/>
      </c>
      <c r="L1127">
        <f>I1127*(1+J1127/100)+K1127</f>
        <v/>
      </c>
    </row>
    <row r="1128">
      <c r="A1128" t="inlineStr">
        <is>
          <t>מדי-מרקט</t>
        </is>
      </c>
      <c r="B1128" t="inlineStr">
        <is>
          <t>ANTIREX (Edrophonium Chloride) injection 10mg*10</t>
        </is>
      </c>
      <c r="C1128" t="inlineStr">
        <is>
          <t>29 יבוא תרופות הומניות חו"ל</t>
        </is>
      </c>
      <c r="D1128" t="inlineStr">
        <is>
          <t>2645785</t>
        </is>
      </c>
      <c r="E1128" t="inlineStr">
        <is>
          <t>2026-06</t>
        </is>
      </c>
      <c r="F1128" t="n">
        <v>172.75</v>
      </c>
      <c r="G1128" t="n">
        <v>203.85</v>
      </c>
      <c r="H1128">
        <f>הגדרות!B7</f>
        <v/>
      </c>
      <c r="I1128">
        <f>F1128*(1-H1128/100)*1.18</f>
        <v/>
      </c>
      <c r="J1128">
        <f>הגדרות!C7</f>
        <v/>
      </c>
      <c r="K1128">
        <f>הגדרות!D7</f>
        <v/>
      </c>
      <c r="L1128">
        <f>I1128*(1+J1128/100)+K1128</f>
        <v/>
      </c>
    </row>
    <row r="1129">
      <c r="A1129" t="inlineStr">
        <is>
          <t>מדי-מרקט</t>
        </is>
      </c>
      <c r="B1129" t="inlineStr">
        <is>
          <t>AQUACEL EXTRA 10X10CM  10PCS</t>
        </is>
      </c>
      <c r="C1129" t="inlineStr">
        <is>
          <t>מוצרי חבישה ופלסטרים</t>
        </is>
      </c>
      <c r="D1129" t="inlineStr">
        <is>
          <t>S420672</t>
        </is>
      </c>
      <c r="E1129" t="inlineStr">
        <is>
          <t>2026-06</t>
        </is>
      </c>
      <c r="F1129" t="n">
        <v>207.63</v>
      </c>
      <c r="G1129" t="n">
        <v>245</v>
      </c>
      <c r="H1129">
        <f>הגדרות!B7</f>
        <v/>
      </c>
      <c r="I1129">
        <f>F1129*(1-H1129/100)*1.18</f>
        <v/>
      </c>
      <c r="J1129">
        <f>הגדרות!C7</f>
        <v/>
      </c>
      <c r="K1129">
        <f>הגדרות!D7</f>
        <v/>
      </c>
      <c r="L1129">
        <f>I1129*(1+J1129/100)+K1129</f>
        <v/>
      </c>
    </row>
    <row r="1130">
      <c r="A1130" t="inlineStr">
        <is>
          <t>מדי-מרקט</t>
        </is>
      </c>
      <c r="B1130" t="inlineStr">
        <is>
          <t>Aranesp ( Darbepoetin) 20Mcg 4 Syrin</t>
        </is>
      </c>
      <c r="C1130" t="inlineStr">
        <is>
          <t>תרופות</t>
        </is>
      </c>
      <c r="D1130" t="inlineStr">
        <is>
          <t>109482</t>
        </is>
      </c>
      <c r="E1130" t="inlineStr">
        <is>
          <t>2026-06</t>
        </is>
      </c>
      <c r="F1130" t="n">
        <v>669.49</v>
      </c>
      <c r="G1130" t="n">
        <v>790</v>
      </c>
      <c r="H1130">
        <f>הגדרות!B7</f>
        <v/>
      </c>
      <c r="I1130">
        <f>F1130*(1-H1130/100)*1.18</f>
        <v/>
      </c>
      <c r="J1130">
        <f>הגדרות!C7</f>
        <v/>
      </c>
      <c r="K1130">
        <f>הגדרות!D7</f>
        <v/>
      </c>
      <c r="L1130">
        <f>I1130*(1+J1130/100)+K1130</f>
        <v/>
      </c>
    </row>
    <row r="1131">
      <c r="A1131" t="inlineStr">
        <is>
          <t>מדי-מרקט</t>
        </is>
      </c>
      <c r="B1131" t="inlineStr">
        <is>
          <t>Aranesp 40Mcg 4 Syring</t>
        </is>
      </c>
      <c r="C1131" t="inlineStr">
        <is>
          <t>תרופות</t>
        </is>
      </c>
      <c r="D1131" t="inlineStr">
        <is>
          <t>1094836</t>
        </is>
      </c>
      <c r="E1131" t="inlineStr">
        <is>
          <t>2026-06</t>
        </is>
      </c>
      <c r="F1131" t="n">
        <v>559.3200000000001</v>
      </c>
      <c r="G1131" t="n">
        <v>660</v>
      </c>
      <c r="H1131">
        <f>הגדרות!B7</f>
        <v/>
      </c>
      <c r="I1131">
        <f>F1131*(1-H1131/100)*1.18</f>
        <v/>
      </c>
      <c r="J1131">
        <f>הגדרות!C7</f>
        <v/>
      </c>
      <c r="K1131">
        <f>הגדרות!D7</f>
        <v/>
      </c>
      <c r="L1131">
        <f>I1131*(1+J1131/100)+K1131</f>
        <v/>
      </c>
    </row>
    <row r="1132">
      <c r="A1132" t="inlineStr">
        <is>
          <t>מדי-מרקט</t>
        </is>
      </c>
      <c r="B1132" t="inlineStr">
        <is>
          <t>Arcoxia 120Mg X 7Tabs</t>
        </is>
      </c>
      <c r="C1132" t="inlineStr">
        <is>
          <t>תרופות</t>
        </is>
      </c>
      <c r="D1132" t="inlineStr">
        <is>
          <t>4456</t>
        </is>
      </c>
      <c r="E1132" t="inlineStr">
        <is>
          <t>2026-06</t>
        </is>
      </c>
      <c r="F1132" t="n">
        <v>32.2</v>
      </c>
      <c r="G1132" t="n">
        <v>38</v>
      </c>
      <c r="H1132">
        <f>הגדרות!B7</f>
        <v/>
      </c>
      <c r="I1132">
        <f>F1132*(1-H1132/100)*1.18</f>
        <v/>
      </c>
      <c r="J1132">
        <f>הגדרות!C7</f>
        <v/>
      </c>
      <c r="K1132">
        <f>הגדרות!D7</f>
        <v/>
      </c>
      <c r="L1132">
        <f>I1132*(1+J1132/100)+K1132</f>
        <v/>
      </c>
    </row>
    <row r="1133">
      <c r="A1133" t="inlineStr">
        <is>
          <t>מדי-מרקט</t>
        </is>
      </c>
      <c r="B1133" t="inlineStr">
        <is>
          <t>ARCOXIA 60MG X 14TABS</t>
        </is>
      </c>
      <c r="C1133" t="inlineStr">
        <is>
          <t>תרופות</t>
        </is>
      </c>
      <c r="D1133" t="inlineStr">
        <is>
          <t>31782</t>
        </is>
      </c>
      <c r="E1133" t="inlineStr">
        <is>
          <t>2026-06</t>
        </is>
      </c>
      <c r="F1133" t="n">
        <v>23.15</v>
      </c>
      <c r="G1133" t="n">
        <v>27.32</v>
      </c>
      <c r="H1133">
        <f>הגדרות!B7</f>
        <v/>
      </c>
      <c r="I1133">
        <f>F1133*(1-H1133/100)*1.18</f>
        <v/>
      </c>
      <c r="J1133">
        <f>הגדרות!C7</f>
        <v/>
      </c>
      <c r="K1133">
        <f>הגדרות!D7</f>
        <v/>
      </c>
      <c r="L1133">
        <f>I1133*(1+J1133/100)+K1133</f>
        <v/>
      </c>
    </row>
    <row r="1134">
      <c r="A1134" t="inlineStr">
        <is>
          <t>מדי-מרקט</t>
        </is>
      </c>
      <c r="B1134" t="inlineStr">
        <is>
          <t>Arginine for I.V. infusio "AY" 30g/300mL 2 plas</t>
        </is>
      </c>
      <c r="C1134" t="inlineStr">
        <is>
          <t>29 יבוא תרופות הומניות חו"ל</t>
        </is>
      </c>
      <c r="D1134" t="inlineStr">
        <is>
          <t>587589</t>
        </is>
      </c>
      <c r="E1134" t="inlineStr">
        <is>
          <t>2026-06</t>
        </is>
      </c>
      <c r="F1134" t="n">
        <v>319.19</v>
      </c>
      <c r="G1134" t="n">
        <v>376.65</v>
      </c>
      <c r="H1134">
        <f>הגדרות!B7</f>
        <v/>
      </c>
      <c r="I1134">
        <f>F1134*(1-H1134/100)*1.18</f>
        <v/>
      </c>
      <c r="J1134">
        <f>הגדרות!C7</f>
        <v/>
      </c>
      <c r="K1134">
        <f>הגדרות!D7</f>
        <v/>
      </c>
      <c r="L1134">
        <f>I1134*(1+J1134/100)+K1134</f>
        <v/>
      </c>
    </row>
    <row r="1135">
      <c r="A1135" t="inlineStr">
        <is>
          <t>מדי-מרקט</t>
        </is>
      </c>
      <c r="B1135" t="inlineStr">
        <is>
          <t>Ariply 10Mg X 28Tab</t>
        </is>
      </c>
      <c r="C1135" t="inlineStr">
        <is>
          <t>תרופות</t>
        </is>
      </c>
      <c r="D1135" t="inlineStr">
        <is>
          <t>9642</t>
        </is>
      </c>
      <c r="E1135" t="inlineStr">
        <is>
          <t>2026-06</t>
        </is>
      </c>
      <c r="F1135" t="n">
        <v>193.35</v>
      </c>
      <c r="G1135" t="n">
        <v>228.15</v>
      </c>
      <c r="H1135">
        <f>הגדרות!B7</f>
        <v/>
      </c>
      <c r="I1135">
        <f>F1135*(1-H1135/100)*1.18</f>
        <v/>
      </c>
      <c r="J1135">
        <f>הגדרות!C7</f>
        <v/>
      </c>
      <c r="K1135">
        <f>הגדרות!D7</f>
        <v/>
      </c>
      <c r="L1135">
        <f>I1135*(1+J1135/100)+K1135</f>
        <v/>
      </c>
    </row>
    <row r="1136">
      <c r="A1136" t="inlineStr">
        <is>
          <t>מדי-מרקט</t>
        </is>
      </c>
      <c r="B1136" t="inlineStr">
        <is>
          <t>Ariply 15 Mg X 28Tab</t>
        </is>
      </c>
      <c r="C1136" t="inlineStr">
        <is>
          <t>תרופות</t>
        </is>
      </c>
      <c r="D1136" t="inlineStr">
        <is>
          <t>963964</t>
        </is>
      </c>
      <c r="E1136" t="inlineStr">
        <is>
          <t>2026-06</t>
        </is>
      </c>
      <c r="F1136" t="n">
        <v>207.63</v>
      </c>
      <c r="G1136" t="n">
        <v>245</v>
      </c>
      <c r="H1136">
        <f>הגדרות!B7</f>
        <v/>
      </c>
      <c r="I1136">
        <f>F1136*(1-H1136/100)*1.18</f>
        <v/>
      </c>
      <c r="J1136">
        <f>הגדרות!C7</f>
        <v/>
      </c>
      <c r="K1136">
        <f>הגדרות!D7</f>
        <v/>
      </c>
      <c r="L1136">
        <f>I1136*(1+J1136/100)+K1136</f>
        <v/>
      </c>
    </row>
    <row r="1137">
      <c r="A1137" t="inlineStr">
        <is>
          <t>מדי-מרקט</t>
        </is>
      </c>
      <c r="B1137" t="inlineStr">
        <is>
          <t>Ariply 5Mg X 28Tab</t>
        </is>
      </c>
      <c r="C1137" t="inlineStr">
        <is>
          <t>תרופות</t>
        </is>
      </c>
      <c r="D1137" t="inlineStr">
        <is>
          <t>9641</t>
        </is>
      </c>
      <c r="E1137" t="inlineStr">
        <is>
          <t>2026-06</t>
        </is>
      </c>
      <c r="F1137" t="n">
        <v>184.77</v>
      </c>
      <c r="G1137" t="n">
        <v>218.03</v>
      </c>
      <c r="H1137">
        <f>הגדרות!B7</f>
        <v/>
      </c>
      <c r="I1137">
        <f>F1137*(1-H1137/100)*1.18</f>
        <v/>
      </c>
      <c r="J1137">
        <f>הגדרות!C7</f>
        <v/>
      </c>
      <c r="K1137">
        <f>הגדרות!D7</f>
        <v/>
      </c>
      <c r="L1137">
        <f>I1137*(1+J1137/100)+K1137</f>
        <v/>
      </c>
    </row>
    <row r="1138">
      <c r="A1138" t="inlineStr">
        <is>
          <t>מדי-מרקט</t>
        </is>
      </c>
      <c r="B1138" t="inlineStr">
        <is>
          <t>Arthrease 2Ml 1% Sodium Hyal' 3Syr'</t>
        </is>
      </c>
      <c r="C1138" t="inlineStr">
        <is>
          <t>תרופות</t>
        </is>
      </c>
      <c r="D1138" t="inlineStr">
        <is>
          <t>M01450</t>
        </is>
      </c>
      <c r="E1138" t="inlineStr">
        <is>
          <t>2026-06</t>
        </is>
      </c>
      <c r="F1138" t="n">
        <v>657.84</v>
      </c>
      <c r="G1138" t="n">
        <v>776.25</v>
      </c>
      <c r="H1138">
        <f>הגדרות!B7</f>
        <v/>
      </c>
      <c r="I1138">
        <f>F1138*(1-H1138/100)*1.18</f>
        <v/>
      </c>
      <c r="J1138">
        <f>הגדרות!C7</f>
        <v/>
      </c>
      <c r="K1138">
        <f>הגדרות!D7</f>
        <v/>
      </c>
      <c r="L1138">
        <f>I1138*(1+J1138/100)+K1138</f>
        <v/>
      </c>
    </row>
    <row r="1139">
      <c r="A1139" t="inlineStr">
        <is>
          <t>מדי-מרקט</t>
        </is>
      </c>
      <c r="B1139" t="inlineStr">
        <is>
          <t>Aspirin - Acetosal 300 30 Tab</t>
        </is>
      </c>
      <c r="C1139" t="inlineStr">
        <is>
          <t>תרופות</t>
        </is>
      </c>
      <c r="D1139" t="inlineStr">
        <is>
          <t>968963</t>
        </is>
      </c>
      <c r="E1139" t="inlineStr">
        <is>
          <t>2026-06</t>
        </is>
      </c>
      <c r="F1139" t="n">
        <v>11.65</v>
      </c>
      <c r="G1139" t="n">
        <v>13.75</v>
      </c>
      <c r="H1139">
        <f>הגדרות!B7</f>
        <v/>
      </c>
      <c r="I1139">
        <f>F1139*(1-H1139/100)*1.18</f>
        <v/>
      </c>
      <c r="J1139">
        <f>הגדרות!C7</f>
        <v/>
      </c>
      <c r="K1139">
        <f>הגדרות!D7</f>
        <v/>
      </c>
      <c r="L1139">
        <f>I1139*(1+J1139/100)+K1139</f>
        <v/>
      </c>
    </row>
    <row r="1140">
      <c r="A1140" t="inlineStr">
        <is>
          <t>מדי-מרקט</t>
        </is>
      </c>
      <c r="B1140" t="inlineStr">
        <is>
          <t>Assival 10 Mg Tabs: 30</t>
        </is>
      </c>
      <c r="C1140" t="inlineStr">
        <is>
          <t>תרופות</t>
        </is>
      </c>
      <c r="D1140" t="inlineStr">
        <is>
          <t>5070</t>
        </is>
      </c>
      <c r="E1140" t="inlineStr">
        <is>
          <t>2026-06</t>
        </is>
      </c>
      <c r="F1140" t="n">
        <v>11.81</v>
      </c>
      <c r="G1140" t="n">
        <v>13.93</v>
      </c>
      <c r="H1140">
        <f>הגדרות!B7</f>
        <v/>
      </c>
      <c r="I1140">
        <f>F1140*(1-H1140/100)*1.18</f>
        <v/>
      </c>
      <c r="J1140">
        <f>הגדרות!C7</f>
        <v/>
      </c>
      <c r="K1140">
        <f>הגדרות!D7</f>
        <v/>
      </c>
      <c r="L1140">
        <f>I1140*(1+J1140/100)+K1140</f>
        <v/>
      </c>
    </row>
    <row r="1141">
      <c r="A1141" t="inlineStr">
        <is>
          <t>מדי-מרקט</t>
        </is>
      </c>
      <c r="B1141" t="inlineStr">
        <is>
          <t>Assival 10Mg/2Ml X 10 Amp</t>
        </is>
      </c>
      <c r="C1141" t="inlineStr">
        <is>
          <t>תרופות</t>
        </is>
      </c>
      <c r="D1141" t="inlineStr">
        <is>
          <t>20452</t>
        </is>
      </c>
      <c r="E1141" t="inlineStr">
        <is>
          <t>2026-06</t>
        </is>
      </c>
      <c r="F1141" t="n">
        <v>21.61</v>
      </c>
      <c r="G1141" t="n">
        <v>25.5</v>
      </c>
      <c r="H1141">
        <f>הגדרות!B7</f>
        <v/>
      </c>
      <c r="I1141">
        <f>F1141*(1-H1141/100)*1.18</f>
        <v/>
      </c>
      <c r="J1141">
        <f>הגדרות!C7</f>
        <v/>
      </c>
      <c r="K1141">
        <f>הגדרות!D7</f>
        <v/>
      </c>
      <c r="L1141">
        <f>I1141*(1+J1141/100)+K1141</f>
        <v/>
      </c>
    </row>
    <row r="1142">
      <c r="A1142" t="inlineStr">
        <is>
          <t>מדי-מרקט</t>
        </is>
      </c>
      <c r="B1142" t="inlineStr">
        <is>
          <t>Assival 2 Mg Tabs:30</t>
        </is>
      </c>
      <c r="C1142" t="inlineStr">
        <is>
          <t>תרופות</t>
        </is>
      </c>
      <c r="D1142" t="inlineStr">
        <is>
          <t>101832</t>
        </is>
      </c>
      <c r="E1142" t="inlineStr">
        <is>
          <t>2026-06</t>
        </is>
      </c>
      <c r="F1142" t="n">
        <v>7.95</v>
      </c>
      <c r="G1142" t="n">
        <v>9.380000000000001</v>
      </c>
      <c r="H1142">
        <f>הגדרות!B7</f>
        <v/>
      </c>
      <c r="I1142">
        <f>F1142*(1-H1142/100)*1.18</f>
        <v/>
      </c>
      <c r="J1142">
        <f>הגדרות!C7</f>
        <v/>
      </c>
      <c r="K1142">
        <f>הגדרות!D7</f>
        <v/>
      </c>
      <c r="L1142">
        <f>I1142*(1+J1142/100)+K1142</f>
        <v/>
      </c>
    </row>
    <row r="1143">
      <c r="A1143" t="inlineStr">
        <is>
          <t>מדי-מרקט</t>
        </is>
      </c>
      <c r="B1143" t="inlineStr">
        <is>
          <t>Atlas PGA DS26 3/0 75CM 36PCS</t>
        </is>
      </c>
      <c r="C1143" t="inlineStr">
        <is>
          <t>חוטי תפירה ATLAS</t>
        </is>
      </c>
      <c r="D1143" t="inlineStr">
        <is>
          <t>AM112DS2630</t>
        </is>
      </c>
      <c r="E1143" t="inlineStr">
        <is>
          <t>2026-06</t>
        </is>
      </c>
      <c r="F1143" t="n">
        <v>271.19</v>
      </c>
      <c r="G1143" t="n">
        <v>320</v>
      </c>
      <c r="H1143">
        <f>הגדרות!B7</f>
        <v/>
      </c>
      <c r="I1143">
        <f>F1143*(1-H1143/100)*1.18</f>
        <v/>
      </c>
      <c r="J1143">
        <f>הגדרות!C7</f>
        <v/>
      </c>
      <c r="K1143">
        <f>הגדרות!D7</f>
        <v/>
      </c>
      <c r="L1143">
        <f>I1143*(1+J1143/100)+K1143</f>
        <v/>
      </c>
    </row>
    <row r="1144">
      <c r="A1144" t="inlineStr">
        <is>
          <t>מדי-מרקט</t>
        </is>
      </c>
      <c r="B1144" t="inlineStr">
        <is>
          <t>Atlas POLYAMIDE DS16 5/0 75CM 12PCS</t>
        </is>
      </c>
      <c r="C1144" t="inlineStr">
        <is>
          <t>חוטי תפירה ATLAS</t>
        </is>
      </c>
      <c r="D1144" t="inlineStr">
        <is>
          <t>AM642DS1650-1</t>
        </is>
      </c>
      <c r="E1144" t="inlineStr">
        <is>
          <t>2026-06</t>
        </is>
      </c>
      <c r="F1144" t="n">
        <v>44.92</v>
      </c>
      <c r="G1144" t="n">
        <v>53</v>
      </c>
      <c r="H1144">
        <f>הגדרות!B7</f>
        <v/>
      </c>
      <c r="I1144">
        <f>F1144*(1-H1144/100)*1.18</f>
        <v/>
      </c>
      <c r="J1144">
        <f>הגדרות!C7</f>
        <v/>
      </c>
      <c r="K1144">
        <f>הגדרות!D7</f>
        <v/>
      </c>
      <c r="L1144">
        <f>I1144*(1+J1144/100)+K1144</f>
        <v/>
      </c>
    </row>
    <row r="1145">
      <c r="A1145" t="inlineStr">
        <is>
          <t>מדי-מרקט</t>
        </is>
      </c>
      <c r="B1145" t="inlineStr">
        <is>
          <t>Atlas POLYAMIDE DS16 5/0 75CM 36PCS</t>
        </is>
      </c>
      <c r="C1145" t="inlineStr">
        <is>
          <t>חוטי תפירה ATLAS</t>
        </is>
      </c>
      <c r="D1145" t="inlineStr">
        <is>
          <t>AM642DS1650</t>
        </is>
      </c>
      <c r="E1145" t="inlineStr">
        <is>
          <t>2026-06</t>
        </is>
      </c>
      <c r="F1145" t="n">
        <v>135.59</v>
      </c>
      <c r="G1145" t="n">
        <v>160</v>
      </c>
      <c r="H1145">
        <f>הגדרות!B7</f>
        <v/>
      </c>
      <c r="I1145">
        <f>F1145*(1-H1145/100)*1.18</f>
        <v/>
      </c>
      <c r="J1145">
        <f>הגדרות!C7</f>
        <v/>
      </c>
      <c r="K1145">
        <f>הגדרות!D7</f>
        <v/>
      </c>
      <c r="L1145">
        <f>I1145*(1+J1145/100)+K1145</f>
        <v/>
      </c>
    </row>
    <row r="1146">
      <c r="A1146" t="inlineStr">
        <is>
          <t>מדי-מרקט</t>
        </is>
      </c>
      <c r="B1146" t="inlineStr">
        <is>
          <t>Atlas POLYAMIDE DS24 4/0 75CM 12PCS</t>
        </is>
      </c>
      <c r="C1146" t="inlineStr">
        <is>
          <t>חוטי תפירה ATLAS</t>
        </is>
      </c>
      <c r="D1146" t="inlineStr">
        <is>
          <t>AM642DS2440-1</t>
        </is>
      </c>
      <c r="E1146" t="inlineStr">
        <is>
          <t>2026-06</t>
        </is>
      </c>
      <c r="F1146" t="n">
        <v>44.92</v>
      </c>
      <c r="G1146" t="n">
        <v>53</v>
      </c>
      <c r="H1146">
        <f>הגדרות!B7</f>
        <v/>
      </c>
      <c r="I1146">
        <f>F1146*(1-H1146/100)*1.18</f>
        <v/>
      </c>
      <c r="J1146">
        <f>הגדרות!C7</f>
        <v/>
      </c>
      <c r="K1146">
        <f>הגדרות!D7</f>
        <v/>
      </c>
      <c r="L1146">
        <f>I1146*(1+J1146/100)+K1146</f>
        <v/>
      </c>
    </row>
    <row r="1147">
      <c r="A1147" t="inlineStr">
        <is>
          <t>מדי-מרקט</t>
        </is>
      </c>
      <c r="B1147" t="inlineStr">
        <is>
          <t>Atlas POLYAMIDE DS26 2/0 75CM 36PCS</t>
        </is>
      </c>
      <c r="C1147" t="inlineStr">
        <is>
          <t>חוטי תפירה ATLAS</t>
        </is>
      </c>
      <c r="D1147" t="inlineStr">
        <is>
          <t>AM642DS2620</t>
        </is>
      </c>
      <c r="E1147" t="inlineStr">
        <is>
          <t>2026-06</t>
        </is>
      </c>
      <c r="F1147" t="n">
        <v>135.59</v>
      </c>
      <c r="G1147" t="n">
        <v>160</v>
      </c>
      <c r="H1147">
        <f>הגדרות!B7</f>
        <v/>
      </c>
      <c r="I1147">
        <f>F1147*(1-H1147/100)*1.18</f>
        <v/>
      </c>
      <c r="J1147">
        <f>הגדרות!C7</f>
        <v/>
      </c>
      <c r="K1147">
        <f>הגדרות!D7</f>
        <v/>
      </c>
      <c r="L1147">
        <f>I1147*(1+J1147/100)+K1147</f>
        <v/>
      </c>
    </row>
    <row r="1148">
      <c r="A1148" t="inlineStr">
        <is>
          <t>מדי-מרקט</t>
        </is>
      </c>
      <c r="B1148" t="inlineStr">
        <is>
          <t>Atlas POLYAMIDE DS26 3/0 75CM 12PCS</t>
        </is>
      </c>
      <c r="C1148" t="inlineStr">
        <is>
          <t>חוטי תפירה ATLAS</t>
        </is>
      </c>
      <c r="D1148" t="inlineStr">
        <is>
          <t>AM642DS2630-1</t>
        </is>
      </c>
      <c r="E1148" t="inlineStr">
        <is>
          <t>2026-06</t>
        </is>
      </c>
      <c r="F1148" t="n">
        <v>44.92</v>
      </c>
      <c r="G1148" t="n">
        <v>53</v>
      </c>
      <c r="H1148">
        <f>הגדרות!B7</f>
        <v/>
      </c>
      <c r="I1148">
        <f>F1148*(1-H1148/100)*1.18</f>
        <v/>
      </c>
      <c r="J1148">
        <f>הגדרות!C7</f>
        <v/>
      </c>
      <c r="K1148">
        <f>הגדרות!D7</f>
        <v/>
      </c>
      <c r="L1148">
        <f>I1148*(1+J1148/100)+K1148</f>
        <v/>
      </c>
    </row>
    <row r="1149">
      <c r="A1149" t="inlineStr">
        <is>
          <t>מדי-מרקט</t>
        </is>
      </c>
      <c r="B1149" t="inlineStr">
        <is>
          <t>Atlas POLYAMIDE DS26 3/0 75CM 36PCS</t>
        </is>
      </c>
      <c r="C1149" t="inlineStr">
        <is>
          <t>חוטי תפירה ATLAS</t>
        </is>
      </c>
      <c r="D1149" t="inlineStr">
        <is>
          <t>AM642DS2630</t>
        </is>
      </c>
      <c r="E1149" t="inlineStr">
        <is>
          <t>2026-06</t>
        </is>
      </c>
      <c r="F1149" t="n">
        <v>135.59</v>
      </c>
      <c r="G1149" t="n">
        <v>160</v>
      </c>
      <c r="H1149">
        <f>הגדרות!B7</f>
        <v/>
      </c>
      <c r="I1149">
        <f>F1149*(1-H1149/100)*1.18</f>
        <v/>
      </c>
      <c r="J1149">
        <f>הגדרות!C7</f>
        <v/>
      </c>
      <c r="K1149">
        <f>הגדרות!D7</f>
        <v/>
      </c>
      <c r="L1149">
        <f>I1149*(1+J1149/100)+K1149</f>
        <v/>
      </c>
    </row>
    <row r="1150">
      <c r="A1150" t="inlineStr">
        <is>
          <t>מדי-מרקט</t>
        </is>
      </c>
      <c r="B1150" t="inlineStr">
        <is>
          <t>ATLAS POLYAMIDE HS40 1 100CM 24PCS ניילון</t>
        </is>
      </c>
      <c r="C1150" t="inlineStr">
        <is>
          <t>חוטי תפירה ATLAS</t>
        </is>
      </c>
      <c r="D1150" t="inlineStr">
        <is>
          <t>637HS4001</t>
        </is>
      </c>
      <c r="E1150" t="inlineStr">
        <is>
          <t>2026-06</t>
        </is>
      </c>
      <c r="F1150" t="n">
        <v>135.59</v>
      </c>
      <c r="G1150" t="n">
        <v>160</v>
      </c>
      <c r="H1150">
        <f>הגדרות!B7</f>
        <v/>
      </c>
      <c r="I1150">
        <f>F1150*(1-H1150/100)*1.18</f>
        <v/>
      </c>
      <c r="J1150">
        <f>הגדרות!C7</f>
        <v/>
      </c>
      <c r="K1150">
        <f>הגדרות!D7</f>
        <v/>
      </c>
      <c r="L1150">
        <f>I1150*(1+J1150/100)+K1150</f>
        <v/>
      </c>
    </row>
    <row r="1151">
      <c r="A1151" t="inlineStr">
        <is>
          <t>מדי-מרקט</t>
        </is>
      </c>
      <c r="B1151" t="inlineStr">
        <is>
          <t>Atlas POLYDIOXANONE DR12 5/0 75CM 12PCS עגולה</t>
        </is>
      </c>
      <c r="C1151" t="inlineStr">
        <is>
          <t>חוטי תפירה ATLAS</t>
        </is>
      </c>
      <c r="D1151" t="inlineStr">
        <is>
          <t>AMP412DR1250-1</t>
        </is>
      </c>
      <c r="E1151" t="inlineStr">
        <is>
          <t>2026-06</t>
        </is>
      </c>
      <c r="F1151" t="n">
        <v>95.76000000000001</v>
      </c>
      <c r="G1151" t="n">
        <v>113</v>
      </c>
      <c r="H1151">
        <f>הגדרות!B7</f>
        <v/>
      </c>
      <c r="I1151">
        <f>F1151*(1-H1151/100)*1.18</f>
        <v/>
      </c>
      <c r="J1151">
        <f>הגדרות!C7</f>
        <v/>
      </c>
      <c r="K1151">
        <f>הגדרות!D7</f>
        <v/>
      </c>
      <c r="L1151">
        <f>I1151*(1+J1151/100)+K1151</f>
        <v/>
      </c>
    </row>
    <row r="1152">
      <c r="A1152" t="inlineStr">
        <is>
          <t>מדי-מרקט</t>
        </is>
      </c>
      <c r="B1152" t="inlineStr">
        <is>
          <t>Atlas POLYDIOXANONE DR19 4/0 75CM 12PCS</t>
        </is>
      </c>
      <c r="C1152" t="inlineStr">
        <is>
          <t>חוטי תפירה ATLAS</t>
        </is>
      </c>
      <c r="D1152" t="inlineStr">
        <is>
          <t>AMP412DR1940-1</t>
        </is>
      </c>
      <c r="E1152" t="inlineStr">
        <is>
          <t>2026-06</t>
        </is>
      </c>
      <c r="F1152" t="n">
        <v>95.76000000000001</v>
      </c>
      <c r="G1152" t="n">
        <v>113</v>
      </c>
      <c r="H1152">
        <f>הגדרות!B7</f>
        <v/>
      </c>
      <c r="I1152">
        <f>F1152*(1-H1152/100)*1.18</f>
        <v/>
      </c>
      <c r="J1152">
        <f>הגדרות!C7</f>
        <v/>
      </c>
      <c r="K1152">
        <f>הגדרות!D7</f>
        <v/>
      </c>
      <c r="L1152">
        <f>I1152*(1+J1152/100)+K1152</f>
        <v/>
      </c>
    </row>
    <row r="1153">
      <c r="A1153" t="inlineStr">
        <is>
          <t>מדי-מרקט</t>
        </is>
      </c>
      <c r="B1153" t="inlineStr">
        <is>
          <t>Atlas POLYDIOXANONE DS19 4/0 75CM 36PCS</t>
        </is>
      </c>
      <c r="C1153" t="inlineStr">
        <is>
          <t>חוטי תפירה ATLAS</t>
        </is>
      </c>
      <c r="D1153" t="inlineStr">
        <is>
          <t>AM412DS1940</t>
        </is>
      </c>
      <c r="E1153" t="inlineStr">
        <is>
          <t>2026-06</t>
        </is>
      </c>
      <c r="F1153" t="n">
        <v>271.19</v>
      </c>
      <c r="G1153" t="n">
        <v>320</v>
      </c>
      <c r="H1153">
        <f>הגדרות!B7</f>
        <v/>
      </c>
      <c r="I1153">
        <f>F1153*(1-H1153/100)*1.18</f>
        <v/>
      </c>
      <c r="J1153">
        <f>הגדרות!C7</f>
        <v/>
      </c>
      <c r="K1153">
        <f>הגדרות!D7</f>
        <v/>
      </c>
      <c r="L1153">
        <f>I1153*(1+J1153/100)+K1153</f>
        <v/>
      </c>
    </row>
    <row r="1154">
      <c r="A1154" t="inlineStr">
        <is>
          <t>מדי-מרקט</t>
        </is>
      </c>
      <c r="B1154" t="inlineStr">
        <is>
          <t>Atlas POLYDIOXANONE DS19 5/0 45CM 12PC</t>
        </is>
      </c>
      <c r="C1154" t="inlineStr">
        <is>
          <t>חוטי תפירה ATLAS</t>
        </is>
      </c>
      <c r="D1154" t="inlineStr">
        <is>
          <t>AM411DS1950-1</t>
        </is>
      </c>
      <c r="E1154" t="inlineStr">
        <is>
          <t>2026-06</t>
        </is>
      </c>
      <c r="F1154" t="n">
        <v>95.76000000000001</v>
      </c>
      <c r="G1154" t="n">
        <v>113</v>
      </c>
      <c r="H1154">
        <f>הגדרות!B7</f>
        <v/>
      </c>
      <c r="I1154">
        <f>F1154*(1-H1154/100)*1.18</f>
        <v/>
      </c>
      <c r="J1154">
        <f>הגדרות!C7</f>
        <v/>
      </c>
      <c r="K1154">
        <f>הגדרות!D7</f>
        <v/>
      </c>
      <c r="L1154">
        <f>I1154*(1+J1154/100)+K1154</f>
        <v/>
      </c>
    </row>
    <row r="1155">
      <c r="A1155" t="inlineStr">
        <is>
          <t>מדי-מרקט</t>
        </is>
      </c>
      <c r="B1155" t="inlineStr">
        <is>
          <t>Atlas POLYDIOXANONE DS26 2/0 75CM 12PCS</t>
        </is>
      </c>
      <c r="C1155" t="inlineStr">
        <is>
          <t>חוטי תפירה ATLAS</t>
        </is>
      </c>
      <c r="D1155" t="inlineStr">
        <is>
          <t>AM412DS2620-1</t>
        </is>
      </c>
      <c r="E1155" t="inlineStr">
        <is>
          <t>2026-06</t>
        </is>
      </c>
      <c r="F1155" t="n">
        <v>95.76000000000001</v>
      </c>
      <c r="G1155" t="n">
        <v>113</v>
      </c>
      <c r="H1155">
        <f>הגדרות!B7</f>
        <v/>
      </c>
      <c r="I1155">
        <f>F1155*(1-H1155/100)*1.18</f>
        <v/>
      </c>
      <c r="J1155">
        <f>הגדרות!C7</f>
        <v/>
      </c>
      <c r="K1155">
        <f>הגדרות!D7</f>
        <v/>
      </c>
      <c r="L1155">
        <f>I1155*(1+J1155/100)+K1155</f>
        <v/>
      </c>
    </row>
    <row r="1156">
      <c r="A1156" t="inlineStr">
        <is>
          <t>מדי-מרקט</t>
        </is>
      </c>
      <c r="B1156" t="inlineStr">
        <is>
          <t>Atlas POLYDIOXANONE DS26 2/0 75CM 36PCS</t>
        </is>
      </c>
      <c r="C1156" t="inlineStr">
        <is>
          <t>חוטי תפירה ATLAS</t>
        </is>
      </c>
      <c r="D1156" t="inlineStr">
        <is>
          <t>AM412DS2620</t>
        </is>
      </c>
      <c r="E1156" t="inlineStr">
        <is>
          <t>2026-06</t>
        </is>
      </c>
      <c r="F1156" t="n">
        <v>271.19</v>
      </c>
      <c r="G1156" t="n">
        <v>320</v>
      </c>
      <c r="H1156">
        <f>הגדרות!B7</f>
        <v/>
      </c>
      <c r="I1156">
        <f>F1156*(1-H1156/100)*1.18</f>
        <v/>
      </c>
      <c r="J1156">
        <f>הגדרות!C7</f>
        <v/>
      </c>
      <c r="K1156">
        <f>הגדרות!D7</f>
        <v/>
      </c>
      <c r="L1156">
        <f>I1156*(1+J1156/100)+K1156</f>
        <v/>
      </c>
    </row>
    <row r="1157">
      <c r="A1157" t="inlineStr">
        <is>
          <t>מדי-מרקט</t>
        </is>
      </c>
      <c r="B1157" t="inlineStr">
        <is>
          <t>Atlas POLYDIOXANONE DS26 3/0 75CM 12PCS</t>
        </is>
      </c>
      <c r="C1157" t="inlineStr">
        <is>
          <t>חוטי תפירה ATLAS</t>
        </is>
      </c>
      <c r="D1157" t="inlineStr">
        <is>
          <t>AM412DS2630-1</t>
        </is>
      </c>
      <c r="E1157" t="inlineStr">
        <is>
          <t>2026-06</t>
        </is>
      </c>
      <c r="F1157" t="n">
        <v>95.76000000000001</v>
      </c>
      <c r="G1157" t="n">
        <v>113</v>
      </c>
      <c r="H1157">
        <f>הגדרות!B7</f>
        <v/>
      </c>
      <c r="I1157">
        <f>F1157*(1-H1157/100)*1.18</f>
        <v/>
      </c>
      <c r="J1157">
        <f>הגדרות!C7</f>
        <v/>
      </c>
      <c r="K1157">
        <f>הגדרות!D7</f>
        <v/>
      </c>
      <c r="L1157">
        <f>I1157*(1+J1157/100)+K1157</f>
        <v/>
      </c>
    </row>
    <row r="1158">
      <c r="A1158" t="inlineStr">
        <is>
          <t>מדי-מרקט</t>
        </is>
      </c>
      <c r="B1158" t="inlineStr">
        <is>
          <t>Atlas POLYDIOXANONE DS26 3/0 75CM 36PCS</t>
        </is>
      </c>
      <c r="C1158" t="inlineStr">
        <is>
          <t>חוטי תפירה ATLAS</t>
        </is>
      </c>
      <c r="D1158" t="inlineStr">
        <is>
          <t>AM412DS2630</t>
        </is>
      </c>
      <c r="E1158" t="inlineStr">
        <is>
          <t>2026-06</t>
        </is>
      </c>
      <c r="F1158" t="n">
        <v>271.19</v>
      </c>
      <c r="G1158" t="n">
        <v>320</v>
      </c>
      <c r="H1158">
        <f>הגדרות!B7</f>
        <v/>
      </c>
      <c r="I1158">
        <f>F1158*(1-H1158/100)*1.18</f>
        <v/>
      </c>
      <c r="J1158">
        <f>הגדרות!C7</f>
        <v/>
      </c>
      <c r="K1158">
        <f>הגדרות!D7</f>
        <v/>
      </c>
      <c r="L1158">
        <f>I1158*(1+J1158/100)+K1158</f>
        <v/>
      </c>
    </row>
    <row r="1159">
      <c r="A1159" t="inlineStr">
        <is>
          <t>מדי-מרקט</t>
        </is>
      </c>
      <c r="B1159" t="inlineStr">
        <is>
          <t>Atlas POLYDIOXANONE DS30 0 75CM 36PCS</t>
        </is>
      </c>
      <c r="C1159" t="inlineStr">
        <is>
          <t>חוטי תפירה ATLAS</t>
        </is>
      </c>
      <c r="D1159" t="inlineStr">
        <is>
          <t>AM412DS3010</t>
        </is>
      </c>
      <c r="E1159" t="inlineStr">
        <is>
          <t>2026-06</t>
        </is>
      </c>
      <c r="F1159" t="n">
        <v>271.19</v>
      </c>
      <c r="G1159" t="n">
        <v>320</v>
      </c>
      <c r="H1159">
        <f>הגדרות!B7</f>
        <v/>
      </c>
      <c r="I1159">
        <f>F1159*(1-H1159/100)*1.18</f>
        <v/>
      </c>
      <c r="J1159">
        <f>הגדרות!C7</f>
        <v/>
      </c>
      <c r="K1159">
        <f>הגדרות!D7</f>
        <v/>
      </c>
      <c r="L1159">
        <f>I1159*(1+J1159/100)+K1159</f>
        <v/>
      </c>
    </row>
    <row r="1160">
      <c r="A1160" t="inlineStr">
        <is>
          <t>מדי-מרקט</t>
        </is>
      </c>
      <c r="B1160" t="inlineStr">
        <is>
          <t>Atlas POLYDIOXANONE DS36 2/0 75CM 12PCS</t>
        </is>
      </c>
      <c r="C1160" t="inlineStr">
        <is>
          <t>חוטי תפירה ATLAS</t>
        </is>
      </c>
      <c r="D1160" t="inlineStr">
        <is>
          <t>AM412DS3620-1</t>
        </is>
      </c>
      <c r="E1160" t="inlineStr">
        <is>
          <t>2026-06</t>
        </is>
      </c>
      <c r="F1160" t="n">
        <v>95.76000000000001</v>
      </c>
      <c r="G1160" t="n">
        <v>113</v>
      </c>
      <c r="H1160">
        <f>הגדרות!B7</f>
        <v/>
      </c>
      <c r="I1160">
        <f>F1160*(1-H1160/100)*1.18</f>
        <v/>
      </c>
      <c r="J1160">
        <f>הגדרות!C7</f>
        <v/>
      </c>
      <c r="K1160">
        <f>הגדרות!D7</f>
        <v/>
      </c>
      <c r="L1160">
        <f>I1160*(1+J1160/100)+K1160</f>
        <v/>
      </c>
    </row>
    <row r="1161">
      <c r="A1161" t="inlineStr">
        <is>
          <t>מדי-מרקט</t>
        </is>
      </c>
      <c r="B1161" t="inlineStr">
        <is>
          <t>Atlas POLYDIOXANONE DS36 2/0 75CM 36PCS</t>
        </is>
      </c>
      <c r="C1161" t="inlineStr">
        <is>
          <t>חוטי תפירה ATLAS</t>
        </is>
      </c>
      <c r="D1161" t="inlineStr">
        <is>
          <t>AM412DS3620</t>
        </is>
      </c>
      <c r="E1161" t="inlineStr">
        <is>
          <t>2026-06</t>
        </is>
      </c>
      <c r="F1161" t="n">
        <v>271.19</v>
      </c>
      <c r="G1161" t="n">
        <v>320</v>
      </c>
      <c r="H1161">
        <f>הגדרות!B7</f>
        <v/>
      </c>
      <c r="I1161">
        <f>F1161*(1-H1161/100)*1.18</f>
        <v/>
      </c>
      <c r="J1161">
        <f>הגדרות!C7</f>
        <v/>
      </c>
      <c r="K1161">
        <f>הגדרות!D7</f>
        <v/>
      </c>
      <c r="L1161">
        <f>I1161*(1+J1161/100)+K1161</f>
        <v/>
      </c>
    </row>
    <row r="1162">
      <c r="A1162" t="inlineStr">
        <is>
          <t>מדי-מרקט</t>
        </is>
      </c>
      <c r="B1162" t="inlineStr">
        <is>
          <t>Atlas POLYDIOXANONE DS36 3/0 75CM 36PCS</t>
        </is>
      </c>
      <c r="C1162" t="inlineStr">
        <is>
          <t>חוטי תפירה ATLAS</t>
        </is>
      </c>
      <c r="D1162" t="inlineStr">
        <is>
          <t>AM412DS3630</t>
        </is>
      </c>
      <c r="E1162" t="inlineStr">
        <is>
          <t>2026-06</t>
        </is>
      </c>
      <c r="F1162" t="n">
        <v>271.19</v>
      </c>
      <c r="G1162" t="n">
        <v>320</v>
      </c>
      <c r="H1162">
        <f>הגדרות!B7</f>
        <v/>
      </c>
      <c r="I1162">
        <f>F1162*(1-H1162/100)*1.18</f>
        <v/>
      </c>
      <c r="J1162">
        <f>הגדרות!C7</f>
        <v/>
      </c>
      <c r="K1162">
        <f>הגדרות!D7</f>
        <v/>
      </c>
      <c r="L1162">
        <f>I1162*(1+J1162/100)+K1162</f>
        <v/>
      </c>
    </row>
    <row r="1163">
      <c r="A1163" t="inlineStr">
        <is>
          <t>מדי-מרקט</t>
        </is>
      </c>
      <c r="B1163" t="inlineStr">
        <is>
          <t>Atracurium Kalceks 10 Mg/Ml 2.5Ml X 5 Amp(Il)</t>
        </is>
      </c>
      <c r="C1163" t="inlineStr">
        <is>
          <t>תרופות רשומות- מדי מרקט</t>
        </is>
      </c>
      <c r="D1163" t="inlineStr">
        <is>
          <t>587458</t>
        </is>
      </c>
      <c r="E1163" t="inlineStr">
        <is>
          <t>2026-06</t>
        </is>
      </c>
      <c r="F1163" t="n">
        <v>19.45</v>
      </c>
      <c r="G1163" t="n">
        <v>22.95</v>
      </c>
      <c r="H1163">
        <f>הגדרות!B7</f>
        <v/>
      </c>
      <c r="I1163">
        <f>F1163*(1-H1163/100)*1.18</f>
        <v/>
      </c>
      <c r="J1163">
        <f>הגדרות!C7</f>
        <v/>
      </c>
      <c r="K1163">
        <f>הגדרות!D7</f>
        <v/>
      </c>
      <c r="L1163">
        <f>I1163*(1+J1163/100)+K1163</f>
        <v/>
      </c>
    </row>
    <row r="1164">
      <c r="A1164" t="inlineStr">
        <is>
          <t>מדי-מרקט</t>
        </is>
      </c>
      <c r="B1164" t="inlineStr">
        <is>
          <t>Atracurium Kalceks 10 Mg/Ml 5Ml X 5 Amp(Il)</t>
        </is>
      </c>
      <c r="C1164" t="inlineStr">
        <is>
          <t>תרופות רשומות- מדי מרקט</t>
        </is>
      </c>
      <c r="D1164" t="inlineStr">
        <is>
          <t>587459</t>
        </is>
      </c>
      <c r="E1164" t="inlineStr">
        <is>
          <t>2026-06</t>
        </is>
      </c>
      <c r="F1164" t="n">
        <v>21.28</v>
      </c>
      <c r="G1164" t="n">
        <v>25.11</v>
      </c>
      <c r="H1164">
        <f>הגדרות!B7</f>
        <v/>
      </c>
      <c r="I1164">
        <f>F1164*(1-H1164/100)*1.18</f>
        <v/>
      </c>
      <c r="J1164">
        <f>הגדרות!C7</f>
        <v/>
      </c>
      <c r="K1164">
        <f>הגדרות!D7</f>
        <v/>
      </c>
      <c r="L1164">
        <f>I1164*(1+J1164/100)+K1164</f>
        <v/>
      </c>
    </row>
    <row r="1165">
      <c r="A1165" t="inlineStr">
        <is>
          <t>מדי-מרקט</t>
        </is>
      </c>
      <c r="B1165" t="inlineStr">
        <is>
          <t>Atropine Sulphat 1Mg/Ml 5Amp אטרופין</t>
        </is>
      </c>
      <c r="C1165" t="inlineStr">
        <is>
          <t>תרופות</t>
        </is>
      </c>
      <c r="D1165" t="inlineStr">
        <is>
          <t>5896556-1</t>
        </is>
      </c>
      <c r="E1165" t="inlineStr">
        <is>
          <t>2026-06</t>
        </is>
      </c>
      <c r="F1165" t="n">
        <v>10.59</v>
      </c>
      <c r="G1165" t="n">
        <v>12.5</v>
      </c>
      <c r="H1165">
        <f>הגדרות!B7</f>
        <v/>
      </c>
      <c r="I1165">
        <f>F1165*(1-H1165/100)*1.18</f>
        <v/>
      </c>
      <c r="J1165">
        <f>הגדרות!C7</f>
        <v/>
      </c>
      <c r="K1165">
        <f>הגדרות!D7</f>
        <v/>
      </c>
      <c r="L1165">
        <f>I1165*(1+J1165/100)+K1165</f>
        <v/>
      </c>
    </row>
    <row r="1166">
      <c r="A1166" t="inlineStr">
        <is>
          <t>מדי-מרקט</t>
        </is>
      </c>
      <c r="B1166" t="inlineStr">
        <is>
          <t>Atrospan Atrop.Sulf.1%Opht.Dr:10 Ml</t>
        </is>
      </c>
      <c r="C1166" t="inlineStr">
        <is>
          <t>תרופות</t>
        </is>
      </c>
      <c r="D1166" t="inlineStr">
        <is>
          <t>5871</t>
        </is>
      </c>
      <c r="E1166" t="inlineStr">
        <is>
          <t>2026-06</t>
        </is>
      </c>
      <c r="F1166" t="n">
        <v>31.69</v>
      </c>
      <c r="G1166" t="n">
        <v>37.4</v>
      </c>
      <c r="H1166">
        <f>הגדרות!B7</f>
        <v/>
      </c>
      <c r="I1166">
        <f>F1166*(1-H1166/100)*1.18</f>
        <v/>
      </c>
      <c r="J1166">
        <f>הגדרות!C7</f>
        <v/>
      </c>
      <c r="K1166">
        <f>הגדרות!D7</f>
        <v/>
      </c>
      <c r="L1166">
        <f>I1166*(1+J1166/100)+K1166</f>
        <v/>
      </c>
    </row>
    <row r="1167">
      <c r="A1167" t="inlineStr">
        <is>
          <t>מדי-מרקט</t>
        </is>
      </c>
      <c r="B1167" t="inlineStr">
        <is>
          <t>Atzirut X עצירות X  30 טב' (לקסדין)</t>
        </is>
      </c>
      <c r="C1167" t="inlineStr">
        <is>
          <t>תרופות</t>
        </is>
      </c>
      <c r="D1167" t="inlineStr">
        <is>
          <t>52486</t>
        </is>
      </c>
      <c r="E1167" t="inlineStr">
        <is>
          <t>2026-06</t>
        </is>
      </c>
      <c r="F1167" t="n">
        <v>11.86</v>
      </c>
      <c r="G1167" t="n">
        <v>14</v>
      </c>
      <c r="H1167">
        <f>הגדרות!B7</f>
        <v/>
      </c>
      <c r="I1167">
        <f>F1167*(1-H1167/100)*1.18</f>
        <v/>
      </c>
      <c r="J1167">
        <f>הגדרות!C7</f>
        <v/>
      </c>
      <c r="K1167">
        <f>הגדרות!D7</f>
        <v/>
      </c>
      <c r="L1167">
        <f>I1167*(1+J1167/100)+K1167</f>
        <v/>
      </c>
    </row>
    <row r="1168">
      <c r="A1168" t="inlineStr">
        <is>
          <t>מדי-מרקט</t>
        </is>
      </c>
      <c r="B1168" t="inlineStr">
        <is>
          <t>Augmentin 250Mg 100Ml Susp</t>
        </is>
      </c>
      <c r="C1168" t="inlineStr">
        <is>
          <t>תרופות</t>
        </is>
      </c>
      <c r="D1168" t="inlineStr">
        <is>
          <t>5080</t>
        </is>
      </c>
      <c r="E1168" t="inlineStr">
        <is>
          <t>2026-06</t>
        </is>
      </c>
      <c r="F1168" t="n">
        <v>15.25</v>
      </c>
      <c r="G1168" t="n">
        <v>18</v>
      </c>
      <c r="H1168">
        <f>הגדרות!B7</f>
        <v/>
      </c>
      <c r="I1168">
        <f>F1168*(1-H1168/100)*1.18</f>
        <v/>
      </c>
      <c r="J1168">
        <f>הגדרות!C7</f>
        <v/>
      </c>
      <c r="K1168">
        <f>הגדרות!D7</f>
        <v/>
      </c>
      <c r="L1168">
        <f>I1168*(1+J1168/100)+K1168</f>
        <v/>
      </c>
    </row>
    <row r="1169">
      <c r="A1169" t="inlineStr">
        <is>
          <t>מדי-מרקט</t>
        </is>
      </c>
      <c r="B1169" t="inlineStr">
        <is>
          <t>Augmentin 250Mg X 20Tabs</t>
        </is>
      </c>
      <c r="C1169" t="inlineStr">
        <is>
          <t>תרופות</t>
        </is>
      </c>
      <c r="D1169" t="inlineStr">
        <is>
          <t>232453</t>
        </is>
      </c>
      <c r="E1169" t="inlineStr">
        <is>
          <t>2026-06</t>
        </is>
      </c>
      <c r="F1169" t="n">
        <v>18.73</v>
      </c>
      <c r="G1169" t="n">
        <v>22.1</v>
      </c>
      <c r="H1169">
        <f>הגדרות!B7</f>
        <v/>
      </c>
      <c r="I1169">
        <f>F1169*(1-H1169/100)*1.18</f>
        <v/>
      </c>
      <c r="J1169">
        <f>הגדרות!C7</f>
        <v/>
      </c>
      <c r="K1169">
        <f>הגדרות!D7</f>
        <v/>
      </c>
      <c r="L1169">
        <f>I1169*(1+J1169/100)+K1169</f>
        <v/>
      </c>
    </row>
    <row r="1170">
      <c r="A1170" t="inlineStr">
        <is>
          <t>מדי-מרקט</t>
        </is>
      </c>
      <c r="B1170" t="inlineStr">
        <is>
          <t>Augmentin 400Mg 70 Ml Susp</t>
        </is>
      </c>
      <c r="C1170" t="inlineStr">
        <is>
          <t>תרופות</t>
        </is>
      </c>
      <c r="D1170" t="inlineStr">
        <is>
          <t>5083</t>
        </is>
      </c>
      <c r="E1170" t="inlineStr">
        <is>
          <t>2026-06</t>
        </is>
      </c>
      <c r="F1170" t="n">
        <v>16.53</v>
      </c>
      <c r="G1170" t="n">
        <v>19.5</v>
      </c>
      <c r="H1170">
        <f>הגדרות!B7</f>
        <v/>
      </c>
      <c r="I1170">
        <f>F1170*(1-H1170/100)*1.18</f>
        <v/>
      </c>
      <c r="J1170">
        <f>הגדרות!C7</f>
        <v/>
      </c>
      <c r="K1170">
        <f>הגדרות!D7</f>
        <v/>
      </c>
      <c r="L1170">
        <f>I1170*(1+J1170/100)+K1170</f>
        <v/>
      </c>
    </row>
    <row r="1171">
      <c r="A1171" t="inlineStr">
        <is>
          <t>מדי-מרקט</t>
        </is>
      </c>
      <c r="B1171" t="inlineStr">
        <is>
          <t>Augmentin 500Mg 20 Tabs</t>
        </is>
      </c>
      <c r="C1171" t="inlineStr">
        <is>
          <t>תרופות</t>
        </is>
      </c>
      <c r="D1171" t="inlineStr">
        <is>
          <t>5082</t>
        </is>
      </c>
      <c r="E1171" t="inlineStr">
        <is>
          <t>2026-06</t>
        </is>
      </c>
      <c r="F1171" t="n">
        <v>19.64</v>
      </c>
      <c r="G1171" t="n">
        <v>23.17</v>
      </c>
      <c r="H1171">
        <f>הגדרות!B7</f>
        <v/>
      </c>
      <c r="I1171">
        <f>F1171*(1-H1171/100)*1.18</f>
        <v/>
      </c>
      <c r="J1171">
        <f>הגדרות!C7</f>
        <v/>
      </c>
      <c r="K1171">
        <f>הגדרות!D7</f>
        <v/>
      </c>
      <c r="L1171">
        <f>I1171*(1+J1171/100)+K1171</f>
        <v/>
      </c>
    </row>
    <row r="1172">
      <c r="A1172" t="inlineStr">
        <is>
          <t>מדי-מרקט</t>
        </is>
      </c>
      <c r="B1172" t="inlineStr">
        <is>
          <t>Augmentin 875Mg Bid 14 Tabs</t>
        </is>
      </c>
      <c r="C1172" t="inlineStr">
        <is>
          <t>תרופות</t>
        </is>
      </c>
      <c r="D1172" t="inlineStr">
        <is>
          <t>96452</t>
        </is>
      </c>
      <c r="E1172" t="inlineStr">
        <is>
          <t>2026-06</t>
        </is>
      </c>
      <c r="F1172" t="n">
        <v>16.68</v>
      </c>
      <c r="G1172" t="n">
        <v>19.68</v>
      </c>
      <c r="H1172">
        <f>הגדרות!B7</f>
        <v/>
      </c>
      <c r="I1172">
        <f>F1172*(1-H1172/100)*1.18</f>
        <v/>
      </c>
      <c r="J1172">
        <f>הגדרות!C7</f>
        <v/>
      </c>
      <c r="K1172">
        <f>הגדרות!D7</f>
        <v/>
      </c>
      <c r="L1172">
        <f>I1172*(1+J1172/100)+K1172</f>
        <v/>
      </c>
    </row>
    <row r="1173">
      <c r="A1173" t="inlineStr">
        <is>
          <t>מדי-מרקט</t>
        </is>
      </c>
      <c r="B1173" t="inlineStr">
        <is>
          <t>AVASTIN 100MG 4ML VIAL</t>
        </is>
      </c>
      <c r="C1173" t="inlineStr">
        <is>
          <t>תרופות</t>
        </is>
      </c>
      <c r="D1173" t="inlineStr">
        <is>
          <t>09656</t>
        </is>
      </c>
      <c r="E1173" t="inlineStr">
        <is>
          <t>2026-06</t>
        </is>
      </c>
      <c r="F1173" t="n">
        <v>759.2</v>
      </c>
      <c r="G1173" t="n">
        <v>895.86</v>
      </c>
      <c r="H1173">
        <f>הגדרות!B7</f>
        <v/>
      </c>
      <c r="I1173">
        <f>F1173*(1-H1173/100)*1.18</f>
        <v/>
      </c>
      <c r="J1173">
        <f>הגדרות!C7</f>
        <v/>
      </c>
      <c r="K1173">
        <f>הגדרות!D7</f>
        <v/>
      </c>
      <c r="L1173">
        <f>I1173*(1+J1173/100)+K1173</f>
        <v/>
      </c>
    </row>
    <row r="1174">
      <c r="A1174" t="inlineStr">
        <is>
          <t>מדי-מרקט</t>
        </is>
      </c>
      <c r="B1174" t="inlineStr">
        <is>
          <t>AVASTIN 400MG VIAL</t>
        </is>
      </c>
      <c r="C1174" t="inlineStr">
        <is>
          <t>תרופות</t>
        </is>
      </c>
      <c r="D1174" t="inlineStr">
        <is>
          <t>09657</t>
        </is>
      </c>
      <c r="E1174" t="inlineStr">
        <is>
          <t>2026-06</t>
        </is>
      </c>
      <c r="F1174" t="n">
        <v>2992.19</v>
      </c>
      <c r="G1174" t="n">
        <v>3530.79</v>
      </c>
      <c r="H1174">
        <f>הגדרות!B7</f>
        <v/>
      </c>
      <c r="I1174">
        <f>F1174*(1-H1174/100)*1.18</f>
        <v/>
      </c>
      <c r="J1174">
        <f>הגדרות!C7</f>
        <v/>
      </c>
      <c r="K1174">
        <f>הגדרות!D7</f>
        <v/>
      </c>
      <c r="L1174">
        <f>I1174*(1+J1174/100)+K1174</f>
        <v/>
      </c>
    </row>
    <row r="1175">
      <c r="A1175" t="inlineStr">
        <is>
          <t>מדי-מרקט</t>
        </is>
      </c>
      <c r="B1175" t="inlineStr">
        <is>
          <t>Avcamol Strawberry Vanilla 500Mg</t>
        </is>
      </c>
      <c r="C1175" t="inlineStr">
        <is>
          <t>תרופות</t>
        </is>
      </c>
      <c r="D1175" t="inlineStr">
        <is>
          <t>9648</t>
        </is>
      </c>
      <c r="E1175" t="inlineStr">
        <is>
          <t>2026-06</t>
        </is>
      </c>
      <c r="F1175" t="n">
        <v>17.8</v>
      </c>
      <c r="G1175" t="n">
        <v>21</v>
      </c>
      <c r="H1175">
        <f>הגדרות!B7</f>
        <v/>
      </c>
      <c r="I1175">
        <f>F1175*(1-H1175/100)*1.18</f>
        <v/>
      </c>
      <c r="J1175">
        <f>הגדרות!C7</f>
        <v/>
      </c>
      <c r="K1175">
        <f>הגדרות!D7</f>
        <v/>
      </c>
      <c r="L1175">
        <f>I1175*(1+J1175/100)+K1175</f>
        <v/>
      </c>
    </row>
    <row r="1176">
      <c r="A1176" t="inlineStr">
        <is>
          <t>מדי-מרקט</t>
        </is>
      </c>
      <c r="B1176" t="inlineStr">
        <is>
          <t>Azenil 250Mg X 6Caps</t>
        </is>
      </c>
      <c r="C1176" t="inlineStr">
        <is>
          <t>תרופות</t>
        </is>
      </c>
      <c r="D1176" t="inlineStr">
        <is>
          <t>5466</t>
        </is>
      </c>
      <c r="E1176" t="inlineStr">
        <is>
          <t>2026-06</t>
        </is>
      </c>
      <c r="F1176" t="n">
        <v>9.039999999999999</v>
      </c>
      <c r="G1176" t="n">
        <v>10.67</v>
      </c>
      <c r="H1176">
        <f>הגדרות!B7</f>
        <v/>
      </c>
      <c r="I1176">
        <f>F1176*(1-H1176/100)*1.18</f>
        <v/>
      </c>
      <c r="J1176">
        <f>הגדרות!C7</f>
        <v/>
      </c>
      <c r="K1176">
        <f>הגדרות!D7</f>
        <v/>
      </c>
      <c r="L1176">
        <f>I1176*(1+J1176/100)+K1176</f>
        <v/>
      </c>
    </row>
    <row r="1177">
      <c r="A1177" t="inlineStr">
        <is>
          <t>מדי-מרקט</t>
        </is>
      </c>
      <c r="B1177" t="inlineStr">
        <is>
          <t>Azilect 3X10 Tablets</t>
        </is>
      </c>
      <c r="C1177" t="inlineStr">
        <is>
          <t>תרופות</t>
        </is>
      </c>
      <c r="D1177" t="inlineStr">
        <is>
          <t>15899</t>
        </is>
      </c>
      <c r="E1177" t="inlineStr">
        <is>
          <t>2026-06</t>
        </is>
      </c>
      <c r="F1177" t="n">
        <v>180.04</v>
      </c>
      <c r="G1177" t="n">
        <v>212.45</v>
      </c>
      <c r="H1177">
        <f>הגדרות!B7</f>
        <v/>
      </c>
      <c r="I1177">
        <f>F1177*(1-H1177/100)*1.18</f>
        <v/>
      </c>
      <c r="J1177">
        <f>הגדרות!C7</f>
        <v/>
      </c>
      <c r="K1177">
        <f>הגדרות!D7</f>
        <v/>
      </c>
      <c r="L1177">
        <f>I1177*(1+J1177/100)+K1177</f>
        <v/>
      </c>
    </row>
    <row r="1178">
      <c r="A1178" t="inlineStr">
        <is>
          <t>מדי-מרקט</t>
        </is>
      </c>
      <c r="B1178" t="inlineStr">
        <is>
          <t>AZITHRO TEVA 200MG/5ML 15ML</t>
        </is>
      </c>
      <c r="C1178" t="inlineStr">
        <is>
          <t>תרופות</t>
        </is>
      </c>
      <c r="D1178" t="inlineStr">
        <is>
          <t>11012</t>
        </is>
      </c>
      <c r="E1178" t="inlineStr">
        <is>
          <t>2026-06</t>
        </is>
      </c>
      <c r="F1178" t="n">
        <v>16.86</v>
      </c>
      <c r="G1178" t="n">
        <v>19.9</v>
      </c>
      <c r="H1178">
        <f>הגדרות!B7</f>
        <v/>
      </c>
      <c r="I1178">
        <f>F1178*(1-H1178/100)*1.18</f>
        <v/>
      </c>
      <c r="J1178">
        <f>הגדרות!C7</f>
        <v/>
      </c>
      <c r="K1178">
        <f>הגדרות!D7</f>
        <v/>
      </c>
      <c r="L1178">
        <f>I1178*(1+J1178/100)+K1178</f>
        <v/>
      </c>
    </row>
    <row r="1179">
      <c r="A1179" t="inlineStr">
        <is>
          <t>מדי-מרקט</t>
        </is>
      </c>
      <c r="B1179" t="inlineStr">
        <is>
          <t>AZITHRO TEVA 200MG/5ML 22.5ML</t>
        </is>
      </c>
      <c r="C1179" t="inlineStr">
        <is>
          <t>תרופות</t>
        </is>
      </c>
      <c r="D1179" t="inlineStr">
        <is>
          <t>11013</t>
        </is>
      </c>
      <c r="E1179" t="inlineStr">
        <is>
          <t>2026-06</t>
        </is>
      </c>
      <c r="F1179" t="n">
        <v>17.71</v>
      </c>
      <c r="G1179" t="n">
        <v>20.9</v>
      </c>
      <c r="H1179">
        <f>הגדרות!B7</f>
        <v/>
      </c>
      <c r="I1179">
        <f>F1179*(1-H1179/100)*1.18</f>
        <v/>
      </c>
      <c r="J1179">
        <f>הגדרות!C7</f>
        <v/>
      </c>
      <c r="K1179">
        <f>הגדרות!D7</f>
        <v/>
      </c>
      <c r="L1179">
        <f>I1179*(1+J1179/100)+K1179</f>
        <v/>
      </c>
    </row>
    <row r="1180">
      <c r="A1180" t="inlineStr">
        <is>
          <t>מדי-מרקט</t>
        </is>
      </c>
      <c r="B1180" t="inlineStr">
        <is>
          <t>Azithromycin 100Mg 100Tabs</t>
        </is>
      </c>
      <c r="C1180" t="inlineStr">
        <is>
          <t>הכנות בית מרקחת</t>
        </is>
      </c>
      <c r="D1180" t="inlineStr">
        <is>
          <t>91125</t>
        </is>
      </c>
      <c r="E1180" t="inlineStr">
        <is>
          <t>2026-06</t>
        </is>
      </c>
      <c r="F1180" t="n">
        <v>262.71</v>
      </c>
      <c r="G1180" t="n">
        <v>310</v>
      </c>
      <c r="H1180">
        <f>הגדרות!B7</f>
        <v/>
      </c>
      <c r="I1180">
        <f>F1180*(1-H1180/100)*1.18</f>
        <v/>
      </c>
      <c r="J1180">
        <f>הגדרות!C7</f>
        <v/>
      </c>
      <c r="K1180">
        <f>הגדרות!D7</f>
        <v/>
      </c>
      <c r="L1180">
        <f>I1180*(1+J1180/100)+K1180</f>
        <v/>
      </c>
    </row>
    <row r="1181">
      <c r="A1181" t="inlineStr">
        <is>
          <t>מדי-מרקט</t>
        </is>
      </c>
      <c r="B1181" t="inlineStr">
        <is>
          <t>Azithromycin 50Mg 100Tabs</t>
        </is>
      </c>
      <c r="C1181" t="inlineStr">
        <is>
          <t>הכנות בית מרקחת</t>
        </is>
      </c>
      <c r="D1181" t="inlineStr">
        <is>
          <t>91123</t>
        </is>
      </c>
      <c r="E1181" t="inlineStr">
        <is>
          <t>2026-06</t>
        </is>
      </c>
      <c r="F1181" t="n">
        <v>177.97</v>
      </c>
      <c r="G1181" t="n">
        <v>210</v>
      </c>
      <c r="H1181">
        <f>הגדרות!B7</f>
        <v/>
      </c>
      <c r="I1181">
        <f>F1181*(1-H1181/100)*1.18</f>
        <v/>
      </c>
      <c r="J1181">
        <f>הגדרות!C7</f>
        <v/>
      </c>
      <c r="K1181">
        <f>הגדרות!D7</f>
        <v/>
      </c>
      <c r="L1181">
        <f>I1181*(1+J1181/100)+K1181</f>
        <v/>
      </c>
    </row>
    <row r="1182">
      <c r="A1182" t="inlineStr">
        <is>
          <t>מדי-מרקט</t>
        </is>
      </c>
      <c r="B1182" t="inlineStr">
        <is>
          <t>Azithromycin Medi-Market 500 Mg/Vial 1 Vial(Il)</t>
        </is>
      </c>
      <c r="C1182" t="inlineStr">
        <is>
          <t>תרופות רשומות- מדי מרקט</t>
        </is>
      </c>
      <c r="D1182" t="inlineStr">
        <is>
          <t>254589</t>
        </is>
      </c>
      <c r="E1182" t="inlineStr">
        <is>
          <t>2026-06</t>
        </is>
      </c>
      <c r="F1182" t="n">
        <v>41.47</v>
      </c>
      <c r="G1182" t="n">
        <v>48.94</v>
      </c>
      <c r="H1182">
        <f>הגדרות!B7</f>
        <v/>
      </c>
      <c r="I1182">
        <f>F1182*(1-H1182/100)*1.18</f>
        <v/>
      </c>
      <c r="J1182">
        <f>הגדרות!C7</f>
        <v/>
      </c>
      <c r="K1182">
        <f>הגדרות!D7</f>
        <v/>
      </c>
      <c r="L1182">
        <f>I1182*(1+J1182/100)+K1182</f>
        <v/>
      </c>
    </row>
    <row r="1183">
      <c r="A1183" t="inlineStr">
        <is>
          <t>מדי-מרקט</t>
        </is>
      </c>
      <c r="B1183" t="inlineStr">
        <is>
          <t>Azolin Opth. Dr: 15 Ml</t>
        </is>
      </c>
      <c r="C1183" t="inlineStr">
        <is>
          <t>תרופות</t>
        </is>
      </c>
      <c r="D1183" t="inlineStr">
        <is>
          <t>987541</t>
        </is>
      </c>
      <c r="E1183" t="inlineStr">
        <is>
          <t>2026-06</t>
        </is>
      </c>
      <c r="F1183" t="n">
        <v>11.83</v>
      </c>
      <c r="G1183" t="n">
        <v>13.96</v>
      </c>
      <c r="H1183">
        <f>הגדרות!B7</f>
        <v/>
      </c>
      <c r="I1183">
        <f>F1183*(1-H1183/100)*1.18</f>
        <v/>
      </c>
      <c r="J1183">
        <f>הגדרות!C7</f>
        <v/>
      </c>
      <c r="K1183">
        <f>הגדרות!D7</f>
        <v/>
      </c>
      <c r="L1183">
        <f>I1183*(1+J1183/100)+K1183</f>
        <v/>
      </c>
    </row>
    <row r="1184">
      <c r="A1184" t="inlineStr">
        <is>
          <t>מדי-מרקט</t>
        </is>
      </c>
      <c r="B1184" t="inlineStr">
        <is>
          <t>Baby Pasta 120Gr</t>
        </is>
      </c>
      <c r="C1184" t="inlineStr">
        <is>
          <t>תרופות</t>
        </is>
      </c>
      <c r="D1184" t="inlineStr">
        <is>
          <t>18480731</t>
        </is>
      </c>
      <c r="E1184" t="inlineStr">
        <is>
          <t>2026-06</t>
        </is>
      </c>
      <c r="F1184" t="n">
        <v>12.12</v>
      </c>
      <c r="G1184" t="n">
        <v>14.3</v>
      </c>
      <c r="H1184">
        <f>הגדרות!B7</f>
        <v/>
      </c>
      <c r="I1184">
        <f>F1184*(1-H1184/100)*1.18</f>
        <v/>
      </c>
      <c r="J1184">
        <f>הגדרות!C7</f>
        <v/>
      </c>
      <c r="K1184">
        <f>הגדרות!D7</f>
        <v/>
      </c>
      <c r="L1184">
        <f>I1184*(1+J1184/100)+K1184</f>
        <v/>
      </c>
    </row>
    <row r="1185">
      <c r="A1185" t="inlineStr">
        <is>
          <t>מדי-מרקט</t>
        </is>
      </c>
      <c r="B1185" t="inlineStr">
        <is>
          <t>BABY PASTA 250GR -בייבי פסטה</t>
        </is>
      </c>
      <c r="C1185" t="inlineStr">
        <is>
          <t>מוצרים משלימים הומני</t>
        </is>
      </c>
      <c r="D1185" t="inlineStr">
        <is>
          <t>10333</t>
        </is>
      </c>
      <c r="E1185" t="inlineStr">
        <is>
          <t>2026-06</t>
        </is>
      </c>
      <c r="F1185" t="n">
        <v>12.46</v>
      </c>
      <c r="G1185" t="n">
        <v>14.7</v>
      </c>
      <c r="H1185">
        <f>הגדרות!B7</f>
        <v/>
      </c>
      <c r="I1185">
        <f>F1185*(1-H1185/100)*1.18</f>
        <v/>
      </c>
      <c r="J1185">
        <f>הגדרות!C7</f>
        <v/>
      </c>
      <c r="K1185">
        <f>הגדרות!D7</f>
        <v/>
      </c>
      <c r="L1185">
        <f>I1185*(1+J1185/100)+K1185</f>
        <v/>
      </c>
    </row>
    <row r="1186">
      <c r="A1186" t="inlineStr">
        <is>
          <t>מדי-מרקט</t>
        </is>
      </c>
      <c r="B1186" t="inlineStr">
        <is>
          <t>Baclosal 10Mg X 60Tabs</t>
        </is>
      </c>
      <c r="C1186" t="inlineStr">
        <is>
          <t>תרופות</t>
        </is>
      </c>
      <c r="D1186" t="inlineStr">
        <is>
          <t>110126</t>
        </is>
      </c>
      <c r="E1186" t="inlineStr">
        <is>
          <t>2026-06</t>
        </is>
      </c>
      <c r="F1186" t="n">
        <v>20.49</v>
      </c>
      <c r="G1186" t="n">
        <v>24.18</v>
      </c>
      <c r="H1186">
        <f>הגדרות!B7</f>
        <v/>
      </c>
      <c r="I1186">
        <f>F1186*(1-H1186/100)*1.18</f>
        <v/>
      </c>
      <c r="J1186">
        <f>הגדרות!C7</f>
        <v/>
      </c>
      <c r="K1186">
        <f>הגדרות!D7</f>
        <v/>
      </c>
      <c r="L1186">
        <f>I1186*(1+J1186/100)+K1186</f>
        <v/>
      </c>
    </row>
    <row r="1187">
      <c r="A1187" t="inlineStr">
        <is>
          <t>מדי-מרקט</t>
        </is>
      </c>
      <c r="B1187" t="inlineStr">
        <is>
          <t>Bactroban Oint 15Gr Tube משחת בקטרובן 15 גרם</t>
        </is>
      </c>
      <c r="C1187" t="inlineStr">
        <is>
          <t>תרופות</t>
        </is>
      </c>
      <c r="D1187" t="inlineStr">
        <is>
          <t>2529</t>
        </is>
      </c>
      <c r="E1187" t="inlineStr">
        <is>
          <t>2026-06</t>
        </is>
      </c>
      <c r="F1187" t="n">
        <v>19.49</v>
      </c>
      <c r="G1187" t="n">
        <v>23</v>
      </c>
      <c r="H1187">
        <f>הגדרות!B7</f>
        <v/>
      </c>
      <c r="I1187">
        <f>F1187*(1-H1187/100)*1.18</f>
        <v/>
      </c>
      <c r="J1187">
        <f>הגדרות!C7</f>
        <v/>
      </c>
      <c r="K1187">
        <f>הגדרות!D7</f>
        <v/>
      </c>
      <c r="L1187">
        <f>I1187*(1+J1187/100)+K1187</f>
        <v/>
      </c>
    </row>
    <row r="1188">
      <c r="A1188" t="inlineStr">
        <is>
          <t>מדי-מרקט</t>
        </is>
      </c>
      <c r="B1188" t="inlineStr">
        <is>
          <t>Ben gay ULTRA STRENGTH 2 OZ maerc 57g cream</t>
        </is>
      </c>
      <c r="C1188" t="inlineStr">
        <is>
          <t>תרופות</t>
        </is>
      </c>
      <c r="D1188" t="inlineStr">
        <is>
          <t>2037</t>
        </is>
      </c>
      <c r="E1188" t="inlineStr">
        <is>
          <t>2026-06</t>
        </is>
      </c>
      <c r="F1188" t="n">
        <v>39.83</v>
      </c>
      <c r="G1188" t="n">
        <v>47</v>
      </c>
      <c r="H1188">
        <f>הגדרות!B7</f>
        <v/>
      </c>
      <c r="I1188">
        <f>F1188*(1-H1188/100)*1.18</f>
        <v/>
      </c>
      <c r="J1188">
        <f>הגדרות!C7</f>
        <v/>
      </c>
      <c r="K1188">
        <f>הגדרות!D7</f>
        <v/>
      </c>
      <c r="L1188">
        <f>I1188*(1+J1188/100)+K1188</f>
        <v/>
      </c>
    </row>
    <row r="1189">
      <c r="A1189" t="inlineStr">
        <is>
          <t>מדי-מרקט</t>
        </is>
      </c>
      <c r="B1189" t="inlineStr">
        <is>
          <t>Benazecare Flavoured 20Mg 28 Tablets</t>
        </is>
      </c>
      <c r="C1189" t="inlineStr">
        <is>
          <t>29ג' וטרינרי</t>
        </is>
      </c>
      <c r="D1189" t="inlineStr">
        <is>
          <t>40371</t>
        </is>
      </c>
      <c r="E1189" t="inlineStr">
        <is>
          <t>2026-06</t>
        </is>
      </c>
      <c r="F1189" t="n">
        <v>84.75</v>
      </c>
      <c r="G1189" t="n">
        <v>100</v>
      </c>
      <c r="H1189">
        <f>הגדרות!B7</f>
        <v/>
      </c>
      <c r="I1189">
        <f>F1189*(1-H1189/100)*1.18</f>
        <v/>
      </c>
      <c r="J1189">
        <f>הגדרות!C7</f>
        <v/>
      </c>
      <c r="K1189">
        <f>הגדרות!D7</f>
        <v/>
      </c>
      <c r="L1189">
        <f>I1189*(1+J1189/100)+K1189</f>
        <v/>
      </c>
    </row>
    <row r="1190">
      <c r="A1190" t="inlineStr">
        <is>
          <t>מדי-מרקט</t>
        </is>
      </c>
      <c r="B1190" t="inlineStr">
        <is>
          <t>Benazecare Flavoured 5Mg 28 Tablets</t>
        </is>
      </c>
      <c r="C1190" t="inlineStr">
        <is>
          <t>29ג' וטרינרי</t>
        </is>
      </c>
      <c r="D1190" t="inlineStr">
        <is>
          <t>40372</t>
        </is>
      </c>
      <c r="E1190" t="inlineStr">
        <is>
          <t>2026-06</t>
        </is>
      </c>
      <c r="F1190" t="n">
        <v>38.98</v>
      </c>
      <c r="G1190" t="n">
        <v>46</v>
      </c>
      <c r="H1190">
        <f>הגדרות!B7</f>
        <v/>
      </c>
      <c r="I1190">
        <f>F1190*(1-H1190/100)*1.18</f>
        <v/>
      </c>
      <c r="J1190">
        <f>הגדרות!C7</f>
        <v/>
      </c>
      <c r="K1190">
        <f>הגדרות!D7</f>
        <v/>
      </c>
      <c r="L1190">
        <f>I1190*(1+J1190/100)+K1190</f>
        <v/>
      </c>
    </row>
    <row r="1191">
      <c r="A1191" t="inlineStr">
        <is>
          <t>מדי-מרקט</t>
        </is>
      </c>
      <c r="B1191" t="inlineStr">
        <is>
          <t>Benip Ear Drops 15Ml</t>
        </is>
      </c>
      <c r="C1191" t="inlineStr">
        <is>
          <t>הכנות טיפות וג'ל לאוזניים</t>
        </is>
      </c>
      <c r="D1191" t="inlineStr">
        <is>
          <t>6666</t>
        </is>
      </c>
      <c r="E1191" t="inlineStr">
        <is>
          <t>2026-06</t>
        </is>
      </c>
      <c r="F1191" t="n">
        <v>3.65</v>
      </c>
      <c r="G1191" t="n">
        <v>4.31</v>
      </c>
      <c r="H1191">
        <f>הגדרות!B7</f>
        <v/>
      </c>
      <c r="I1191">
        <f>F1191*(1-H1191/100)*1.18</f>
        <v/>
      </c>
      <c r="J1191">
        <f>הגדרות!C7</f>
        <v/>
      </c>
      <c r="K1191">
        <f>הגדרות!D7</f>
        <v/>
      </c>
      <c r="L1191">
        <f>I1191*(1+J1191/100)+K1191</f>
        <v/>
      </c>
    </row>
    <row r="1192">
      <c r="A1192" t="inlineStr">
        <is>
          <t>מדי-מרקט</t>
        </is>
      </c>
      <c r="B1192" t="inlineStr">
        <is>
          <t>Benip Forte Ear Drops 15 Ml</t>
        </is>
      </c>
      <c r="C1192" t="inlineStr">
        <is>
          <t>הכנות טיפות וג'ל לאוזניים</t>
        </is>
      </c>
      <c r="D1192" t="inlineStr">
        <is>
          <t>66661</t>
        </is>
      </c>
      <c r="E1192" t="inlineStr">
        <is>
          <t>2026-06</t>
        </is>
      </c>
      <c r="F1192" t="n">
        <v>24.58</v>
      </c>
      <c r="G1192" t="n">
        <v>29</v>
      </c>
      <c r="H1192">
        <f>הגדרות!B7</f>
        <v/>
      </c>
      <c r="I1192">
        <f>F1192*(1-H1192/100)*1.18</f>
        <v/>
      </c>
      <c r="J1192">
        <f>הגדרות!C7</f>
        <v/>
      </c>
      <c r="K1192">
        <f>הגדרות!D7</f>
        <v/>
      </c>
      <c r="L1192">
        <f>I1192*(1+J1192/100)+K1192</f>
        <v/>
      </c>
    </row>
    <row r="1193">
      <c r="A1193" t="inlineStr">
        <is>
          <t>מדי-מרקט</t>
        </is>
      </c>
      <c r="B1193" t="inlineStr">
        <is>
          <t>Bepanthen Plus Cream בפנטן פלוס קרם 30 גרם</t>
        </is>
      </c>
      <c r="C1193" t="inlineStr">
        <is>
          <t>תרופות</t>
        </is>
      </c>
      <c r="D1193" t="inlineStr">
        <is>
          <t>90412</t>
        </is>
      </c>
      <c r="E1193" t="inlineStr">
        <is>
          <t>2026-06</t>
        </is>
      </c>
      <c r="F1193" t="n">
        <v>27.03</v>
      </c>
      <c r="G1193" t="n">
        <v>31.9</v>
      </c>
      <c r="H1193">
        <f>הגדרות!B7</f>
        <v/>
      </c>
      <c r="I1193">
        <f>F1193*(1-H1193/100)*1.18</f>
        <v/>
      </c>
      <c r="J1193">
        <f>הגדרות!C7</f>
        <v/>
      </c>
      <c r="K1193">
        <f>הגדרות!D7</f>
        <v/>
      </c>
      <c r="L1193">
        <f>I1193*(1+J1193/100)+K1193</f>
        <v/>
      </c>
    </row>
    <row r="1194">
      <c r="A1194" t="inlineStr">
        <is>
          <t>מדי-מרקט</t>
        </is>
      </c>
      <c r="B1194" t="inlineStr">
        <is>
          <t>Betacorten Cream 15 Gram - בטאקורטן</t>
        </is>
      </c>
      <c r="C1194" t="inlineStr">
        <is>
          <t>תרופות</t>
        </is>
      </c>
      <c r="D1194" t="inlineStr">
        <is>
          <t>353</t>
        </is>
      </c>
      <c r="E1194" t="inlineStr">
        <is>
          <t>2026-06</t>
        </is>
      </c>
      <c r="F1194" t="n">
        <v>6.27</v>
      </c>
      <c r="G1194" t="n">
        <v>7.4</v>
      </c>
      <c r="H1194">
        <f>הגדרות!B7</f>
        <v/>
      </c>
      <c r="I1194">
        <f>F1194*(1-H1194/100)*1.18</f>
        <v/>
      </c>
      <c r="J1194">
        <f>הגדרות!C7</f>
        <v/>
      </c>
      <c r="K1194">
        <f>הגדרות!D7</f>
        <v/>
      </c>
      <c r="L1194">
        <f>I1194*(1+J1194/100)+K1194</f>
        <v/>
      </c>
    </row>
    <row r="1195">
      <c r="A1195" t="inlineStr">
        <is>
          <t>מדי-מרקט</t>
        </is>
      </c>
      <c r="B1195" t="inlineStr">
        <is>
          <t>Betacorten G 15G Oint</t>
        </is>
      </c>
      <c r="C1195" t="inlineStr">
        <is>
          <t>תרופות</t>
        </is>
      </c>
      <c r="D1195" t="inlineStr">
        <is>
          <t>5121</t>
        </is>
      </c>
      <c r="E1195" t="inlineStr">
        <is>
          <t>2026-06</t>
        </is>
      </c>
      <c r="F1195" t="n">
        <v>22.12</v>
      </c>
      <c r="G1195" t="n">
        <v>26.1</v>
      </c>
      <c r="H1195">
        <f>הגדרות!B7</f>
        <v/>
      </c>
      <c r="I1195">
        <f>F1195*(1-H1195/100)*1.18</f>
        <v/>
      </c>
      <c r="J1195">
        <f>הגדרות!C7</f>
        <v/>
      </c>
      <c r="K1195">
        <f>הגדרות!D7</f>
        <v/>
      </c>
      <c r="L1195">
        <f>I1195*(1+J1195/100)+K1195</f>
        <v/>
      </c>
    </row>
    <row r="1196">
      <c r="A1196" t="inlineStr">
        <is>
          <t>מדי-מרקט</t>
        </is>
      </c>
      <c r="B1196" t="inlineStr">
        <is>
          <t>Betacorten G Cream 15Gram</t>
        </is>
      </c>
      <c r="C1196" t="inlineStr">
        <is>
          <t>תרופות</t>
        </is>
      </c>
      <c r="D1196" t="inlineStr">
        <is>
          <t>51192789</t>
        </is>
      </c>
      <c r="E1196" t="inlineStr">
        <is>
          <t>2026-06</t>
        </is>
      </c>
      <c r="F1196" t="n">
        <v>22.03</v>
      </c>
      <c r="G1196" t="n">
        <v>26</v>
      </c>
      <c r="H1196">
        <f>הגדרות!B7</f>
        <v/>
      </c>
      <c r="I1196">
        <f>F1196*(1-H1196/100)*1.18</f>
        <v/>
      </c>
      <c r="J1196">
        <f>הגדרות!C7</f>
        <v/>
      </c>
      <c r="K1196">
        <f>הגדרות!D7</f>
        <v/>
      </c>
      <c r="L1196">
        <f>I1196*(1+J1196/100)+K1196</f>
        <v/>
      </c>
    </row>
    <row r="1197">
      <c r="A1197" t="inlineStr">
        <is>
          <t>מדי-מרקט</t>
        </is>
      </c>
      <c r="B1197" t="inlineStr">
        <is>
          <t>Betahistine 16Mg*30 Tabs</t>
        </is>
      </c>
      <c r="C1197" t="inlineStr">
        <is>
          <t>תרופות</t>
        </is>
      </c>
      <c r="D1197" t="inlineStr">
        <is>
          <t>49797</t>
        </is>
      </c>
      <c r="E1197" t="inlineStr">
        <is>
          <t>2026-06</t>
        </is>
      </c>
      <c r="F1197" t="n">
        <v>14.75</v>
      </c>
      <c r="G1197" t="n">
        <v>17.4</v>
      </c>
      <c r="H1197">
        <f>הגדרות!B7</f>
        <v/>
      </c>
      <c r="I1197">
        <f>F1197*(1-H1197/100)*1.18</f>
        <v/>
      </c>
      <c r="J1197">
        <f>הגדרות!C7</f>
        <v/>
      </c>
      <c r="K1197">
        <f>הגדרות!D7</f>
        <v/>
      </c>
      <c r="L1197">
        <f>I1197*(1+J1197/100)+K1197</f>
        <v/>
      </c>
    </row>
    <row r="1198">
      <c r="A1198" t="inlineStr">
        <is>
          <t>מדי-מרקט</t>
        </is>
      </c>
      <c r="B1198" t="inlineStr">
        <is>
          <t>Betaren Sr 100Mg X 10Tabs</t>
        </is>
      </c>
      <c r="C1198" t="inlineStr">
        <is>
          <t>תרופות</t>
        </is>
      </c>
      <c r="D1198" t="inlineStr">
        <is>
          <t>196862</t>
        </is>
      </c>
      <c r="E1198" t="inlineStr">
        <is>
          <t>2026-06</t>
        </is>
      </c>
      <c r="F1198" t="n">
        <v>7.92</v>
      </c>
      <c r="G1198" t="n">
        <v>9.35</v>
      </c>
      <c r="H1198">
        <f>הגדרות!B7</f>
        <v/>
      </c>
      <c r="I1198">
        <f>F1198*(1-H1198/100)*1.18</f>
        <v/>
      </c>
      <c r="J1198">
        <f>הגדרות!C7</f>
        <v/>
      </c>
      <c r="K1198">
        <f>הגדרות!D7</f>
        <v/>
      </c>
      <c r="L1198">
        <f>I1198*(1+J1198/100)+K1198</f>
        <v/>
      </c>
    </row>
    <row r="1199">
      <c r="A1199" t="inlineStr">
        <is>
          <t>מדי-מרקט</t>
        </is>
      </c>
      <c r="B1199" t="inlineStr">
        <is>
          <t>Betnesol 0.5 Mg 30 Tabs</t>
        </is>
      </c>
      <c r="C1199" t="inlineStr">
        <is>
          <t>תרופות</t>
        </is>
      </c>
      <c r="D1199" t="inlineStr">
        <is>
          <t>7764</t>
        </is>
      </c>
      <c r="E1199" t="inlineStr">
        <is>
          <t>2026-06</t>
        </is>
      </c>
      <c r="F1199" t="n">
        <v>10.08</v>
      </c>
      <c r="G1199" t="n">
        <v>11.9</v>
      </c>
      <c r="H1199">
        <f>הגדרות!B7</f>
        <v/>
      </c>
      <c r="I1199">
        <f>F1199*(1-H1199/100)*1.18</f>
        <v/>
      </c>
      <c r="J1199">
        <f>הגדרות!C7</f>
        <v/>
      </c>
      <c r="K1199">
        <f>הגדרות!D7</f>
        <v/>
      </c>
      <c r="L1199">
        <f>I1199*(1+J1199/100)+K1199</f>
        <v/>
      </c>
    </row>
    <row r="1200">
      <c r="A1200" t="inlineStr">
        <is>
          <t>מדי-מרקט</t>
        </is>
      </c>
      <c r="B1200" t="inlineStr">
        <is>
          <t>Betnovate (Betacorten) Oint 15Gram</t>
        </is>
      </c>
      <c r="C1200" t="inlineStr">
        <is>
          <t>תרופות</t>
        </is>
      </c>
      <c r="D1200" t="inlineStr">
        <is>
          <t>10354</t>
        </is>
      </c>
      <c r="E1200" t="inlineStr">
        <is>
          <t>2026-06</t>
        </is>
      </c>
      <c r="F1200" t="n">
        <v>5.93</v>
      </c>
      <c r="G1200" t="n">
        <v>7</v>
      </c>
      <c r="H1200">
        <f>הגדרות!B7</f>
        <v/>
      </c>
      <c r="I1200">
        <f>F1200*(1-H1200/100)*1.18</f>
        <v/>
      </c>
      <c r="J1200">
        <f>הגדרות!C7</f>
        <v/>
      </c>
      <c r="K1200">
        <f>הגדרות!D7</f>
        <v/>
      </c>
      <c r="L1200">
        <f>I1200*(1+J1200/100)+K1200</f>
        <v/>
      </c>
    </row>
    <row r="1201">
      <c r="A1201" t="inlineStr">
        <is>
          <t>מדי-מרקט</t>
        </is>
      </c>
      <c r="B1201" t="inlineStr">
        <is>
          <t>Bifovit 1% 15Gr Cream</t>
        </is>
      </c>
      <c r="C1201" t="inlineStr">
        <is>
          <t>תרופות</t>
        </is>
      </c>
      <c r="D1201" t="inlineStr">
        <is>
          <t>2136</t>
        </is>
      </c>
      <c r="E1201" t="inlineStr">
        <is>
          <t>2026-06</t>
        </is>
      </c>
      <c r="F1201" t="n">
        <v>17.8</v>
      </c>
      <c r="G1201" t="n">
        <v>21</v>
      </c>
      <c r="H1201">
        <f>הגדרות!B7</f>
        <v/>
      </c>
      <c r="I1201">
        <f>F1201*(1-H1201/100)*1.18</f>
        <v/>
      </c>
      <c r="J1201">
        <f>הגדרות!C7</f>
        <v/>
      </c>
      <c r="K1201">
        <f>הגדרות!D7</f>
        <v/>
      </c>
      <c r="L1201">
        <f>I1201*(1+J1201/100)+K1201</f>
        <v/>
      </c>
    </row>
    <row r="1202">
      <c r="A1202" t="inlineStr">
        <is>
          <t>מדי-מרקט</t>
        </is>
      </c>
      <c r="B1202" t="inlineStr">
        <is>
          <t>Bimatilol Teva 3Ml E.D</t>
        </is>
      </c>
      <c r="C1202" t="inlineStr">
        <is>
          <t>תרופות</t>
        </is>
      </c>
      <c r="D1202" t="inlineStr">
        <is>
          <t>63263</t>
        </is>
      </c>
      <c r="E1202" t="inlineStr">
        <is>
          <t>2026-06</t>
        </is>
      </c>
      <c r="F1202" t="n">
        <v>22.88</v>
      </c>
      <c r="G1202" t="n">
        <v>27</v>
      </c>
      <c r="H1202">
        <f>הגדרות!B7</f>
        <v/>
      </c>
      <c r="I1202">
        <f>F1202*(1-H1202/100)*1.18</f>
        <v/>
      </c>
      <c r="J1202">
        <f>הגדרות!C7</f>
        <v/>
      </c>
      <c r="K1202">
        <f>הגדרות!D7</f>
        <v/>
      </c>
      <c r="L1202">
        <f>I1202*(1+J1202/100)+K1202</f>
        <v/>
      </c>
    </row>
    <row r="1203">
      <c r="A1203" t="inlineStr">
        <is>
          <t>מדי-מרקט</t>
        </is>
      </c>
      <c r="B1203" t="inlineStr">
        <is>
          <t>Bismuraz 21 tab</t>
        </is>
      </c>
      <c r="C1203" t="inlineStr">
        <is>
          <t>תרופות</t>
        </is>
      </c>
      <c r="D1203" t="inlineStr">
        <is>
          <t>40789-1</t>
        </is>
      </c>
      <c r="E1203" t="inlineStr">
        <is>
          <t>2026-06</t>
        </is>
      </c>
      <c r="F1203" t="n">
        <v>20.74</v>
      </c>
      <c r="G1203" t="n">
        <v>24.47</v>
      </c>
      <c r="H1203">
        <f>הגדרות!B7</f>
        <v/>
      </c>
      <c r="I1203">
        <f>F1203*(1-H1203/100)*1.18</f>
        <v/>
      </c>
      <c r="J1203">
        <f>הגדרות!C7</f>
        <v/>
      </c>
      <c r="K1203">
        <f>הגדרות!D7</f>
        <v/>
      </c>
      <c r="L1203">
        <f>I1203*(1+J1203/100)+K1203</f>
        <v/>
      </c>
    </row>
    <row r="1204">
      <c r="A1204" t="inlineStr">
        <is>
          <t>מדי-מרקט</t>
        </is>
      </c>
      <c r="B1204" t="inlineStr">
        <is>
          <t>Bismut Powder 10Gr + Talcum Powder In 100Gr</t>
        </is>
      </c>
      <c r="C1204" t="inlineStr">
        <is>
          <t>הכנות אבקות</t>
        </is>
      </c>
      <c r="D1204" t="inlineStr">
        <is>
          <t>90463</t>
        </is>
      </c>
      <c r="E1204" t="inlineStr">
        <is>
          <t>2026-06</t>
        </is>
      </c>
      <c r="F1204" t="n">
        <v>45.76</v>
      </c>
      <c r="G1204" t="n">
        <v>54</v>
      </c>
      <c r="H1204">
        <f>הגדרות!B7</f>
        <v/>
      </c>
      <c r="I1204">
        <f>F1204*(1-H1204/100)*1.18</f>
        <v/>
      </c>
      <c r="J1204">
        <f>הגדרות!C7</f>
        <v/>
      </c>
      <c r="K1204">
        <f>הגדרות!D7</f>
        <v/>
      </c>
      <c r="L1204">
        <f>I1204*(1+J1204/100)+K1204</f>
        <v/>
      </c>
    </row>
    <row r="1205">
      <c r="A1205" t="inlineStr">
        <is>
          <t>מדי-מרקט</t>
        </is>
      </c>
      <c r="B1205" t="inlineStr">
        <is>
          <t>Bismuth Powder 10 Gr עצירת דימום</t>
        </is>
      </c>
      <c r="C1205" t="inlineStr">
        <is>
          <t>הכנות אבקות</t>
        </is>
      </c>
      <c r="D1205" t="inlineStr">
        <is>
          <t>4176</t>
        </is>
      </c>
      <c r="E1205" t="inlineStr">
        <is>
          <t>2026-06</t>
        </is>
      </c>
      <c r="F1205" t="n">
        <v>10.07</v>
      </c>
      <c r="G1205" t="n">
        <v>11.88</v>
      </c>
      <c r="H1205">
        <f>הגדרות!B7</f>
        <v/>
      </c>
      <c r="I1205">
        <f>F1205*(1-H1205/100)*1.18</f>
        <v/>
      </c>
      <c r="J1205">
        <f>הגדרות!C7</f>
        <v/>
      </c>
      <c r="K1205">
        <f>הגדרות!D7</f>
        <v/>
      </c>
      <c r="L1205">
        <f>I1205*(1+J1205/100)+K1205</f>
        <v/>
      </c>
    </row>
    <row r="1206">
      <c r="A1206" t="inlineStr">
        <is>
          <t>מדי-מרקט</t>
        </is>
      </c>
      <c r="B1206" t="inlineStr">
        <is>
          <t>Bismuth ביסמוט 10 גר'</t>
        </is>
      </c>
      <c r="C1206" t="inlineStr">
        <is>
          <t>תרופות</t>
        </is>
      </c>
      <c r="D1206" t="inlineStr">
        <is>
          <t>5136</t>
        </is>
      </c>
      <c r="E1206" t="inlineStr">
        <is>
          <t>2026-06</t>
        </is>
      </c>
      <c r="F1206" t="n">
        <v>10.23</v>
      </c>
      <c r="G1206" t="n">
        <v>12.07</v>
      </c>
      <c r="H1206">
        <f>הגדרות!B7</f>
        <v/>
      </c>
      <c r="I1206">
        <f>F1206*(1-H1206/100)*1.18</f>
        <v/>
      </c>
      <c r="J1206">
        <f>הגדרות!C7</f>
        <v/>
      </c>
      <c r="K1206">
        <f>הגדרות!D7</f>
        <v/>
      </c>
      <c r="L1206">
        <f>I1206*(1+J1206/100)+K1206</f>
        <v/>
      </c>
    </row>
    <row r="1207">
      <c r="A1207" t="inlineStr">
        <is>
          <t>מדי-מרקט</t>
        </is>
      </c>
      <c r="B1207" t="inlineStr">
        <is>
          <t>Bisoprolol Inovamed(Cardiloc) 2.5 Mg 30</t>
        </is>
      </c>
      <c r="C1207" t="inlineStr">
        <is>
          <t>תרופות</t>
        </is>
      </c>
      <c r="D1207" t="inlineStr">
        <is>
          <t>102577</t>
        </is>
      </c>
      <c r="E1207" t="inlineStr">
        <is>
          <t>2026-06</t>
        </is>
      </c>
      <c r="F1207" t="n">
        <v>11.44</v>
      </c>
      <c r="G1207" t="n">
        <v>13.5</v>
      </c>
      <c r="H1207">
        <f>הגדרות!B7</f>
        <v/>
      </c>
      <c r="I1207">
        <f>F1207*(1-H1207/100)*1.18</f>
        <v/>
      </c>
      <c r="J1207">
        <f>הגדרות!C7</f>
        <v/>
      </c>
      <c r="K1207">
        <f>הגדרות!D7</f>
        <v/>
      </c>
      <c r="L1207">
        <f>I1207*(1+J1207/100)+K1207</f>
        <v/>
      </c>
    </row>
    <row r="1208">
      <c r="A1208" t="inlineStr">
        <is>
          <t>מדי-מרקט</t>
        </is>
      </c>
      <c r="B1208" t="inlineStr">
        <is>
          <t>Bivalirudin Medi-Market 250 Mg 10 Vials (Il)</t>
        </is>
      </c>
      <c r="C1208" t="inlineStr">
        <is>
          <t>תרופות רשומות- מדי מרקט</t>
        </is>
      </c>
      <c r="D1208" t="inlineStr">
        <is>
          <t>25968</t>
        </is>
      </c>
      <c r="E1208" t="inlineStr">
        <is>
          <t>2026-06</t>
        </is>
      </c>
      <c r="F1208" t="n">
        <v>2802.97</v>
      </c>
      <c r="G1208" t="n">
        <v>3307.5</v>
      </c>
      <c r="H1208">
        <f>הגדרות!B7</f>
        <v/>
      </c>
      <c r="I1208">
        <f>F1208*(1-H1208/100)*1.18</f>
        <v/>
      </c>
      <c r="J1208">
        <f>הגדרות!C7</f>
        <v/>
      </c>
      <c r="K1208">
        <f>הגדרות!D7</f>
        <v/>
      </c>
      <c r="L1208">
        <f>I1208*(1+J1208/100)+K1208</f>
        <v/>
      </c>
    </row>
    <row r="1209">
      <c r="A1209" t="inlineStr">
        <is>
          <t>מדי-מרקט</t>
        </is>
      </c>
      <c r="B1209" t="inlineStr">
        <is>
          <t>Brilinta Tablets 90Mg 4 X 14 Bliste</t>
        </is>
      </c>
      <c r="C1209" t="inlineStr">
        <is>
          <t>תרופות</t>
        </is>
      </c>
      <c r="D1209" t="inlineStr">
        <is>
          <t>526656</t>
        </is>
      </c>
      <c r="E1209" t="inlineStr">
        <is>
          <t>2026-06</t>
        </is>
      </c>
      <c r="F1209" t="n">
        <v>240.31</v>
      </c>
      <c r="G1209" t="n">
        <v>283.57</v>
      </c>
      <c r="H1209">
        <f>הגדרות!B7</f>
        <v/>
      </c>
      <c r="I1209">
        <f>F1209*(1-H1209/100)*1.18</f>
        <v/>
      </c>
      <c r="J1209">
        <f>הגדרות!C7</f>
        <v/>
      </c>
      <c r="K1209">
        <f>הגדרות!D7</f>
        <v/>
      </c>
      <c r="L1209">
        <f>I1209*(1+J1209/100)+K1209</f>
        <v/>
      </c>
    </row>
    <row r="1210">
      <c r="A1210" t="inlineStr">
        <is>
          <t>מדי-מרקט</t>
        </is>
      </c>
      <c r="B1210" t="inlineStr">
        <is>
          <t>Broncho D Syr 120Ml</t>
        </is>
      </c>
      <c r="C1210" t="inlineStr">
        <is>
          <t>תרופות</t>
        </is>
      </c>
      <c r="D1210" t="inlineStr">
        <is>
          <t>77789</t>
        </is>
      </c>
      <c r="E1210" t="inlineStr">
        <is>
          <t>2026-06</t>
        </is>
      </c>
      <c r="F1210" t="n">
        <v>20.85</v>
      </c>
      <c r="G1210" t="n">
        <v>24.6</v>
      </c>
      <c r="H1210">
        <f>הגדרות!B7</f>
        <v/>
      </c>
      <c r="I1210">
        <f>F1210*(1-H1210/100)*1.18</f>
        <v/>
      </c>
      <c r="J1210">
        <f>הגדרות!C7</f>
        <v/>
      </c>
      <c r="K1210">
        <f>הגדרות!D7</f>
        <v/>
      </c>
      <c r="L1210">
        <f>I1210*(1+J1210/100)+K1210</f>
        <v/>
      </c>
    </row>
    <row r="1211">
      <c r="A1211" t="inlineStr">
        <is>
          <t>מדי-מרקט</t>
        </is>
      </c>
      <c r="B1211" t="inlineStr">
        <is>
          <t>Bronchokid Syr. 120 Ml</t>
        </is>
      </c>
      <c r="C1211" t="inlineStr">
        <is>
          <t>תרופות</t>
        </is>
      </c>
      <c r="D1211" t="inlineStr">
        <is>
          <t>0255</t>
        </is>
      </c>
      <c r="E1211" t="inlineStr">
        <is>
          <t>2026-06</t>
        </is>
      </c>
      <c r="F1211" t="n">
        <v>22.88</v>
      </c>
      <c r="G1211" t="n">
        <v>27</v>
      </c>
      <c r="H1211">
        <f>הגדרות!B7</f>
        <v/>
      </c>
      <c r="I1211">
        <f>F1211*(1-H1211/100)*1.18</f>
        <v/>
      </c>
      <c r="J1211">
        <f>הגדרות!C7</f>
        <v/>
      </c>
      <c r="K1211">
        <f>הגדרות!D7</f>
        <v/>
      </c>
      <c r="L1211">
        <f>I1211*(1+J1211/100)+K1211</f>
        <v/>
      </c>
    </row>
    <row r="1212">
      <c r="A1212" t="inlineStr">
        <is>
          <t>מדי-מרקט</t>
        </is>
      </c>
      <c r="B1212" t="inlineStr">
        <is>
          <t>Broncholate Forte S.Nf 120Ml</t>
        </is>
      </c>
      <c r="C1212" t="inlineStr">
        <is>
          <t>תרופות</t>
        </is>
      </c>
      <c r="D1212" t="inlineStr">
        <is>
          <t>697854</t>
        </is>
      </c>
      <c r="E1212" t="inlineStr">
        <is>
          <t>2026-06</t>
        </is>
      </c>
      <c r="F1212" t="n">
        <v>21.78</v>
      </c>
      <c r="G1212" t="n">
        <v>25.7</v>
      </c>
      <c r="H1212">
        <f>הגדרות!B7</f>
        <v/>
      </c>
      <c r="I1212">
        <f>F1212*(1-H1212/100)*1.18</f>
        <v/>
      </c>
      <c r="J1212">
        <f>הגדרות!C7</f>
        <v/>
      </c>
      <c r="K1212">
        <f>הגדרות!D7</f>
        <v/>
      </c>
      <c r="L1212">
        <f>I1212*(1+J1212/100)+K1212</f>
        <v/>
      </c>
    </row>
    <row r="1213">
      <c r="A1213" t="inlineStr">
        <is>
          <t>מדי-מרקט</t>
        </is>
      </c>
      <c r="B1213" t="inlineStr">
        <is>
          <t>Broncholate Syrup 120Ml ברונכולט סירופ 120 מ"ל</t>
        </is>
      </c>
      <c r="C1213" t="inlineStr">
        <is>
          <t>תרופות</t>
        </is>
      </c>
      <c r="D1213" t="inlineStr">
        <is>
          <t>6494</t>
        </is>
      </c>
      <c r="E1213" t="inlineStr">
        <is>
          <t>2026-06</t>
        </is>
      </c>
      <c r="F1213" t="n">
        <v>22.71</v>
      </c>
      <c r="G1213" t="n">
        <v>26.8</v>
      </c>
      <c r="H1213">
        <f>הגדרות!B7</f>
        <v/>
      </c>
      <c r="I1213">
        <f>F1213*(1-H1213/100)*1.18</f>
        <v/>
      </c>
      <c r="J1213">
        <f>הגדרות!C7</f>
        <v/>
      </c>
      <c r="K1213">
        <f>הגדרות!D7</f>
        <v/>
      </c>
      <c r="L1213">
        <f>I1213*(1+J1213/100)+K1213</f>
        <v/>
      </c>
    </row>
    <row r="1214">
      <c r="A1214" t="inlineStr">
        <is>
          <t>מדי-מרקט</t>
        </is>
      </c>
      <c r="B1214" t="inlineStr">
        <is>
          <t>Brotizolam-Teva 0.25Mg X 10Tabs</t>
        </is>
      </c>
      <c r="C1214" t="inlineStr">
        <is>
          <t>תרופות</t>
        </is>
      </c>
      <c r="D1214" t="inlineStr">
        <is>
          <t>631</t>
        </is>
      </c>
      <c r="E1214" t="inlineStr">
        <is>
          <t>2026-06</t>
        </is>
      </c>
      <c r="F1214" t="n">
        <v>5.72</v>
      </c>
      <c r="G1214" t="n">
        <v>6.75</v>
      </c>
      <c r="H1214">
        <f>הגדרות!B7</f>
        <v/>
      </c>
      <c r="I1214">
        <f>F1214*(1-H1214/100)*1.18</f>
        <v/>
      </c>
      <c r="J1214">
        <f>הגדרות!C7</f>
        <v/>
      </c>
      <c r="K1214">
        <f>הגדרות!D7</f>
        <v/>
      </c>
      <c r="L1214">
        <f>I1214*(1+J1214/100)+K1214</f>
        <v/>
      </c>
    </row>
    <row r="1215">
      <c r="A1215" t="inlineStr">
        <is>
          <t>מדי-מרקט</t>
        </is>
      </c>
      <c r="B1215" t="inlineStr">
        <is>
          <t>Budesonide Sterinebs 0.5Mg/2Ml*20</t>
        </is>
      </c>
      <c r="C1215" t="inlineStr">
        <is>
          <t>תרופות</t>
        </is>
      </c>
      <c r="D1215" t="inlineStr">
        <is>
          <t>RN000001</t>
        </is>
      </c>
      <c r="E1215" t="inlineStr">
        <is>
          <t>2026-06</t>
        </is>
      </c>
      <c r="F1215" t="n">
        <v>58.47</v>
      </c>
      <c r="G1215" t="n">
        <v>69</v>
      </c>
      <c r="H1215">
        <f>הגדרות!B7</f>
        <v/>
      </c>
      <c r="I1215">
        <f>F1215*(1-H1215/100)*1.18</f>
        <v/>
      </c>
      <c r="J1215">
        <f>הגדרות!C7</f>
        <v/>
      </c>
      <c r="K1215">
        <f>הגדרות!D7</f>
        <v/>
      </c>
      <c r="L1215">
        <f>I1215*(1+J1215/100)+K1215</f>
        <v/>
      </c>
    </row>
    <row r="1216">
      <c r="A1216" t="inlineStr">
        <is>
          <t>מדי-מרקט</t>
        </is>
      </c>
      <c r="B1216" t="inlineStr">
        <is>
          <t>Budesonide Sterinebs 1Mg/2Ml X 20 Amp</t>
        </is>
      </c>
      <c r="C1216" t="inlineStr">
        <is>
          <t>תרופות</t>
        </is>
      </c>
      <c r="D1216" t="inlineStr">
        <is>
          <t>RN00002</t>
        </is>
      </c>
      <c r="E1216" t="inlineStr">
        <is>
          <t>2026-06</t>
        </is>
      </c>
      <c r="F1216" t="n">
        <v>72.03</v>
      </c>
      <c r="G1216" t="n">
        <v>85</v>
      </c>
      <c r="H1216">
        <f>הגדרות!B7</f>
        <v/>
      </c>
      <c r="I1216">
        <f>F1216*(1-H1216/100)*1.18</f>
        <v/>
      </c>
      <c r="J1216">
        <f>הגדרות!C7</f>
        <v/>
      </c>
      <c r="K1216">
        <f>הגדרות!D7</f>
        <v/>
      </c>
      <c r="L1216">
        <f>I1216*(1+J1216/100)+K1216</f>
        <v/>
      </c>
    </row>
    <row r="1217">
      <c r="A1217" t="inlineStr">
        <is>
          <t>מדי-מרקט</t>
        </is>
      </c>
      <c r="B1217" t="inlineStr">
        <is>
          <t>Bupivacaine 0.5% 5Mg/Ml 10Ml 5Amp Grindeks (Il)</t>
        </is>
      </c>
      <c r="C1217" t="inlineStr">
        <is>
          <t>תרופות רשומות- מדי מרקט</t>
        </is>
      </c>
      <c r="D1217" t="inlineStr">
        <is>
          <t>15162</t>
        </is>
      </c>
      <c r="E1217" t="inlineStr">
        <is>
          <t>2026-06</t>
        </is>
      </c>
      <c r="F1217" t="n">
        <v>46.61</v>
      </c>
      <c r="G1217" t="n">
        <v>55</v>
      </c>
      <c r="H1217">
        <f>הגדרות!B7</f>
        <v/>
      </c>
      <c r="I1217">
        <f>F1217*(1-H1217/100)*1.18</f>
        <v/>
      </c>
      <c r="J1217">
        <f>הגדרות!C7</f>
        <v/>
      </c>
      <c r="K1217">
        <f>הגדרות!D7</f>
        <v/>
      </c>
      <c r="L1217">
        <f>I1217*(1+J1217/100)+K1217</f>
        <v/>
      </c>
    </row>
    <row r="1218">
      <c r="A1218" t="inlineStr">
        <is>
          <t>מדי-מרקט</t>
        </is>
      </c>
      <c r="B1218" t="inlineStr">
        <is>
          <t>Buprenorphine 20Mg/Ml 0.8 Ml Transdermal Gel X 2 Syringe</t>
        </is>
      </c>
      <c r="C1218" t="inlineStr">
        <is>
          <t>הכנות בית מרקחת</t>
        </is>
      </c>
      <c r="D1218" t="inlineStr">
        <is>
          <t>80864</t>
        </is>
      </c>
      <c r="E1218" t="inlineStr">
        <is>
          <t>2026-06</t>
        </is>
      </c>
      <c r="F1218" t="n">
        <v>101.69</v>
      </c>
      <c r="G1218" t="n">
        <v>120</v>
      </c>
      <c r="H1218">
        <f>הגדרות!B7</f>
        <v/>
      </c>
      <c r="I1218">
        <f>F1218*(1-H1218/100)*1.18</f>
        <v/>
      </c>
      <c r="J1218">
        <f>הגדרות!C7</f>
        <v/>
      </c>
      <c r="K1218">
        <f>הגדרות!D7</f>
        <v/>
      </c>
      <c r="L1218">
        <f>I1218*(1+J1218/100)+K1218</f>
        <v/>
      </c>
    </row>
    <row r="1219">
      <c r="A1219" t="inlineStr">
        <is>
          <t>מדי-מרקט</t>
        </is>
      </c>
      <c r="B1219" t="inlineStr">
        <is>
          <t>Burn Care 250 Ml Cream -ברן קאר</t>
        </is>
      </c>
      <c r="C1219" t="inlineStr">
        <is>
          <t>תרופות</t>
        </is>
      </c>
      <c r="D1219" t="inlineStr">
        <is>
          <t>1695635</t>
        </is>
      </c>
      <c r="E1219" t="inlineStr">
        <is>
          <t>2026-06</t>
        </is>
      </c>
      <c r="F1219" t="n">
        <v>15.59</v>
      </c>
      <c r="G1219" t="n">
        <v>18.4</v>
      </c>
      <c r="H1219">
        <f>הגדרות!B7</f>
        <v/>
      </c>
      <c r="I1219">
        <f>F1219*(1-H1219/100)*1.18</f>
        <v/>
      </c>
      <c r="J1219">
        <f>הגדרות!C7</f>
        <v/>
      </c>
      <c r="K1219">
        <f>הגדרות!D7</f>
        <v/>
      </c>
      <c r="L1219">
        <f>I1219*(1+J1219/100)+K1219</f>
        <v/>
      </c>
    </row>
    <row r="1220">
      <c r="A1220" t="inlineStr">
        <is>
          <t>מדי-מרקט</t>
        </is>
      </c>
      <c r="B1220" t="inlineStr">
        <is>
          <t>C.G. Cream Jar 50Ml</t>
        </is>
      </c>
      <c r="C1220" t="inlineStr">
        <is>
          <t>הכנות בית מרקחת</t>
        </is>
      </c>
      <c r="D1220" t="inlineStr">
        <is>
          <t>66621</t>
        </is>
      </c>
      <c r="E1220" t="inlineStr">
        <is>
          <t>2026-06</t>
        </is>
      </c>
      <c r="F1220" t="n">
        <v>25.42</v>
      </c>
      <c r="G1220" t="n">
        <v>30</v>
      </c>
      <c r="H1220">
        <f>הגדרות!B7</f>
        <v/>
      </c>
      <c r="I1220">
        <f>F1220*(1-H1220/100)*1.18</f>
        <v/>
      </c>
      <c r="J1220">
        <f>הגדרות!C7</f>
        <v/>
      </c>
      <c r="K1220">
        <f>הגדרות!D7</f>
        <v/>
      </c>
      <c r="L1220">
        <f>I1220*(1+J1220/100)+K1220</f>
        <v/>
      </c>
    </row>
    <row r="1221">
      <c r="A1221" t="inlineStr">
        <is>
          <t>מדי-מרקט</t>
        </is>
      </c>
      <c r="B1221" t="inlineStr">
        <is>
          <t>C.P.B Cream Jar 400Ml</t>
        </is>
      </c>
      <c r="C1221" t="inlineStr">
        <is>
          <t>הכנות בית מרקחת</t>
        </is>
      </c>
      <c r="D1221" t="inlineStr">
        <is>
          <t>05796</t>
        </is>
      </c>
      <c r="E1221" t="inlineStr">
        <is>
          <t>2026-06</t>
        </is>
      </c>
      <c r="F1221" t="n">
        <v>127.12</v>
      </c>
      <c r="G1221" t="n">
        <v>150</v>
      </c>
      <c r="H1221">
        <f>הגדרות!B7</f>
        <v/>
      </c>
      <c r="I1221">
        <f>F1221*(1-H1221/100)*1.18</f>
        <v/>
      </c>
      <c r="J1221">
        <f>הגדרות!C7</f>
        <v/>
      </c>
      <c r="K1221">
        <f>הגדרות!D7</f>
        <v/>
      </c>
      <c r="L1221">
        <f>I1221*(1+J1221/100)+K1221</f>
        <v/>
      </c>
    </row>
    <row r="1222">
      <c r="A1222" t="inlineStr">
        <is>
          <t>מדי-מרקט</t>
        </is>
      </c>
      <c r="B1222" t="inlineStr">
        <is>
          <t>C.P.B Cream Jar 50Ml</t>
        </is>
      </c>
      <c r="C1222" t="inlineStr">
        <is>
          <t>הכנות בית מרקחת</t>
        </is>
      </c>
      <c r="D1222" t="inlineStr">
        <is>
          <t>1873</t>
        </is>
      </c>
      <c r="E1222" t="inlineStr">
        <is>
          <t>2026-06</t>
        </is>
      </c>
      <c r="F1222" t="n">
        <v>25.42</v>
      </c>
      <c r="G1222" t="n">
        <v>30</v>
      </c>
      <c r="H1222">
        <f>הגדרות!B7</f>
        <v/>
      </c>
      <c r="I1222">
        <f>F1222*(1-H1222/100)*1.18</f>
        <v/>
      </c>
      <c r="J1222">
        <f>הגדרות!C7</f>
        <v/>
      </c>
      <c r="K1222">
        <f>הגדרות!D7</f>
        <v/>
      </c>
      <c r="L1222">
        <f>I1222*(1+J1222/100)+K1222</f>
        <v/>
      </c>
    </row>
    <row r="1223">
      <c r="A1223" t="inlineStr">
        <is>
          <t>מדי-מרקט</t>
        </is>
      </c>
      <c r="B1223" t="inlineStr">
        <is>
          <t>C.P.B. Cream Jar 20Ml</t>
        </is>
      </c>
      <c r="C1223" t="inlineStr">
        <is>
          <t>הכנות בית מרקחת</t>
        </is>
      </c>
      <c r="D1223" t="inlineStr">
        <is>
          <t>778</t>
        </is>
      </c>
      <c r="E1223" t="inlineStr">
        <is>
          <t>2026-06</t>
        </is>
      </c>
      <c r="F1223" t="n">
        <v>16.95</v>
      </c>
      <c r="G1223" t="n">
        <v>20</v>
      </c>
      <c r="H1223">
        <f>הגדרות!B7</f>
        <v/>
      </c>
      <c r="I1223">
        <f>F1223*(1-H1223/100)*1.18</f>
        <v/>
      </c>
      <c r="J1223">
        <f>הגדרות!C7</f>
        <v/>
      </c>
      <c r="K1223">
        <f>הגדרות!D7</f>
        <v/>
      </c>
      <c r="L1223">
        <f>I1223*(1+J1223/100)+K1223</f>
        <v/>
      </c>
    </row>
    <row r="1224">
      <c r="A1224" t="inlineStr">
        <is>
          <t>מדי-מרקט</t>
        </is>
      </c>
      <c r="B1224" t="inlineStr">
        <is>
          <t>C.P.B. Cream Tube  20Ml</t>
        </is>
      </c>
      <c r="C1224" t="inlineStr">
        <is>
          <t>הכנות בית מרקחת</t>
        </is>
      </c>
      <c r="D1224" t="inlineStr">
        <is>
          <t>77856</t>
        </is>
      </c>
      <c r="E1224" t="inlineStr">
        <is>
          <t>2026-06</t>
        </is>
      </c>
      <c r="F1224" t="n">
        <v>16.95</v>
      </c>
      <c r="G1224" t="n">
        <v>20</v>
      </c>
      <c r="H1224">
        <f>הגדרות!B7</f>
        <v/>
      </c>
      <c r="I1224">
        <f>F1224*(1-H1224/100)*1.18</f>
        <v/>
      </c>
      <c r="J1224">
        <f>הגדרות!C7</f>
        <v/>
      </c>
      <c r="K1224">
        <f>הגדרות!D7</f>
        <v/>
      </c>
      <c r="L1224">
        <f>I1224*(1+J1224/100)+K1224</f>
        <v/>
      </c>
    </row>
    <row r="1225">
      <c r="A1225" t="inlineStr">
        <is>
          <t>מדי-מרקט</t>
        </is>
      </c>
      <c r="B1225" t="inlineStr">
        <is>
          <t>C.P.B. Cream Tube 50Ml</t>
        </is>
      </c>
      <c r="C1225" t="inlineStr">
        <is>
          <t>הכנות בית מרקחת</t>
        </is>
      </c>
      <c r="D1225" t="inlineStr">
        <is>
          <t>18733</t>
        </is>
      </c>
      <c r="E1225" t="inlineStr">
        <is>
          <t>2026-06</t>
        </is>
      </c>
      <c r="F1225" t="n">
        <v>25.42</v>
      </c>
      <c r="G1225" t="n">
        <v>30</v>
      </c>
      <c r="H1225">
        <f>הגדרות!B7</f>
        <v/>
      </c>
      <c r="I1225">
        <f>F1225*(1-H1225/100)*1.18</f>
        <v/>
      </c>
      <c r="J1225">
        <f>הגדרות!C7</f>
        <v/>
      </c>
      <c r="K1225">
        <f>הגדרות!D7</f>
        <v/>
      </c>
      <c r="L1225">
        <f>I1225*(1+J1225/100)+K1225</f>
        <v/>
      </c>
    </row>
    <row r="1226">
      <c r="A1226" t="inlineStr">
        <is>
          <t>מדי-מרקט</t>
        </is>
      </c>
      <c r="B1226" t="inlineStr">
        <is>
          <t>C.P.N Clopran Cream Jar 20Ml</t>
        </is>
      </c>
      <c r="C1226" t="inlineStr">
        <is>
          <t>הכנות בית מרקחת</t>
        </is>
      </c>
      <c r="D1226" t="inlineStr">
        <is>
          <t>857</t>
        </is>
      </c>
      <c r="E1226" t="inlineStr">
        <is>
          <t>2026-06</t>
        </is>
      </c>
      <c r="F1226" t="n">
        <v>16.95</v>
      </c>
      <c r="G1226" t="n">
        <v>20</v>
      </c>
      <c r="H1226">
        <f>הגדרות!B7</f>
        <v/>
      </c>
      <c r="I1226">
        <f>F1226*(1-H1226/100)*1.18</f>
        <v/>
      </c>
      <c r="J1226">
        <f>הגדרות!C7</f>
        <v/>
      </c>
      <c r="K1226">
        <f>הגדרות!D7</f>
        <v/>
      </c>
      <c r="L1226">
        <f>I1226*(1+J1226/100)+K1226</f>
        <v/>
      </c>
    </row>
    <row r="1227">
      <c r="A1227" t="inlineStr">
        <is>
          <t>מדי-מרקט</t>
        </is>
      </c>
      <c r="B1227" t="inlineStr">
        <is>
          <t>C.P.N Clopran Cream Jar 50Ml</t>
        </is>
      </c>
      <c r="C1227" t="inlineStr">
        <is>
          <t>הכנות בית מרקחת</t>
        </is>
      </c>
      <c r="D1227" t="inlineStr">
        <is>
          <t>856</t>
        </is>
      </c>
      <c r="E1227" t="inlineStr">
        <is>
          <t>2026-06</t>
        </is>
      </c>
      <c r="F1227" t="n">
        <v>11.1</v>
      </c>
      <c r="G1227" t="n">
        <v>13.1</v>
      </c>
      <c r="H1227">
        <f>הגדרות!B7</f>
        <v/>
      </c>
      <c r="I1227">
        <f>F1227*(1-H1227/100)*1.18</f>
        <v/>
      </c>
      <c r="J1227">
        <f>הגדרות!C7</f>
        <v/>
      </c>
      <c r="K1227">
        <f>הגדרות!D7</f>
        <v/>
      </c>
      <c r="L1227">
        <f>I1227*(1+J1227/100)+K1227</f>
        <v/>
      </c>
    </row>
    <row r="1228">
      <c r="A1228" t="inlineStr">
        <is>
          <t>מדי-מרקט</t>
        </is>
      </c>
      <c r="B1228" t="inlineStr">
        <is>
          <t>C.P.N Clopran Cream Tube 20Ml</t>
        </is>
      </c>
      <c r="C1228" t="inlineStr">
        <is>
          <t>הכנות בית מרקחת</t>
        </is>
      </c>
      <c r="D1228" t="inlineStr">
        <is>
          <t>85736</t>
        </is>
      </c>
      <c r="E1228" t="inlineStr">
        <is>
          <t>2026-06</t>
        </is>
      </c>
      <c r="F1228" t="n">
        <v>16.95</v>
      </c>
      <c r="G1228" t="n">
        <v>20</v>
      </c>
      <c r="H1228">
        <f>הגדרות!B7</f>
        <v/>
      </c>
      <c r="I1228">
        <f>F1228*(1-H1228/100)*1.18</f>
        <v/>
      </c>
      <c r="J1228">
        <f>הגדרות!C7</f>
        <v/>
      </c>
      <c r="K1228">
        <f>הגדרות!D7</f>
        <v/>
      </c>
      <c r="L1228">
        <f>I1228*(1+J1228/100)+K1228</f>
        <v/>
      </c>
    </row>
    <row r="1229">
      <c r="A1229" t="inlineStr">
        <is>
          <t>מדי-מרקט</t>
        </is>
      </c>
      <c r="B1229" t="inlineStr">
        <is>
          <t>C.P.N Clopran Cream Tube 50Ml</t>
        </is>
      </c>
      <c r="C1229" t="inlineStr">
        <is>
          <t>הכנות בית מרקחת</t>
        </is>
      </c>
      <c r="D1229" t="inlineStr">
        <is>
          <t>85661</t>
        </is>
      </c>
      <c r="E1229" t="inlineStr">
        <is>
          <t>2026-06</t>
        </is>
      </c>
      <c r="F1229" t="n">
        <v>25.42</v>
      </c>
      <c r="G1229" t="n">
        <v>30</v>
      </c>
      <c r="H1229">
        <f>הגדרות!B7</f>
        <v/>
      </c>
      <c r="I1229">
        <f>F1229*(1-H1229/100)*1.18</f>
        <v/>
      </c>
      <c r="J1229">
        <f>הגדרות!C7</f>
        <v/>
      </c>
      <c r="K1229">
        <f>הגדרות!D7</f>
        <v/>
      </c>
      <c r="L1229">
        <f>I1229*(1+J1229/100)+K1229</f>
        <v/>
      </c>
    </row>
    <row r="1230">
      <c r="A1230" t="inlineStr">
        <is>
          <t>מדי-מרקט</t>
        </is>
      </c>
      <c r="B1230" t="inlineStr">
        <is>
          <t>Cadex 1Mg X 30Tabs</t>
        </is>
      </c>
      <c r="C1230" t="inlineStr">
        <is>
          <t>תרופות</t>
        </is>
      </c>
      <c r="D1230" t="inlineStr">
        <is>
          <t>5082-25</t>
        </is>
      </c>
      <c r="E1230" t="inlineStr">
        <is>
          <t>2026-06</t>
        </is>
      </c>
      <c r="F1230" t="n">
        <v>10.93</v>
      </c>
      <c r="G1230" t="n">
        <v>12.9</v>
      </c>
      <c r="H1230">
        <f>הגדרות!B7</f>
        <v/>
      </c>
      <c r="I1230">
        <f>F1230*(1-H1230/100)*1.18</f>
        <v/>
      </c>
      <c r="J1230">
        <f>הגדרות!C7</f>
        <v/>
      </c>
      <c r="K1230">
        <f>הגדרות!D7</f>
        <v/>
      </c>
      <c r="L1230">
        <f>I1230*(1+J1230/100)+K1230</f>
        <v/>
      </c>
    </row>
    <row r="1231">
      <c r="A1231" t="inlineStr">
        <is>
          <t>מדי-מרקט</t>
        </is>
      </c>
      <c r="B1231" t="inlineStr">
        <is>
          <t>Cadex 2Mg X 30Cap</t>
        </is>
      </c>
      <c r="C1231" t="inlineStr">
        <is>
          <t>תרופות</t>
        </is>
      </c>
      <c r="D1231" t="inlineStr">
        <is>
          <t>31688</t>
        </is>
      </c>
      <c r="E1231" t="inlineStr">
        <is>
          <t>2026-06</t>
        </is>
      </c>
      <c r="F1231" t="n">
        <v>11.87</v>
      </c>
      <c r="G1231" t="n">
        <v>14.01</v>
      </c>
      <c r="H1231">
        <f>הגדרות!B7</f>
        <v/>
      </c>
      <c r="I1231">
        <f>F1231*(1-H1231/100)*1.18</f>
        <v/>
      </c>
      <c r="J1231">
        <f>הגדרות!C7</f>
        <v/>
      </c>
      <c r="K1231">
        <f>הגדרות!D7</f>
        <v/>
      </c>
      <c r="L1231">
        <f>I1231*(1+J1231/100)+K1231</f>
        <v/>
      </c>
    </row>
    <row r="1232">
      <c r="A1232" t="inlineStr">
        <is>
          <t>מדי-מרקט</t>
        </is>
      </c>
      <c r="B1232" t="inlineStr">
        <is>
          <t>Cadex 4Mg X 30Cap</t>
        </is>
      </c>
      <c r="C1232" t="inlineStr">
        <is>
          <t>תרופות</t>
        </is>
      </c>
      <c r="D1232" t="inlineStr">
        <is>
          <t>31689</t>
        </is>
      </c>
      <c r="E1232" t="inlineStr">
        <is>
          <t>2026-06</t>
        </is>
      </c>
      <c r="F1232" t="n">
        <v>12.71</v>
      </c>
      <c r="G1232" t="n">
        <v>15</v>
      </c>
      <c r="H1232">
        <f>הגדרות!B7</f>
        <v/>
      </c>
      <c r="I1232">
        <f>F1232*(1-H1232/100)*1.18</f>
        <v/>
      </c>
      <c r="J1232">
        <f>הגדרות!C7</f>
        <v/>
      </c>
      <c r="K1232">
        <f>הגדרות!D7</f>
        <v/>
      </c>
      <c r="L1232">
        <f>I1232*(1+J1232/100)+K1232</f>
        <v/>
      </c>
    </row>
    <row r="1233">
      <c r="A1233" t="inlineStr">
        <is>
          <t>מדי-מרקט</t>
        </is>
      </c>
      <c r="B1233" t="inlineStr">
        <is>
          <t>CAELYX 2MG/ML *10ML*1 VIAL</t>
        </is>
      </c>
      <c r="C1233" t="inlineStr">
        <is>
          <t>תרופות</t>
        </is>
      </c>
      <c r="D1233" t="inlineStr">
        <is>
          <t>09673</t>
        </is>
      </c>
      <c r="E1233" t="inlineStr">
        <is>
          <t>2026-06</t>
        </is>
      </c>
      <c r="F1233" t="n">
        <v>1486.47</v>
      </c>
      <c r="G1233" t="n">
        <v>1754.04</v>
      </c>
      <c r="H1233">
        <f>הגדרות!B7</f>
        <v/>
      </c>
      <c r="I1233">
        <f>F1233*(1-H1233/100)*1.18</f>
        <v/>
      </c>
      <c r="J1233">
        <f>הגדרות!C7</f>
        <v/>
      </c>
      <c r="K1233">
        <f>הגדרות!D7</f>
        <v/>
      </c>
      <c r="L1233">
        <f>I1233*(1+J1233/100)+K1233</f>
        <v/>
      </c>
    </row>
    <row r="1234">
      <c r="A1234" t="inlineStr">
        <is>
          <t>מדי-מרקט</t>
        </is>
      </c>
      <c r="B1234" t="inlineStr">
        <is>
          <t>Calamine Lotion 100Ml קלמין לושן תרחיף</t>
        </is>
      </c>
      <c r="C1234" t="inlineStr">
        <is>
          <t>תרופות</t>
        </is>
      </c>
      <c r="D1234" t="inlineStr">
        <is>
          <t>1070610</t>
        </is>
      </c>
      <c r="E1234" t="inlineStr">
        <is>
          <t>2026-06</t>
        </is>
      </c>
      <c r="F1234" t="n">
        <v>4.86</v>
      </c>
      <c r="G1234" t="n">
        <v>5.74</v>
      </c>
      <c r="H1234">
        <f>הגדרות!B7</f>
        <v/>
      </c>
      <c r="I1234">
        <f>F1234*(1-H1234/100)*1.18</f>
        <v/>
      </c>
      <c r="J1234">
        <f>הגדרות!C7</f>
        <v/>
      </c>
      <c r="K1234">
        <f>הגדרות!D7</f>
        <v/>
      </c>
      <c r="L1234">
        <f>I1234*(1+J1234/100)+K1234</f>
        <v/>
      </c>
    </row>
    <row r="1235">
      <c r="A1235" t="inlineStr">
        <is>
          <t>מדי-מרקט</t>
        </is>
      </c>
      <c r="B1235" t="inlineStr">
        <is>
          <t>CALCIUM 600MG 60 TABS קלציום</t>
        </is>
      </c>
      <c r="C1235" t="inlineStr">
        <is>
          <t>ויטמינים ויטה יאנג</t>
        </is>
      </c>
      <c r="D1235" t="inlineStr">
        <is>
          <t>1214</t>
        </is>
      </c>
      <c r="E1235" t="inlineStr">
        <is>
          <t>2026-06</t>
        </is>
      </c>
      <c r="F1235" t="n">
        <v>8.050000000000001</v>
      </c>
      <c r="G1235" t="n">
        <v>9.5</v>
      </c>
      <c r="H1235">
        <f>הגדרות!B7</f>
        <v/>
      </c>
      <c r="I1235">
        <f>F1235*(1-H1235/100)*1.18</f>
        <v/>
      </c>
      <c r="J1235">
        <f>הגדרות!C7</f>
        <v/>
      </c>
      <c r="K1235">
        <f>הגדרות!D7</f>
        <v/>
      </c>
      <c r="L1235">
        <f>I1235*(1+J1235/100)+K1235</f>
        <v/>
      </c>
    </row>
    <row r="1236">
      <c r="A1236" t="inlineStr">
        <is>
          <t>מדי-מרקט</t>
        </is>
      </c>
      <c r="B1236" t="inlineStr">
        <is>
          <t>CALCIUM GLUCONATE 10% 10ML Injection</t>
        </is>
      </c>
      <c r="C1236" t="inlineStr">
        <is>
          <t>תרופות</t>
        </is>
      </c>
      <c r="D1236" t="inlineStr">
        <is>
          <t>314</t>
        </is>
      </c>
      <c r="E1236" t="inlineStr">
        <is>
          <t>2026-06</t>
        </is>
      </c>
      <c r="F1236" t="n">
        <v>2.72</v>
      </c>
      <c r="G1236" t="n">
        <v>3.21</v>
      </c>
      <c r="H1236">
        <f>הגדרות!B7</f>
        <v/>
      </c>
      <c r="I1236">
        <f>F1236*(1-H1236/100)*1.18</f>
        <v/>
      </c>
      <c r="J1236">
        <f>הגדרות!C7</f>
        <v/>
      </c>
      <c r="K1236">
        <f>הגדרות!D7</f>
        <v/>
      </c>
      <c r="L1236">
        <f>I1236*(1+J1236/100)+K1236</f>
        <v/>
      </c>
    </row>
    <row r="1237">
      <c r="A1237" t="inlineStr">
        <is>
          <t>מדי-מרקט</t>
        </is>
      </c>
      <c r="B1237" t="inlineStr">
        <is>
          <t>Calmanervin Tablets,30 Tab</t>
        </is>
      </c>
      <c r="C1237" t="inlineStr">
        <is>
          <t>תרופות</t>
        </is>
      </c>
      <c r="D1237" t="inlineStr">
        <is>
          <t>85260</t>
        </is>
      </c>
      <c r="E1237" t="inlineStr">
        <is>
          <t>2026-06</t>
        </is>
      </c>
      <c r="F1237" t="n">
        <v>31.52</v>
      </c>
      <c r="G1237" t="n">
        <v>37.19</v>
      </c>
      <c r="H1237">
        <f>הגדרות!B7</f>
        <v/>
      </c>
      <c r="I1237">
        <f>F1237*(1-H1237/100)*1.18</f>
        <v/>
      </c>
      <c r="J1237">
        <f>הגדרות!C7</f>
        <v/>
      </c>
      <c r="K1237">
        <f>הגדרות!D7</f>
        <v/>
      </c>
      <c r="L1237">
        <f>I1237*(1+J1237/100)+K1237</f>
        <v/>
      </c>
    </row>
    <row r="1238">
      <c r="A1238" t="inlineStr">
        <is>
          <t>מדי-מרקט</t>
        </is>
      </c>
      <c r="B1238" t="inlineStr">
        <is>
          <t>CALMIVET ACP (ACEPROMAZINE 5MG/ML) INJ 50ML</t>
        </is>
      </c>
      <c r="C1238" t="inlineStr">
        <is>
          <t>29ג' וטרינרי</t>
        </is>
      </c>
      <c r="D1238" t="inlineStr">
        <is>
          <t>367903</t>
        </is>
      </c>
      <c r="E1238" t="inlineStr">
        <is>
          <t>2026-06</t>
        </is>
      </c>
      <c r="F1238" t="n">
        <v>152.54</v>
      </c>
      <c r="G1238" t="n">
        <v>180</v>
      </c>
      <c r="H1238">
        <f>הגדרות!B7</f>
        <v/>
      </c>
      <c r="I1238">
        <f>F1238*(1-H1238/100)*1.18</f>
        <v/>
      </c>
      <c r="J1238">
        <f>הגדרות!C7</f>
        <v/>
      </c>
      <c r="K1238">
        <f>הגדרות!D7</f>
        <v/>
      </c>
      <c r="L1238">
        <f>I1238*(1+J1238/100)+K1238</f>
        <v/>
      </c>
    </row>
    <row r="1239">
      <c r="A1239" t="inlineStr">
        <is>
          <t>מדי-מרקט</t>
        </is>
      </c>
      <c r="B1239" t="inlineStr">
        <is>
          <t>Candor 16 Candesartan Cilexetil X 16</t>
        </is>
      </c>
      <c r="C1239" t="inlineStr">
        <is>
          <t>תרופות</t>
        </is>
      </c>
      <c r="D1239" t="inlineStr">
        <is>
          <t>9686</t>
        </is>
      </c>
      <c r="E1239" t="inlineStr">
        <is>
          <t>2026-06</t>
        </is>
      </c>
      <c r="F1239" t="n">
        <v>20.34</v>
      </c>
      <c r="G1239" t="n">
        <v>24</v>
      </c>
      <c r="H1239">
        <f>הגדרות!B7</f>
        <v/>
      </c>
      <c r="I1239">
        <f>F1239*(1-H1239/100)*1.18</f>
        <v/>
      </c>
      <c r="J1239">
        <f>הגדרות!C7</f>
        <v/>
      </c>
      <c r="K1239">
        <f>הגדרות!D7</f>
        <v/>
      </c>
      <c r="L1239">
        <f>I1239*(1+J1239/100)+K1239</f>
        <v/>
      </c>
    </row>
    <row r="1240">
      <c r="A1240" t="inlineStr">
        <is>
          <t>מדי-מרקט</t>
        </is>
      </c>
      <c r="B1240" t="inlineStr">
        <is>
          <t>Candor 8 - Candesartan Cilexetil 8*28</t>
        </is>
      </c>
      <c r="C1240" t="inlineStr">
        <is>
          <t>תרופות</t>
        </is>
      </c>
      <c r="D1240" t="inlineStr">
        <is>
          <t>65369</t>
        </is>
      </c>
      <c r="E1240" t="inlineStr">
        <is>
          <t>2026-06</t>
        </is>
      </c>
      <c r="F1240" t="n">
        <v>15.42</v>
      </c>
      <c r="G1240" t="n">
        <v>18.2</v>
      </c>
      <c r="H1240">
        <f>הגדרות!B7</f>
        <v/>
      </c>
      <c r="I1240">
        <f>F1240*(1-H1240/100)*1.18</f>
        <v/>
      </c>
      <c r="J1240">
        <f>הגדרות!C7</f>
        <v/>
      </c>
      <c r="K1240">
        <f>הגדרות!D7</f>
        <v/>
      </c>
      <c r="L1240">
        <f>I1240*(1+J1240/100)+K1240</f>
        <v/>
      </c>
    </row>
    <row r="1241">
      <c r="A1241" t="inlineStr">
        <is>
          <t>מדי-מרקט</t>
        </is>
      </c>
      <c r="B1241" t="inlineStr">
        <is>
          <t>Canidryl 20Mg 100Tabs For Dogs</t>
        </is>
      </c>
      <c r="C1241" t="inlineStr">
        <is>
          <t>תרופות</t>
        </is>
      </c>
      <c r="D1241" t="inlineStr">
        <is>
          <t>M003740</t>
        </is>
      </c>
      <c r="E1241" t="inlineStr">
        <is>
          <t>2026-06</t>
        </is>
      </c>
      <c r="F1241" t="n">
        <v>76.27</v>
      </c>
      <c r="G1241" t="n">
        <v>90</v>
      </c>
      <c r="H1241">
        <f>הגדרות!B7</f>
        <v/>
      </c>
      <c r="I1241">
        <f>F1241*(1-H1241/100)*1.18</f>
        <v/>
      </c>
      <c r="J1241">
        <f>הגדרות!C7</f>
        <v/>
      </c>
      <c r="K1241">
        <f>הגדרות!D7</f>
        <v/>
      </c>
      <c r="L1241">
        <f>I1241*(1+J1241/100)+K1241</f>
        <v/>
      </c>
    </row>
    <row r="1242">
      <c r="A1242" t="inlineStr">
        <is>
          <t>מדי-מרקט</t>
        </is>
      </c>
      <c r="B1242" t="inlineStr">
        <is>
          <t>Canidryl Snap 100Mg 100Tabs For Dogs</t>
        </is>
      </c>
      <c r="C1242" t="inlineStr">
        <is>
          <t>תרופות</t>
        </is>
      </c>
      <c r="D1242" t="inlineStr">
        <is>
          <t>CP3989</t>
        </is>
      </c>
      <c r="E1242" t="inlineStr">
        <is>
          <t>2026-06</t>
        </is>
      </c>
      <c r="F1242" t="n">
        <v>173.73</v>
      </c>
      <c r="G1242" t="n">
        <v>205</v>
      </c>
      <c r="H1242">
        <f>הגדרות!B7</f>
        <v/>
      </c>
      <c r="I1242">
        <f>F1242*(1-H1242/100)*1.18</f>
        <v/>
      </c>
      <c r="J1242">
        <f>הגדרות!C7</f>
        <v/>
      </c>
      <c r="K1242">
        <f>הגדרות!D7</f>
        <v/>
      </c>
      <c r="L1242">
        <f>I1242*(1+J1242/100)+K1242</f>
        <v/>
      </c>
    </row>
    <row r="1243">
      <c r="A1243" t="inlineStr">
        <is>
          <t>מדי-מרקט</t>
        </is>
      </c>
      <c r="B1243" t="inlineStr">
        <is>
          <t>Carboplatin Teva 150Mg 15Ml Sol</t>
        </is>
      </c>
      <c r="C1243" t="inlineStr">
        <is>
          <t>תרופות</t>
        </is>
      </c>
      <c r="D1243" t="inlineStr">
        <is>
          <t>09551</t>
        </is>
      </c>
      <c r="E1243" t="inlineStr">
        <is>
          <t>2026-06</t>
        </is>
      </c>
      <c r="F1243" t="n">
        <v>124.58</v>
      </c>
      <c r="G1243" t="n">
        <v>147</v>
      </c>
      <c r="H1243">
        <f>הגדרות!B7</f>
        <v/>
      </c>
      <c r="I1243">
        <f>F1243*(1-H1243/100)*1.18</f>
        <v/>
      </c>
      <c r="J1243">
        <f>הגדרות!C7</f>
        <v/>
      </c>
      <c r="K1243">
        <f>הגדרות!D7</f>
        <v/>
      </c>
      <c r="L1243">
        <f>I1243*(1+J1243/100)+K1243</f>
        <v/>
      </c>
    </row>
    <row r="1244">
      <c r="A1244" t="inlineStr">
        <is>
          <t>מדי-מרקט</t>
        </is>
      </c>
      <c r="B1244" t="inlineStr">
        <is>
          <t>CARDALIS Large 30T  10/80mg</t>
        </is>
      </c>
      <c r="C1244" t="inlineStr">
        <is>
          <t>29ג' וטרינרי CEVA</t>
        </is>
      </c>
      <c r="D1244" t="inlineStr">
        <is>
          <t>C63530I</t>
        </is>
      </c>
      <c r="E1244" t="inlineStr">
        <is>
          <t>2026-06</t>
        </is>
      </c>
      <c r="F1244" t="n">
        <v>152.54</v>
      </c>
      <c r="G1244" t="n">
        <v>180</v>
      </c>
      <c r="H1244">
        <f>הגדרות!B7</f>
        <v/>
      </c>
      <c r="I1244">
        <f>F1244*(1-H1244/100)*1.18</f>
        <v/>
      </c>
      <c r="J1244">
        <f>הגדרות!C7</f>
        <v/>
      </c>
      <c r="K1244">
        <f>הגדרות!D7</f>
        <v/>
      </c>
      <c r="L1244">
        <f>I1244*(1+J1244/100)+K1244</f>
        <v/>
      </c>
    </row>
    <row r="1245">
      <c r="A1245" t="inlineStr">
        <is>
          <t>מדי-מרקט</t>
        </is>
      </c>
      <c r="B1245" t="inlineStr">
        <is>
          <t>CARDALIS Medium 30T  5/40mg</t>
        </is>
      </c>
      <c r="C1245" t="inlineStr">
        <is>
          <t>29ג' וטרינרי CEVA</t>
        </is>
      </c>
      <c r="D1245" t="inlineStr">
        <is>
          <t>C63520I</t>
        </is>
      </c>
      <c r="E1245" t="inlineStr">
        <is>
          <t>2026-06</t>
        </is>
      </c>
      <c r="F1245" t="n">
        <v>84.75</v>
      </c>
      <c r="G1245" t="n">
        <v>100</v>
      </c>
      <c r="H1245">
        <f>הגדרות!B7</f>
        <v/>
      </c>
      <c r="I1245">
        <f>F1245*(1-H1245/100)*1.18</f>
        <v/>
      </c>
      <c r="J1245">
        <f>הגדרות!C7</f>
        <v/>
      </c>
      <c r="K1245">
        <f>הגדרות!D7</f>
        <v/>
      </c>
      <c r="L1245">
        <f>I1245*(1+J1245/100)+K1245</f>
        <v/>
      </c>
    </row>
    <row r="1246">
      <c r="A1246" t="inlineStr">
        <is>
          <t>מדי-מרקט</t>
        </is>
      </c>
      <c r="B1246" t="inlineStr">
        <is>
          <t>Cardiloc 1.25Mg X 30Tabs</t>
        </is>
      </c>
      <c r="C1246" t="inlineStr">
        <is>
          <t>תרופות</t>
        </is>
      </c>
      <c r="D1246" t="inlineStr">
        <is>
          <t>307157</t>
        </is>
      </c>
      <c r="E1246" t="inlineStr">
        <is>
          <t>2026-06</t>
        </is>
      </c>
      <c r="F1246" t="n">
        <v>11.24</v>
      </c>
      <c r="G1246" t="n">
        <v>13.26</v>
      </c>
      <c r="H1246">
        <f>הגדרות!B7</f>
        <v/>
      </c>
      <c r="I1246">
        <f>F1246*(1-H1246/100)*1.18</f>
        <v/>
      </c>
      <c r="J1246">
        <f>הגדרות!C7</f>
        <v/>
      </c>
      <c r="K1246">
        <f>הגדרות!D7</f>
        <v/>
      </c>
      <c r="L1246">
        <f>I1246*(1+J1246/100)+K1246</f>
        <v/>
      </c>
    </row>
    <row r="1247">
      <c r="A1247" t="inlineStr">
        <is>
          <t>מדי-מרקט</t>
        </is>
      </c>
      <c r="B1247" t="inlineStr">
        <is>
          <t>Cardiloc 2.5Mg X 30Tabs</t>
        </is>
      </c>
      <c r="C1247" t="inlineStr">
        <is>
          <t>תרופות</t>
        </is>
      </c>
      <c r="D1247" t="inlineStr">
        <is>
          <t>307156</t>
        </is>
      </c>
      <c r="E1247" t="inlineStr">
        <is>
          <t>2026-06</t>
        </is>
      </c>
      <c r="F1247" t="n">
        <v>11.02</v>
      </c>
      <c r="G1247" t="n">
        <v>13</v>
      </c>
      <c r="H1247">
        <f>הגדרות!B7</f>
        <v/>
      </c>
      <c r="I1247">
        <f>F1247*(1-H1247/100)*1.18</f>
        <v/>
      </c>
      <c r="J1247">
        <f>הגדרות!C7</f>
        <v/>
      </c>
      <c r="K1247">
        <f>הגדרות!D7</f>
        <v/>
      </c>
      <c r="L1247">
        <f>I1247*(1+J1247/100)+K1247</f>
        <v/>
      </c>
    </row>
    <row r="1248">
      <c r="A1248" t="inlineStr">
        <is>
          <t>מדי-מרקט</t>
        </is>
      </c>
      <c r="B1248" t="inlineStr">
        <is>
          <t>Cardiloc 5Mg X 30Tab</t>
        </is>
      </c>
      <c r="C1248" t="inlineStr">
        <is>
          <t>תרופות</t>
        </is>
      </c>
      <c r="D1248" t="inlineStr">
        <is>
          <t>03687</t>
        </is>
      </c>
      <c r="E1248" t="inlineStr">
        <is>
          <t>2026-06</t>
        </is>
      </c>
      <c r="F1248" t="n">
        <v>10.75</v>
      </c>
      <c r="G1248" t="n">
        <v>12.69</v>
      </c>
      <c r="H1248">
        <f>הגדרות!B7</f>
        <v/>
      </c>
      <c r="I1248">
        <f>F1248*(1-H1248/100)*1.18</f>
        <v/>
      </c>
      <c r="J1248">
        <f>הגדרות!C7</f>
        <v/>
      </c>
      <c r="K1248">
        <f>הגדרות!D7</f>
        <v/>
      </c>
      <c r="L1248">
        <f>I1248*(1+J1248/100)+K1248</f>
        <v/>
      </c>
    </row>
    <row r="1249">
      <c r="A1249" t="inlineStr">
        <is>
          <t>מדי-מרקט</t>
        </is>
      </c>
      <c r="B1249" t="inlineStr">
        <is>
          <t>Cardisure (Pimobendan) 2.5 mg 100 tablets</t>
        </is>
      </c>
      <c r="C1249" t="inlineStr">
        <is>
          <t>29ג' וטרינרי</t>
        </is>
      </c>
      <c r="D1249" t="inlineStr">
        <is>
          <t>30121</t>
        </is>
      </c>
      <c r="E1249" t="inlineStr">
        <is>
          <t>2026-06</t>
        </is>
      </c>
      <c r="F1249" t="n">
        <v>169.49</v>
      </c>
      <c r="G1249" t="n">
        <v>200</v>
      </c>
      <c r="H1249">
        <f>הגדרות!B7</f>
        <v/>
      </c>
      <c r="I1249">
        <f>F1249*(1-H1249/100)*1.18</f>
        <v/>
      </c>
      <c r="J1249">
        <f>הגדרות!C7</f>
        <v/>
      </c>
      <c r="K1249">
        <f>הגדרות!D7</f>
        <v/>
      </c>
      <c r="L1249">
        <f>I1249*(1+J1249/100)+K1249</f>
        <v/>
      </c>
    </row>
    <row r="1250">
      <c r="A1250" t="inlineStr">
        <is>
          <t>מדי-מרקט</t>
        </is>
      </c>
      <c r="B1250" t="inlineStr">
        <is>
          <t>Cardisure (Pimobendan) 5 mg 100 tablets</t>
        </is>
      </c>
      <c r="C1250" t="inlineStr">
        <is>
          <t>29ג' וטרינרי</t>
        </is>
      </c>
      <c r="D1250" t="inlineStr">
        <is>
          <t>30122</t>
        </is>
      </c>
      <c r="E1250" t="inlineStr">
        <is>
          <t>2026-06</t>
        </is>
      </c>
      <c r="F1250" t="n">
        <v>203.39</v>
      </c>
      <c r="G1250" t="n">
        <v>240</v>
      </c>
      <c r="H1250">
        <f>הגדרות!B7</f>
        <v/>
      </c>
      <c r="I1250">
        <f>F1250*(1-H1250/100)*1.18</f>
        <v/>
      </c>
      <c r="J1250">
        <f>הגדרות!C7</f>
        <v/>
      </c>
      <c r="K1250">
        <f>הגדרות!D7</f>
        <v/>
      </c>
      <c r="L1250">
        <f>I1250*(1+J1250/100)+K1250</f>
        <v/>
      </c>
    </row>
    <row r="1251">
      <c r="A1251" t="inlineStr">
        <is>
          <t>מדי-מרקט</t>
        </is>
      </c>
      <c r="B1251" t="inlineStr">
        <is>
          <t>Carvedilol  12.5 קרבדילול טבע 12.5 מ"ג 3*10 טאב</t>
        </is>
      </c>
      <c r="C1251" t="inlineStr">
        <is>
          <t>תרופות</t>
        </is>
      </c>
      <c r="D1251" t="inlineStr">
        <is>
          <t>2ck02710</t>
        </is>
      </c>
      <c r="E1251" t="inlineStr">
        <is>
          <t>2026-06</t>
        </is>
      </c>
      <c r="F1251" t="n">
        <v>12.63</v>
      </c>
      <c r="G1251" t="n">
        <v>14.9</v>
      </c>
      <c r="H1251">
        <f>הגדרות!B7</f>
        <v/>
      </c>
      <c r="I1251">
        <f>F1251*(1-H1251/100)*1.18</f>
        <v/>
      </c>
      <c r="J1251">
        <f>הגדרות!C7</f>
        <v/>
      </c>
      <c r="K1251">
        <f>הגדרות!D7</f>
        <v/>
      </c>
      <c r="L1251">
        <f>I1251*(1+J1251/100)+K1251</f>
        <v/>
      </c>
    </row>
    <row r="1252">
      <c r="A1252" t="inlineStr">
        <is>
          <t>מדי-מרקט</t>
        </is>
      </c>
      <c r="B1252" t="inlineStr">
        <is>
          <t>Carvedilol 6.25 30Tab קרבדילול</t>
        </is>
      </c>
      <c r="C1252" t="inlineStr">
        <is>
          <t>תרופות</t>
        </is>
      </c>
      <c r="D1252" t="inlineStr">
        <is>
          <t>2ck02610</t>
        </is>
      </c>
      <c r="E1252" t="inlineStr">
        <is>
          <t>2026-06</t>
        </is>
      </c>
      <c r="F1252" t="n">
        <v>10.81</v>
      </c>
      <c r="G1252" t="n">
        <v>12.75</v>
      </c>
      <c r="H1252">
        <f>הגדרות!B7</f>
        <v/>
      </c>
      <c r="I1252">
        <f>F1252*(1-H1252/100)*1.18</f>
        <v/>
      </c>
      <c r="J1252">
        <f>הגדרות!C7</f>
        <v/>
      </c>
      <c r="K1252">
        <f>הגדרות!D7</f>
        <v/>
      </c>
      <c r="L1252">
        <f>I1252*(1+J1252/100)+K1252</f>
        <v/>
      </c>
    </row>
    <row r="1253">
      <c r="A1253" t="inlineStr">
        <is>
          <t>מדי-מרקט</t>
        </is>
      </c>
      <c r="B1253" t="inlineStr">
        <is>
          <t>Cat Catheter Pink 3FG 1.0mmOD * 13cm</t>
        </is>
      </c>
      <c r="C1253" t="inlineStr">
        <is>
          <t>אדבינסיס ADVANCIS</t>
        </is>
      </c>
      <c r="D1253" t="inlineStr">
        <is>
          <t>BG2001</t>
        </is>
      </c>
      <c r="E1253" t="inlineStr">
        <is>
          <t>2026-06</t>
        </is>
      </c>
      <c r="F1253" t="n">
        <v>21.19</v>
      </c>
      <c r="G1253" t="n">
        <v>25</v>
      </c>
      <c r="H1253">
        <f>הגדרות!B7</f>
        <v/>
      </c>
      <c r="I1253">
        <f>F1253*(1-H1253/100)*1.18</f>
        <v/>
      </c>
      <c r="J1253">
        <f>הגדרות!C7</f>
        <v/>
      </c>
      <c r="K1253">
        <f>הגדרות!D7</f>
        <v/>
      </c>
      <c r="L1253">
        <f>I1253*(1+J1253/100)+K1253</f>
        <v/>
      </c>
    </row>
    <row r="1254">
      <c r="A1254" t="inlineStr">
        <is>
          <t>מדי-מרקט</t>
        </is>
      </c>
      <c r="B1254" t="inlineStr">
        <is>
          <t>Cat Catheter Pink 3FG with Stylet 1.0mmOD * 13cm</t>
        </is>
      </c>
      <c r="C1254" t="inlineStr">
        <is>
          <t>אדבינסיס ADVANCIS</t>
        </is>
      </c>
      <c r="D1254" t="inlineStr">
        <is>
          <t>BG2002</t>
        </is>
      </c>
      <c r="E1254" t="inlineStr">
        <is>
          <t>2026-06</t>
        </is>
      </c>
      <c r="F1254" t="n">
        <v>23.73</v>
      </c>
      <c r="G1254" t="n">
        <v>28</v>
      </c>
      <c r="H1254">
        <f>הגדרות!B7</f>
        <v/>
      </c>
      <c r="I1254">
        <f>F1254*(1-H1254/100)*1.18</f>
        <v/>
      </c>
      <c r="J1254">
        <f>הגדרות!C7</f>
        <v/>
      </c>
      <c r="K1254">
        <f>הגדרות!D7</f>
        <v/>
      </c>
      <c r="L1254">
        <f>I1254*(1+J1254/100)+K1254</f>
        <v/>
      </c>
    </row>
    <row r="1255">
      <c r="A1255" t="inlineStr">
        <is>
          <t>מדי-מרקט</t>
        </is>
      </c>
      <c r="B1255" t="inlineStr">
        <is>
          <t>Cat Catheter Pink with Stylet 3FG 1.0mmOD * 16cm</t>
        </is>
      </c>
      <c r="C1255" t="inlineStr">
        <is>
          <t>אדבינסיס ADVANCIS</t>
        </is>
      </c>
      <c r="D1255" t="inlineStr">
        <is>
          <t>BG2004</t>
        </is>
      </c>
      <c r="E1255" t="inlineStr">
        <is>
          <t>2026-06</t>
        </is>
      </c>
      <c r="F1255" t="n">
        <v>23.73</v>
      </c>
      <c r="G1255" t="n">
        <v>28</v>
      </c>
      <c r="H1255">
        <f>הגדרות!B7</f>
        <v/>
      </c>
      <c r="I1255">
        <f>F1255*(1-H1255/100)*1.18</f>
        <v/>
      </c>
      <c r="J1255">
        <f>הגדרות!C7</f>
        <v/>
      </c>
      <c r="K1255">
        <f>הגדרות!D7</f>
        <v/>
      </c>
      <c r="L1255">
        <f>I1255*(1+J1255/100)+K1255</f>
        <v/>
      </c>
    </row>
    <row r="1256">
      <c r="A1256" t="inlineStr">
        <is>
          <t>מדי-מרקט</t>
        </is>
      </c>
      <c r="B1256" t="inlineStr">
        <is>
          <t>Cat Catheter white 4FG 1.3mmOD * 13cm</t>
        </is>
      </c>
      <c r="C1256" t="inlineStr">
        <is>
          <t>אדבינסיס ADVANCIS</t>
        </is>
      </c>
      <c r="D1256" t="inlineStr">
        <is>
          <t>BG2005</t>
        </is>
      </c>
      <c r="E1256" t="inlineStr">
        <is>
          <t>2026-06</t>
        </is>
      </c>
      <c r="F1256" t="n">
        <v>21.19</v>
      </c>
      <c r="G1256" t="n">
        <v>25</v>
      </c>
      <c r="H1256">
        <f>הגדרות!B7</f>
        <v/>
      </c>
      <c r="I1256">
        <f>F1256*(1-H1256/100)*1.18</f>
        <v/>
      </c>
      <c r="J1256">
        <f>הגדרות!C7</f>
        <v/>
      </c>
      <c r="K1256">
        <f>הגדרות!D7</f>
        <v/>
      </c>
      <c r="L1256">
        <f>I1256*(1+J1256/100)+K1256</f>
        <v/>
      </c>
    </row>
    <row r="1257">
      <c r="A1257" t="inlineStr">
        <is>
          <t>מדי-מרקט</t>
        </is>
      </c>
      <c r="B1257" t="inlineStr">
        <is>
          <t>Cat Catheter white 4FG 1.3mmOD * 16cm</t>
        </is>
      </c>
      <c r="C1257" t="inlineStr">
        <is>
          <t>אדבינסיס ADVANCIS</t>
        </is>
      </c>
      <c r="D1257" t="inlineStr">
        <is>
          <t>BG2007</t>
        </is>
      </c>
      <c r="E1257" t="inlineStr">
        <is>
          <t>2026-06</t>
        </is>
      </c>
      <c r="F1257" t="n">
        <v>21.19</v>
      </c>
      <c r="G1257" t="n">
        <v>25</v>
      </c>
      <c r="H1257">
        <f>הגדרות!B7</f>
        <v/>
      </c>
      <c r="I1257">
        <f>F1257*(1-H1257/100)*1.18</f>
        <v/>
      </c>
      <c r="J1257">
        <f>הגדרות!C7</f>
        <v/>
      </c>
      <c r="K1257">
        <f>הגדרות!D7</f>
        <v/>
      </c>
      <c r="L1257">
        <f>I1257*(1+J1257/100)+K1257</f>
        <v/>
      </c>
    </row>
    <row r="1258">
      <c r="A1258" t="inlineStr">
        <is>
          <t>מדי-מרקט</t>
        </is>
      </c>
      <c r="B1258" t="inlineStr">
        <is>
          <t>Cat Catheter white with Stylet 4FG 1.3mmOD* 13cm</t>
        </is>
      </c>
      <c r="C1258" t="inlineStr">
        <is>
          <t>אדבינסיס ADVANCIS</t>
        </is>
      </c>
      <c r="D1258" t="inlineStr">
        <is>
          <t>BG2006</t>
        </is>
      </c>
      <c r="E1258" t="inlineStr">
        <is>
          <t>2026-06</t>
        </is>
      </c>
      <c r="F1258" t="n">
        <v>23.73</v>
      </c>
      <c r="G1258" t="n">
        <v>28</v>
      </c>
      <c r="H1258">
        <f>הגדרות!B7</f>
        <v/>
      </c>
      <c r="I1258">
        <f>F1258*(1-H1258/100)*1.18</f>
        <v/>
      </c>
      <c r="J1258">
        <f>הגדרות!C7</f>
        <v/>
      </c>
      <c r="K1258">
        <f>הגדרות!D7</f>
        <v/>
      </c>
      <c r="L1258">
        <f>I1258*(1+J1258/100)+K1258</f>
        <v/>
      </c>
    </row>
    <row r="1259">
      <c r="A1259" t="inlineStr">
        <is>
          <t>מדי-מרקט</t>
        </is>
      </c>
      <c r="B1259" t="inlineStr">
        <is>
          <t>Cat Catheter white with Stylet 4FG 1.3mmOD* 16cm</t>
        </is>
      </c>
      <c r="C1259" t="inlineStr">
        <is>
          <t>אדבינסיס ADVANCIS</t>
        </is>
      </c>
      <c r="D1259" t="inlineStr">
        <is>
          <t>BG2008</t>
        </is>
      </c>
      <c r="E1259" t="inlineStr">
        <is>
          <t>2026-06</t>
        </is>
      </c>
      <c r="F1259" t="n">
        <v>23.73</v>
      </c>
      <c r="G1259" t="n">
        <v>28</v>
      </c>
      <c r="H1259">
        <f>הגדרות!B7</f>
        <v/>
      </c>
      <c r="I1259">
        <f>F1259*(1-H1259/100)*1.18</f>
        <v/>
      </c>
      <c r="J1259">
        <f>הגדרות!C7</f>
        <v/>
      </c>
      <c r="K1259">
        <f>הגדרות!D7</f>
        <v/>
      </c>
      <c r="L1259">
        <f>I1259*(1+J1259/100)+K1259</f>
        <v/>
      </c>
    </row>
    <row r="1260">
      <c r="A1260" t="inlineStr">
        <is>
          <t>מדי-מרקט</t>
        </is>
      </c>
      <c r="B1260" t="inlineStr">
        <is>
          <t>Cataflam 50 Mg 10 Tab</t>
        </is>
      </c>
      <c r="C1260" t="inlineStr">
        <is>
          <t>תרופות</t>
        </is>
      </c>
      <c r="D1260" t="inlineStr">
        <is>
          <t>5018</t>
        </is>
      </c>
      <c r="E1260" t="inlineStr">
        <is>
          <t>2026-06</t>
        </is>
      </c>
      <c r="F1260" t="n">
        <v>12.73</v>
      </c>
      <c r="G1260" t="n">
        <v>15.02</v>
      </c>
      <c r="H1260">
        <f>הגדרות!B7</f>
        <v/>
      </c>
      <c r="I1260">
        <f>F1260*(1-H1260/100)*1.18</f>
        <v/>
      </c>
      <c r="J1260">
        <f>הגדרות!C7</f>
        <v/>
      </c>
      <c r="K1260">
        <f>הגדרות!D7</f>
        <v/>
      </c>
      <c r="L1260">
        <f>I1260*(1+J1260/100)+K1260</f>
        <v/>
      </c>
    </row>
    <row r="1261">
      <c r="A1261" t="inlineStr">
        <is>
          <t>מדי-מרקט</t>
        </is>
      </c>
      <c r="B1261" t="inlineStr">
        <is>
          <t>Cathejell + Lidocain ג'ל סטרילי לקטטר + לידוקאין</t>
        </is>
      </c>
      <c r="C1261" t="inlineStr">
        <is>
          <t>תרופות</t>
        </is>
      </c>
      <c r="D1261" t="inlineStr">
        <is>
          <t>102458</t>
        </is>
      </c>
      <c r="E1261" t="inlineStr">
        <is>
          <t>2026-06</t>
        </is>
      </c>
      <c r="F1261" t="n">
        <v>8.9</v>
      </c>
      <c r="G1261" t="n">
        <v>10.5</v>
      </c>
      <c r="H1261">
        <f>הגדרות!B7</f>
        <v/>
      </c>
      <c r="I1261">
        <f>F1261*(1-H1261/100)*1.18</f>
        <v/>
      </c>
      <c r="J1261">
        <f>הגדרות!C7</f>
        <v/>
      </c>
      <c r="K1261">
        <f>הגדרות!D7</f>
        <v/>
      </c>
      <c r="L1261">
        <f>I1261*(1+J1261/100)+K1261</f>
        <v/>
      </c>
    </row>
    <row r="1262">
      <c r="A1262" t="inlineStr">
        <is>
          <t>מדי-מרקט</t>
        </is>
      </c>
      <c r="B1262" t="inlineStr">
        <is>
          <t>Cefamezine 50Mg/Ml 7Ml  Eye Drops</t>
        </is>
      </c>
      <c r="C1262" t="inlineStr">
        <is>
          <t>הכנות בית מרקחת</t>
        </is>
      </c>
      <c r="D1262" t="inlineStr">
        <is>
          <t>987854</t>
        </is>
      </c>
      <c r="E1262" t="inlineStr">
        <is>
          <t>2026-06</t>
        </is>
      </c>
      <c r="F1262" t="n">
        <v>23.69</v>
      </c>
      <c r="G1262" t="n">
        <v>27.95</v>
      </c>
      <c r="H1262">
        <f>הגדרות!B7</f>
        <v/>
      </c>
      <c r="I1262">
        <f>F1262*(1-H1262/100)*1.18</f>
        <v/>
      </c>
      <c r="J1262">
        <f>הגדרות!C7</f>
        <v/>
      </c>
      <c r="K1262">
        <f>הגדרות!D7</f>
        <v/>
      </c>
      <c r="L1262">
        <f>I1262*(1+J1262/100)+K1262</f>
        <v/>
      </c>
    </row>
    <row r="1263">
      <c r="A1263" t="inlineStr">
        <is>
          <t>מדי-מרקט</t>
        </is>
      </c>
      <c r="B1263" t="inlineStr">
        <is>
          <t>Cefazolin Medo 1Gr X 10 Vials (Il)</t>
        </is>
      </c>
      <c r="C1263" t="inlineStr">
        <is>
          <t>תרופות רשומות- מדי מרקט</t>
        </is>
      </c>
      <c r="D1263" t="inlineStr">
        <is>
          <t>58957</t>
        </is>
      </c>
      <c r="E1263" t="inlineStr">
        <is>
          <t>2026-06</t>
        </is>
      </c>
      <c r="F1263" t="n">
        <v>35.47</v>
      </c>
      <c r="G1263" t="n">
        <v>41.85</v>
      </c>
      <c r="H1263">
        <f>הגדרות!B7</f>
        <v/>
      </c>
      <c r="I1263">
        <f>F1263*(1-H1263/100)*1.18</f>
        <v/>
      </c>
      <c r="J1263">
        <f>הגדרות!C7</f>
        <v/>
      </c>
      <c r="K1263">
        <f>הגדרות!D7</f>
        <v/>
      </c>
      <c r="L1263">
        <f>I1263*(1+J1263/100)+K1263</f>
        <v/>
      </c>
    </row>
    <row r="1264">
      <c r="A1264" t="inlineStr">
        <is>
          <t>מדי-מרקט</t>
        </is>
      </c>
      <c r="B1264" t="inlineStr">
        <is>
          <t>CEFAZOLIN-VIT /PAN-CEFAZOLIN 1G 1 VIAL בודד</t>
        </is>
      </c>
      <c r="C1264" t="inlineStr">
        <is>
          <t>תרופות</t>
        </is>
      </c>
      <c r="D1264" t="inlineStr">
        <is>
          <t>5128-1</t>
        </is>
      </c>
      <c r="E1264" t="inlineStr">
        <is>
          <t>2026-06</t>
        </is>
      </c>
      <c r="F1264" t="n">
        <v>3.83</v>
      </c>
      <c r="G1264" t="n">
        <v>4.52</v>
      </c>
      <c r="H1264">
        <f>הגדרות!B7</f>
        <v/>
      </c>
      <c r="I1264">
        <f>F1264*(1-H1264/100)*1.18</f>
        <v/>
      </c>
      <c r="J1264">
        <f>הגדרות!C7</f>
        <v/>
      </c>
      <c r="K1264">
        <f>הגדרות!D7</f>
        <v/>
      </c>
      <c r="L1264">
        <f>I1264*(1+J1264/100)+K1264</f>
        <v/>
      </c>
    </row>
    <row r="1265">
      <c r="A1265" t="inlineStr">
        <is>
          <t>מדי-מרקט</t>
        </is>
      </c>
      <c r="B1265" t="inlineStr">
        <is>
          <t>Cefotaxime Medo 1Gr X 10 Vials (Il)</t>
        </is>
      </c>
      <c r="C1265" t="inlineStr">
        <is>
          <t>תרופות רשומות- מדי מרקט</t>
        </is>
      </c>
      <c r="D1265" t="inlineStr">
        <is>
          <t>65891</t>
        </is>
      </c>
      <c r="E1265" t="inlineStr">
        <is>
          <t>2026-06</t>
        </is>
      </c>
      <c r="F1265" t="n">
        <v>27.46</v>
      </c>
      <c r="G1265" t="n">
        <v>32.4</v>
      </c>
      <c r="H1265">
        <f>הגדרות!B7</f>
        <v/>
      </c>
      <c r="I1265">
        <f>F1265*(1-H1265/100)*1.18</f>
        <v/>
      </c>
      <c r="J1265">
        <f>הגדרות!C7</f>
        <v/>
      </c>
      <c r="K1265">
        <f>הגדרות!D7</f>
        <v/>
      </c>
      <c r="L1265">
        <f>I1265*(1+J1265/100)+K1265</f>
        <v/>
      </c>
    </row>
    <row r="1266">
      <c r="A1266" t="inlineStr">
        <is>
          <t>מדי-מרקט</t>
        </is>
      </c>
      <c r="B1266" t="inlineStr">
        <is>
          <t>Cefovit Forte 250Mg/5Ml 60Ml Susp</t>
        </is>
      </c>
      <c r="C1266" t="inlineStr">
        <is>
          <t>תרופות</t>
        </is>
      </c>
      <c r="D1266" t="inlineStr">
        <is>
          <t>1706</t>
        </is>
      </c>
      <c r="E1266" t="inlineStr">
        <is>
          <t>2026-06</t>
        </is>
      </c>
      <c r="F1266" t="n">
        <v>13.47</v>
      </c>
      <c r="G1266" t="n">
        <v>15.9</v>
      </c>
      <c r="H1266">
        <f>הגדרות!B7</f>
        <v/>
      </c>
      <c r="I1266">
        <f>F1266*(1-H1266/100)*1.18</f>
        <v/>
      </c>
      <c r="J1266">
        <f>הגדרות!C7</f>
        <v/>
      </c>
      <c r="K1266">
        <f>הגדרות!D7</f>
        <v/>
      </c>
      <c r="L1266">
        <f>I1266*(1+J1266/100)+K1266</f>
        <v/>
      </c>
    </row>
    <row r="1267">
      <c r="A1267" t="inlineStr">
        <is>
          <t>מדי-מרקט</t>
        </is>
      </c>
      <c r="B1267" t="inlineStr">
        <is>
          <t>Cefovit Forte 500Mg X 20Caps</t>
        </is>
      </c>
      <c r="C1267" t="inlineStr">
        <is>
          <t>תרופות</t>
        </is>
      </c>
      <c r="D1267" t="inlineStr">
        <is>
          <t>1702</t>
        </is>
      </c>
      <c r="E1267" t="inlineStr">
        <is>
          <t>2026-06</t>
        </is>
      </c>
      <c r="F1267" t="n">
        <v>22.63</v>
      </c>
      <c r="G1267" t="n">
        <v>26.7</v>
      </c>
      <c r="H1267">
        <f>הגדרות!B7</f>
        <v/>
      </c>
      <c r="I1267">
        <f>F1267*(1-H1267/100)*1.18</f>
        <v/>
      </c>
      <c r="J1267">
        <f>הגדרות!C7</f>
        <v/>
      </c>
      <c r="K1267">
        <f>הגדרות!D7</f>
        <v/>
      </c>
      <c r="L1267">
        <f>I1267*(1+J1267/100)+K1267</f>
        <v/>
      </c>
    </row>
    <row r="1268">
      <c r="A1268" t="inlineStr">
        <is>
          <t>מדי-מרקט</t>
        </is>
      </c>
      <c r="B1268" t="inlineStr">
        <is>
          <t>Ceftazidime Vit 1Gr/ Fortum *10</t>
        </is>
      </c>
      <c r="C1268" t="inlineStr">
        <is>
          <t>תרופות</t>
        </is>
      </c>
      <c r="D1268" t="inlineStr">
        <is>
          <t>25856</t>
        </is>
      </c>
      <c r="E1268" t="inlineStr">
        <is>
          <t>2026-06</t>
        </is>
      </c>
      <c r="F1268" t="n">
        <v>71.73999999999999</v>
      </c>
      <c r="G1268" t="n">
        <v>84.65000000000001</v>
      </c>
      <c r="H1268">
        <f>הגדרות!B7</f>
        <v/>
      </c>
      <c r="I1268">
        <f>F1268*(1-H1268/100)*1.18</f>
        <v/>
      </c>
      <c r="J1268">
        <f>הגדרות!C7</f>
        <v/>
      </c>
      <c r="K1268">
        <f>הגדרות!D7</f>
        <v/>
      </c>
      <c r="L1268">
        <f>I1268*(1+J1268/100)+K1268</f>
        <v/>
      </c>
    </row>
    <row r="1269">
      <c r="A1269" t="inlineStr">
        <is>
          <t>מדי-מרקט</t>
        </is>
      </c>
      <c r="B1269" t="inlineStr">
        <is>
          <t>CEFTRIAXONE - TRIMA 1G *10</t>
        </is>
      </c>
      <c r="C1269" t="inlineStr">
        <is>
          <t>תרופות</t>
        </is>
      </c>
      <c r="D1269" t="inlineStr">
        <is>
          <t>59635-1</t>
        </is>
      </c>
      <c r="E1269" t="inlineStr">
        <is>
          <t>2026-06</t>
        </is>
      </c>
      <c r="F1269" t="n">
        <v>42.22</v>
      </c>
      <c r="G1269" t="n">
        <v>49.82</v>
      </c>
      <c r="H1269">
        <f>הגדרות!B7</f>
        <v/>
      </c>
      <c r="I1269">
        <f>F1269*(1-H1269/100)*1.18</f>
        <v/>
      </c>
      <c r="J1269">
        <f>הגדרות!C7</f>
        <v/>
      </c>
      <c r="K1269">
        <f>הגדרות!D7</f>
        <v/>
      </c>
      <c r="L1269">
        <f>I1269*(1+J1269/100)+K1269</f>
        <v/>
      </c>
    </row>
    <row r="1270">
      <c r="A1270" t="inlineStr">
        <is>
          <t>מדי-מרקט</t>
        </is>
      </c>
      <c r="B1270" t="inlineStr">
        <is>
          <t>Ceftriaxone Medo 1Gr X 10 Vials (Il)</t>
        </is>
      </c>
      <c r="C1270" t="inlineStr">
        <is>
          <t>תרופות רשומות- מדי מרקט</t>
        </is>
      </c>
      <c r="D1270" t="inlineStr">
        <is>
          <t>585985</t>
        </is>
      </c>
      <c r="E1270" t="inlineStr">
        <is>
          <t>2026-06</t>
        </is>
      </c>
      <c r="F1270" t="n">
        <v>26.02</v>
      </c>
      <c r="G1270" t="n">
        <v>30.7</v>
      </c>
      <c r="H1270">
        <f>הגדרות!B7</f>
        <v/>
      </c>
      <c r="I1270">
        <f>F1270*(1-H1270/100)*1.18</f>
        <v/>
      </c>
      <c r="J1270">
        <f>הגדרות!C7</f>
        <v/>
      </c>
      <c r="K1270">
        <f>הגדרות!D7</f>
        <v/>
      </c>
      <c r="L1270">
        <f>I1270*(1+J1270/100)+K1270</f>
        <v/>
      </c>
    </row>
    <row r="1271">
      <c r="A1271" t="inlineStr">
        <is>
          <t>מדי-מרקט</t>
        </is>
      </c>
      <c r="B1271" t="inlineStr">
        <is>
          <t>Cefuroxime 5Mg/mL Sterile Eye Injection</t>
        </is>
      </c>
      <c r="C1271" t="inlineStr">
        <is>
          <t>הכנות בית מרקחת</t>
        </is>
      </c>
      <c r="D1271" t="inlineStr">
        <is>
          <t>23040</t>
        </is>
      </c>
      <c r="E1271" t="inlineStr">
        <is>
          <t>2026-06</t>
        </is>
      </c>
      <c r="F1271" t="n">
        <v>10.17</v>
      </c>
      <c r="G1271" t="n">
        <v>12</v>
      </c>
      <c r="H1271">
        <f>הגדרות!B7</f>
        <v/>
      </c>
      <c r="I1271">
        <f>F1271*(1-H1271/100)*1.18</f>
        <v/>
      </c>
      <c r="J1271">
        <f>הגדרות!C7</f>
        <v/>
      </c>
      <c r="K1271">
        <f>הגדרות!D7</f>
        <v/>
      </c>
      <c r="L1271">
        <f>I1271*(1+J1271/100)+K1271</f>
        <v/>
      </c>
    </row>
    <row r="1272">
      <c r="A1272" t="inlineStr">
        <is>
          <t>מדי-מרקט</t>
        </is>
      </c>
      <c r="B1272" t="inlineStr">
        <is>
          <t>CEFUROXIME BE PHARMA 750 MG 1 VIAL(IL)</t>
        </is>
      </c>
      <c r="C1272" t="inlineStr">
        <is>
          <t>תרופות רשומות- מדי מרקט</t>
        </is>
      </c>
      <c r="D1272" t="inlineStr">
        <is>
          <t>26857</t>
        </is>
      </c>
      <c r="E1272" t="inlineStr">
        <is>
          <t>2026-06</t>
        </is>
      </c>
      <c r="F1272" t="n">
        <v>5.68</v>
      </c>
      <c r="G1272" t="n">
        <v>6.7</v>
      </c>
      <c r="H1272">
        <f>הגדרות!B7</f>
        <v/>
      </c>
      <c r="I1272">
        <f>F1272*(1-H1272/100)*1.18</f>
        <v/>
      </c>
      <c r="J1272">
        <f>הגדרות!C7</f>
        <v/>
      </c>
      <c r="K1272">
        <f>הגדרות!D7</f>
        <v/>
      </c>
      <c r="L1272">
        <f>I1272*(1+J1272/100)+K1272</f>
        <v/>
      </c>
    </row>
    <row r="1273">
      <c r="A1273" t="inlineStr">
        <is>
          <t>מדי-מרקט</t>
        </is>
      </c>
      <c r="B1273" t="inlineStr">
        <is>
          <t>CEFUROXIME-VIT 750MG /PAN-CEFUROXIME 750MG * 10</t>
        </is>
      </c>
      <c r="C1273" t="inlineStr">
        <is>
          <t>תרופות</t>
        </is>
      </c>
      <c r="D1273" t="inlineStr">
        <is>
          <t>5764</t>
        </is>
      </c>
      <c r="E1273" t="inlineStr">
        <is>
          <t>2026-06</t>
        </is>
      </c>
      <c r="F1273" t="n">
        <v>57.63</v>
      </c>
      <c r="G1273" t="n">
        <v>68</v>
      </c>
      <c r="H1273">
        <f>הגדרות!B7</f>
        <v/>
      </c>
      <c r="I1273">
        <f>F1273*(1-H1273/100)*1.18</f>
        <v/>
      </c>
      <c r="J1273">
        <f>הגדרות!C7</f>
        <v/>
      </c>
      <c r="K1273">
        <f>הגדרות!D7</f>
        <v/>
      </c>
      <c r="L1273">
        <f>I1273*(1+J1273/100)+K1273</f>
        <v/>
      </c>
    </row>
    <row r="1274">
      <c r="A1274" t="inlineStr">
        <is>
          <t>מדי-מרקט</t>
        </is>
      </c>
      <c r="B1274" t="inlineStr">
        <is>
          <t>Celluspan Opth. Dr 10 Ml צלוספן טיפות 10 מ"ל</t>
        </is>
      </c>
      <c r="C1274" t="inlineStr">
        <is>
          <t>תרופות</t>
        </is>
      </c>
      <c r="D1274" t="inlineStr">
        <is>
          <t>60112</t>
        </is>
      </c>
      <c r="E1274" t="inlineStr">
        <is>
          <t>2026-06</t>
        </is>
      </c>
      <c r="F1274" t="n">
        <v>16.61</v>
      </c>
      <c r="G1274" t="n">
        <v>19.6</v>
      </c>
      <c r="H1274">
        <f>הגדרות!B7</f>
        <v/>
      </c>
      <c r="I1274">
        <f>F1274*(1-H1274/100)*1.18</f>
        <v/>
      </c>
      <c r="J1274">
        <f>הגדרות!C7</f>
        <v/>
      </c>
      <c r="K1274">
        <f>הגדרות!D7</f>
        <v/>
      </c>
      <c r="L1274">
        <f>I1274*(1+J1274/100)+K1274</f>
        <v/>
      </c>
    </row>
    <row r="1275">
      <c r="A1275" t="inlineStr">
        <is>
          <t>מדי-מרקט</t>
        </is>
      </c>
      <c r="B1275" t="inlineStr">
        <is>
          <t>Cephacare Flavour 1,000Mg 100 Tablets</t>
        </is>
      </c>
      <c r="C1275" t="inlineStr">
        <is>
          <t>29ג' וטרינרי</t>
        </is>
      </c>
      <c r="D1275" t="inlineStr">
        <is>
          <t>40382</t>
        </is>
      </c>
      <c r="E1275" t="inlineStr">
        <is>
          <t>2026-06</t>
        </is>
      </c>
      <c r="F1275" t="n">
        <v>203.39</v>
      </c>
      <c r="G1275" t="n">
        <v>240</v>
      </c>
      <c r="H1275">
        <f>הגדרות!B7</f>
        <v/>
      </c>
      <c r="I1275">
        <f>F1275*(1-H1275/100)*1.18</f>
        <v/>
      </c>
      <c r="J1275">
        <f>הגדרות!C7</f>
        <v/>
      </c>
      <c r="K1275">
        <f>הגדרות!D7</f>
        <v/>
      </c>
      <c r="L1275">
        <f>I1275*(1+J1275/100)+K1275</f>
        <v/>
      </c>
    </row>
    <row r="1276">
      <c r="A1276" t="inlineStr">
        <is>
          <t>מדי-מרקט</t>
        </is>
      </c>
      <c r="B1276" t="inlineStr">
        <is>
          <t>Cephacare Flavour 250Mg 100 Tablets</t>
        </is>
      </c>
      <c r="C1276" t="inlineStr">
        <is>
          <t>29ג' וטרינרי</t>
        </is>
      </c>
      <c r="D1276" t="inlineStr">
        <is>
          <t>40379-1</t>
        </is>
      </c>
      <c r="E1276" t="inlineStr">
        <is>
          <t>2026-06</t>
        </is>
      </c>
      <c r="F1276" t="n">
        <v>97.45999999999999</v>
      </c>
      <c r="G1276" t="n">
        <v>115</v>
      </c>
      <c r="H1276">
        <f>הגדרות!B7</f>
        <v/>
      </c>
      <c r="I1276">
        <f>F1276*(1-H1276/100)*1.18</f>
        <v/>
      </c>
      <c r="J1276">
        <f>הגדרות!C7</f>
        <v/>
      </c>
      <c r="K1276">
        <f>הגדרות!D7</f>
        <v/>
      </c>
      <c r="L1276">
        <f>I1276*(1+J1276/100)+K1276</f>
        <v/>
      </c>
    </row>
    <row r="1277">
      <c r="A1277" t="inlineStr">
        <is>
          <t>מדי-מרקט</t>
        </is>
      </c>
      <c r="B1277" t="inlineStr">
        <is>
          <t>Cephacare Flavour 500Mg 100 Tablets</t>
        </is>
      </c>
      <c r="C1277" t="inlineStr">
        <is>
          <t>29ג' וטרינרי</t>
        </is>
      </c>
      <c r="D1277" t="inlineStr">
        <is>
          <t>40380-1</t>
        </is>
      </c>
      <c r="E1277" t="inlineStr">
        <is>
          <t>2026-06</t>
        </is>
      </c>
      <c r="F1277" t="n">
        <v>100</v>
      </c>
      <c r="G1277" t="n">
        <v>118</v>
      </c>
      <c r="H1277">
        <f>הגדרות!B7</f>
        <v/>
      </c>
      <c r="I1277">
        <f>F1277*(1-H1277/100)*1.18</f>
        <v/>
      </c>
      <c r="J1277">
        <f>הגדרות!C7</f>
        <v/>
      </c>
      <c r="K1277">
        <f>הגדרות!D7</f>
        <v/>
      </c>
      <c r="L1277">
        <f>I1277*(1+J1277/100)+K1277</f>
        <v/>
      </c>
    </row>
    <row r="1278">
      <c r="A1278" t="inlineStr">
        <is>
          <t>מדי-מרקט</t>
        </is>
      </c>
      <c r="B1278" t="inlineStr">
        <is>
          <t>Cephacare Flavour 50Mg 100 Tablets</t>
        </is>
      </c>
      <c r="C1278" t="inlineStr">
        <is>
          <t>29ג' וטרינרי</t>
        </is>
      </c>
      <c r="D1278" t="inlineStr">
        <is>
          <t>40381</t>
        </is>
      </c>
      <c r="E1278" t="inlineStr">
        <is>
          <t>2026-06</t>
        </is>
      </c>
      <c r="F1278" t="n">
        <v>59.32</v>
      </c>
      <c r="G1278" t="n">
        <v>70</v>
      </c>
      <c r="H1278">
        <f>הגדרות!B7</f>
        <v/>
      </c>
      <c r="I1278">
        <f>F1278*(1-H1278/100)*1.18</f>
        <v/>
      </c>
      <c r="J1278">
        <f>הגדרות!C7</f>
        <v/>
      </c>
      <c r="K1278">
        <f>הגדרות!D7</f>
        <v/>
      </c>
      <c r="L1278">
        <f>I1278*(1+J1278/100)+K1278</f>
        <v/>
      </c>
    </row>
    <row r="1279">
      <c r="A1279" t="inlineStr">
        <is>
          <t>מדי-מרקט</t>
        </is>
      </c>
      <c r="B1279" t="inlineStr">
        <is>
          <t>Cerenia 24Mg 4 Tablets</t>
        </is>
      </c>
      <c r="C1279" t="inlineStr">
        <is>
          <t>29ג' וטרינרי</t>
        </is>
      </c>
      <c r="D1279" t="inlineStr">
        <is>
          <t>90121</t>
        </is>
      </c>
      <c r="E1279" t="inlineStr">
        <is>
          <t>2026-06</t>
        </is>
      </c>
      <c r="F1279" t="n">
        <v>76.27</v>
      </c>
      <c r="G1279" t="n">
        <v>90</v>
      </c>
      <c r="H1279">
        <f>הגדרות!B7</f>
        <v/>
      </c>
      <c r="I1279">
        <f>F1279*(1-H1279/100)*1.18</f>
        <v/>
      </c>
      <c r="J1279">
        <f>הגדרות!C7</f>
        <v/>
      </c>
      <c r="K1279">
        <f>הגדרות!D7</f>
        <v/>
      </c>
      <c r="L1279">
        <f>I1279*(1+J1279/100)+K1279</f>
        <v/>
      </c>
    </row>
    <row r="1280">
      <c r="A1280" t="inlineStr">
        <is>
          <t>מדי-מרקט</t>
        </is>
      </c>
      <c r="B1280" t="inlineStr">
        <is>
          <t>Cerenia 60Mg 4 Tablets</t>
        </is>
      </c>
      <c r="C1280" t="inlineStr">
        <is>
          <t>29ג' וטרינרי</t>
        </is>
      </c>
      <c r="D1280" t="inlineStr">
        <is>
          <t>90122</t>
        </is>
      </c>
      <c r="E1280" t="inlineStr">
        <is>
          <t>2026-06</t>
        </is>
      </c>
      <c r="F1280" t="n">
        <v>133.9</v>
      </c>
      <c r="G1280" t="n">
        <v>158</v>
      </c>
      <c r="H1280">
        <f>הגדרות!B7</f>
        <v/>
      </c>
      <c r="I1280">
        <f>F1280*(1-H1280/100)*1.18</f>
        <v/>
      </c>
      <c r="J1280">
        <f>הגדרות!C7</f>
        <v/>
      </c>
      <c r="K1280">
        <f>הגדרות!D7</f>
        <v/>
      </c>
      <c r="L1280">
        <f>I1280*(1+J1280/100)+K1280</f>
        <v/>
      </c>
    </row>
    <row r="1281">
      <c r="A1281" t="inlineStr">
        <is>
          <t>מדי-מרקט</t>
        </is>
      </c>
      <c r="B1281" t="inlineStr">
        <is>
          <t>CERNEVIT MULTY VITAMIN FOR 10 VAIL</t>
        </is>
      </c>
      <c r="C1281" t="inlineStr">
        <is>
          <t>תרופות</t>
        </is>
      </c>
      <c r="D1281" t="inlineStr">
        <is>
          <t>28557</t>
        </is>
      </c>
      <c r="E1281" t="inlineStr">
        <is>
          <t>2026-06</t>
        </is>
      </c>
      <c r="F1281" t="n">
        <v>366.68</v>
      </c>
      <c r="G1281" t="n">
        <v>432.68</v>
      </c>
      <c r="H1281">
        <f>הגדרות!B7</f>
        <v/>
      </c>
      <c r="I1281">
        <f>F1281*(1-H1281/100)*1.18</f>
        <v/>
      </c>
      <c r="J1281">
        <f>הגדרות!C7</f>
        <v/>
      </c>
      <c r="K1281">
        <f>הגדרות!D7</f>
        <v/>
      </c>
      <c r="L1281">
        <f>I1281*(1+J1281/100)+K1281</f>
        <v/>
      </c>
    </row>
    <row r="1282">
      <c r="A1282" t="inlineStr">
        <is>
          <t>מדי-מרקט</t>
        </is>
      </c>
      <c r="B1282" t="inlineStr">
        <is>
          <t>Cetomacrogol 100G Cream</t>
        </is>
      </c>
      <c r="C1282" t="inlineStr">
        <is>
          <t>תרופות</t>
        </is>
      </c>
      <c r="D1282" t="inlineStr">
        <is>
          <t>1848400816</t>
        </is>
      </c>
      <c r="E1282" t="inlineStr">
        <is>
          <t>2026-06</t>
        </is>
      </c>
      <c r="F1282" t="n">
        <v>7.2</v>
      </c>
      <c r="G1282" t="n">
        <v>8.5</v>
      </c>
      <c r="H1282">
        <f>הגדרות!B7</f>
        <v/>
      </c>
      <c r="I1282">
        <f>F1282*(1-H1282/100)*1.18</f>
        <v/>
      </c>
      <c r="J1282">
        <f>הגדרות!C7</f>
        <v/>
      </c>
      <c r="K1282">
        <f>הגדרות!D7</f>
        <v/>
      </c>
      <c r="L1282">
        <f>I1282*(1+J1282/100)+K1282</f>
        <v/>
      </c>
    </row>
    <row r="1283">
      <c r="A1283" t="inlineStr">
        <is>
          <t>מדי-מרקט</t>
        </is>
      </c>
      <c r="B1283" t="inlineStr">
        <is>
          <t>CHISON ECO1  vet  ultrasound מכשיר אולטרסאונד</t>
        </is>
      </c>
      <c r="C1283" t="inlineStr">
        <is>
          <t>אולטרסאונד</t>
        </is>
      </c>
      <c r="D1283" t="inlineStr">
        <is>
          <t>CHISON ECO1</t>
        </is>
      </c>
      <c r="E1283" t="inlineStr">
        <is>
          <t>2026-06</t>
        </is>
      </c>
      <c r="F1283" t="n">
        <v>16652.54</v>
      </c>
      <c r="G1283" t="n">
        <v>19650</v>
      </c>
      <c r="H1283">
        <f>הגדרות!B7</f>
        <v/>
      </c>
      <c r="I1283">
        <f>F1283*(1-H1283/100)*1.18</f>
        <v/>
      </c>
      <c r="J1283">
        <f>הגדרות!C7</f>
        <v/>
      </c>
      <c r="K1283">
        <f>הגדרות!D7</f>
        <v/>
      </c>
      <c r="L1283">
        <f>I1283*(1+J1283/100)+K1283</f>
        <v/>
      </c>
    </row>
    <row r="1284">
      <c r="A1284" t="inlineStr">
        <is>
          <t>מדי-מרקט</t>
        </is>
      </c>
      <c r="B1284" t="inlineStr">
        <is>
          <t>CHISON ECO3 expert vet doppler מכשיר אולטרסאונד</t>
        </is>
      </c>
      <c r="C1284" t="inlineStr">
        <is>
          <t>אולטרסאונד</t>
        </is>
      </c>
      <c r="D1284" t="inlineStr">
        <is>
          <t>CHISON ECO3</t>
        </is>
      </c>
      <c r="E1284" t="inlineStr">
        <is>
          <t>2026-06</t>
        </is>
      </c>
      <c r="F1284" t="n">
        <v>11238.18</v>
      </c>
      <c r="G1284" t="n">
        <v>13261.05</v>
      </c>
      <c r="H1284">
        <f>הגדרות!B7</f>
        <v/>
      </c>
      <c r="I1284">
        <f>F1284*(1-H1284/100)*1.18</f>
        <v/>
      </c>
      <c r="J1284">
        <f>הגדרות!C7</f>
        <v/>
      </c>
      <c r="K1284">
        <f>הגדרות!D7</f>
        <v/>
      </c>
      <c r="L1284">
        <f>I1284*(1+J1284/100)+K1284</f>
        <v/>
      </c>
    </row>
    <row r="1285">
      <c r="A1285" t="inlineStr">
        <is>
          <t>מדי-מרקט</t>
        </is>
      </c>
      <c r="B1285" t="inlineStr">
        <is>
          <t>Chloramphenicol + Vit A Eye 5 Gr Ophthalmic Oint</t>
        </is>
      </c>
      <c r="C1285" t="inlineStr">
        <is>
          <t>הכנות בית מרקחת</t>
        </is>
      </c>
      <c r="D1285" t="inlineStr">
        <is>
          <t>769</t>
        </is>
      </c>
      <c r="E1285" t="inlineStr">
        <is>
          <t>2026-06</t>
        </is>
      </c>
      <c r="F1285" t="n">
        <v>19.49</v>
      </c>
      <c r="G1285" t="n">
        <v>23</v>
      </c>
      <c r="H1285">
        <f>הגדרות!B7</f>
        <v/>
      </c>
      <c r="I1285">
        <f>F1285*(1-H1285/100)*1.18</f>
        <v/>
      </c>
      <c r="J1285">
        <f>הגדרות!C7</f>
        <v/>
      </c>
      <c r="K1285">
        <f>הגדרות!D7</f>
        <v/>
      </c>
      <c r="L1285">
        <f>I1285*(1+J1285/100)+K1285</f>
        <v/>
      </c>
    </row>
    <row r="1286">
      <c r="A1286" t="inlineStr">
        <is>
          <t>מדי-מרקט</t>
        </is>
      </c>
      <c r="B1286" t="inlineStr">
        <is>
          <t>Chlorhexidine Oral Rinse 0.5% 1 Liter</t>
        </is>
      </c>
      <c r="C1286" t="inlineStr">
        <is>
          <t>הכנות בית מרקחת</t>
        </is>
      </c>
      <c r="D1286" t="inlineStr">
        <is>
          <t>86398</t>
        </is>
      </c>
      <c r="E1286" t="inlineStr">
        <is>
          <t>2026-06</t>
        </is>
      </c>
      <c r="F1286" t="n">
        <v>16.02</v>
      </c>
      <c r="G1286" t="n">
        <v>18.9</v>
      </c>
      <c r="H1286">
        <f>הגדרות!B7</f>
        <v/>
      </c>
      <c r="I1286">
        <f>F1286*(1-H1286/100)*1.18</f>
        <v/>
      </c>
      <c r="J1286">
        <f>הגדרות!C7</f>
        <v/>
      </c>
      <c r="K1286">
        <f>הגדרות!D7</f>
        <v/>
      </c>
      <c r="L1286">
        <f>I1286*(1+J1286/100)+K1286</f>
        <v/>
      </c>
    </row>
    <row r="1287">
      <c r="A1287" t="inlineStr">
        <is>
          <t>מדי-מרקט</t>
        </is>
      </c>
      <c r="B1287" t="inlineStr">
        <is>
          <t>CIALIS 20 MG 8 TABS</t>
        </is>
      </c>
      <c r="C1287" t="inlineStr">
        <is>
          <t>תרופות</t>
        </is>
      </c>
      <c r="D1287" t="inlineStr">
        <is>
          <t>37431</t>
        </is>
      </c>
      <c r="E1287" t="inlineStr">
        <is>
          <t>2026-06</t>
        </is>
      </c>
      <c r="F1287" t="n">
        <v>272.48</v>
      </c>
      <c r="G1287" t="n">
        <v>321.53</v>
      </c>
      <c r="H1287">
        <f>הגדרות!B7</f>
        <v/>
      </c>
      <c r="I1287">
        <f>F1287*(1-H1287/100)*1.18</f>
        <v/>
      </c>
      <c r="J1287">
        <f>הגדרות!C7</f>
        <v/>
      </c>
      <c r="K1287">
        <f>הגדרות!D7</f>
        <v/>
      </c>
      <c r="L1287">
        <f>I1287*(1+J1287/100)+K1287</f>
        <v/>
      </c>
    </row>
    <row r="1288">
      <c r="A1288" t="inlineStr">
        <is>
          <t>מדי-מרקט</t>
        </is>
      </c>
      <c r="B1288" t="inlineStr">
        <is>
          <t>CIALIS 5 MG 28 TABS</t>
        </is>
      </c>
      <c r="C1288" t="inlineStr">
        <is>
          <t>תרופות</t>
        </is>
      </c>
      <c r="D1288" t="inlineStr">
        <is>
          <t>3946</t>
        </is>
      </c>
      <c r="E1288" t="inlineStr">
        <is>
          <t>2026-06</t>
        </is>
      </c>
      <c r="F1288" t="n">
        <v>309.69</v>
      </c>
      <c r="G1288" t="n">
        <v>365.44</v>
      </c>
      <c r="H1288">
        <f>הגדרות!B7</f>
        <v/>
      </c>
      <c r="I1288">
        <f>F1288*(1-H1288/100)*1.18</f>
        <v/>
      </c>
      <c r="J1288">
        <f>הגדרות!C7</f>
        <v/>
      </c>
      <c r="K1288">
        <f>הגדרות!D7</f>
        <v/>
      </c>
      <c r="L1288">
        <f>I1288*(1+J1288/100)+K1288</f>
        <v/>
      </c>
    </row>
    <row r="1289">
      <c r="A1289" t="inlineStr">
        <is>
          <t>מדי-מרקט</t>
        </is>
      </c>
      <c r="B1289" t="inlineStr">
        <is>
          <t>Cicloderm Cream 15 Gr ציקלודרם קרם 15 גרם</t>
        </is>
      </c>
      <c r="C1289" t="inlineStr">
        <is>
          <t>תרופות</t>
        </is>
      </c>
      <c r="D1289" t="inlineStr">
        <is>
          <t>5272</t>
        </is>
      </c>
      <c r="E1289" t="inlineStr">
        <is>
          <t>2026-06</t>
        </is>
      </c>
      <c r="F1289" t="n">
        <v>7.9</v>
      </c>
      <c r="G1289" t="n">
        <v>9.32</v>
      </c>
      <c r="H1289">
        <f>הגדרות!B7</f>
        <v/>
      </c>
      <c r="I1289">
        <f>F1289*(1-H1289/100)*1.18</f>
        <v/>
      </c>
      <c r="J1289">
        <f>הגדרות!C7</f>
        <v/>
      </c>
      <c r="K1289">
        <f>הגדרות!D7</f>
        <v/>
      </c>
      <c r="L1289">
        <f>I1289*(1+J1289/100)+K1289</f>
        <v/>
      </c>
    </row>
    <row r="1290">
      <c r="A1290" t="inlineStr">
        <is>
          <t>מדי-מרקט</t>
        </is>
      </c>
      <c r="B1290" t="inlineStr">
        <is>
          <t>Ciclosporin 150mg 100 caps ציקלוספורין</t>
        </is>
      </c>
      <c r="C1290" t="inlineStr">
        <is>
          <t>הכנות בית מרקחת</t>
        </is>
      </c>
      <c r="D1290" t="inlineStr">
        <is>
          <t>14216</t>
        </is>
      </c>
      <c r="E1290" t="inlineStr">
        <is>
          <t>2026-06</t>
        </is>
      </c>
      <c r="F1290" t="n">
        <v>508.47</v>
      </c>
      <c r="G1290" t="n">
        <v>600</v>
      </c>
      <c r="H1290">
        <f>הגדרות!B7</f>
        <v/>
      </c>
      <c r="I1290">
        <f>F1290*(1-H1290/100)*1.18</f>
        <v/>
      </c>
      <c r="J1290">
        <f>הגדרות!C7</f>
        <v/>
      </c>
      <c r="K1290">
        <f>הגדרות!D7</f>
        <v/>
      </c>
      <c r="L1290">
        <f>I1290*(1+J1290/100)+K1290</f>
        <v/>
      </c>
    </row>
    <row r="1291">
      <c r="A1291" t="inlineStr">
        <is>
          <t>מדי-מרקט</t>
        </is>
      </c>
      <c r="B1291" t="inlineStr">
        <is>
          <t>Ciclosporin 20mg 100 caps ציקלוספורין (נופק ע"י בית מרקחת)</t>
        </is>
      </c>
      <c r="C1291" t="inlineStr">
        <is>
          <t>הכנות בית מרקחת</t>
        </is>
      </c>
      <c r="D1291" t="inlineStr">
        <is>
          <t>144</t>
        </is>
      </c>
      <c r="E1291" t="inlineStr">
        <is>
          <t>2026-06</t>
        </is>
      </c>
      <c r="F1291" t="n">
        <v>165.25</v>
      </c>
      <c r="G1291" t="n">
        <v>195</v>
      </c>
      <c r="H1291">
        <f>הגדרות!B7</f>
        <v/>
      </c>
      <c r="I1291">
        <f>F1291*(1-H1291/100)*1.18</f>
        <v/>
      </c>
      <c r="J1291">
        <f>הגדרות!C7</f>
        <v/>
      </c>
      <c r="K1291">
        <f>הגדרות!D7</f>
        <v/>
      </c>
      <c r="L1291">
        <f>I1291*(1+J1291/100)+K1291</f>
        <v/>
      </c>
    </row>
    <row r="1292">
      <c r="A1292" t="inlineStr">
        <is>
          <t>מדי-מרקט</t>
        </is>
      </c>
      <c r="B1292" t="inlineStr">
        <is>
          <t>Ciclosporin 28mg 100 caps ציקלוספורין (נופק ע"י בית מרקחת)</t>
        </is>
      </c>
      <c r="C1292" t="inlineStr">
        <is>
          <t>הכנות בית מרקחת</t>
        </is>
      </c>
      <c r="D1292" t="inlineStr">
        <is>
          <t>144-1</t>
        </is>
      </c>
      <c r="E1292" t="inlineStr">
        <is>
          <t>2026-06</t>
        </is>
      </c>
      <c r="F1292" t="n">
        <v>177.97</v>
      </c>
      <c r="G1292" t="n">
        <v>210</v>
      </c>
      <c r="H1292">
        <f>הגדרות!B7</f>
        <v/>
      </c>
      <c r="I1292">
        <f>F1292*(1-H1292/100)*1.18</f>
        <v/>
      </c>
      <c r="J1292">
        <f>הגדרות!C7</f>
        <v/>
      </c>
      <c r="K1292">
        <f>הגדרות!D7</f>
        <v/>
      </c>
      <c r="L1292">
        <f>I1292*(1+J1292/100)+K1292</f>
        <v/>
      </c>
    </row>
    <row r="1293">
      <c r="A1293" t="inlineStr">
        <is>
          <t>מדי-מרקט</t>
        </is>
      </c>
      <c r="B1293" t="inlineStr">
        <is>
          <t>Ciclosporin 28Mg 100Tabs</t>
        </is>
      </c>
      <c r="C1293" t="inlineStr">
        <is>
          <t>הכנות בית מרקחת</t>
        </is>
      </c>
      <c r="D1293" t="inlineStr">
        <is>
          <t>51031</t>
        </is>
      </c>
      <c r="E1293" t="inlineStr">
        <is>
          <t>2026-06</t>
        </is>
      </c>
      <c r="F1293" t="n">
        <v>186.44</v>
      </c>
      <c r="G1293" t="n">
        <v>220</v>
      </c>
      <c r="H1293">
        <f>הגדרות!B7</f>
        <v/>
      </c>
      <c r="I1293">
        <f>F1293*(1-H1293/100)*1.18</f>
        <v/>
      </c>
      <c r="J1293">
        <f>הגדרות!C7</f>
        <v/>
      </c>
      <c r="K1293">
        <f>הגדרות!D7</f>
        <v/>
      </c>
      <c r="L1293">
        <f>I1293*(1+J1293/100)+K1293</f>
        <v/>
      </c>
    </row>
    <row r="1294">
      <c r="A1294" t="inlineStr">
        <is>
          <t>מדי-מרקט</t>
        </is>
      </c>
      <c r="B1294" t="inlineStr">
        <is>
          <t>Ciclosporin 75mg 100 caps ציקלוספורין (נופק ע"י בית מרקחת)</t>
        </is>
      </c>
      <c r="C1294" t="inlineStr">
        <is>
          <t>הכנות בית מרקחת</t>
        </is>
      </c>
      <c r="D1294" t="inlineStr">
        <is>
          <t>1441</t>
        </is>
      </c>
      <c r="E1294" t="inlineStr">
        <is>
          <t>2026-06</t>
        </is>
      </c>
      <c r="F1294" t="n">
        <v>347.46</v>
      </c>
      <c r="G1294" t="n">
        <v>410</v>
      </c>
      <c r="H1294">
        <f>הגדרות!B7</f>
        <v/>
      </c>
      <c r="I1294">
        <f>F1294*(1-H1294/100)*1.18</f>
        <v/>
      </c>
      <c r="J1294">
        <f>הגדרות!C7</f>
        <v/>
      </c>
      <c r="K1294">
        <f>הגדרות!D7</f>
        <v/>
      </c>
      <c r="L1294">
        <f>I1294*(1+J1294/100)+K1294</f>
        <v/>
      </c>
    </row>
    <row r="1295">
      <c r="A1295" t="inlineStr">
        <is>
          <t>מדי-מרקט</t>
        </is>
      </c>
      <c r="B1295" t="inlineStr">
        <is>
          <t>Ciclosporin Eye Drops 1.42% 10Ml</t>
        </is>
      </c>
      <c r="C1295" t="inlineStr">
        <is>
          <t>הכנות בית מרקחת</t>
        </is>
      </c>
      <c r="D1295" t="inlineStr">
        <is>
          <t>84755</t>
        </is>
      </c>
      <c r="E1295" t="inlineStr">
        <is>
          <t>2026-06</t>
        </is>
      </c>
      <c r="F1295" t="n">
        <v>135.59</v>
      </c>
      <c r="G1295" t="n">
        <v>160</v>
      </c>
      <c r="H1295">
        <f>הגדרות!B7</f>
        <v/>
      </c>
      <c r="I1295">
        <f>F1295*(1-H1295/100)*1.18</f>
        <v/>
      </c>
      <c r="J1295">
        <f>הגדרות!C7</f>
        <v/>
      </c>
      <c r="K1295">
        <f>הגדרות!D7</f>
        <v/>
      </c>
      <c r="L1295">
        <f>I1295*(1+J1295/100)+K1295</f>
        <v/>
      </c>
    </row>
    <row r="1296">
      <c r="A1296" t="inlineStr">
        <is>
          <t>מדי-מרקט</t>
        </is>
      </c>
      <c r="B1296" t="inlineStr">
        <is>
          <t>Ciclosporin Eye Drops 1.42% 5Ml</t>
        </is>
      </c>
      <c r="C1296" t="inlineStr">
        <is>
          <t>הכנות בית מרקחת</t>
        </is>
      </c>
      <c r="D1296" t="inlineStr">
        <is>
          <t>8475</t>
        </is>
      </c>
      <c r="E1296" t="inlineStr">
        <is>
          <t>2026-06</t>
        </is>
      </c>
      <c r="F1296" t="n">
        <v>74.58</v>
      </c>
      <c r="G1296" t="n">
        <v>88</v>
      </c>
      <c r="H1296">
        <f>הגדרות!B7</f>
        <v/>
      </c>
      <c r="I1296">
        <f>F1296*(1-H1296/100)*1.18</f>
        <v/>
      </c>
      <c r="J1296">
        <f>הגדרות!C7</f>
        <v/>
      </c>
      <c r="K1296">
        <f>הגדרות!D7</f>
        <v/>
      </c>
      <c r="L1296">
        <f>I1296*(1+J1296/100)+K1296</f>
        <v/>
      </c>
    </row>
    <row r="1297">
      <c r="A1297" t="inlineStr">
        <is>
          <t>מדי-מרקט</t>
        </is>
      </c>
      <c r="B1297" t="inlineStr">
        <is>
          <t>Ciclosporin Eye Drops 1.7% 10Ml</t>
        </is>
      </c>
      <c r="C1297" t="inlineStr">
        <is>
          <t>הכנות בית מרקחת</t>
        </is>
      </c>
      <c r="D1297" t="inlineStr">
        <is>
          <t>8456</t>
        </is>
      </c>
      <c r="E1297" t="inlineStr">
        <is>
          <t>2026-06</t>
        </is>
      </c>
      <c r="F1297" t="n">
        <v>127.12</v>
      </c>
      <c r="G1297" t="n">
        <v>150</v>
      </c>
      <c r="H1297">
        <f>הגדרות!B7</f>
        <v/>
      </c>
      <c r="I1297">
        <f>F1297*(1-H1297/100)*1.18</f>
        <v/>
      </c>
      <c r="J1297">
        <f>הגדרות!C7</f>
        <v/>
      </c>
      <c r="K1297">
        <f>הגדרות!D7</f>
        <v/>
      </c>
      <c r="L1297">
        <f>I1297*(1+J1297/100)+K1297</f>
        <v/>
      </c>
    </row>
    <row r="1298">
      <c r="A1298" t="inlineStr">
        <is>
          <t>מדי-מרקט</t>
        </is>
      </c>
      <c r="B1298" t="inlineStr">
        <is>
          <t>Ciclosporin Eye Drops 1.7% 5Ml</t>
        </is>
      </c>
      <c r="C1298" t="inlineStr">
        <is>
          <t>הכנות בית מרקחת</t>
        </is>
      </c>
      <c r="D1298" t="inlineStr">
        <is>
          <t>8455</t>
        </is>
      </c>
      <c r="E1298" t="inlineStr">
        <is>
          <t>2026-06</t>
        </is>
      </c>
      <c r="F1298" t="n">
        <v>11.35</v>
      </c>
      <c r="G1298" t="n">
        <v>13.39</v>
      </c>
      <c r="H1298">
        <f>הגדרות!B7</f>
        <v/>
      </c>
      <c r="I1298">
        <f>F1298*(1-H1298/100)*1.18</f>
        <v/>
      </c>
      <c r="J1298">
        <f>הגדרות!C7</f>
        <v/>
      </c>
      <c r="K1298">
        <f>הגדרות!D7</f>
        <v/>
      </c>
      <c r="L1298">
        <f>I1298*(1+J1298/100)+K1298</f>
        <v/>
      </c>
    </row>
    <row r="1299">
      <c r="A1299" t="inlineStr">
        <is>
          <t>מדי-מרקט</t>
        </is>
      </c>
      <c r="B1299" t="inlineStr">
        <is>
          <t>Ciplox Eye&amp;Ear Drops *1X5Ml</t>
        </is>
      </c>
      <c r="C1299" t="inlineStr">
        <is>
          <t>תרופות</t>
        </is>
      </c>
      <c r="D1299" t="inlineStr">
        <is>
          <t>6397-1</t>
        </is>
      </c>
      <c r="E1299" t="inlineStr">
        <is>
          <t>2026-06</t>
        </is>
      </c>
      <c r="F1299" t="n">
        <v>12.71</v>
      </c>
      <c r="G1299" t="n">
        <v>15</v>
      </c>
      <c r="H1299">
        <f>הגדרות!B7</f>
        <v/>
      </c>
      <c r="I1299">
        <f>F1299*(1-H1299/100)*1.18</f>
        <v/>
      </c>
      <c r="J1299">
        <f>הגדרות!C7</f>
        <v/>
      </c>
      <c r="K1299">
        <f>הגדרות!D7</f>
        <v/>
      </c>
      <c r="L1299">
        <f>I1299*(1+J1299/100)+K1299</f>
        <v/>
      </c>
    </row>
    <row r="1300">
      <c r="A1300" t="inlineStr">
        <is>
          <t>מדי-מרקט</t>
        </is>
      </c>
      <c r="B1300" t="inlineStr">
        <is>
          <t>Cipralex 10Mg 28 Tab ציפרלקס</t>
        </is>
      </c>
      <c r="C1300" t="inlineStr">
        <is>
          <t>תרופות</t>
        </is>
      </c>
      <c r="D1300" t="inlineStr">
        <is>
          <t>6445</t>
        </is>
      </c>
      <c r="E1300" t="inlineStr">
        <is>
          <t>2026-06</t>
        </is>
      </c>
      <c r="F1300" t="n">
        <v>26.7</v>
      </c>
      <c r="G1300" t="n">
        <v>31.51</v>
      </c>
      <c r="H1300">
        <f>הגדרות!B7</f>
        <v/>
      </c>
      <c r="I1300">
        <f>F1300*(1-H1300/100)*1.18</f>
        <v/>
      </c>
      <c r="J1300">
        <f>הגדרות!C7</f>
        <v/>
      </c>
      <c r="K1300">
        <f>הגדרות!D7</f>
        <v/>
      </c>
      <c r="L1300">
        <f>I1300*(1+J1300/100)+K1300</f>
        <v/>
      </c>
    </row>
    <row r="1301">
      <c r="A1301" t="inlineStr">
        <is>
          <t>מדי-מרקט</t>
        </is>
      </c>
      <c r="B1301" t="inlineStr">
        <is>
          <t>CIPRALEX 15MG X 28TAB</t>
        </is>
      </c>
      <c r="C1301" t="inlineStr">
        <is>
          <t>תרופות</t>
        </is>
      </c>
      <c r="D1301" t="inlineStr">
        <is>
          <t>6444</t>
        </is>
      </c>
      <c r="E1301" t="inlineStr">
        <is>
          <t>2026-06</t>
        </is>
      </c>
      <c r="F1301" t="n">
        <v>23.56</v>
      </c>
      <c r="G1301" t="n">
        <v>27.8</v>
      </c>
      <c r="H1301">
        <f>הגדרות!B7</f>
        <v/>
      </c>
      <c r="I1301">
        <f>F1301*(1-H1301/100)*1.18</f>
        <v/>
      </c>
      <c r="J1301">
        <f>הגדרות!C7</f>
        <v/>
      </c>
      <c r="K1301">
        <f>הגדרות!D7</f>
        <v/>
      </c>
      <c r="L1301">
        <f>I1301*(1+J1301/100)+K1301</f>
        <v/>
      </c>
    </row>
    <row r="1302">
      <c r="A1302" t="inlineStr">
        <is>
          <t>מדי-מרקט</t>
        </is>
      </c>
      <c r="B1302" t="inlineStr">
        <is>
          <t>Cipralex 20Mg X 28Tabs</t>
        </is>
      </c>
      <c r="C1302" t="inlineStr">
        <is>
          <t>תרופות</t>
        </is>
      </c>
      <c r="D1302" t="inlineStr">
        <is>
          <t>602051</t>
        </is>
      </c>
      <c r="E1302" t="inlineStr">
        <is>
          <t>2026-06</t>
        </is>
      </c>
      <c r="F1302" t="n">
        <v>38.56</v>
      </c>
      <c r="G1302" t="n">
        <v>45.5</v>
      </c>
      <c r="H1302">
        <f>הגדרות!B7</f>
        <v/>
      </c>
      <c r="I1302">
        <f>F1302*(1-H1302/100)*1.18</f>
        <v/>
      </c>
      <c r="J1302">
        <f>הגדרות!C7</f>
        <v/>
      </c>
      <c r="K1302">
        <f>הגדרות!D7</f>
        <v/>
      </c>
      <c r="L1302">
        <f>I1302*(1+J1302/100)+K1302</f>
        <v/>
      </c>
    </row>
    <row r="1303">
      <c r="A1303" t="inlineStr">
        <is>
          <t>מדי-מרקט</t>
        </is>
      </c>
      <c r="B1303" t="inlineStr">
        <is>
          <t>Ciprodex 500Mg X 10Tabs</t>
        </is>
      </c>
      <c r="C1303" t="inlineStr">
        <is>
          <t>תרופות</t>
        </is>
      </c>
      <c r="D1303" t="inlineStr">
        <is>
          <t>9643</t>
        </is>
      </c>
      <c r="E1303" t="inlineStr">
        <is>
          <t>2026-06</t>
        </is>
      </c>
      <c r="F1303" t="n">
        <v>17.37</v>
      </c>
      <c r="G1303" t="n">
        <v>20.5</v>
      </c>
      <c r="H1303">
        <f>הגדרות!B7</f>
        <v/>
      </c>
      <c r="I1303">
        <f>F1303*(1-H1303/100)*1.18</f>
        <v/>
      </c>
      <c r="J1303">
        <f>הגדרות!C7</f>
        <v/>
      </c>
      <c r="K1303">
        <f>הגדרות!D7</f>
        <v/>
      </c>
      <c r="L1303">
        <f>I1303*(1+J1303/100)+K1303</f>
        <v/>
      </c>
    </row>
    <row r="1304">
      <c r="A1304" t="inlineStr">
        <is>
          <t>מדי-מרקט</t>
        </is>
      </c>
      <c r="B1304" t="inlineStr">
        <is>
          <t>Circadin 2 Mg 30 Tabs</t>
        </is>
      </c>
      <c r="C1304" t="inlineStr">
        <is>
          <t>תרופות</t>
        </is>
      </c>
      <c r="D1304" t="inlineStr">
        <is>
          <t>103949</t>
        </is>
      </c>
      <c r="E1304" t="inlineStr">
        <is>
          <t>2026-06</t>
        </is>
      </c>
      <c r="F1304" t="n">
        <v>72.03</v>
      </c>
      <c r="G1304" t="n">
        <v>85</v>
      </c>
      <c r="H1304">
        <f>הגדרות!B7</f>
        <v/>
      </c>
      <c r="I1304">
        <f>F1304*(1-H1304/100)*1.18</f>
        <v/>
      </c>
      <c r="J1304">
        <f>הגדרות!C7</f>
        <v/>
      </c>
      <c r="K1304">
        <f>הגדרות!D7</f>
        <v/>
      </c>
      <c r="L1304">
        <f>I1304*(1+J1304/100)+K1304</f>
        <v/>
      </c>
    </row>
    <row r="1305">
      <c r="A1305" t="inlineStr">
        <is>
          <t>מדי-מרקט</t>
        </is>
      </c>
      <c r="B1305" t="inlineStr">
        <is>
          <t>Clamox RTU 140 mg/35 mg/ml, inj,100 ML</t>
        </is>
      </c>
      <c r="C1305" t="inlineStr">
        <is>
          <t>29ג' וטרינרי</t>
        </is>
      </c>
      <c r="D1305" t="inlineStr">
        <is>
          <t>203242</t>
        </is>
      </c>
      <c r="E1305" t="inlineStr">
        <is>
          <t>2026-06</t>
        </is>
      </c>
      <c r="F1305" t="n">
        <v>211.86</v>
      </c>
      <c r="G1305" t="n">
        <v>250</v>
      </c>
      <c r="H1305">
        <f>הגדרות!B7</f>
        <v/>
      </c>
      <c r="I1305">
        <f>F1305*(1-H1305/100)*1.18</f>
        <v/>
      </c>
      <c r="J1305">
        <f>הגדרות!C7</f>
        <v/>
      </c>
      <c r="K1305">
        <f>הגדרות!D7</f>
        <v/>
      </c>
      <c r="L1305">
        <f>I1305*(1+J1305/100)+K1305</f>
        <v/>
      </c>
    </row>
    <row r="1306">
      <c r="A1306" t="inlineStr">
        <is>
          <t>מדי-מרקט</t>
        </is>
      </c>
      <c r="B1306" t="inlineStr">
        <is>
          <t>Clarinase Repetabs 14</t>
        </is>
      </c>
      <c r="C1306" t="inlineStr">
        <is>
          <t>תרופות</t>
        </is>
      </c>
      <c r="D1306" t="inlineStr">
        <is>
          <t>126353</t>
        </is>
      </c>
      <c r="E1306" t="inlineStr">
        <is>
          <t>2026-06</t>
        </is>
      </c>
      <c r="F1306" t="n">
        <v>26.27</v>
      </c>
      <c r="G1306" t="n">
        <v>31</v>
      </c>
      <c r="H1306">
        <f>הגדרות!B7</f>
        <v/>
      </c>
      <c r="I1306">
        <f>F1306*(1-H1306/100)*1.18</f>
        <v/>
      </c>
      <c r="J1306">
        <f>הגדרות!C7</f>
        <v/>
      </c>
      <c r="K1306">
        <f>הגדרות!D7</f>
        <v/>
      </c>
      <c r="L1306">
        <f>I1306*(1+J1306/100)+K1306</f>
        <v/>
      </c>
    </row>
    <row r="1307">
      <c r="A1307" t="inlineStr">
        <is>
          <t>מדי-מרקט</t>
        </is>
      </c>
      <c r="B1307" t="inlineStr">
        <is>
          <t>Clavenir 1Mg X 10Vial</t>
        </is>
      </c>
      <c r="C1307" t="inlineStr">
        <is>
          <t>תרופות</t>
        </is>
      </c>
      <c r="D1307" t="inlineStr">
        <is>
          <t>10040</t>
        </is>
      </c>
      <c r="E1307" t="inlineStr">
        <is>
          <t>2026-06</t>
        </is>
      </c>
      <c r="F1307" t="n">
        <v>104.75</v>
      </c>
      <c r="G1307" t="n">
        <v>123.6</v>
      </c>
      <c r="H1307">
        <f>הגדרות!B7</f>
        <v/>
      </c>
      <c r="I1307">
        <f>F1307*(1-H1307/100)*1.18</f>
        <v/>
      </c>
      <c r="J1307">
        <f>הגדרות!C7</f>
        <v/>
      </c>
      <c r="K1307">
        <f>הגדרות!D7</f>
        <v/>
      </c>
      <c r="L1307">
        <f>I1307*(1+J1307/100)+K1307</f>
        <v/>
      </c>
    </row>
    <row r="1308">
      <c r="A1308" t="inlineStr">
        <is>
          <t>מדי-מרקט</t>
        </is>
      </c>
      <c r="B1308" t="inlineStr">
        <is>
          <t>Clavet 62.5 mg, 100 Tabs</t>
        </is>
      </c>
      <c r="C1308" t="inlineStr">
        <is>
          <t>הכנות בית מרקחת</t>
        </is>
      </c>
      <c r="D1308" t="inlineStr">
        <is>
          <t>51043</t>
        </is>
      </c>
      <c r="E1308" t="inlineStr">
        <is>
          <t>2026-06</t>
        </is>
      </c>
      <c r="F1308" t="n">
        <v>199.15</v>
      </c>
      <c r="G1308" t="n">
        <v>235</v>
      </c>
      <c r="H1308">
        <f>הגדרות!B7</f>
        <v/>
      </c>
      <c r="I1308">
        <f>F1308*(1-H1308/100)*1.18</f>
        <v/>
      </c>
      <c r="J1308">
        <f>הגדרות!C7</f>
        <v/>
      </c>
      <c r="K1308">
        <f>הגדרות!D7</f>
        <v/>
      </c>
      <c r="L1308">
        <f>I1308*(1+J1308/100)+K1308</f>
        <v/>
      </c>
    </row>
    <row r="1309">
      <c r="A1309" t="inlineStr">
        <is>
          <t>מדי-מרקט</t>
        </is>
      </c>
      <c r="B1309" t="inlineStr">
        <is>
          <t>Clinacin 25Mg/Ml 22Ml Oral Sol' For Cats &amp; Dogs קלינצין</t>
        </is>
      </c>
      <c r="C1309" t="inlineStr">
        <is>
          <t>תרופות</t>
        </is>
      </c>
      <c r="D1309" t="inlineStr">
        <is>
          <t>M003751</t>
        </is>
      </c>
      <c r="E1309" t="inlineStr">
        <is>
          <t>2026-06</t>
        </is>
      </c>
      <c r="F1309" t="n">
        <v>32.2</v>
      </c>
      <c r="G1309" t="n">
        <v>38</v>
      </c>
      <c r="H1309">
        <f>הגדרות!B7</f>
        <v/>
      </c>
      <c r="I1309">
        <f>F1309*(1-H1309/100)*1.18</f>
        <v/>
      </c>
      <c r="J1309">
        <f>הגדרות!C7</f>
        <v/>
      </c>
      <c r="K1309">
        <f>הגדרות!D7</f>
        <v/>
      </c>
      <c r="L1309">
        <f>I1309*(1+J1309/100)+K1309</f>
        <v/>
      </c>
    </row>
    <row r="1310">
      <c r="A1310" t="inlineStr">
        <is>
          <t>מדי-מרקט</t>
        </is>
      </c>
      <c r="B1310" t="inlineStr">
        <is>
          <t>Clinacin 75Mg 100Tabs קלינצין</t>
        </is>
      </c>
      <c r="C1310" t="inlineStr">
        <is>
          <t>תרופות</t>
        </is>
      </c>
      <c r="D1310" t="inlineStr">
        <is>
          <t>M003749</t>
        </is>
      </c>
      <c r="E1310" t="inlineStr">
        <is>
          <t>2026-06</t>
        </is>
      </c>
      <c r="F1310" t="n">
        <v>245.76</v>
      </c>
      <c r="G1310" t="n">
        <v>290</v>
      </c>
      <c r="H1310">
        <f>הגדרות!B7</f>
        <v/>
      </c>
      <c r="I1310">
        <f>F1310*(1-H1310/100)*1.18</f>
        <v/>
      </c>
      <c r="J1310">
        <f>הגדרות!C7</f>
        <v/>
      </c>
      <c r="K1310">
        <f>הגדרות!D7</f>
        <v/>
      </c>
      <c r="L1310">
        <f>I1310*(1+J1310/100)+K1310</f>
        <v/>
      </c>
    </row>
    <row r="1311">
      <c r="A1311" t="inlineStr">
        <is>
          <t>מדי-מרקט</t>
        </is>
      </c>
      <c r="B1311" t="inlineStr">
        <is>
          <t>Clinacin Snap 300Mg 100Tabs</t>
        </is>
      </c>
      <c r="C1311" t="inlineStr">
        <is>
          <t>תרופות</t>
        </is>
      </c>
      <c r="D1311" t="inlineStr">
        <is>
          <t>CP4049</t>
        </is>
      </c>
      <c r="E1311" t="inlineStr">
        <is>
          <t>2026-06</t>
        </is>
      </c>
      <c r="F1311" t="n">
        <v>347.46</v>
      </c>
      <c r="G1311" t="n">
        <v>410</v>
      </c>
      <c r="H1311">
        <f>הגדרות!B7</f>
        <v/>
      </c>
      <c r="I1311">
        <f>F1311*(1-H1311/100)*1.18</f>
        <v/>
      </c>
      <c r="J1311">
        <f>הגדרות!C7</f>
        <v/>
      </c>
      <c r="K1311">
        <f>הגדרות!D7</f>
        <v/>
      </c>
      <c r="L1311">
        <f>I1311*(1+J1311/100)+K1311</f>
        <v/>
      </c>
    </row>
    <row r="1312">
      <c r="A1312" t="inlineStr">
        <is>
          <t>מדי-מרקט</t>
        </is>
      </c>
      <c r="B1312" t="inlineStr">
        <is>
          <t>Clindamycin 150Mg/Ml 4Ml X 5Amp</t>
        </is>
      </c>
      <c r="C1312" t="inlineStr">
        <is>
          <t>תרופות</t>
        </is>
      </c>
      <c r="D1312" t="inlineStr">
        <is>
          <t>7466</t>
        </is>
      </c>
      <c r="E1312" t="inlineStr">
        <is>
          <t>2026-06</t>
        </is>
      </c>
      <c r="F1312" t="n">
        <v>127.97</v>
      </c>
      <c r="G1312" t="n">
        <v>151</v>
      </c>
      <c r="H1312">
        <f>הגדרות!B7</f>
        <v/>
      </c>
      <c r="I1312">
        <f>F1312*(1-H1312/100)*1.18</f>
        <v/>
      </c>
      <c r="J1312">
        <f>הגדרות!C7</f>
        <v/>
      </c>
      <c r="K1312">
        <f>הגדרות!D7</f>
        <v/>
      </c>
      <c r="L1312">
        <f>I1312*(1+J1312/100)+K1312</f>
        <v/>
      </c>
    </row>
    <row r="1313">
      <c r="A1313" t="inlineStr">
        <is>
          <t>מדי-מרקט</t>
        </is>
      </c>
      <c r="B1313" t="inlineStr">
        <is>
          <t>Clindamycin 200 mg 100 caps קלינדמיצין (נופק ע"י בית מרקחת)</t>
        </is>
      </c>
      <c r="C1313" t="inlineStr">
        <is>
          <t>הכנות בית מרקחת</t>
        </is>
      </c>
      <c r="D1313" t="inlineStr">
        <is>
          <t>4133</t>
        </is>
      </c>
      <c r="E1313" t="inlineStr">
        <is>
          <t>2026-06</t>
        </is>
      </c>
      <c r="F1313" t="n">
        <v>194.92</v>
      </c>
      <c r="G1313" t="n">
        <v>230</v>
      </c>
      <c r="H1313">
        <f>הגדרות!B7</f>
        <v/>
      </c>
      <c r="I1313">
        <f>F1313*(1-H1313/100)*1.18</f>
        <v/>
      </c>
      <c r="J1313">
        <f>הגדרות!C7</f>
        <v/>
      </c>
      <c r="K1313">
        <f>הגדרות!D7</f>
        <v/>
      </c>
      <c r="L1313">
        <f>I1313*(1+J1313/100)+K1313</f>
        <v/>
      </c>
    </row>
    <row r="1314">
      <c r="A1314" t="inlineStr">
        <is>
          <t>מדי-מרקט</t>
        </is>
      </c>
      <c r="B1314" t="inlineStr">
        <is>
          <t>Clinell Universal Disinfectant spray 500ml</t>
        </is>
      </c>
      <c r="C1314" t="inlineStr">
        <is>
          <t>מוצרי חיטוי ואנטיספטיקה</t>
        </is>
      </c>
      <c r="D1314" t="inlineStr">
        <is>
          <t>11500</t>
        </is>
      </c>
      <c r="E1314" t="inlineStr">
        <is>
          <t>2026-06</t>
        </is>
      </c>
      <c r="F1314" t="n">
        <v>9.029999999999999</v>
      </c>
      <c r="G1314" t="n">
        <v>10.65</v>
      </c>
      <c r="H1314">
        <f>הגדרות!B7</f>
        <v/>
      </c>
      <c r="I1314">
        <f>F1314*(1-H1314/100)*1.18</f>
        <v/>
      </c>
      <c r="J1314">
        <f>הגדרות!C7</f>
        <v/>
      </c>
      <c r="K1314">
        <f>הגדרות!D7</f>
        <v/>
      </c>
      <c r="L1314">
        <f>I1314*(1+J1314/100)+K1314</f>
        <v/>
      </c>
    </row>
    <row r="1315">
      <c r="A1315" t="inlineStr">
        <is>
          <t>מדי-מרקט</t>
        </is>
      </c>
      <c r="B1315" t="inlineStr">
        <is>
          <t>Clobetasol 0.05% 25G Cr</t>
        </is>
      </c>
      <c r="C1315" t="inlineStr">
        <is>
          <t>תרופות</t>
        </is>
      </c>
      <c r="D1315" t="inlineStr">
        <is>
          <t>9964</t>
        </is>
      </c>
      <c r="E1315" t="inlineStr">
        <is>
          <t>2026-06</t>
        </is>
      </c>
      <c r="F1315" t="n">
        <v>10.59</v>
      </c>
      <c r="G1315" t="n">
        <v>12.5</v>
      </c>
      <c r="H1315">
        <f>הגדרות!B7</f>
        <v/>
      </c>
      <c r="I1315">
        <f>F1315*(1-H1315/100)*1.18</f>
        <v/>
      </c>
      <c r="J1315">
        <f>הגדרות!C7</f>
        <v/>
      </c>
      <c r="K1315">
        <f>הגדרות!D7</f>
        <v/>
      </c>
      <c r="L1315">
        <f>I1315*(1+J1315/100)+K1315</f>
        <v/>
      </c>
    </row>
    <row r="1316">
      <c r="A1316" t="inlineStr">
        <is>
          <t>מדי-מרקט</t>
        </is>
      </c>
      <c r="B1316" t="inlineStr">
        <is>
          <t>CLOMIPHENE-MEDO 50MG 10 TAB</t>
        </is>
      </c>
      <c r="C1316" t="inlineStr">
        <is>
          <t>29 יבוא תרופות הומניות חו"ל</t>
        </is>
      </c>
      <c r="D1316" t="inlineStr">
        <is>
          <t>5898758</t>
        </is>
      </c>
      <c r="E1316" t="inlineStr">
        <is>
          <t>2026-06</t>
        </is>
      </c>
      <c r="F1316" t="n">
        <v>4.97</v>
      </c>
      <c r="G1316" t="n">
        <v>5.87</v>
      </c>
      <c r="H1316">
        <f>הגדרות!B7</f>
        <v/>
      </c>
      <c r="I1316">
        <f>F1316*(1-H1316/100)*1.18</f>
        <v/>
      </c>
      <c r="J1316">
        <f>הגדרות!C7</f>
        <v/>
      </c>
      <c r="K1316">
        <f>הגדרות!D7</f>
        <v/>
      </c>
      <c r="L1316">
        <f>I1316*(1+J1316/100)+K1316</f>
        <v/>
      </c>
    </row>
    <row r="1317">
      <c r="A1317" t="inlineStr">
        <is>
          <t>מדי-מרקט</t>
        </is>
      </c>
      <c r="B1317" t="inlineStr">
        <is>
          <t>Clonex 0.5Mg X 30Tab</t>
        </is>
      </c>
      <c r="C1317" t="inlineStr">
        <is>
          <t>תרופות</t>
        </is>
      </c>
      <c r="D1317" t="inlineStr">
        <is>
          <t>87741</t>
        </is>
      </c>
      <c r="E1317" t="inlineStr">
        <is>
          <t>2026-06</t>
        </is>
      </c>
      <c r="F1317" t="n">
        <v>10.85</v>
      </c>
      <c r="G1317" t="n">
        <v>12.8</v>
      </c>
      <c r="H1317">
        <f>הגדרות!B7</f>
        <v/>
      </c>
      <c r="I1317">
        <f>F1317*(1-H1317/100)*1.18</f>
        <v/>
      </c>
      <c r="J1317">
        <f>הגדרות!C7</f>
        <v/>
      </c>
      <c r="K1317">
        <f>הגדרות!D7</f>
        <v/>
      </c>
      <c r="L1317">
        <f>I1317*(1+J1317/100)+K1317</f>
        <v/>
      </c>
    </row>
    <row r="1318">
      <c r="A1318" t="inlineStr">
        <is>
          <t>מדי-מרקט</t>
        </is>
      </c>
      <c r="B1318" t="inlineStr">
        <is>
          <t>Clonex 2Mg X 30Tab</t>
        </is>
      </c>
      <c r="C1318" t="inlineStr">
        <is>
          <t>תרופות</t>
        </is>
      </c>
      <c r="D1318" t="inlineStr">
        <is>
          <t>123697</t>
        </is>
      </c>
      <c r="E1318" t="inlineStr">
        <is>
          <t>2026-06</t>
        </is>
      </c>
      <c r="F1318" t="n">
        <v>12.25</v>
      </c>
      <c r="G1318" t="n">
        <v>14.45</v>
      </c>
      <c r="H1318">
        <f>הגדרות!B7</f>
        <v/>
      </c>
      <c r="I1318">
        <f>F1318*(1-H1318/100)*1.18</f>
        <v/>
      </c>
      <c r="J1318">
        <f>הגדרות!C7</f>
        <v/>
      </c>
      <c r="K1318">
        <f>הגדרות!D7</f>
        <v/>
      </c>
      <c r="L1318">
        <f>I1318*(1+J1318/100)+K1318</f>
        <v/>
      </c>
    </row>
    <row r="1319">
      <c r="A1319" t="inlineStr">
        <is>
          <t>מדי-מרקט</t>
        </is>
      </c>
      <c r="B1319" t="inlineStr">
        <is>
          <t>Clopidogrel Teva 75Mg X 30 Tab</t>
        </is>
      </c>
      <c r="C1319" t="inlineStr">
        <is>
          <t>תרופות</t>
        </is>
      </c>
      <c r="D1319" t="inlineStr">
        <is>
          <t>3ck01011</t>
        </is>
      </c>
      <c r="E1319" t="inlineStr">
        <is>
          <t>2026-06</t>
        </is>
      </c>
      <c r="F1319" t="n">
        <v>18.64</v>
      </c>
      <c r="G1319" t="n">
        <v>22</v>
      </c>
      <c r="H1319">
        <f>הגדרות!B7</f>
        <v/>
      </c>
      <c r="I1319">
        <f>F1319*(1-H1319/100)*1.18</f>
        <v/>
      </c>
      <c r="J1319">
        <f>הגדרות!C7</f>
        <v/>
      </c>
      <c r="K1319">
        <f>הגדרות!D7</f>
        <v/>
      </c>
      <c r="L1319">
        <f>I1319*(1+J1319/100)+K1319</f>
        <v/>
      </c>
    </row>
    <row r="1320">
      <c r="A1320" t="inlineStr">
        <is>
          <t>מדי-מרקט</t>
        </is>
      </c>
      <c r="B1320" t="inlineStr">
        <is>
          <t>Clopixol Depot Inj 200Mg Ml * 1</t>
        </is>
      </c>
      <c r="C1320" t="inlineStr">
        <is>
          <t>תרופות</t>
        </is>
      </c>
      <c r="D1320" t="inlineStr">
        <is>
          <t>33364</t>
        </is>
      </c>
      <c r="E1320" t="inlineStr">
        <is>
          <t>2026-06</t>
        </is>
      </c>
      <c r="F1320" t="n">
        <v>19.58</v>
      </c>
      <c r="G1320" t="n">
        <v>23.1</v>
      </c>
      <c r="H1320">
        <f>הגדרות!B7</f>
        <v/>
      </c>
      <c r="I1320">
        <f>F1320*(1-H1320/100)*1.18</f>
        <v/>
      </c>
      <c r="J1320">
        <f>הגדרות!C7</f>
        <v/>
      </c>
      <c r="K1320">
        <f>הגדרות!D7</f>
        <v/>
      </c>
      <c r="L1320">
        <f>I1320*(1+J1320/100)+K1320</f>
        <v/>
      </c>
    </row>
    <row r="1321">
      <c r="A1321" t="inlineStr">
        <is>
          <t>מדי-מרקט</t>
        </is>
      </c>
      <c r="B1321" t="inlineStr">
        <is>
          <t>Clopixol קלופיקסול 10 מ"ג 50 טב'</t>
        </is>
      </c>
      <c r="C1321" t="inlineStr">
        <is>
          <t>תרופות</t>
        </is>
      </c>
      <c r="D1321" t="inlineStr">
        <is>
          <t>64100</t>
        </is>
      </c>
      <c r="E1321" t="inlineStr">
        <is>
          <t>2026-06</t>
        </is>
      </c>
      <c r="F1321" t="n">
        <v>17.85</v>
      </c>
      <c r="G1321" t="n">
        <v>21.06</v>
      </c>
      <c r="H1321">
        <f>הגדרות!B7</f>
        <v/>
      </c>
      <c r="I1321">
        <f>F1321*(1-H1321/100)*1.18</f>
        <v/>
      </c>
      <c r="J1321">
        <f>הגדרות!C7</f>
        <v/>
      </c>
      <c r="K1321">
        <f>הגדרות!D7</f>
        <v/>
      </c>
      <c r="L1321">
        <f>I1321*(1+J1321/100)+K1321</f>
        <v/>
      </c>
    </row>
    <row r="1322">
      <c r="A1322" t="inlineStr">
        <is>
          <t>מדי-מרקט</t>
        </is>
      </c>
      <c r="B1322" t="inlineStr">
        <is>
          <t>Clopixol קלופיקסול 2 מ"ג 50 טב'</t>
        </is>
      </c>
      <c r="C1322" t="inlineStr">
        <is>
          <t>תרופות</t>
        </is>
      </c>
      <c r="D1322" t="inlineStr">
        <is>
          <t>610</t>
        </is>
      </c>
      <c r="E1322" t="inlineStr">
        <is>
          <t>2026-06</t>
        </is>
      </c>
      <c r="F1322" t="n">
        <v>10.68</v>
      </c>
      <c r="G1322" t="n">
        <v>12.6</v>
      </c>
      <c r="H1322">
        <f>הגדרות!B7</f>
        <v/>
      </c>
      <c r="I1322">
        <f>F1322*(1-H1322/100)*1.18</f>
        <v/>
      </c>
      <c r="J1322">
        <f>הגדרות!C7</f>
        <v/>
      </c>
      <c r="K1322">
        <f>הגדרות!D7</f>
        <v/>
      </c>
      <c r="L1322">
        <f>I1322*(1+J1322/100)+K1322</f>
        <v/>
      </c>
    </row>
    <row r="1323">
      <c r="A1323" t="inlineStr">
        <is>
          <t>מדי-מרקט</t>
        </is>
      </c>
      <c r="B1323" t="inlineStr">
        <is>
          <t>Clotrimazol/Clotrivit 1% 20Gr Cream</t>
        </is>
      </c>
      <c r="C1323" t="inlineStr">
        <is>
          <t>תרופות</t>
        </is>
      </c>
      <c r="D1323" t="inlineStr">
        <is>
          <t>103718</t>
        </is>
      </c>
      <c r="E1323" t="inlineStr">
        <is>
          <t>2026-06</t>
        </is>
      </c>
      <c r="F1323" t="n">
        <v>14.42</v>
      </c>
      <c r="G1323" t="n">
        <v>17.01</v>
      </c>
      <c r="H1323">
        <f>הגדרות!B7</f>
        <v/>
      </c>
      <c r="I1323">
        <f>F1323*(1-H1323/100)*1.18</f>
        <v/>
      </c>
      <c r="J1323">
        <f>הגדרות!C7</f>
        <v/>
      </c>
      <c r="K1323">
        <f>הגדרות!D7</f>
        <v/>
      </c>
      <c r="L1323">
        <f>I1323*(1+J1323/100)+K1323</f>
        <v/>
      </c>
    </row>
    <row r="1324">
      <c r="A1324" t="inlineStr">
        <is>
          <t>מדי-מרקט</t>
        </is>
      </c>
      <c r="B1324" t="inlineStr">
        <is>
          <t>Cloxacillin Medo 1Gr X 10 Vials(Il)</t>
        </is>
      </c>
      <c r="C1324" t="inlineStr">
        <is>
          <t>תרופות רשומות- מדי מרקט</t>
        </is>
      </c>
      <c r="D1324" t="inlineStr">
        <is>
          <t>2589851</t>
        </is>
      </c>
      <c r="E1324" t="inlineStr">
        <is>
          <t>2026-06</t>
        </is>
      </c>
      <c r="F1324" t="n">
        <v>32.76</v>
      </c>
      <c r="G1324" t="n">
        <v>38.66</v>
      </c>
      <c r="H1324">
        <f>הגדרות!B7</f>
        <v/>
      </c>
      <c r="I1324">
        <f>F1324*(1-H1324/100)*1.18</f>
        <v/>
      </c>
      <c r="J1324">
        <f>הגדרות!C7</f>
        <v/>
      </c>
      <c r="K1324">
        <f>הגדרות!D7</f>
        <v/>
      </c>
      <c r="L1324">
        <f>I1324*(1+J1324/100)+K1324</f>
        <v/>
      </c>
    </row>
    <row r="1325">
      <c r="A1325" t="inlineStr">
        <is>
          <t>מדי-מרקט</t>
        </is>
      </c>
      <c r="B1325" t="inlineStr">
        <is>
          <t>Cod-Acamol 15/325 X 10Tab</t>
        </is>
      </c>
      <c r="C1325" t="inlineStr">
        <is>
          <t>תרופות</t>
        </is>
      </c>
      <c r="D1325" t="inlineStr">
        <is>
          <t>5010</t>
        </is>
      </c>
      <c r="E1325" t="inlineStr">
        <is>
          <t>2026-06</t>
        </is>
      </c>
      <c r="F1325" t="n">
        <v>16.1</v>
      </c>
      <c r="G1325" t="n">
        <v>19</v>
      </c>
      <c r="H1325">
        <f>הגדרות!B7</f>
        <v/>
      </c>
      <c r="I1325">
        <f>F1325*(1-H1325/100)*1.18</f>
        <v/>
      </c>
      <c r="J1325">
        <f>הגדרות!C7</f>
        <v/>
      </c>
      <c r="K1325">
        <f>הגדרות!D7</f>
        <v/>
      </c>
      <c r="L1325">
        <f>I1325*(1+J1325/100)+K1325</f>
        <v/>
      </c>
    </row>
    <row r="1326">
      <c r="A1326" t="inlineStr">
        <is>
          <t>מדי-מרקט</t>
        </is>
      </c>
      <c r="B1326" t="inlineStr">
        <is>
          <t>Codical 20MG X 10Tab - קודיקל להקלת שיעול (Rekod)</t>
        </is>
      </c>
      <c r="C1326" t="inlineStr">
        <is>
          <t>תרופות</t>
        </is>
      </c>
      <c r="D1326" t="inlineStr">
        <is>
          <t>103939</t>
        </is>
      </c>
      <c r="E1326" t="inlineStr">
        <is>
          <t>2026-06</t>
        </is>
      </c>
      <c r="F1326" t="n">
        <v>11.86</v>
      </c>
      <c r="G1326" t="n">
        <v>14</v>
      </c>
      <c r="H1326">
        <f>הגדרות!B7</f>
        <v/>
      </c>
      <c r="I1326">
        <f>F1326*(1-H1326/100)*1.18</f>
        <v/>
      </c>
      <c r="J1326">
        <f>הגדרות!C7</f>
        <v/>
      </c>
      <c r="K1326">
        <f>הגדרות!D7</f>
        <v/>
      </c>
      <c r="L1326">
        <f>I1326*(1+J1326/100)+K1326</f>
        <v/>
      </c>
    </row>
    <row r="1327">
      <c r="A1327" t="inlineStr">
        <is>
          <t>מדי-מרקט</t>
        </is>
      </c>
      <c r="B1327" t="inlineStr">
        <is>
          <t>Colchicine 0.5Mg X 30Tab</t>
        </is>
      </c>
      <c r="C1327" t="inlineStr">
        <is>
          <t>תרופות</t>
        </is>
      </c>
      <c r="D1327" t="inlineStr">
        <is>
          <t>86985</t>
        </is>
      </c>
      <c r="E1327" t="inlineStr">
        <is>
          <t>2026-06</t>
        </is>
      </c>
      <c r="F1327" t="n">
        <v>17.16</v>
      </c>
      <c r="G1327" t="n">
        <v>20.25</v>
      </c>
      <c r="H1327">
        <f>הגדרות!B7</f>
        <v/>
      </c>
      <c r="I1327">
        <f>F1327*(1-H1327/100)*1.18</f>
        <v/>
      </c>
      <c r="J1327">
        <f>הגדרות!C7</f>
        <v/>
      </c>
      <c r="K1327">
        <f>הגדרות!D7</f>
        <v/>
      </c>
      <c r="L1327">
        <f>I1327*(1+J1327/100)+K1327</f>
        <v/>
      </c>
    </row>
    <row r="1328">
      <c r="A1328" t="inlineStr">
        <is>
          <t>מדי-מרקט</t>
        </is>
      </c>
      <c r="B1328" t="inlineStr">
        <is>
          <t>COLUMBO SPOT IVERMECTIN 5MG/ML 10ML</t>
        </is>
      </c>
      <c r="C1328" t="inlineStr">
        <is>
          <t>29ג' וטרינרי</t>
        </is>
      </c>
      <c r="D1328" t="inlineStr">
        <is>
          <t>40400</t>
        </is>
      </c>
      <c r="E1328" t="inlineStr">
        <is>
          <t>2026-06</t>
        </is>
      </c>
      <c r="F1328" t="n">
        <v>33.05</v>
      </c>
      <c r="G1328" t="n">
        <v>39</v>
      </c>
      <c r="H1328">
        <f>הגדרות!B7</f>
        <v/>
      </c>
      <c r="I1328">
        <f>F1328*(1-H1328/100)*1.18</f>
        <v/>
      </c>
      <c r="J1328">
        <f>הגדרות!C7</f>
        <v/>
      </c>
      <c r="K1328">
        <f>הגדרות!D7</f>
        <v/>
      </c>
      <c r="L1328">
        <f>I1328*(1+J1328/100)+K1328</f>
        <v/>
      </c>
    </row>
    <row r="1329">
      <c r="A1329" t="inlineStr">
        <is>
          <t>מדי-מרקט</t>
        </is>
      </c>
      <c r="B1329" t="inlineStr">
        <is>
          <t>Combodex 150/500Mg X 24Tabs</t>
        </is>
      </c>
      <c r="C1329" t="inlineStr">
        <is>
          <t>תרופות</t>
        </is>
      </c>
      <c r="D1329" t="inlineStr">
        <is>
          <t>100080</t>
        </is>
      </c>
      <c r="E1329" t="inlineStr">
        <is>
          <t>2026-06</t>
        </is>
      </c>
      <c r="F1329" t="n">
        <v>27.46</v>
      </c>
      <c r="G1329" t="n">
        <v>32.4</v>
      </c>
      <c r="H1329">
        <f>הגדרות!B7</f>
        <v/>
      </c>
      <c r="I1329">
        <f>F1329*(1-H1329/100)*1.18</f>
        <v/>
      </c>
      <c r="J1329">
        <f>הגדרות!C7</f>
        <v/>
      </c>
      <c r="K1329">
        <f>הגדרות!D7</f>
        <v/>
      </c>
      <c r="L1329">
        <f>I1329*(1+J1329/100)+K1329</f>
        <v/>
      </c>
    </row>
    <row r="1330">
      <c r="A1330" t="inlineStr">
        <is>
          <t>מדי-מרקט</t>
        </is>
      </c>
      <c r="B1330" t="inlineStr">
        <is>
          <t>Contalax 10 Mg Supp: 25</t>
        </is>
      </c>
      <c r="C1330" t="inlineStr">
        <is>
          <t>תרופות</t>
        </is>
      </c>
      <c r="D1330" t="inlineStr">
        <is>
          <t>70296</t>
        </is>
      </c>
      <c r="E1330" t="inlineStr">
        <is>
          <t>2026-06</t>
        </is>
      </c>
      <c r="F1330" t="n">
        <v>55.24</v>
      </c>
      <c r="G1330" t="n">
        <v>65.18000000000001</v>
      </c>
      <c r="H1330">
        <f>הגדרות!B7</f>
        <v/>
      </c>
      <c r="I1330">
        <f>F1330*(1-H1330/100)*1.18</f>
        <v/>
      </c>
      <c r="J1330">
        <f>הגדרות!C7</f>
        <v/>
      </c>
      <c r="K1330">
        <f>הגדרות!D7</f>
        <v/>
      </c>
      <c r="L1330">
        <f>I1330*(1+J1330/100)+K1330</f>
        <v/>
      </c>
    </row>
    <row r="1331">
      <c r="A1331" t="inlineStr">
        <is>
          <t>מדי-מרקט</t>
        </is>
      </c>
      <c r="B1331" t="inlineStr">
        <is>
          <t>Controloc 20Mg X 30Tabs</t>
        </is>
      </c>
      <c r="C1331" t="inlineStr">
        <is>
          <t>תרופות</t>
        </is>
      </c>
      <c r="D1331" t="inlineStr">
        <is>
          <t>03667</t>
        </is>
      </c>
      <c r="E1331" t="inlineStr">
        <is>
          <t>2026-06</t>
        </is>
      </c>
      <c r="F1331" t="n">
        <v>33.42</v>
      </c>
      <c r="G1331" t="n">
        <v>39.44</v>
      </c>
      <c r="H1331">
        <f>הגדרות!B7</f>
        <v/>
      </c>
      <c r="I1331">
        <f>F1331*(1-H1331/100)*1.18</f>
        <v/>
      </c>
      <c r="J1331">
        <f>הגדרות!C7</f>
        <v/>
      </c>
      <c r="K1331">
        <f>הגדרות!D7</f>
        <v/>
      </c>
      <c r="L1331">
        <f>I1331*(1+J1331/100)+K1331</f>
        <v/>
      </c>
    </row>
    <row r="1332">
      <c r="A1332" t="inlineStr">
        <is>
          <t>מדי-מרקט</t>
        </is>
      </c>
      <c r="B1332" t="inlineStr">
        <is>
          <t>Controloc 40Mg X 28Tab</t>
        </is>
      </c>
      <c r="C1332" t="inlineStr">
        <is>
          <t>תרופות</t>
        </is>
      </c>
      <c r="D1332" t="inlineStr">
        <is>
          <t>09891</t>
        </is>
      </c>
      <c r="E1332" t="inlineStr">
        <is>
          <t>2026-06</t>
        </is>
      </c>
      <c r="F1332" t="n">
        <v>30.51</v>
      </c>
      <c r="G1332" t="n">
        <v>36</v>
      </c>
      <c r="H1332">
        <f>הגדרות!B7</f>
        <v/>
      </c>
      <c r="I1332">
        <f>F1332*(1-H1332/100)*1.18</f>
        <v/>
      </c>
      <c r="J1332">
        <f>הגדרות!C7</f>
        <v/>
      </c>
      <c r="K1332">
        <f>הגדרות!D7</f>
        <v/>
      </c>
      <c r="L1332">
        <f>I1332*(1+J1332/100)+K1332</f>
        <v/>
      </c>
    </row>
    <row r="1333">
      <c r="A1333" t="inlineStr">
        <is>
          <t>מדי-מרקט</t>
        </is>
      </c>
      <c r="B1333" t="inlineStr">
        <is>
          <t>COSENTYX 150 MG PENX2</t>
        </is>
      </c>
      <c r="C1333" t="inlineStr">
        <is>
          <t>תרופות</t>
        </is>
      </c>
      <c r="D1333" t="inlineStr">
        <is>
          <t>09851</t>
        </is>
      </c>
      <c r="E1333" t="inlineStr">
        <is>
          <t>2026-06</t>
        </is>
      </c>
      <c r="F1333" t="n">
        <v>4350</v>
      </c>
      <c r="G1333" t="n">
        <v>5133</v>
      </c>
      <c r="H1333">
        <f>הגדרות!B7</f>
        <v/>
      </c>
      <c r="I1333">
        <f>F1333*(1-H1333/100)*1.18</f>
        <v/>
      </c>
      <c r="J1333">
        <f>הגדרות!C7</f>
        <v/>
      </c>
      <c r="K1333">
        <f>הגדרות!D7</f>
        <v/>
      </c>
      <c r="L1333">
        <f>I1333*(1+J1333/100)+K1333</f>
        <v/>
      </c>
    </row>
    <row r="1334">
      <c r="A1334" t="inlineStr">
        <is>
          <t>מדי-מרקט</t>
        </is>
      </c>
      <c r="B1334" t="inlineStr">
        <is>
          <t>Coumadin 5Mg 30 Tabs קומדין 5 מ"ג 30 טב'</t>
        </is>
      </c>
      <c r="C1334" t="inlineStr">
        <is>
          <t>תרופות</t>
        </is>
      </c>
      <c r="D1334" t="inlineStr">
        <is>
          <t>6471</t>
        </is>
      </c>
      <c r="E1334" t="inlineStr">
        <is>
          <t>2026-06</t>
        </is>
      </c>
      <c r="F1334" t="n">
        <v>15.99</v>
      </c>
      <c r="G1334" t="n">
        <v>18.87</v>
      </c>
      <c r="H1334">
        <f>הגדרות!B7</f>
        <v/>
      </c>
      <c r="I1334">
        <f>F1334*(1-H1334/100)*1.18</f>
        <v/>
      </c>
      <c r="J1334">
        <f>הגדרות!C7</f>
        <v/>
      </c>
      <c r="K1334">
        <f>הגדרות!D7</f>
        <v/>
      </c>
      <c r="L1334">
        <f>I1334*(1+J1334/100)+K1334</f>
        <v/>
      </c>
    </row>
    <row r="1335">
      <c r="A1335" t="inlineStr">
        <is>
          <t>מדי-מרקט</t>
        </is>
      </c>
      <c r="B1335" t="inlineStr">
        <is>
          <t>Crocodile clip 1 pc קליפס אקג קרוקודיל יחידה בודדת UMEC12</t>
        </is>
      </c>
      <c r="C1335" t="inlineStr">
        <is>
          <t>Mindray</t>
        </is>
      </c>
      <c r="D1335" t="inlineStr">
        <is>
          <t>9101-20-58104</t>
        </is>
      </c>
      <c r="E1335" t="inlineStr">
        <is>
          <t>2026-06</t>
        </is>
      </c>
      <c r="F1335" t="n">
        <v>38.14</v>
      </c>
      <c r="G1335" t="n">
        <v>45</v>
      </c>
      <c r="H1335">
        <f>הגדרות!B7</f>
        <v/>
      </c>
      <c r="I1335">
        <f>F1335*(1-H1335/100)*1.18</f>
        <v/>
      </c>
      <c r="J1335">
        <f>הגדרות!C7</f>
        <v/>
      </c>
      <c r="K1335">
        <f>הגדרות!D7</f>
        <v/>
      </c>
      <c r="L1335">
        <f>I1335*(1+J1335/100)+K1335</f>
        <v/>
      </c>
    </row>
    <row r="1336">
      <c r="A1336" t="inlineStr">
        <is>
          <t>מדי-מרקט</t>
        </is>
      </c>
      <c r="B1336" t="inlineStr">
        <is>
          <t>Crotax Eye Ointment Chloramphenicol 10Mg/Gram 5Gr</t>
        </is>
      </c>
      <c r="C1336" t="inlineStr">
        <is>
          <t>29ג' וטרינרי</t>
        </is>
      </c>
      <c r="D1336" t="inlineStr">
        <is>
          <t>40403</t>
        </is>
      </c>
      <c r="E1336" t="inlineStr">
        <is>
          <t>2026-06</t>
        </is>
      </c>
      <c r="F1336" t="n">
        <v>10.1</v>
      </c>
      <c r="G1336" t="n">
        <v>11.92</v>
      </c>
      <c r="H1336">
        <f>הגדרות!B7</f>
        <v/>
      </c>
      <c r="I1336">
        <f>F1336*(1-H1336/100)*1.18</f>
        <v/>
      </c>
      <c r="J1336">
        <f>הגדרות!C7</f>
        <v/>
      </c>
      <c r="K1336">
        <f>הגדרות!D7</f>
        <v/>
      </c>
      <c r="L1336">
        <f>I1336*(1+J1336/100)+K1336</f>
        <v/>
      </c>
    </row>
    <row r="1337">
      <c r="A1337" t="inlineStr">
        <is>
          <t>מדי-מרקט</t>
        </is>
      </c>
      <c r="B1337" t="inlineStr">
        <is>
          <t>Cyclolux 0.5 Mmol/Ml 100 Ml</t>
        </is>
      </c>
      <c r="C1337" t="inlineStr">
        <is>
          <t>תרופות רשומות- מדי מרקט</t>
        </is>
      </c>
      <c r="D1337" t="inlineStr">
        <is>
          <t>25986</t>
        </is>
      </c>
      <c r="E1337" t="inlineStr">
        <is>
          <t>2026-06</t>
        </is>
      </c>
      <c r="F1337" t="n">
        <v>185.34</v>
      </c>
      <c r="G1337" t="n">
        <v>218.7</v>
      </c>
      <c r="H1337">
        <f>הגדרות!B7</f>
        <v/>
      </c>
      <c r="I1337">
        <f>F1337*(1-H1337/100)*1.18</f>
        <v/>
      </c>
      <c r="J1337">
        <f>הגדרות!C7</f>
        <v/>
      </c>
      <c r="K1337">
        <f>הגדרות!D7</f>
        <v/>
      </c>
      <c r="L1337">
        <f>I1337*(1+J1337/100)+K1337</f>
        <v/>
      </c>
    </row>
    <row r="1338">
      <c r="A1338" t="inlineStr">
        <is>
          <t>מדי-מרקט</t>
        </is>
      </c>
      <c r="B1338" t="inlineStr">
        <is>
          <t>Cyclolux 0.5 Mmol/Ml 20 Ml</t>
        </is>
      </c>
      <c r="C1338" t="inlineStr">
        <is>
          <t>תרופות רשומות- מדי מרקט</t>
        </is>
      </c>
      <c r="D1338" t="inlineStr">
        <is>
          <t>25985</t>
        </is>
      </c>
      <c r="E1338" t="inlineStr">
        <is>
          <t>2026-06</t>
        </is>
      </c>
      <c r="F1338" t="n">
        <v>38.76</v>
      </c>
      <c r="G1338" t="n">
        <v>45.74</v>
      </c>
      <c r="H1338">
        <f>הגדרות!B7</f>
        <v/>
      </c>
      <c r="I1338">
        <f>F1338*(1-H1338/100)*1.18</f>
        <v/>
      </c>
      <c r="J1338">
        <f>הגדרות!C7</f>
        <v/>
      </c>
      <c r="K1338">
        <f>הגדרות!D7</f>
        <v/>
      </c>
      <c r="L1338">
        <f>I1338*(1+J1338/100)+K1338</f>
        <v/>
      </c>
    </row>
    <row r="1339">
      <c r="A1339" t="inlineStr">
        <is>
          <t>מדי-מרקט</t>
        </is>
      </c>
      <c r="B1339" t="inlineStr">
        <is>
          <t>CYRAMZA 100MG/10ML PF SDV 1/EA</t>
        </is>
      </c>
      <c r="C1339" t="inlineStr">
        <is>
          <t>תרופות</t>
        </is>
      </c>
      <c r="D1339" t="inlineStr">
        <is>
          <t>M00002-7669-01</t>
        </is>
      </c>
      <c r="E1339" t="inlineStr">
        <is>
          <t>2026-06</t>
        </is>
      </c>
      <c r="F1339" t="n">
        <v>2155.25</v>
      </c>
      <c r="G1339" t="n">
        <v>2543.2</v>
      </c>
      <c r="H1339">
        <f>הגדרות!B7</f>
        <v/>
      </c>
      <c r="I1339">
        <f>F1339*(1-H1339/100)*1.18</f>
        <v/>
      </c>
      <c r="J1339">
        <f>הגדרות!C7</f>
        <v/>
      </c>
      <c r="K1339">
        <f>הגדרות!D7</f>
        <v/>
      </c>
      <c r="L1339">
        <f>I1339*(1+J1339/100)+K1339</f>
        <v/>
      </c>
    </row>
    <row r="1340">
      <c r="A1340" t="inlineStr">
        <is>
          <t>מדי-מרקט</t>
        </is>
      </c>
      <c r="B1340" t="inlineStr">
        <is>
          <t>D.M.S.O + Dexamethasone Gel 220Ml</t>
        </is>
      </c>
      <c r="C1340" t="inlineStr">
        <is>
          <t>הכנות בית מרקחת</t>
        </is>
      </c>
      <c r="D1340" t="inlineStr">
        <is>
          <t>3564</t>
        </is>
      </c>
      <c r="E1340" t="inlineStr">
        <is>
          <t>2026-06</t>
        </is>
      </c>
      <c r="F1340" t="n">
        <v>80.08</v>
      </c>
      <c r="G1340" t="n">
        <v>94.5</v>
      </c>
      <c r="H1340">
        <f>הגדרות!B7</f>
        <v/>
      </c>
      <c r="I1340">
        <f>F1340*(1-H1340/100)*1.18</f>
        <v/>
      </c>
      <c r="J1340">
        <f>הגדרות!C7</f>
        <v/>
      </c>
      <c r="K1340">
        <f>הגדרות!D7</f>
        <v/>
      </c>
      <c r="L1340">
        <f>I1340*(1+J1340/100)+K1340</f>
        <v/>
      </c>
    </row>
    <row r="1341">
      <c r="A1341" t="inlineStr">
        <is>
          <t>מדי-מרקט</t>
        </is>
      </c>
      <c r="B1341" t="inlineStr">
        <is>
          <t>D.M.S.O + Prednisolone Gel 220Ml</t>
        </is>
      </c>
      <c r="C1341" t="inlineStr">
        <is>
          <t>הכנות בית מרקחת</t>
        </is>
      </c>
      <c r="D1341" t="inlineStr">
        <is>
          <t>8120</t>
        </is>
      </c>
      <c r="E1341" t="inlineStr">
        <is>
          <t>2026-06</t>
        </is>
      </c>
      <c r="F1341" t="n">
        <v>96.79000000000001</v>
      </c>
      <c r="G1341" t="n">
        <v>114.21</v>
      </c>
      <c r="H1341">
        <f>הגדרות!B7</f>
        <v/>
      </c>
      <c r="I1341">
        <f>F1341*(1-H1341/100)*1.18</f>
        <v/>
      </c>
      <c r="J1341">
        <f>הגדרות!C7</f>
        <v/>
      </c>
      <c r="K1341">
        <f>הגדרות!D7</f>
        <v/>
      </c>
      <c r="L1341">
        <f>I1341*(1+J1341/100)+K1341</f>
        <v/>
      </c>
    </row>
    <row r="1342">
      <c r="A1342" t="inlineStr">
        <is>
          <t>מדי-מרקט</t>
        </is>
      </c>
      <c r="B1342" t="inlineStr">
        <is>
          <t>D.M.S.O 90% Gel 200Ml</t>
        </is>
      </c>
      <c r="C1342" t="inlineStr">
        <is>
          <t>הכנות בית מרקחת</t>
        </is>
      </c>
      <c r="D1342" t="inlineStr">
        <is>
          <t>8119</t>
        </is>
      </c>
      <c r="E1342" t="inlineStr">
        <is>
          <t>2026-06</t>
        </is>
      </c>
      <c r="F1342" t="n">
        <v>66.09999999999999</v>
      </c>
      <c r="G1342" t="n">
        <v>78</v>
      </c>
      <c r="H1342">
        <f>הגדרות!B7</f>
        <v/>
      </c>
      <c r="I1342">
        <f>F1342*(1-H1342/100)*1.18</f>
        <v/>
      </c>
      <c r="J1342">
        <f>הגדרות!C7</f>
        <v/>
      </c>
      <c r="K1342">
        <f>הגדרות!D7</f>
        <v/>
      </c>
      <c r="L1342">
        <f>I1342*(1+J1342/100)+K1342</f>
        <v/>
      </c>
    </row>
    <row r="1343">
      <c r="A1343" t="inlineStr">
        <is>
          <t>מדי-מרקט</t>
        </is>
      </c>
      <c r="B1343" t="inlineStr">
        <is>
          <t>d.T.P. ACELLULAR 1 DOSE VACC BOOSTRIX X 10</t>
        </is>
      </c>
      <c r="C1343" t="inlineStr">
        <is>
          <t>תרופות</t>
        </is>
      </c>
      <c r="D1343" t="inlineStr">
        <is>
          <t>1801200602</t>
        </is>
      </c>
      <c r="E1343" t="inlineStr">
        <is>
          <t>2026-06</t>
        </is>
      </c>
      <c r="F1343" t="n">
        <v>743.64</v>
      </c>
      <c r="G1343" t="n">
        <v>877.5</v>
      </c>
      <c r="H1343">
        <f>הגדרות!B7</f>
        <v/>
      </c>
      <c r="I1343">
        <f>F1343*(1-H1343/100)*1.18</f>
        <v/>
      </c>
      <c r="J1343">
        <f>הגדרות!C7</f>
        <v/>
      </c>
      <c r="K1343">
        <f>הגדרות!D7</f>
        <v/>
      </c>
      <c r="L1343">
        <f>I1343*(1+J1343/100)+K1343</f>
        <v/>
      </c>
    </row>
    <row r="1344">
      <c r="A1344" t="inlineStr">
        <is>
          <t>מדי-מרקט</t>
        </is>
      </c>
      <c r="B1344" t="inlineStr">
        <is>
          <t>Daktarin Oral Gel 40Gr</t>
        </is>
      </c>
      <c r="C1344" t="inlineStr">
        <is>
          <t>29 יבוא תרופות הומניות חו"ל</t>
        </is>
      </c>
      <c r="D1344" t="inlineStr">
        <is>
          <t>1344</t>
        </is>
      </c>
      <c r="E1344" t="inlineStr">
        <is>
          <t>2026-06</t>
        </is>
      </c>
      <c r="F1344" t="n">
        <v>38.14</v>
      </c>
      <c r="G1344" t="n">
        <v>45</v>
      </c>
      <c r="H1344">
        <f>הגדרות!B7</f>
        <v/>
      </c>
      <c r="I1344">
        <f>F1344*(1-H1344/100)*1.18</f>
        <v/>
      </c>
      <c r="J1344">
        <f>הגדרות!C7</f>
        <v/>
      </c>
      <c r="K1344">
        <f>הגדרות!D7</f>
        <v/>
      </c>
      <c r="L1344">
        <f>I1344*(1+J1344/100)+K1344</f>
        <v/>
      </c>
    </row>
    <row r="1345">
      <c r="A1345" t="inlineStr">
        <is>
          <t>מדי-מרקט</t>
        </is>
      </c>
      <c r="B1345" t="inlineStr">
        <is>
          <t>Dalacin C דלסין 300 מ"ג 16 קפסולות</t>
        </is>
      </c>
      <c r="C1345" t="inlineStr">
        <is>
          <t>תרופות</t>
        </is>
      </c>
      <c r="D1345" t="inlineStr">
        <is>
          <t>9967</t>
        </is>
      </c>
      <c r="E1345" t="inlineStr">
        <is>
          <t>2026-06</t>
        </is>
      </c>
      <c r="F1345" t="n">
        <v>25.45</v>
      </c>
      <c r="G1345" t="n">
        <v>30.03</v>
      </c>
      <c r="H1345">
        <f>הגדרות!B7</f>
        <v/>
      </c>
      <c r="I1345">
        <f>F1345*(1-H1345/100)*1.18</f>
        <v/>
      </c>
      <c r="J1345">
        <f>הגדרות!C7</f>
        <v/>
      </c>
      <c r="K1345">
        <f>הגדרות!D7</f>
        <v/>
      </c>
      <c r="L1345">
        <f>I1345*(1+J1345/100)+K1345</f>
        <v/>
      </c>
    </row>
    <row r="1346">
      <c r="A1346" t="inlineStr">
        <is>
          <t>מדי-מרקט</t>
        </is>
      </c>
      <c r="B1346" t="inlineStr">
        <is>
          <t>Dalacin C דלסין C 150 מ"ג 16 קפס'</t>
        </is>
      </c>
      <c r="C1346" t="inlineStr">
        <is>
          <t>תרופות</t>
        </is>
      </c>
      <c r="D1346" t="inlineStr">
        <is>
          <t>9966</t>
        </is>
      </c>
      <c r="E1346" t="inlineStr">
        <is>
          <t>2026-06</t>
        </is>
      </c>
      <c r="F1346" t="n">
        <v>19.75</v>
      </c>
      <c r="G1346" t="n">
        <v>23.3</v>
      </c>
      <c r="H1346">
        <f>הגדרות!B7</f>
        <v/>
      </c>
      <c r="I1346">
        <f>F1346*(1-H1346/100)*1.18</f>
        <v/>
      </c>
      <c r="J1346">
        <f>הגדרות!C7</f>
        <v/>
      </c>
      <c r="K1346">
        <f>הגדרות!D7</f>
        <v/>
      </c>
      <c r="L1346">
        <f>I1346*(1+J1346/100)+K1346</f>
        <v/>
      </c>
    </row>
    <row r="1347">
      <c r="A1347" t="inlineStr">
        <is>
          <t>מדי-מרקט</t>
        </is>
      </c>
      <c r="B1347" t="inlineStr">
        <is>
          <t>DAPSONE 100MG 28  TAB</t>
        </is>
      </c>
      <c r="C1347" t="inlineStr">
        <is>
          <t>29 יבוא תרופות הומניות חו"ל</t>
        </is>
      </c>
      <c r="D1347" t="inlineStr">
        <is>
          <t>259875-1</t>
        </is>
      </c>
      <c r="E1347" t="inlineStr">
        <is>
          <t>2026-06</t>
        </is>
      </c>
      <c r="F1347" t="n">
        <v>67.8</v>
      </c>
      <c r="G1347" t="n">
        <v>80</v>
      </c>
      <c r="H1347">
        <f>הגדרות!B7</f>
        <v/>
      </c>
      <c r="I1347">
        <f>F1347*(1-H1347/100)*1.18</f>
        <v/>
      </c>
      <c r="J1347">
        <f>הגדרות!C7</f>
        <v/>
      </c>
      <c r="K1347">
        <f>הגדרות!D7</f>
        <v/>
      </c>
      <c r="L1347">
        <f>I1347*(1+J1347/100)+K1347</f>
        <v/>
      </c>
    </row>
    <row r="1348">
      <c r="A1348" t="inlineStr">
        <is>
          <t>מדי-מרקט</t>
        </is>
      </c>
      <c r="B1348" t="inlineStr">
        <is>
          <t>Daunomycin 20mg For Injection 1vial</t>
        </is>
      </c>
      <c r="C1348" t="inlineStr">
        <is>
          <t>29 יבוא תרופות הומניות חו"ל</t>
        </is>
      </c>
      <c r="D1348" t="inlineStr">
        <is>
          <t>696987</t>
        </is>
      </c>
      <c r="E1348" t="inlineStr">
        <is>
          <t>2026-06</t>
        </is>
      </c>
      <c r="F1348" t="n">
        <v>167.47</v>
      </c>
      <c r="G1348" t="n">
        <v>197.61</v>
      </c>
      <c r="H1348">
        <f>הגדרות!B7</f>
        <v/>
      </c>
      <c r="I1348">
        <f>F1348*(1-H1348/100)*1.18</f>
        <v/>
      </c>
      <c r="J1348">
        <f>הגדרות!C7</f>
        <v/>
      </c>
      <c r="K1348">
        <f>הגדרות!D7</f>
        <v/>
      </c>
      <c r="L1348">
        <f>I1348*(1+J1348/100)+K1348</f>
        <v/>
      </c>
    </row>
    <row r="1349">
      <c r="A1349" t="inlineStr">
        <is>
          <t>מדי-מרקט</t>
        </is>
      </c>
      <c r="B1349" t="inlineStr">
        <is>
          <t>Dekinet 2Mg X 30Tab</t>
        </is>
      </c>
      <c r="C1349" t="inlineStr">
        <is>
          <t>תרופות</t>
        </is>
      </c>
      <c r="D1349" t="inlineStr">
        <is>
          <t>18617</t>
        </is>
      </c>
      <c r="E1349" t="inlineStr">
        <is>
          <t>2026-06</t>
        </is>
      </c>
      <c r="F1349" t="n">
        <v>11.44</v>
      </c>
      <c r="G1349" t="n">
        <v>13.5</v>
      </c>
      <c r="H1349">
        <f>הגדרות!B7</f>
        <v/>
      </c>
      <c r="I1349">
        <f>F1349*(1-H1349/100)*1.18</f>
        <v/>
      </c>
      <c r="J1349">
        <f>הגדרות!C7</f>
        <v/>
      </c>
      <c r="K1349">
        <f>הגדרות!D7</f>
        <v/>
      </c>
      <c r="L1349">
        <f>I1349*(1+J1349/100)+K1349</f>
        <v/>
      </c>
    </row>
    <row r="1350">
      <c r="A1350" t="inlineStr">
        <is>
          <t>מדי-מרקט</t>
        </is>
      </c>
      <c r="B1350" t="inlineStr">
        <is>
          <t>Depalept 200Mg Tabx40</t>
        </is>
      </c>
      <c r="C1350" t="inlineStr">
        <is>
          <t>תרופות</t>
        </is>
      </c>
      <c r="D1350" t="inlineStr">
        <is>
          <t>6526</t>
        </is>
      </c>
      <c r="E1350" t="inlineStr">
        <is>
          <t>2026-06</t>
        </is>
      </c>
      <c r="F1350" t="n">
        <v>12.61</v>
      </c>
      <c r="G1350" t="n">
        <v>14.88</v>
      </c>
      <c r="H1350">
        <f>הגדרות!B7</f>
        <v/>
      </c>
      <c r="I1350">
        <f>F1350*(1-H1350/100)*1.18</f>
        <v/>
      </c>
      <c r="J1350">
        <f>הגדרות!C7</f>
        <v/>
      </c>
      <c r="K1350">
        <f>הגדרות!D7</f>
        <v/>
      </c>
      <c r="L1350">
        <f>I1350*(1+J1350/100)+K1350</f>
        <v/>
      </c>
    </row>
    <row r="1351">
      <c r="A1351" t="inlineStr">
        <is>
          <t>מדי-מרקט</t>
        </is>
      </c>
      <c r="B1351" t="inlineStr">
        <is>
          <t>Depalept 500 40 Tab</t>
        </is>
      </c>
      <c r="C1351" t="inlineStr">
        <is>
          <t>תרופות</t>
        </is>
      </c>
      <c r="D1351" t="inlineStr">
        <is>
          <t>5980</t>
        </is>
      </c>
      <c r="E1351" t="inlineStr">
        <is>
          <t>2026-06</t>
        </is>
      </c>
      <c r="F1351" t="n">
        <v>25.95</v>
      </c>
      <c r="G1351" t="n">
        <v>30.62</v>
      </c>
      <c r="H1351">
        <f>הגדרות!B7</f>
        <v/>
      </c>
      <c r="I1351">
        <f>F1351*(1-H1351/100)*1.18</f>
        <v/>
      </c>
      <c r="J1351">
        <f>הגדרות!C7</f>
        <v/>
      </c>
      <c r="K1351">
        <f>הגדרות!D7</f>
        <v/>
      </c>
      <c r="L1351">
        <f>I1351*(1+J1351/100)+K1351</f>
        <v/>
      </c>
    </row>
    <row r="1352">
      <c r="A1352" t="inlineStr">
        <is>
          <t>מדי-מרקט</t>
        </is>
      </c>
      <c r="B1352" t="inlineStr">
        <is>
          <t>Depalept Chro.500 Mg 30 Tab</t>
        </is>
      </c>
      <c r="C1352" t="inlineStr">
        <is>
          <t>תרופות</t>
        </is>
      </c>
      <c r="D1352" t="inlineStr">
        <is>
          <t>3699956</t>
        </is>
      </c>
      <c r="E1352" t="inlineStr">
        <is>
          <t>2026-06</t>
        </is>
      </c>
      <c r="F1352" t="n">
        <v>14.11</v>
      </c>
      <c r="G1352" t="n">
        <v>16.65</v>
      </c>
      <c r="H1352">
        <f>הגדרות!B7</f>
        <v/>
      </c>
      <c r="I1352">
        <f>F1352*(1-H1352/100)*1.18</f>
        <v/>
      </c>
      <c r="J1352">
        <f>הגדרות!C7</f>
        <v/>
      </c>
      <c r="K1352">
        <f>הגדרות!D7</f>
        <v/>
      </c>
      <c r="L1352">
        <f>I1352*(1+J1352/100)+K1352</f>
        <v/>
      </c>
    </row>
    <row r="1353">
      <c r="A1353" t="inlineStr">
        <is>
          <t>מדי-מרקט</t>
        </is>
      </c>
      <c r="B1353" t="inlineStr">
        <is>
          <t>Depalept Oral Sol.: 50 Ml</t>
        </is>
      </c>
      <c r="C1353" t="inlineStr">
        <is>
          <t>תרופות</t>
        </is>
      </c>
      <c r="D1353" t="inlineStr">
        <is>
          <t>937816</t>
        </is>
      </c>
      <c r="E1353" t="inlineStr">
        <is>
          <t>2026-06</t>
        </is>
      </c>
      <c r="F1353" t="n">
        <v>19.09</v>
      </c>
      <c r="G1353" t="n">
        <v>22.53</v>
      </c>
      <c r="H1353">
        <f>הגדרות!B7</f>
        <v/>
      </c>
      <c r="I1353">
        <f>F1353*(1-H1353/100)*1.18</f>
        <v/>
      </c>
      <c r="J1353">
        <f>הגדרות!C7</f>
        <v/>
      </c>
      <c r="K1353">
        <f>הגדרות!D7</f>
        <v/>
      </c>
      <c r="L1353">
        <f>I1353*(1+J1353/100)+K1353</f>
        <v/>
      </c>
    </row>
    <row r="1354">
      <c r="A1354" t="inlineStr">
        <is>
          <t>מדי-מרקט</t>
        </is>
      </c>
      <c r="B1354" t="inlineStr">
        <is>
          <t>Depo Medrol 40Mg/Ml 1Ml</t>
        </is>
      </c>
      <c r="C1354" t="inlineStr">
        <is>
          <t>תרופות</t>
        </is>
      </c>
      <c r="D1354" t="inlineStr">
        <is>
          <t>40511</t>
        </is>
      </c>
      <c r="E1354" t="inlineStr">
        <is>
          <t>2026-06</t>
        </is>
      </c>
      <c r="F1354" t="n">
        <v>8.970000000000001</v>
      </c>
      <c r="G1354" t="n">
        <v>10.58</v>
      </c>
      <c r="H1354">
        <f>הגדרות!B7</f>
        <v/>
      </c>
      <c r="I1354">
        <f>F1354*(1-H1354/100)*1.18</f>
        <v/>
      </c>
      <c r="J1354">
        <f>הגדרות!C7</f>
        <v/>
      </c>
      <c r="K1354">
        <f>הגדרות!D7</f>
        <v/>
      </c>
      <c r="L1354">
        <f>I1354*(1+J1354/100)+K1354</f>
        <v/>
      </c>
    </row>
    <row r="1355">
      <c r="A1355" t="inlineStr">
        <is>
          <t>מדי-מרקט</t>
        </is>
      </c>
      <c r="B1355" t="inlineStr">
        <is>
          <t>Depo Medrol 40Mg/Ml 2Ml</t>
        </is>
      </c>
      <c r="C1355" t="inlineStr">
        <is>
          <t>תרופות</t>
        </is>
      </c>
      <c r="D1355" t="inlineStr">
        <is>
          <t>166</t>
        </is>
      </c>
      <c r="E1355" t="inlineStr">
        <is>
          <t>2026-06</t>
        </is>
      </c>
      <c r="F1355" t="n">
        <v>26.99</v>
      </c>
      <c r="G1355" t="n">
        <v>31.85</v>
      </c>
      <c r="H1355">
        <f>הגדרות!B7</f>
        <v/>
      </c>
      <c r="I1355">
        <f>F1355*(1-H1355/100)*1.18</f>
        <v/>
      </c>
      <c r="J1355">
        <f>הגדרות!C7</f>
        <v/>
      </c>
      <c r="K1355">
        <f>הגדרות!D7</f>
        <v/>
      </c>
      <c r="L1355">
        <f>I1355*(1+J1355/100)+K1355</f>
        <v/>
      </c>
    </row>
    <row r="1356">
      <c r="A1356" t="inlineStr">
        <is>
          <t>מדי-מרקט</t>
        </is>
      </c>
      <c r="B1356" t="inlineStr">
        <is>
          <t>Depo Medrol 40Mg/Ml 5Ml</t>
        </is>
      </c>
      <c r="C1356" t="inlineStr">
        <is>
          <t>תרופות</t>
        </is>
      </c>
      <c r="D1356" t="inlineStr">
        <is>
          <t>M0690</t>
        </is>
      </c>
      <c r="E1356" t="inlineStr">
        <is>
          <t>2026-06</t>
        </is>
      </c>
      <c r="F1356" t="n">
        <v>47.46</v>
      </c>
      <c r="G1356" t="n">
        <v>56</v>
      </c>
      <c r="H1356">
        <f>הגדרות!B7</f>
        <v/>
      </c>
      <c r="I1356">
        <f>F1356*(1-H1356/100)*1.18</f>
        <v/>
      </c>
      <c r="J1356">
        <f>הגדרות!C7</f>
        <v/>
      </c>
      <c r="K1356">
        <f>הגדרות!D7</f>
        <v/>
      </c>
      <c r="L1356">
        <f>I1356*(1+J1356/100)+K1356</f>
        <v/>
      </c>
    </row>
    <row r="1357">
      <c r="A1357" t="inlineStr">
        <is>
          <t>מדי-מרקט</t>
        </is>
      </c>
      <c r="B1357" t="inlineStr">
        <is>
          <t>Dermabond High Visxosit אריזה 12 יח'(דבק ביולוגי</t>
        </is>
      </c>
      <c r="C1357" t="inlineStr">
        <is>
          <t>תרופות</t>
        </is>
      </c>
      <c r="D1357" t="inlineStr">
        <is>
          <t>31220</t>
        </is>
      </c>
      <c r="E1357" t="inlineStr">
        <is>
          <t>2026-06</t>
        </is>
      </c>
      <c r="F1357" t="n">
        <v>567.8</v>
      </c>
      <c r="G1357" t="n">
        <v>670</v>
      </c>
      <c r="H1357">
        <f>הגדרות!B7</f>
        <v/>
      </c>
      <c r="I1357">
        <f>F1357*(1-H1357/100)*1.18</f>
        <v/>
      </c>
      <c r="J1357">
        <f>הגדרות!C7</f>
        <v/>
      </c>
      <c r="K1357">
        <f>הגדרות!D7</f>
        <v/>
      </c>
      <c r="L1357">
        <f>I1357*(1+J1357/100)+K1357</f>
        <v/>
      </c>
    </row>
    <row r="1358">
      <c r="A1358" t="inlineStr">
        <is>
          <t>מדי-מרקט</t>
        </is>
      </c>
      <c r="B1358" t="inlineStr">
        <is>
          <t>Dermacombin Cream 15G</t>
        </is>
      </c>
      <c r="C1358" t="inlineStr">
        <is>
          <t>תרופות</t>
        </is>
      </c>
      <c r="D1358" t="inlineStr">
        <is>
          <t>10810</t>
        </is>
      </c>
      <c r="E1358" t="inlineStr">
        <is>
          <t>2026-06</t>
        </is>
      </c>
      <c r="F1358" t="n">
        <v>18.64</v>
      </c>
      <c r="G1358" t="n">
        <v>22</v>
      </c>
      <c r="H1358">
        <f>הגדרות!B7</f>
        <v/>
      </c>
      <c r="I1358">
        <f>F1358*(1-H1358/100)*1.18</f>
        <v/>
      </c>
      <c r="J1358">
        <f>הגדרות!C7</f>
        <v/>
      </c>
      <c r="K1358">
        <f>הגדרות!D7</f>
        <v/>
      </c>
      <c r="L1358">
        <f>I1358*(1+J1358/100)+K1358</f>
        <v/>
      </c>
    </row>
    <row r="1359">
      <c r="A1359" t="inlineStr">
        <is>
          <t>מדי-מרקט</t>
        </is>
      </c>
      <c r="B1359" t="inlineStr">
        <is>
          <t>Dermacombin Oint 15G</t>
        </is>
      </c>
      <c r="C1359" t="inlineStr">
        <is>
          <t>תרופות</t>
        </is>
      </c>
      <c r="D1359" t="inlineStr">
        <is>
          <t>80912</t>
        </is>
      </c>
      <c r="E1359" t="inlineStr">
        <is>
          <t>2026-06</t>
        </is>
      </c>
      <c r="F1359" t="n">
        <v>15.25</v>
      </c>
      <c r="G1359" t="n">
        <v>18</v>
      </c>
      <c r="H1359">
        <f>הגדרות!B7</f>
        <v/>
      </c>
      <c r="I1359">
        <f>F1359*(1-H1359/100)*1.18</f>
        <v/>
      </c>
      <c r="J1359">
        <f>הגדרות!C7</f>
        <v/>
      </c>
      <c r="K1359">
        <f>הגדרות!D7</f>
        <v/>
      </c>
      <c r="L1359">
        <f>I1359*(1+J1359/100)+K1359</f>
        <v/>
      </c>
    </row>
    <row r="1360">
      <c r="A1360" t="inlineStr">
        <is>
          <t>מדי-מרקט</t>
        </is>
      </c>
      <c r="B1360" t="inlineStr">
        <is>
          <t>Dermakit MYKODERMO ASSAY DTM 1/12 containers דרמקיט פטריות</t>
        </is>
      </c>
      <c r="C1360" t="inlineStr">
        <is>
          <t>מוצרים משלימים לווט'</t>
        </is>
      </c>
      <c r="D1360" t="inlineStr">
        <is>
          <t>716M12MP1</t>
        </is>
      </c>
      <c r="E1360" t="inlineStr">
        <is>
          <t>2026-06</t>
        </is>
      </c>
      <c r="F1360" t="n">
        <v>200</v>
      </c>
      <c r="G1360" t="n">
        <v>236</v>
      </c>
      <c r="H1360">
        <f>הגדרות!B7</f>
        <v/>
      </c>
      <c r="I1360">
        <f>F1360*(1-H1360/100)*1.18</f>
        <v/>
      </c>
      <c r="J1360">
        <f>הגדרות!C7</f>
        <v/>
      </c>
      <c r="K1360">
        <f>הגדרות!D7</f>
        <v/>
      </c>
      <c r="L1360">
        <f>I1360*(1+J1360/100)+K1360</f>
        <v/>
      </c>
    </row>
    <row r="1361">
      <c r="A1361" t="inlineStr">
        <is>
          <t>מדי-מרקט</t>
        </is>
      </c>
      <c r="B1361" t="inlineStr">
        <is>
          <t>DERMIPRED 10MG 6X16T PRED 96 TAB</t>
        </is>
      </c>
      <c r="C1361" t="inlineStr">
        <is>
          <t>29ג' וטרינרי CEVA</t>
        </is>
      </c>
      <c r="D1361" t="inlineStr">
        <is>
          <t>F25040E</t>
        </is>
      </c>
      <c r="E1361" t="inlineStr">
        <is>
          <t>2026-06</t>
        </is>
      </c>
      <c r="F1361" t="n">
        <v>98.31</v>
      </c>
      <c r="G1361" t="n">
        <v>116</v>
      </c>
      <c r="H1361">
        <f>הגדרות!B7</f>
        <v/>
      </c>
      <c r="I1361">
        <f>F1361*(1-H1361/100)*1.18</f>
        <v/>
      </c>
      <c r="J1361">
        <f>הגדרות!C7</f>
        <v/>
      </c>
      <c r="K1361">
        <f>הגדרות!D7</f>
        <v/>
      </c>
      <c r="L1361">
        <f>I1361*(1+J1361/100)+K1361</f>
        <v/>
      </c>
    </row>
    <row r="1362">
      <c r="A1362" t="inlineStr">
        <is>
          <t>מדי-מרקט</t>
        </is>
      </c>
      <c r="B1362" t="inlineStr">
        <is>
          <t>DERMIPRED 20MG 10X10T 100 TAB</t>
        </is>
      </c>
      <c r="C1362" t="inlineStr">
        <is>
          <t>29ג' וטרינרי CEVA</t>
        </is>
      </c>
      <c r="D1362" t="inlineStr">
        <is>
          <t>F25010F</t>
        </is>
      </c>
      <c r="E1362" t="inlineStr">
        <is>
          <t>2026-06</t>
        </is>
      </c>
      <c r="F1362" t="n">
        <v>169.49</v>
      </c>
      <c r="G1362" t="n">
        <v>200</v>
      </c>
      <c r="H1362">
        <f>הגדרות!B7</f>
        <v/>
      </c>
      <c r="I1362">
        <f>F1362*(1-H1362/100)*1.18</f>
        <v/>
      </c>
      <c r="J1362">
        <f>הגדרות!C7</f>
        <v/>
      </c>
      <c r="K1362">
        <f>הגדרות!D7</f>
        <v/>
      </c>
      <c r="L1362">
        <f>I1362*(1+J1362/100)+K1362</f>
        <v/>
      </c>
    </row>
    <row r="1363">
      <c r="A1363" t="inlineStr">
        <is>
          <t>מדי-מרקט</t>
        </is>
      </c>
      <c r="B1363" t="inlineStr">
        <is>
          <t>DERMIPRED 5MG 10X12T PRED 120 TAB</t>
        </is>
      </c>
      <c r="C1363" t="inlineStr">
        <is>
          <t>29ג' וטרינרי CEVA</t>
        </is>
      </c>
      <c r="D1363" t="inlineStr">
        <is>
          <t>F25050D</t>
        </is>
      </c>
      <c r="E1363" t="inlineStr">
        <is>
          <t>2026-06</t>
        </is>
      </c>
      <c r="F1363" t="n">
        <v>127.12</v>
      </c>
      <c r="G1363" t="n">
        <v>150</v>
      </c>
      <c r="H1363">
        <f>הגדרות!B7</f>
        <v/>
      </c>
      <c r="I1363">
        <f>F1363*(1-H1363/100)*1.18</f>
        <v/>
      </c>
      <c r="J1363">
        <f>הגדרות!C7</f>
        <v/>
      </c>
      <c r="K1363">
        <f>הגדרות!D7</f>
        <v/>
      </c>
      <c r="L1363">
        <f>I1363*(1+J1363/100)+K1363</f>
        <v/>
      </c>
    </row>
    <row r="1364">
      <c r="A1364" t="inlineStr">
        <is>
          <t>מדי-מרקט</t>
        </is>
      </c>
      <c r="B1364" t="inlineStr">
        <is>
          <t>Dermovate Oint 30G</t>
        </is>
      </c>
      <c r="C1364" t="inlineStr">
        <is>
          <t>תרופות</t>
        </is>
      </c>
      <c r="D1364" t="inlineStr">
        <is>
          <t>9964-1</t>
        </is>
      </c>
      <c r="E1364" t="inlineStr">
        <is>
          <t>2026-06</t>
        </is>
      </c>
      <c r="F1364" t="n">
        <v>17.02</v>
      </c>
      <c r="G1364" t="n">
        <v>20.08</v>
      </c>
      <c r="H1364">
        <f>הגדרות!B7</f>
        <v/>
      </c>
      <c r="I1364">
        <f>F1364*(1-H1364/100)*1.18</f>
        <v/>
      </c>
      <c r="J1364">
        <f>הגדרות!C7</f>
        <v/>
      </c>
      <c r="K1364">
        <f>הגדרות!D7</f>
        <v/>
      </c>
      <c r="L1364">
        <f>I1364*(1+J1364/100)+K1364</f>
        <v/>
      </c>
    </row>
    <row r="1365">
      <c r="A1365" t="inlineStr">
        <is>
          <t>מדי-מרקט</t>
        </is>
      </c>
      <c r="B1365" t="inlineStr">
        <is>
          <t>Desmopressin Teva 0.1 Mg 30 Tabs</t>
        </is>
      </c>
      <c r="C1365" t="inlineStr">
        <is>
          <t>תרופות</t>
        </is>
      </c>
      <c r="D1365" t="inlineStr">
        <is>
          <t>45527</t>
        </is>
      </c>
      <c r="E1365" t="inlineStr">
        <is>
          <t>2026-06</t>
        </is>
      </c>
      <c r="F1365" t="n">
        <v>71.53</v>
      </c>
      <c r="G1365" t="n">
        <v>84.40000000000001</v>
      </c>
      <c r="H1365">
        <f>הגדרות!B7</f>
        <v/>
      </c>
      <c r="I1365">
        <f>F1365*(1-H1365/100)*1.18</f>
        <v/>
      </c>
      <c r="J1365">
        <f>הגדרות!C7</f>
        <v/>
      </c>
      <c r="K1365">
        <f>הגדרות!D7</f>
        <v/>
      </c>
      <c r="L1365">
        <f>I1365*(1+J1365/100)+K1365</f>
        <v/>
      </c>
    </row>
    <row r="1366">
      <c r="A1366" t="inlineStr">
        <is>
          <t>מדי-מרקט</t>
        </is>
      </c>
      <c r="B1366" t="inlineStr">
        <is>
          <t>Desmopressin Teva 0.2 Mg 30 Tabs</t>
        </is>
      </c>
      <c r="C1366" t="inlineStr">
        <is>
          <t>תרופות</t>
        </is>
      </c>
      <c r="D1366" t="inlineStr">
        <is>
          <t>45526</t>
        </is>
      </c>
      <c r="E1366" t="inlineStr">
        <is>
          <t>2026-06</t>
        </is>
      </c>
      <c r="F1366" t="n">
        <v>101.69</v>
      </c>
      <c r="G1366" t="n">
        <v>120</v>
      </c>
      <c r="H1366">
        <f>הגדרות!B7</f>
        <v/>
      </c>
      <c r="I1366">
        <f>F1366*(1-H1366/100)*1.18</f>
        <v/>
      </c>
      <c r="J1366">
        <f>הגדרות!C7</f>
        <v/>
      </c>
      <c r="K1366">
        <f>הגדרות!D7</f>
        <v/>
      </c>
      <c r="L1366">
        <f>I1366*(1+J1366/100)+K1366</f>
        <v/>
      </c>
    </row>
    <row r="1367">
      <c r="A1367" t="inlineStr">
        <is>
          <t>מדי-מרקט</t>
        </is>
      </c>
      <c r="B1367" t="inlineStr">
        <is>
          <t>Dethamycin 10Ml Eye Drops</t>
        </is>
      </c>
      <c r="C1367" t="inlineStr">
        <is>
          <t>תרופות</t>
        </is>
      </c>
      <c r="D1367" t="inlineStr">
        <is>
          <t>2457</t>
        </is>
      </c>
      <c r="E1367" t="inlineStr">
        <is>
          <t>2026-06</t>
        </is>
      </c>
      <c r="F1367" t="n">
        <v>16.36</v>
      </c>
      <c r="G1367" t="n">
        <v>19.3</v>
      </c>
      <c r="H1367">
        <f>הגדרות!B7</f>
        <v/>
      </c>
      <c r="I1367">
        <f>F1367*(1-H1367/100)*1.18</f>
        <v/>
      </c>
      <c r="J1367">
        <f>הגדרות!C7</f>
        <v/>
      </c>
      <c r="K1367">
        <f>הגדרות!D7</f>
        <v/>
      </c>
      <c r="L1367">
        <f>I1367*(1+J1367/100)+K1367</f>
        <v/>
      </c>
    </row>
    <row r="1368">
      <c r="A1368" t="inlineStr">
        <is>
          <t>מדי-מרקט</t>
        </is>
      </c>
      <c r="B1368" t="inlineStr">
        <is>
          <t>Dex-Otic Ear Drops 5Ml</t>
        </is>
      </c>
      <c r="C1368" t="inlineStr">
        <is>
          <t>תרופות</t>
        </is>
      </c>
      <c r="D1368" t="inlineStr">
        <is>
          <t>0730</t>
        </is>
      </c>
      <c r="E1368" t="inlineStr">
        <is>
          <t>2026-06</t>
        </is>
      </c>
      <c r="F1368" t="n">
        <v>10.3</v>
      </c>
      <c r="G1368" t="n">
        <v>12.15</v>
      </c>
      <c r="H1368">
        <f>הגדרות!B7</f>
        <v/>
      </c>
      <c r="I1368">
        <f>F1368*(1-H1368/100)*1.18</f>
        <v/>
      </c>
      <c r="J1368">
        <f>הגדרות!C7</f>
        <v/>
      </c>
      <c r="K1368">
        <f>הגדרות!D7</f>
        <v/>
      </c>
      <c r="L1368">
        <f>I1368*(1+J1368/100)+K1368</f>
        <v/>
      </c>
    </row>
    <row r="1369">
      <c r="A1369" t="inlineStr">
        <is>
          <t>מדי-מרקט</t>
        </is>
      </c>
      <c r="B1369" t="inlineStr">
        <is>
          <t>DEXAETHASONE 0.5MG X 30TABS</t>
        </is>
      </c>
      <c r="C1369" t="inlineStr">
        <is>
          <t>תרופות</t>
        </is>
      </c>
      <c r="D1369" t="inlineStr">
        <is>
          <t>362652</t>
        </is>
      </c>
      <c r="E1369" t="inlineStr">
        <is>
          <t>2026-06</t>
        </is>
      </c>
      <c r="F1369" t="n">
        <v>14.22</v>
      </c>
      <c r="G1369" t="n">
        <v>16.78</v>
      </c>
      <c r="H1369">
        <f>הגדרות!B7</f>
        <v/>
      </c>
      <c r="I1369">
        <f>F1369*(1-H1369/100)*1.18</f>
        <v/>
      </c>
      <c r="J1369">
        <f>הגדרות!C7</f>
        <v/>
      </c>
      <c r="K1369">
        <f>הגדרות!D7</f>
        <v/>
      </c>
      <c r="L1369">
        <f>I1369*(1+J1369/100)+K1369</f>
        <v/>
      </c>
    </row>
    <row r="1370">
      <c r="A1370" t="inlineStr">
        <is>
          <t>מדי-מרקט</t>
        </is>
      </c>
      <c r="B1370" t="inlineStr">
        <is>
          <t>Dexamethasone 0.1%+Calendula+Citronela Cream 500Ml</t>
        </is>
      </c>
      <c r="C1370" t="inlineStr">
        <is>
          <t>הכנות בית מרקחת</t>
        </is>
      </c>
      <c r="D1370" t="inlineStr">
        <is>
          <t>M02021</t>
        </is>
      </c>
      <c r="E1370" t="inlineStr">
        <is>
          <t>2026-06</t>
        </is>
      </c>
      <c r="F1370" t="n">
        <v>84.75</v>
      </c>
      <c r="G1370" t="n">
        <v>100</v>
      </c>
      <c r="H1370">
        <f>הגדרות!B7</f>
        <v/>
      </c>
      <c r="I1370">
        <f>F1370*(1-H1370/100)*1.18</f>
        <v/>
      </c>
      <c r="J1370">
        <f>הגדרות!C7</f>
        <v/>
      </c>
      <c r="K1370">
        <f>הגדרות!D7</f>
        <v/>
      </c>
      <c r="L1370">
        <f>I1370*(1+J1370/100)+K1370</f>
        <v/>
      </c>
    </row>
    <row r="1371">
      <c r="A1371" t="inlineStr">
        <is>
          <t>מדי-מרקט</t>
        </is>
      </c>
      <c r="B1371" t="inlineStr">
        <is>
          <t>Dexamethasone 2 Mg X 50 Tabs</t>
        </is>
      </c>
      <c r="C1371" t="inlineStr">
        <is>
          <t>תרופות</t>
        </is>
      </c>
      <c r="D1371" t="inlineStr">
        <is>
          <t>24079</t>
        </is>
      </c>
      <c r="E1371" t="inlineStr">
        <is>
          <t>2026-06</t>
        </is>
      </c>
      <c r="F1371" t="n">
        <v>122.88</v>
      </c>
      <c r="G1371" t="n">
        <v>145</v>
      </c>
      <c r="H1371">
        <f>הגדרות!B7</f>
        <v/>
      </c>
      <c r="I1371">
        <f>F1371*(1-H1371/100)*1.18</f>
        <v/>
      </c>
      <c r="J1371">
        <f>הגדרות!C7</f>
        <v/>
      </c>
      <c r="K1371">
        <f>הגדרות!D7</f>
        <v/>
      </c>
      <c r="L1371">
        <f>I1371*(1+J1371/100)+K1371</f>
        <v/>
      </c>
    </row>
    <row r="1372">
      <c r="A1372" t="inlineStr">
        <is>
          <t>מדי-מרקט</t>
        </is>
      </c>
      <c r="B1372" t="inlineStr">
        <is>
          <t>Dexamethasone powder 125 g 50mg/5g</t>
        </is>
      </c>
      <c r="C1372" t="inlineStr">
        <is>
          <t>הכנות אבקות</t>
        </is>
      </c>
      <c r="D1372" t="inlineStr">
        <is>
          <t>6779</t>
        </is>
      </c>
      <c r="E1372" t="inlineStr">
        <is>
          <t>2026-06</t>
        </is>
      </c>
      <c r="F1372" t="n">
        <v>63.56</v>
      </c>
      <c r="G1372" t="n">
        <v>75</v>
      </c>
      <c r="H1372">
        <f>הגדרות!B7</f>
        <v/>
      </c>
      <c r="I1372">
        <f>F1372*(1-H1372/100)*1.18</f>
        <v/>
      </c>
      <c r="J1372">
        <f>הגדרות!C7</f>
        <v/>
      </c>
      <c r="K1372">
        <f>הגדרות!D7</f>
        <v/>
      </c>
      <c r="L1372">
        <f>I1372*(1+J1372/100)+K1372</f>
        <v/>
      </c>
    </row>
    <row r="1373">
      <c r="A1373" t="inlineStr">
        <is>
          <t>מדי-מרקט</t>
        </is>
      </c>
      <c r="B1373" t="inlineStr">
        <is>
          <t>Dexamethasone Rompharm 4 Mg/Ml 1Ml X10 Amp (Il)</t>
        </is>
      </c>
      <c r="C1373" t="inlineStr">
        <is>
          <t>תרופות רשומות- מדי מרקט</t>
        </is>
      </c>
      <c r="D1373" t="inlineStr">
        <is>
          <t>8754-10</t>
        </is>
      </c>
      <c r="E1373" t="inlineStr">
        <is>
          <t>2026-06</t>
        </is>
      </c>
      <c r="F1373" t="n">
        <v>7.44</v>
      </c>
      <c r="G1373" t="n">
        <v>8.779999999999999</v>
      </c>
      <c r="H1373">
        <f>הגדרות!B7</f>
        <v/>
      </c>
      <c r="I1373">
        <f>F1373*(1-H1373/100)*1.18</f>
        <v/>
      </c>
      <c r="J1373">
        <f>הגדרות!C7</f>
        <v/>
      </c>
      <c r="K1373">
        <f>הגדרות!D7</f>
        <v/>
      </c>
      <c r="L1373">
        <f>I1373*(1+J1373/100)+K1373</f>
        <v/>
      </c>
    </row>
    <row r="1374">
      <c r="A1374" t="inlineStr">
        <is>
          <t>מדי-מרקט</t>
        </is>
      </c>
      <c r="B1374" t="inlineStr">
        <is>
          <t>Dexamethasone Rompharm 8 Mg/2Ml X10 Amp (Il)</t>
        </is>
      </c>
      <c r="C1374" t="inlineStr">
        <is>
          <t>תרופות רשומות- מדי מרקט</t>
        </is>
      </c>
      <c r="D1374" t="inlineStr">
        <is>
          <t>87542-10</t>
        </is>
      </c>
      <c r="E1374" t="inlineStr">
        <is>
          <t>2026-06</t>
        </is>
      </c>
      <c r="F1374" t="n">
        <v>11.79</v>
      </c>
      <c r="G1374" t="n">
        <v>13.91</v>
      </c>
      <c r="H1374">
        <f>הגדרות!B7</f>
        <v/>
      </c>
      <c r="I1374">
        <f>F1374*(1-H1374/100)*1.18</f>
        <v/>
      </c>
      <c r="J1374">
        <f>הגדרות!C7</f>
        <v/>
      </c>
      <c r="K1374">
        <f>הגדרות!D7</f>
        <v/>
      </c>
      <c r="L1374">
        <f>I1374*(1+J1374/100)+K1374</f>
        <v/>
      </c>
    </row>
    <row r="1375">
      <c r="A1375" t="inlineStr">
        <is>
          <t>מדי-מרקט</t>
        </is>
      </c>
      <c r="B1375" t="inlineStr">
        <is>
          <t>Dexamol Cold Day+Night 30+20</t>
        </is>
      </c>
      <c r="C1375" t="inlineStr">
        <is>
          <t>תרופות</t>
        </is>
      </c>
      <c r="D1375" t="inlineStr">
        <is>
          <t>2631623</t>
        </is>
      </c>
      <c r="E1375" t="inlineStr">
        <is>
          <t>2026-06</t>
        </is>
      </c>
      <c r="F1375" t="n">
        <v>24.58</v>
      </c>
      <c r="G1375" t="n">
        <v>29</v>
      </c>
      <c r="H1375">
        <f>הגדרות!B7</f>
        <v/>
      </c>
      <c r="I1375">
        <f>F1375*(1-H1375/100)*1.18</f>
        <v/>
      </c>
      <c r="J1375">
        <f>הגדרות!C7</f>
        <v/>
      </c>
      <c r="K1375">
        <f>הגדרות!D7</f>
        <v/>
      </c>
      <c r="L1375">
        <f>I1375*(1+J1375/100)+K1375</f>
        <v/>
      </c>
    </row>
    <row r="1376">
      <c r="A1376" t="inlineStr">
        <is>
          <t>מדי-מרקט</t>
        </is>
      </c>
      <c r="B1376" t="inlineStr">
        <is>
          <t>Dexamol Sinus Day+Night (30+20)</t>
        </is>
      </c>
      <c r="C1376" t="inlineStr">
        <is>
          <t>תרופות</t>
        </is>
      </c>
      <c r="D1376" t="inlineStr">
        <is>
          <t>2631624</t>
        </is>
      </c>
      <c r="E1376" t="inlineStr">
        <is>
          <t>2026-06</t>
        </is>
      </c>
      <c r="F1376" t="n">
        <v>25.39</v>
      </c>
      <c r="G1376" t="n">
        <v>29.96</v>
      </c>
      <c r="H1376">
        <f>הגדרות!B7</f>
        <v/>
      </c>
      <c r="I1376">
        <f>F1376*(1-H1376/100)*1.18</f>
        <v/>
      </c>
      <c r="J1376">
        <f>הגדרות!C7</f>
        <v/>
      </c>
      <c r="K1376">
        <f>הגדרות!D7</f>
        <v/>
      </c>
      <c r="L1376">
        <f>I1376*(1+J1376/100)+K1376</f>
        <v/>
      </c>
    </row>
    <row r="1377">
      <c r="A1377" t="inlineStr">
        <is>
          <t>מדי-מרקט</t>
        </is>
      </c>
      <c r="B1377" t="inlineStr">
        <is>
          <t>Dexamol דקסמול 500 מ"ג 50 קפליות</t>
        </is>
      </c>
      <c r="C1377" t="inlineStr">
        <is>
          <t>תרופות</t>
        </is>
      </c>
      <c r="D1377" t="inlineStr">
        <is>
          <t>1198</t>
        </is>
      </c>
      <c r="E1377" t="inlineStr">
        <is>
          <t>2026-06</t>
        </is>
      </c>
      <c r="F1377" t="n">
        <v>14.75</v>
      </c>
      <c r="G1377" t="n">
        <v>17.4</v>
      </c>
      <c r="H1377">
        <f>הגדרות!B7</f>
        <v/>
      </c>
      <c r="I1377">
        <f>F1377*(1-H1377/100)*1.18</f>
        <v/>
      </c>
      <c r="J1377">
        <f>הגדרות!C7</f>
        <v/>
      </c>
      <c r="K1377">
        <f>הגדרות!D7</f>
        <v/>
      </c>
      <c r="L1377">
        <f>I1377*(1+J1377/100)+K1377</f>
        <v/>
      </c>
    </row>
    <row r="1378">
      <c r="A1378" t="inlineStr">
        <is>
          <t>מדי-מרקט</t>
        </is>
      </c>
      <c r="B1378" t="inlineStr">
        <is>
          <t>Dexmedetomidine Kalceks 100 Mcg/Ml 2Ml X5Amp(Il)</t>
        </is>
      </c>
      <c r="C1378" t="inlineStr">
        <is>
          <t>תרופות רשומות- מדי מרקט</t>
        </is>
      </c>
      <c r="D1378" t="inlineStr">
        <is>
          <t>26754</t>
        </is>
      </c>
      <c r="E1378" t="inlineStr">
        <is>
          <t>2026-06</t>
        </is>
      </c>
      <c r="F1378" t="n">
        <v>37.75</v>
      </c>
      <c r="G1378" t="n">
        <v>44.55</v>
      </c>
      <c r="H1378">
        <f>הגדרות!B7</f>
        <v/>
      </c>
      <c r="I1378">
        <f>F1378*(1-H1378/100)*1.18</f>
        <v/>
      </c>
      <c r="J1378">
        <f>הגדרות!C7</f>
        <v/>
      </c>
      <c r="K1378">
        <f>הגדרות!D7</f>
        <v/>
      </c>
      <c r="L1378">
        <f>I1378*(1+J1378/100)+K1378</f>
        <v/>
      </c>
    </row>
    <row r="1379">
      <c r="A1379" t="inlineStr">
        <is>
          <t>מדי-מרקט</t>
        </is>
      </c>
      <c r="B1379" t="inlineStr">
        <is>
          <t>Dextro 15gr gel * 3</t>
        </is>
      </c>
      <c r="C1379" t="inlineStr">
        <is>
          <t>תרופות</t>
        </is>
      </c>
      <c r="D1379" t="inlineStr">
        <is>
          <t>60143-1</t>
        </is>
      </c>
      <c r="E1379" t="inlineStr">
        <is>
          <t>2026-06</t>
        </is>
      </c>
      <c r="F1379" t="n">
        <v>29.49</v>
      </c>
      <c r="G1379" t="n">
        <v>34.8</v>
      </c>
      <c r="H1379">
        <f>הגדרות!B7</f>
        <v/>
      </c>
      <c r="I1379">
        <f>F1379*(1-H1379/100)*1.18</f>
        <v/>
      </c>
      <c r="J1379">
        <f>הגדרות!C7</f>
        <v/>
      </c>
      <c r="K1379">
        <f>הגדרות!D7</f>
        <v/>
      </c>
      <c r="L1379">
        <f>I1379*(1+J1379/100)+K1379</f>
        <v/>
      </c>
    </row>
    <row r="1380">
      <c r="A1380" t="inlineStr">
        <is>
          <t>מדי-מרקט</t>
        </is>
      </c>
      <c r="B1380" t="inlineStr">
        <is>
          <t>Dextrose 5% bottle 500 ml</t>
        </is>
      </c>
      <c r="C1380" t="inlineStr">
        <is>
          <t>תמיסות לעירוי ושטיפה</t>
        </is>
      </c>
      <c r="D1380" t="inlineStr">
        <is>
          <t>1880-1</t>
        </is>
      </c>
      <c r="E1380" t="inlineStr">
        <is>
          <t>2026-06</t>
        </is>
      </c>
      <c r="F1380" t="n">
        <v>5.09</v>
      </c>
      <c r="G1380" t="n">
        <v>6.01</v>
      </c>
      <c r="H1380">
        <f>הגדרות!B7</f>
        <v/>
      </c>
      <c r="I1380">
        <f>F1380*(1-H1380/100)*1.18</f>
        <v/>
      </c>
      <c r="J1380">
        <f>הגדרות!C7</f>
        <v/>
      </c>
      <c r="K1380">
        <f>הגדרות!D7</f>
        <v/>
      </c>
      <c r="L1380">
        <f>I1380*(1+J1380/100)+K1380</f>
        <v/>
      </c>
    </row>
    <row r="1381">
      <c r="A1381" t="inlineStr">
        <is>
          <t>מדי-מרקט</t>
        </is>
      </c>
      <c r="B1381" t="inlineStr">
        <is>
          <t>DIAMOX 500mg (Acetazolamide Sodium) 10 vials</t>
        </is>
      </c>
      <c r="C1381" t="inlineStr">
        <is>
          <t>29 יבוא תרופות הומניות חו"ל</t>
        </is>
      </c>
      <c r="D1381" t="inlineStr">
        <is>
          <t>526685</t>
        </is>
      </c>
      <c r="E1381" t="inlineStr">
        <is>
          <t>2026-06</t>
        </is>
      </c>
      <c r="F1381" t="n">
        <v>411.86</v>
      </c>
      <c r="G1381" t="n">
        <v>486</v>
      </c>
      <c r="H1381">
        <f>הגדרות!B7</f>
        <v/>
      </c>
      <c r="I1381">
        <f>F1381*(1-H1381/100)*1.18</f>
        <v/>
      </c>
      <c r="J1381">
        <f>הגדרות!C7</f>
        <v/>
      </c>
      <c r="K1381">
        <f>הגדרות!D7</f>
        <v/>
      </c>
      <c r="L1381">
        <f>I1381*(1+J1381/100)+K1381</f>
        <v/>
      </c>
    </row>
    <row r="1382">
      <c r="A1382" t="inlineStr">
        <is>
          <t>מדי-מרקט</t>
        </is>
      </c>
      <c r="B1382" t="inlineStr">
        <is>
          <t>Diazepam  Desitin 5mg /2.5ml rectal solution X 5 tubes</t>
        </is>
      </c>
      <c r="C1382" t="inlineStr">
        <is>
          <t>29 יבוא תרופות הומניות חו"ל</t>
        </is>
      </c>
      <c r="D1382" t="inlineStr">
        <is>
          <t>285895</t>
        </is>
      </c>
      <c r="E1382" t="inlineStr">
        <is>
          <t>2026-06</t>
        </is>
      </c>
      <c r="F1382" t="n">
        <v>45.76</v>
      </c>
      <c r="G1382" t="n">
        <v>54</v>
      </c>
      <c r="H1382">
        <f>הגדרות!B7</f>
        <v/>
      </c>
      <c r="I1382">
        <f>F1382*(1-H1382/100)*1.18</f>
        <v/>
      </c>
      <c r="J1382">
        <f>הגדרות!C7</f>
        <v/>
      </c>
      <c r="K1382">
        <f>הגדרות!D7</f>
        <v/>
      </c>
      <c r="L1382">
        <f>I1382*(1+J1382/100)+K1382</f>
        <v/>
      </c>
    </row>
    <row r="1383">
      <c r="A1383" t="inlineStr">
        <is>
          <t>מדי-מרקט</t>
        </is>
      </c>
      <c r="B1383" t="inlineStr">
        <is>
          <t>Diazepam  Grindeks 5Mg 30 Tab(Il)</t>
        </is>
      </c>
      <c r="C1383" t="inlineStr">
        <is>
          <t>תרופות רשומות- מדי מרקט</t>
        </is>
      </c>
      <c r="D1383" t="inlineStr">
        <is>
          <t>54862</t>
        </is>
      </c>
      <c r="E1383" t="inlineStr">
        <is>
          <t>2026-06</t>
        </is>
      </c>
      <c r="F1383" t="n">
        <v>8.81</v>
      </c>
      <c r="G1383" t="n">
        <v>10.4</v>
      </c>
      <c r="H1383">
        <f>הגדרות!B7</f>
        <v/>
      </c>
      <c r="I1383">
        <f>F1383*(1-H1383/100)*1.18</f>
        <v/>
      </c>
      <c r="J1383">
        <f>הגדרות!C7</f>
        <v/>
      </c>
      <c r="K1383">
        <f>הגדרות!D7</f>
        <v/>
      </c>
      <c r="L1383">
        <f>I1383*(1+J1383/100)+K1383</f>
        <v/>
      </c>
    </row>
    <row r="1384">
      <c r="A1384" t="inlineStr">
        <is>
          <t>מדי-מרקט</t>
        </is>
      </c>
      <c r="B1384" t="inlineStr">
        <is>
          <t>Dicloftil 0.1% 30X0.5Ml Sol</t>
        </is>
      </c>
      <c r="C1384" t="inlineStr">
        <is>
          <t>תרופות</t>
        </is>
      </c>
      <c r="D1384" t="inlineStr">
        <is>
          <t>5496564</t>
        </is>
      </c>
      <c r="E1384" t="inlineStr">
        <is>
          <t>2026-06</t>
        </is>
      </c>
      <c r="F1384" t="n">
        <v>43.05</v>
      </c>
      <c r="G1384" t="n">
        <v>50.8</v>
      </c>
      <c r="H1384">
        <f>הגדרות!B7</f>
        <v/>
      </c>
      <c r="I1384">
        <f>F1384*(1-H1384/100)*1.18</f>
        <v/>
      </c>
      <c r="J1384">
        <f>הגדרות!C7</f>
        <v/>
      </c>
      <c r="K1384">
        <f>הגדרות!D7</f>
        <v/>
      </c>
      <c r="L1384">
        <f>I1384*(1+J1384/100)+K1384</f>
        <v/>
      </c>
    </row>
    <row r="1385">
      <c r="A1385" t="inlineStr">
        <is>
          <t>מדי-מרקט</t>
        </is>
      </c>
      <c r="B1385" t="inlineStr">
        <is>
          <t>Dicloren / Diclovit 50G Gel -וולטרן גל'</t>
        </is>
      </c>
      <c r="C1385" t="inlineStr">
        <is>
          <t>תרופות</t>
        </is>
      </c>
      <c r="D1385" t="inlineStr">
        <is>
          <t>5003</t>
        </is>
      </c>
      <c r="E1385" t="inlineStr">
        <is>
          <t>2026-06</t>
        </is>
      </c>
      <c r="F1385" t="n">
        <v>9.32</v>
      </c>
      <c r="G1385" t="n">
        <v>11</v>
      </c>
      <c r="H1385">
        <f>הגדרות!B7</f>
        <v/>
      </c>
      <c r="I1385">
        <f>F1385*(1-H1385/100)*1.18</f>
        <v/>
      </c>
      <c r="J1385">
        <f>הגדרות!C7</f>
        <v/>
      </c>
      <c r="K1385">
        <f>הגדרות!D7</f>
        <v/>
      </c>
      <c r="L1385">
        <f>I1385*(1+J1385/100)+K1385</f>
        <v/>
      </c>
    </row>
    <row r="1386">
      <c r="A1386" t="inlineStr">
        <is>
          <t>מדי-מרקט</t>
        </is>
      </c>
      <c r="B1386" t="inlineStr">
        <is>
          <t>DIGOXIN דיגוקסין טב'  0.25 מ"ג 50 טב'</t>
        </is>
      </c>
      <c r="C1386" t="inlineStr">
        <is>
          <t>תרופות</t>
        </is>
      </c>
      <c r="D1386" t="inlineStr">
        <is>
          <t>5335</t>
        </is>
      </c>
      <c r="E1386" t="inlineStr">
        <is>
          <t>2026-06</t>
        </is>
      </c>
      <c r="F1386" t="n">
        <v>32.03</v>
      </c>
      <c r="G1386" t="n">
        <v>37.8</v>
      </c>
      <c r="H1386">
        <f>הגדרות!B7</f>
        <v/>
      </c>
      <c r="I1386">
        <f>F1386*(1-H1386/100)*1.18</f>
        <v/>
      </c>
      <c r="J1386">
        <f>הגדרות!C7</f>
        <v/>
      </c>
      <c r="K1386">
        <f>הגדרות!D7</f>
        <v/>
      </c>
      <c r="L1386">
        <f>I1386*(1+J1386/100)+K1386</f>
        <v/>
      </c>
    </row>
    <row r="1387">
      <c r="A1387" t="inlineStr">
        <is>
          <t>מדי-מרקט</t>
        </is>
      </c>
      <c r="B1387" t="inlineStr">
        <is>
          <t>Diluent 5.5 liter למעבדת 2800VET מינדריי V-28D</t>
        </is>
      </c>
      <c r="C1387" t="inlineStr">
        <is>
          <t>Mindray</t>
        </is>
      </c>
      <c r="D1387" t="inlineStr">
        <is>
          <t>68910</t>
        </is>
      </c>
      <c r="E1387" t="inlineStr">
        <is>
          <t>2026-06</t>
        </is>
      </c>
      <c r="F1387" t="n">
        <v>38.51</v>
      </c>
      <c r="G1387" t="n">
        <v>45.44</v>
      </c>
      <c r="H1387">
        <f>הגדרות!B7</f>
        <v/>
      </c>
      <c r="I1387">
        <f>F1387*(1-H1387/100)*1.18</f>
        <v/>
      </c>
      <c r="J1387">
        <f>הגדרות!C7</f>
        <v/>
      </c>
      <c r="K1387">
        <f>הגדרות!D7</f>
        <v/>
      </c>
      <c r="L1387">
        <f>I1387*(1+J1387/100)+K1387</f>
        <v/>
      </c>
    </row>
    <row r="1388">
      <c r="A1388" t="inlineStr">
        <is>
          <t>מדי-מרקט</t>
        </is>
      </c>
      <c r="B1388" t="inlineStr">
        <is>
          <t>Diluent 5.5 liter למעבדת מינדריי V-3D BC-30</t>
        </is>
      </c>
      <c r="C1388" t="inlineStr">
        <is>
          <t>Mindray</t>
        </is>
      </c>
      <c r="D1388" t="inlineStr">
        <is>
          <t>105-019145-00</t>
        </is>
      </c>
      <c r="E1388" t="inlineStr">
        <is>
          <t>2026-06</t>
        </is>
      </c>
      <c r="F1388" t="n">
        <v>39.62</v>
      </c>
      <c r="G1388" t="n">
        <v>46.75</v>
      </c>
      <c r="H1388">
        <f>הגדרות!B7</f>
        <v/>
      </c>
      <c r="I1388">
        <f>F1388*(1-H1388/100)*1.18</f>
        <v/>
      </c>
      <c r="J1388">
        <f>הגדרות!C7</f>
        <v/>
      </c>
      <c r="K1388">
        <f>הגדרות!D7</f>
        <v/>
      </c>
      <c r="L1388">
        <f>I1388*(1+J1388/100)+K1388</f>
        <v/>
      </c>
    </row>
    <row r="1389">
      <c r="A1389" t="inlineStr">
        <is>
          <t>מדי-מרקט</t>
        </is>
      </c>
      <c r="B1389" t="inlineStr">
        <is>
          <t>Diovan 160 Mg 28 Fct</t>
        </is>
      </c>
      <c r="C1389" t="inlineStr">
        <is>
          <t>תרופות</t>
        </is>
      </c>
      <c r="D1389" t="inlineStr">
        <is>
          <t>M023553</t>
        </is>
      </c>
      <c r="E1389" t="inlineStr">
        <is>
          <t>2026-06</t>
        </is>
      </c>
      <c r="F1389" t="n">
        <v>29.41</v>
      </c>
      <c r="G1389" t="n">
        <v>34.7</v>
      </c>
      <c r="H1389">
        <f>הגדרות!B7</f>
        <v/>
      </c>
      <c r="I1389">
        <f>F1389*(1-H1389/100)*1.18</f>
        <v/>
      </c>
      <c r="J1389">
        <f>הגדרות!C7</f>
        <v/>
      </c>
      <c r="K1389">
        <f>הגדרות!D7</f>
        <v/>
      </c>
      <c r="L1389">
        <f>I1389*(1+J1389/100)+K1389</f>
        <v/>
      </c>
    </row>
    <row r="1390">
      <c r="A1390" t="inlineStr">
        <is>
          <t>מדי-מרקט</t>
        </is>
      </c>
      <c r="B1390" t="inlineStr">
        <is>
          <t>Diovan 80 Mg 28 Fct</t>
        </is>
      </c>
      <c r="C1390" t="inlineStr">
        <is>
          <t>תרופות</t>
        </is>
      </c>
      <c r="D1390" t="inlineStr">
        <is>
          <t>M023552</t>
        </is>
      </c>
      <c r="E1390" t="inlineStr">
        <is>
          <t>2026-06</t>
        </is>
      </c>
      <c r="F1390" t="n">
        <v>20.34</v>
      </c>
      <c r="G1390" t="n">
        <v>24</v>
      </c>
      <c r="H1390">
        <f>הגדרות!B7</f>
        <v/>
      </c>
      <c r="I1390">
        <f>F1390*(1-H1390/100)*1.18</f>
        <v/>
      </c>
      <c r="J1390">
        <f>הגדרות!C7</f>
        <v/>
      </c>
      <c r="K1390">
        <f>הגדרות!D7</f>
        <v/>
      </c>
      <c r="L1390">
        <f>I1390*(1+J1390/100)+K1390</f>
        <v/>
      </c>
    </row>
    <row r="1391">
      <c r="A1391" t="inlineStr">
        <is>
          <t>מדי-מרקט</t>
        </is>
      </c>
      <c r="B1391" t="inlineStr">
        <is>
          <t>Dip Quick - 3 Colors Set For Coloring 3 X 500Ml</t>
        </is>
      </c>
      <c r="C1391" t="inlineStr">
        <is>
          <t>הכנות בית מרקחת</t>
        </is>
      </c>
      <c r="D1391" t="inlineStr">
        <is>
          <t>7543</t>
        </is>
      </c>
      <c r="E1391" t="inlineStr">
        <is>
          <t>2026-06</t>
        </is>
      </c>
      <c r="F1391" t="n">
        <v>271.19</v>
      </c>
      <c r="G1391" t="n">
        <v>320</v>
      </c>
      <c r="H1391">
        <f>הגדרות!B7</f>
        <v/>
      </c>
      <c r="I1391">
        <f>F1391*(1-H1391/100)*1.18</f>
        <v/>
      </c>
      <c r="J1391">
        <f>הגדרות!C7</f>
        <v/>
      </c>
      <c r="K1391">
        <f>הגדרות!D7</f>
        <v/>
      </c>
      <c r="L1391">
        <f>I1391*(1+J1391/100)+K1391</f>
        <v/>
      </c>
    </row>
    <row r="1392">
      <c r="A1392" t="inlineStr">
        <is>
          <t>מדי-מרקט</t>
        </is>
      </c>
      <c r="B1392" t="inlineStr">
        <is>
          <t>Dip Quick - blue Color For Coloring 500M</t>
        </is>
      </c>
      <c r="C1392" t="inlineStr">
        <is>
          <t>הכנות בית מרקחת</t>
        </is>
      </c>
      <c r="D1392" t="inlineStr">
        <is>
          <t>5781</t>
        </is>
      </c>
      <c r="E1392" t="inlineStr">
        <is>
          <t>2026-06</t>
        </is>
      </c>
      <c r="F1392" t="n">
        <v>203.39</v>
      </c>
      <c r="G1392" t="n">
        <v>240</v>
      </c>
      <c r="H1392">
        <f>הגדרות!B7</f>
        <v/>
      </c>
      <c r="I1392">
        <f>F1392*(1-H1392/100)*1.18</f>
        <v/>
      </c>
      <c r="J1392">
        <f>הגדרות!C7</f>
        <v/>
      </c>
      <c r="K1392">
        <f>הגדרות!D7</f>
        <v/>
      </c>
      <c r="L1392">
        <f>I1392*(1+J1392/100)+K1392</f>
        <v/>
      </c>
    </row>
    <row r="1393">
      <c r="A1393" t="inlineStr">
        <is>
          <t>מדי-מרקט</t>
        </is>
      </c>
      <c r="B1393" t="inlineStr">
        <is>
          <t>Dip Quick - Methanol Clear Color For Coloring 500M</t>
        </is>
      </c>
      <c r="C1393" t="inlineStr">
        <is>
          <t>הכנות בית מרקחת</t>
        </is>
      </c>
      <c r="D1393" t="inlineStr">
        <is>
          <t>57812</t>
        </is>
      </c>
      <c r="E1393" t="inlineStr">
        <is>
          <t>2026-06</t>
        </is>
      </c>
      <c r="F1393" t="n">
        <v>16.02</v>
      </c>
      <c r="G1393" t="n">
        <v>18.9</v>
      </c>
      <c r="H1393">
        <f>הגדרות!B7</f>
        <v/>
      </c>
      <c r="I1393">
        <f>F1393*(1-H1393/100)*1.18</f>
        <v/>
      </c>
      <c r="J1393">
        <f>הגדרות!C7</f>
        <v/>
      </c>
      <c r="K1393">
        <f>הגדרות!D7</f>
        <v/>
      </c>
      <c r="L1393">
        <f>I1393*(1+J1393/100)+K1393</f>
        <v/>
      </c>
    </row>
    <row r="1394">
      <c r="A1394" t="inlineStr">
        <is>
          <t>מדי-מרקט</t>
        </is>
      </c>
      <c r="B1394" t="inlineStr">
        <is>
          <t>Dip Quick - Red Color For Coloring 500M</t>
        </is>
      </c>
      <c r="C1394" t="inlineStr">
        <is>
          <t>הכנות בית מרקחת</t>
        </is>
      </c>
      <c r="D1394" t="inlineStr">
        <is>
          <t>57811</t>
        </is>
      </c>
      <c r="E1394" t="inlineStr">
        <is>
          <t>2026-06</t>
        </is>
      </c>
      <c r="F1394" t="n">
        <v>203.39</v>
      </c>
      <c r="G1394" t="n">
        <v>240</v>
      </c>
      <c r="H1394">
        <f>הגדרות!B7</f>
        <v/>
      </c>
      <c r="I1394">
        <f>F1394*(1-H1394/100)*1.18</f>
        <v/>
      </c>
      <c r="J1394">
        <f>הגדרות!C7</f>
        <v/>
      </c>
      <c r="K1394">
        <f>הגדרות!D7</f>
        <v/>
      </c>
      <c r="L1394">
        <f>I1394*(1+J1394/100)+K1394</f>
        <v/>
      </c>
    </row>
    <row r="1395">
      <c r="A1395" t="inlineStr">
        <is>
          <t>מדי-מרקט</t>
        </is>
      </c>
      <c r="B1395" t="inlineStr">
        <is>
          <t>Diphenhydramine 100Mg 100Tabs</t>
        </is>
      </c>
      <c r="C1395" t="inlineStr">
        <is>
          <t>הכנות בית מרקחת</t>
        </is>
      </c>
      <c r="D1395" t="inlineStr">
        <is>
          <t>51039</t>
        </is>
      </c>
      <c r="E1395" t="inlineStr">
        <is>
          <t>2026-06</t>
        </is>
      </c>
      <c r="F1395" t="n">
        <v>152.54</v>
      </c>
      <c r="G1395" t="n">
        <v>180</v>
      </c>
      <c r="H1395">
        <f>הגדרות!B7</f>
        <v/>
      </c>
      <c r="I1395">
        <f>F1395*(1-H1395/100)*1.18</f>
        <v/>
      </c>
      <c r="J1395">
        <f>הגדרות!C7</f>
        <v/>
      </c>
      <c r="K1395">
        <f>הגדרות!D7</f>
        <v/>
      </c>
      <c r="L1395">
        <f>I1395*(1+J1395/100)+K1395</f>
        <v/>
      </c>
    </row>
    <row r="1396">
      <c r="A1396" t="inlineStr">
        <is>
          <t>מדי-מרקט</t>
        </is>
      </c>
      <c r="B1396" t="inlineStr">
        <is>
          <t>Diphenhydramine 50Mg 100Tabs</t>
        </is>
      </c>
      <c r="C1396" t="inlineStr">
        <is>
          <t>הכנות בית מרקחת</t>
        </is>
      </c>
      <c r="D1396" t="inlineStr">
        <is>
          <t>51140</t>
        </is>
      </c>
      <c r="E1396" t="inlineStr">
        <is>
          <t>2026-06</t>
        </is>
      </c>
      <c r="F1396" t="n">
        <v>101.69</v>
      </c>
      <c r="G1396" t="n">
        <v>120</v>
      </c>
      <c r="H1396">
        <f>הגדרות!B7</f>
        <v/>
      </c>
      <c r="I1396">
        <f>F1396*(1-H1396/100)*1.18</f>
        <v/>
      </c>
      <c r="J1396">
        <f>הגדרות!C7</f>
        <v/>
      </c>
      <c r="K1396">
        <f>הגדרות!D7</f>
        <v/>
      </c>
      <c r="L1396">
        <f>I1396*(1+J1396/100)+K1396</f>
        <v/>
      </c>
    </row>
    <row r="1397">
      <c r="A1397" t="inlineStr">
        <is>
          <t>מדי-מרקט</t>
        </is>
      </c>
      <c r="B1397" t="inlineStr">
        <is>
          <t>Diprosalic 15Gr Oint</t>
        </is>
      </c>
      <c r="C1397" t="inlineStr">
        <is>
          <t>תרופות</t>
        </is>
      </c>
      <c r="D1397" t="inlineStr">
        <is>
          <t>4433</t>
        </is>
      </c>
      <c r="E1397" t="inlineStr">
        <is>
          <t>2026-06</t>
        </is>
      </c>
      <c r="F1397" t="n">
        <v>8.31</v>
      </c>
      <c r="G1397" t="n">
        <v>9.800000000000001</v>
      </c>
      <c r="H1397">
        <f>הגדרות!B7</f>
        <v/>
      </c>
      <c r="I1397">
        <f>F1397*(1-H1397/100)*1.18</f>
        <v/>
      </c>
      <c r="J1397">
        <f>הגדרות!C7</f>
        <v/>
      </c>
      <c r="K1397">
        <f>הגדרות!D7</f>
        <v/>
      </c>
      <c r="L1397">
        <f>I1397*(1+J1397/100)+K1397</f>
        <v/>
      </c>
    </row>
    <row r="1398">
      <c r="A1398" t="inlineStr">
        <is>
          <t>מדי-מרקט</t>
        </is>
      </c>
      <c r="B1398" t="inlineStr">
        <is>
          <t>Diprospan 1Ml Inj</t>
        </is>
      </c>
      <c r="C1398" t="inlineStr">
        <is>
          <t>תרופות</t>
        </is>
      </c>
      <c r="D1398" t="inlineStr">
        <is>
          <t>1680400676</t>
        </is>
      </c>
      <c r="E1398" t="inlineStr">
        <is>
          <t>2026-06</t>
        </is>
      </c>
      <c r="F1398" t="n">
        <v>15.68</v>
      </c>
      <c r="G1398" t="n">
        <v>18.5</v>
      </c>
      <c r="H1398">
        <f>הגדרות!B7</f>
        <v/>
      </c>
      <c r="I1398">
        <f>F1398*(1-H1398/100)*1.18</f>
        <v/>
      </c>
      <c r="J1398">
        <f>הגדרות!C7</f>
        <v/>
      </c>
      <c r="K1398">
        <f>הגדרות!D7</f>
        <v/>
      </c>
      <c r="L1398">
        <f>I1398*(1+J1398/100)+K1398</f>
        <v/>
      </c>
    </row>
    <row r="1399">
      <c r="A1399" t="inlineStr">
        <is>
          <t>מדי-מרקט</t>
        </is>
      </c>
      <c r="B1399" t="inlineStr">
        <is>
          <t>Diprospan דיפרוספאן 2 מ"ל להזרקה</t>
        </is>
      </c>
      <c r="C1399" t="inlineStr">
        <is>
          <t>תרופות</t>
        </is>
      </c>
      <c r="D1399" t="inlineStr">
        <is>
          <t>65774</t>
        </is>
      </c>
      <c r="E1399" t="inlineStr">
        <is>
          <t>2026-06</t>
        </is>
      </c>
      <c r="F1399" t="n">
        <v>22.71</v>
      </c>
      <c r="G1399" t="n">
        <v>26.8</v>
      </c>
      <c r="H1399">
        <f>הגדרות!B7</f>
        <v/>
      </c>
      <c r="I1399">
        <f>F1399*(1-H1399/100)*1.18</f>
        <v/>
      </c>
      <c r="J1399">
        <f>הגדרות!C7</f>
        <v/>
      </c>
      <c r="K1399">
        <f>הגדרות!D7</f>
        <v/>
      </c>
      <c r="L1399">
        <f>I1399*(1+J1399/100)+K1399</f>
        <v/>
      </c>
    </row>
    <row r="1400">
      <c r="A1400" t="inlineStr">
        <is>
          <t>מדי-מרקט</t>
        </is>
      </c>
      <c r="B1400" t="inlineStr">
        <is>
          <t>Dipyraz DROPS 20ML טיפות</t>
        </is>
      </c>
      <c r="C1400" t="inlineStr">
        <is>
          <t>תרופות</t>
        </is>
      </c>
      <c r="D1400" t="inlineStr">
        <is>
          <t>4846-1</t>
        </is>
      </c>
      <c r="E1400" t="inlineStr">
        <is>
          <t>2026-06</t>
        </is>
      </c>
      <c r="F1400" t="n">
        <v>8.220000000000001</v>
      </c>
      <c r="G1400" t="n">
        <v>9.699999999999999</v>
      </c>
      <c r="H1400">
        <f>הגדרות!B7</f>
        <v/>
      </c>
      <c r="I1400">
        <f>F1400*(1-H1400/100)*1.18</f>
        <v/>
      </c>
      <c r="J1400">
        <f>הגדרות!C7</f>
        <v/>
      </c>
      <c r="K1400">
        <f>הגדרות!D7</f>
        <v/>
      </c>
      <c r="L1400">
        <f>I1400*(1+J1400/100)+K1400</f>
        <v/>
      </c>
    </row>
    <row r="1401">
      <c r="A1401" t="inlineStr">
        <is>
          <t>מדי-מרקט</t>
        </is>
      </c>
      <c r="B1401" t="inlineStr">
        <is>
          <t>Dipyrone Kalceks 500Mg/Ml 2Ml X 10Amp (Il)</t>
        </is>
      </c>
      <c r="C1401" t="inlineStr">
        <is>
          <t>תרופות רשומות- מדי מרקט</t>
        </is>
      </c>
      <c r="D1401" t="inlineStr">
        <is>
          <t>365875</t>
        </is>
      </c>
      <c r="E1401" t="inlineStr">
        <is>
          <t>2026-06</t>
        </is>
      </c>
      <c r="F1401" t="n">
        <v>6.75</v>
      </c>
      <c r="G1401" t="n">
        <v>7.97</v>
      </c>
      <c r="H1401">
        <f>הגדרות!B7</f>
        <v/>
      </c>
      <c r="I1401">
        <f>F1401*(1-H1401/100)*1.18</f>
        <v/>
      </c>
      <c r="J1401">
        <f>הגדרות!C7</f>
        <v/>
      </c>
      <c r="K1401">
        <f>הגדרות!D7</f>
        <v/>
      </c>
      <c r="L1401">
        <f>I1401*(1+J1401/100)+K1401</f>
        <v/>
      </c>
    </row>
    <row r="1402">
      <c r="A1402" t="inlineStr">
        <is>
          <t>מדי-מרקט</t>
        </is>
      </c>
      <c r="B1402" t="inlineStr">
        <is>
          <t>Diseptyl Forte 10 Caps דיספטיל פורטה 10 קפס'</t>
        </is>
      </c>
      <c r="C1402" t="inlineStr">
        <is>
          <t>תרופות</t>
        </is>
      </c>
      <c r="D1402" t="inlineStr">
        <is>
          <t>8746</t>
        </is>
      </c>
      <c r="E1402" t="inlineStr">
        <is>
          <t>2026-06</t>
        </is>
      </c>
      <c r="F1402" t="n">
        <v>11.95</v>
      </c>
      <c r="G1402" t="n">
        <v>14.1</v>
      </c>
      <c r="H1402">
        <f>הגדרות!B7</f>
        <v/>
      </c>
      <c r="I1402">
        <f>F1402*(1-H1402/100)*1.18</f>
        <v/>
      </c>
      <c r="J1402">
        <f>הגדרות!C7</f>
        <v/>
      </c>
      <c r="K1402">
        <f>הגדרות!D7</f>
        <v/>
      </c>
      <c r="L1402">
        <f>I1402*(1+J1402/100)+K1402</f>
        <v/>
      </c>
    </row>
    <row r="1403">
      <c r="A1403" t="inlineStr">
        <is>
          <t>מדי-מרקט</t>
        </is>
      </c>
      <c r="B1403" t="inlineStr">
        <is>
          <t>Diseptyl Syrup 50Ml דיספטיל סירופ</t>
        </is>
      </c>
      <c r="C1403" t="inlineStr">
        <is>
          <t>תרופות</t>
        </is>
      </c>
      <c r="D1403" t="inlineStr">
        <is>
          <t>7431</t>
        </is>
      </c>
      <c r="E1403" t="inlineStr">
        <is>
          <t>2026-06</t>
        </is>
      </c>
      <c r="F1403" t="n">
        <v>8.81</v>
      </c>
      <c r="G1403" t="n">
        <v>10.4</v>
      </c>
      <c r="H1403">
        <f>הגדרות!B7</f>
        <v/>
      </c>
      <c r="I1403">
        <f>F1403*(1-H1403/100)*1.18</f>
        <v/>
      </c>
      <c r="J1403">
        <f>הגדרות!C7</f>
        <v/>
      </c>
      <c r="K1403">
        <f>הגדרות!D7</f>
        <v/>
      </c>
      <c r="L1403">
        <f>I1403*(1+J1403/100)+K1403</f>
        <v/>
      </c>
    </row>
    <row r="1404">
      <c r="A1404" t="inlineStr">
        <is>
          <t>מדי-מרקט</t>
        </is>
      </c>
      <c r="B1404" t="inlineStr">
        <is>
          <t>Disothiazide 25Mg X 30Tab</t>
        </is>
      </c>
      <c r="C1404" t="inlineStr">
        <is>
          <t>תרופות</t>
        </is>
      </c>
      <c r="D1404" t="inlineStr">
        <is>
          <t>12207</t>
        </is>
      </c>
      <c r="E1404" t="inlineStr">
        <is>
          <t>2026-06</t>
        </is>
      </c>
      <c r="F1404" t="n">
        <v>7.71</v>
      </c>
      <c r="G1404" t="n">
        <v>9.1</v>
      </c>
      <c r="H1404">
        <f>הגדרות!B7</f>
        <v/>
      </c>
      <c r="I1404">
        <f>F1404*(1-H1404/100)*1.18</f>
        <v/>
      </c>
      <c r="J1404">
        <f>הגדרות!C7</f>
        <v/>
      </c>
      <c r="K1404">
        <f>הגדרות!D7</f>
        <v/>
      </c>
      <c r="L1404">
        <f>I1404*(1+J1404/100)+K1404</f>
        <v/>
      </c>
    </row>
    <row r="1405">
      <c r="A1405" t="inlineStr">
        <is>
          <t>מדי-מרקט</t>
        </is>
      </c>
      <c r="B1405" t="inlineStr">
        <is>
          <t>Disposable Drape 38"*100" KVP שדה בגליל</t>
        </is>
      </c>
      <c r="C1405" t="inlineStr">
        <is>
          <t>KVP</t>
        </is>
      </c>
      <c r="D1405" t="inlineStr">
        <is>
          <t>DSD100</t>
        </is>
      </c>
      <c r="E1405" t="inlineStr">
        <is>
          <t>2026-06</t>
        </is>
      </c>
      <c r="F1405" t="n">
        <v>300.85</v>
      </c>
      <c r="G1405" t="n">
        <v>355</v>
      </c>
      <c r="H1405">
        <f>הגדרות!B7</f>
        <v/>
      </c>
      <c r="I1405">
        <f>F1405*(1-H1405/100)*1.18</f>
        <v/>
      </c>
      <c r="J1405">
        <f>הגדרות!C7</f>
        <v/>
      </c>
      <c r="K1405">
        <f>הגדרות!D7</f>
        <v/>
      </c>
      <c r="L1405">
        <f>I1405*(1+J1405/100)+K1405</f>
        <v/>
      </c>
    </row>
    <row r="1406">
      <c r="A1406" t="inlineStr">
        <is>
          <t>מדי-מרקט</t>
        </is>
      </c>
      <c r="B1406" t="inlineStr">
        <is>
          <t>Docetaxel Seacross  80 Mg ( 20Mg/Ml 4 Ml )(Il)</t>
        </is>
      </c>
      <c r="C1406" t="inlineStr">
        <is>
          <t>תרופות רשומות- מדי מרקט</t>
        </is>
      </c>
      <c r="D1406" t="inlineStr">
        <is>
          <t>258788</t>
        </is>
      </c>
      <c r="E1406" t="inlineStr">
        <is>
          <t>2026-06</t>
        </is>
      </c>
      <c r="F1406" t="n">
        <v>500</v>
      </c>
      <c r="G1406" t="n">
        <v>590</v>
      </c>
      <c r="H1406">
        <f>הגדרות!B7</f>
        <v/>
      </c>
      <c r="I1406">
        <f>F1406*(1-H1406/100)*1.18</f>
        <v/>
      </c>
      <c r="J1406">
        <f>הגדרות!C7</f>
        <v/>
      </c>
      <c r="K1406">
        <f>הגדרות!D7</f>
        <v/>
      </c>
      <c r="L1406">
        <f>I1406*(1+J1406/100)+K1406</f>
        <v/>
      </c>
    </row>
    <row r="1407">
      <c r="A1407" t="inlineStr">
        <is>
          <t>מדי-מרקט</t>
        </is>
      </c>
      <c r="B1407" t="inlineStr">
        <is>
          <t>Dog catheter Orange 8FG 2.6mmOD * 50cm</t>
        </is>
      </c>
      <c r="C1407" t="inlineStr">
        <is>
          <t>אדבינסיס ADVANCIS</t>
        </is>
      </c>
      <c r="D1407" t="inlineStr">
        <is>
          <t>BG1003</t>
        </is>
      </c>
      <c r="E1407" t="inlineStr">
        <is>
          <t>2026-06</t>
        </is>
      </c>
      <c r="F1407" t="n">
        <v>21.19</v>
      </c>
      <c r="G1407" t="n">
        <v>25</v>
      </c>
      <c r="H1407">
        <f>הגדרות!B7</f>
        <v/>
      </c>
      <c r="I1407">
        <f>F1407*(1-H1407/100)*1.18</f>
        <v/>
      </c>
      <c r="J1407">
        <f>הגדרות!C7</f>
        <v/>
      </c>
      <c r="K1407">
        <f>הגדרות!D7</f>
        <v/>
      </c>
      <c r="L1407">
        <f>I1407*(1+J1407/100)+K1407</f>
        <v/>
      </c>
    </row>
    <row r="1408">
      <c r="A1408" t="inlineStr">
        <is>
          <t>מדי-מרקט</t>
        </is>
      </c>
      <c r="B1408" t="inlineStr">
        <is>
          <t>Dog catheter Red 10FG 3.3mmOD * 50cm</t>
        </is>
      </c>
      <c r="C1408" t="inlineStr">
        <is>
          <t>אדבינסיס ADVANCIS</t>
        </is>
      </c>
      <c r="D1408" t="inlineStr">
        <is>
          <t>BG1004</t>
        </is>
      </c>
      <c r="E1408" t="inlineStr">
        <is>
          <t>2026-06</t>
        </is>
      </c>
      <c r="F1408" t="n">
        <v>21.19</v>
      </c>
      <c r="G1408" t="n">
        <v>25</v>
      </c>
      <c r="H1408">
        <f>הגדרות!B7</f>
        <v/>
      </c>
      <c r="I1408">
        <f>F1408*(1-H1408/100)*1.18</f>
        <v/>
      </c>
      <c r="J1408">
        <f>הגדרות!C7</f>
        <v/>
      </c>
      <c r="K1408">
        <f>הגדרות!D7</f>
        <v/>
      </c>
      <c r="L1408">
        <f>I1408*(1+J1408/100)+K1408</f>
        <v/>
      </c>
    </row>
    <row r="1409">
      <c r="A1409" t="inlineStr">
        <is>
          <t>מדי-מרקט</t>
        </is>
      </c>
      <c r="B1409" t="inlineStr">
        <is>
          <t>Dog catheter White 4FG 1.3mmOD * 50cm</t>
        </is>
      </c>
      <c r="C1409" t="inlineStr">
        <is>
          <t>אדבינסיס ADVANCIS</t>
        </is>
      </c>
      <c r="D1409" t="inlineStr">
        <is>
          <t>BG1001</t>
        </is>
      </c>
      <c r="E1409" t="inlineStr">
        <is>
          <t>2026-06</t>
        </is>
      </c>
      <c r="F1409" t="n">
        <v>21.19</v>
      </c>
      <c r="G1409" t="n">
        <v>25</v>
      </c>
      <c r="H1409">
        <f>הגדרות!B7</f>
        <v/>
      </c>
      <c r="I1409">
        <f>F1409*(1-H1409/100)*1.18</f>
        <v/>
      </c>
      <c r="J1409">
        <f>הגדרות!C7</f>
        <v/>
      </c>
      <c r="K1409">
        <f>הגדרות!D7</f>
        <v/>
      </c>
      <c r="L1409">
        <f>I1409*(1+J1409/100)+K1409</f>
        <v/>
      </c>
    </row>
    <row r="1410">
      <c r="A1410" t="inlineStr">
        <is>
          <t>מדי-מרקט</t>
        </is>
      </c>
      <c r="B1410" t="inlineStr">
        <is>
          <t>Dog catheter Yellow 6FG 2.0mmOD * 50cm</t>
        </is>
      </c>
      <c r="C1410" t="inlineStr">
        <is>
          <t>אדבינסיס ADVANCIS</t>
        </is>
      </c>
      <c r="D1410" t="inlineStr">
        <is>
          <t>BG1002</t>
        </is>
      </c>
      <c r="E1410" t="inlineStr">
        <is>
          <t>2026-06</t>
        </is>
      </c>
      <c r="F1410" t="n">
        <v>21.19</v>
      </c>
      <c r="G1410" t="n">
        <v>25</v>
      </c>
      <c r="H1410">
        <f>הגדרות!B7</f>
        <v/>
      </c>
      <c r="I1410">
        <f>F1410*(1-H1410/100)*1.18</f>
        <v/>
      </c>
      <c r="J1410">
        <f>הגדרות!C7</f>
        <v/>
      </c>
      <c r="K1410">
        <f>הגדרות!D7</f>
        <v/>
      </c>
      <c r="L1410">
        <f>I1410*(1+J1410/100)+K1410</f>
        <v/>
      </c>
    </row>
    <row r="1411">
      <c r="A1411" t="inlineStr">
        <is>
          <t>מדי-מרקט</t>
        </is>
      </c>
      <c r="B1411" t="inlineStr">
        <is>
          <t>Donepezil Teva 10Mg *30 Tab</t>
        </is>
      </c>
      <c r="C1411" t="inlineStr">
        <is>
          <t>תרופות</t>
        </is>
      </c>
      <c r="D1411" t="inlineStr">
        <is>
          <t>83045</t>
        </is>
      </c>
      <c r="E1411" t="inlineStr">
        <is>
          <t>2026-06</t>
        </is>
      </c>
      <c r="F1411" t="n">
        <v>48.05</v>
      </c>
      <c r="G1411" t="n">
        <v>56.7</v>
      </c>
      <c r="H1411">
        <f>הגדרות!B7</f>
        <v/>
      </c>
      <c r="I1411">
        <f>F1411*(1-H1411/100)*1.18</f>
        <v/>
      </c>
      <c r="J1411">
        <f>הגדרות!C7</f>
        <v/>
      </c>
      <c r="K1411">
        <f>הגדרות!D7</f>
        <v/>
      </c>
      <c r="L1411">
        <f>I1411*(1+J1411/100)+K1411</f>
        <v/>
      </c>
    </row>
    <row r="1412">
      <c r="A1412" t="inlineStr">
        <is>
          <t>מדי-מרקט</t>
        </is>
      </c>
      <c r="B1412" t="inlineStr">
        <is>
          <t>Donepezil Teva 5Mg *30 Tab</t>
        </is>
      </c>
      <c r="C1412" t="inlineStr">
        <is>
          <t>תרופות</t>
        </is>
      </c>
      <c r="D1412" t="inlineStr">
        <is>
          <t>83044</t>
        </is>
      </c>
      <c r="E1412" t="inlineStr">
        <is>
          <t>2026-06</t>
        </is>
      </c>
      <c r="F1412" t="n">
        <v>57.2</v>
      </c>
      <c r="G1412" t="n">
        <v>67.5</v>
      </c>
      <c r="H1412">
        <f>הגדרות!B7</f>
        <v/>
      </c>
      <c r="I1412">
        <f>F1412*(1-H1412/100)*1.18</f>
        <v/>
      </c>
      <c r="J1412">
        <f>הגדרות!C7</f>
        <v/>
      </c>
      <c r="K1412">
        <f>הגדרות!D7</f>
        <v/>
      </c>
      <c r="L1412">
        <f>I1412*(1+J1412/100)+K1412</f>
        <v/>
      </c>
    </row>
    <row r="1413">
      <c r="A1413" t="inlineStr">
        <is>
          <t>מדי-מרקט</t>
        </is>
      </c>
      <c r="B1413" t="inlineStr">
        <is>
          <t>Dopamine 40Mg/Ml 5Ml X 5 Amp</t>
        </is>
      </c>
      <c r="C1413" t="inlineStr">
        <is>
          <t>תרופות</t>
        </is>
      </c>
      <c r="D1413" t="inlineStr">
        <is>
          <t>648885</t>
        </is>
      </c>
      <c r="E1413" t="inlineStr">
        <is>
          <t>2026-06</t>
        </is>
      </c>
      <c r="F1413" t="n">
        <v>57.2</v>
      </c>
      <c r="G1413" t="n">
        <v>67.5</v>
      </c>
      <c r="H1413">
        <f>הגדרות!B7</f>
        <v/>
      </c>
      <c r="I1413">
        <f>F1413*(1-H1413/100)*1.18</f>
        <v/>
      </c>
      <c r="J1413">
        <f>הגדרות!C7</f>
        <v/>
      </c>
      <c r="K1413">
        <f>הגדרות!D7</f>
        <v/>
      </c>
      <c r="L1413">
        <f>I1413*(1+J1413/100)+K1413</f>
        <v/>
      </c>
    </row>
    <row r="1414">
      <c r="A1414" t="inlineStr">
        <is>
          <t>מדי-מרקט</t>
        </is>
      </c>
      <c r="B1414" t="inlineStr">
        <is>
          <t>Dopicar X 30 Tabs</t>
        </is>
      </c>
      <c r="C1414" t="inlineStr">
        <is>
          <t>תרופות</t>
        </is>
      </c>
      <c r="D1414" t="inlineStr">
        <is>
          <t>1215</t>
        </is>
      </c>
      <c r="E1414" t="inlineStr">
        <is>
          <t>2026-06</t>
        </is>
      </c>
      <c r="F1414" t="n">
        <v>19.24</v>
      </c>
      <c r="G1414" t="n">
        <v>22.7</v>
      </c>
      <c r="H1414">
        <f>הגדרות!B7</f>
        <v/>
      </c>
      <c r="I1414">
        <f>F1414*(1-H1414/100)*1.18</f>
        <v/>
      </c>
      <c r="J1414">
        <f>הגדרות!C7</f>
        <v/>
      </c>
      <c r="K1414">
        <f>הגדרות!D7</f>
        <v/>
      </c>
      <c r="L1414">
        <f>I1414*(1+J1414/100)+K1414</f>
        <v/>
      </c>
    </row>
    <row r="1415">
      <c r="A1415" t="inlineStr">
        <is>
          <t>מדי-מרקט</t>
        </is>
      </c>
      <c r="B1415" t="inlineStr">
        <is>
          <t>Dopram-V Veterinary  Inj 20Ml</t>
        </is>
      </c>
      <c r="C1415" t="inlineStr">
        <is>
          <t>29ג' וטרינרי</t>
        </is>
      </c>
      <c r="D1415" t="inlineStr">
        <is>
          <t>1146</t>
        </is>
      </c>
      <c r="E1415" t="inlineStr">
        <is>
          <t>2026-06</t>
        </is>
      </c>
      <c r="F1415" t="n">
        <v>211.86</v>
      </c>
      <c r="G1415" t="n">
        <v>250</v>
      </c>
      <c r="H1415">
        <f>הגדרות!B7</f>
        <v/>
      </c>
      <c r="I1415">
        <f>F1415*(1-H1415/100)*1.18</f>
        <v/>
      </c>
      <c r="J1415">
        <f>הגדרות!C7</f>
        <v/>
      </c>
      <c r="K1415">
        <f>הגדרות!D7</f>
        <v/>
      </c>
      <c r="L1415">
        <f>I1415*(1+J1415/100)+K1415</f>
        <v/>
      </c>
    </row>
    <row r="1416">
      <c r="A1416" t="inlineStr">
        <is>
          <t>מדי-מרקט</t>
        </is>
      </c>
      <c r="B1416" t="inlineStr">
        <is>
          <t>Dorzopt 20 Mg/Ml 5   Eye Drops(Il)</t>
        </is>
      </c>
      <c r="C1416" t="inlineStr">
        <is>
          <t>תרופות רשומות- מדי מרקט</t>
        </is>
      </c>
      <c r="D1416" t="inlineStr">
        <is>
          <t>25865</t>
        </is>
      </c>
      <c r="E1416" t="inlineStr">
        <is>
          <t>2026-06</t>
        </is>
      </c>
      <c r="F1416" t="n">
        <v>18.14</v>
      </c>
      <c r="G1416" t="n">
        <v>21.4</v>
      </c>
      <c r="H1416">
        <f>הגדרות!B7</f>
        <v/>
      </c>
      <c r="I1416">
        <f>F1416*(1-H1416/100)*1.18</f>
        <v/>
      </c>
      <c r="J1416">
        <f>הגדרות!C7</f>
        <v/>
      </c>
      <c r="K1416">
        <f>הגדרות!D7</f>
        <v/>
      </c>
      <c r="L1416">
        <f>I1416*(1+J1416/100)+K1416</f>
        <v/>
      </c>
    </row>
    <row r="1417">
      <c r="A1417" t="inlineStr">
        <is>
          <t>מדי-מרקט</t>
        </is>
      </c>
      <c r="B1417" t="inlineStr">
        <is>
          <t>DOUXO S3 CALM SHAMPOO 200 ML</t>
        </is>
      </c>
      <c r="C1417" t="inlineStr">
        <is>
          <t>מוצרים לטיפוח ונשיאת בע"ח</t>
        </is>
      </c>
      <c r="D1417" t="inlineStr">
        <is>
          <t>81-104</t>
        </is>
      </c>
      <c r="E1417" t="inlineStr">
        <is>
          <t>2026-06</t>
        </is>
      </c>
      <c r="F1417" t="n">
        <v>58.47</v>
      </c>
      <c r="G1417" t="n">
        <v>69</v>
      </c>
      <c r="H1417">
        <f>הגדרות!B7</f>
        <v/>
      </c>
      <c r="I1417">
        <f>F1417*(1-H1417/100)*1.18</f>
        <v/>
      </c>
      <c r="J1417">
        <f>הגדרות!C7</f>
        <v/>
      </c>
      <c r="K1417">
        <f>הגדרות!D7</f>
        <v/>
      </c>
      <c r="L1417">
        <f>I1417*(1+J1417/100)+K1417</f>
        <v/>
      </c>
    </row>
    <row r="1418">
      <c r="A1418" t="inlineStr">
        <is>
          <t>מדי-מרקט</t>
        </is>
      </c>
      <c r="B1418" t="inlineStr">
        <is>
          <t>DOUXO S3 CARE SHAMPOO 200 ML</t>
        </is>
      </c>
      <c r="C1418" t="inlineStr">
        <is>
          <t>מוצרים לטיפוח ונשיאת בע"ח</t>
        </is>
      </c>
      <c r="D1418" t="inlineStr">
        <is>
          <t>81-106</t>
        </is>
      </c>
      <c r="E1418" t="inlineStr">
        <is>
          <t>2026-06</t>
        </is>
      </c>
      <c r="F1418" t="n">
        <v>50</v>
      </c>
      <c r="G1418" t="n">
        <v>59</v>
      </c>
      <c r="H1418">
        <f>הגדרות!B7</f>
        <v/>
      </c>
      <c r="I1418">
        <f>F1418*(1-H1418/100)*1.18</f>
        <v/>
      </c>
      <c r="J1418">
        <f>הגדרות!C7</f>
        <v/>
      </c>
      <c r="K1418">
        <f>הגדרות!D7</f>
        <v/>
      </c>
      <c r="L1418">
        <f>I1418*(1+J1418/100)+K1418</f>
        <v/>
      </c>
    </row>
    <row r="1419">
      <c r="A1419" t="inlineStr">
        <is>
          <t>מדי-מרקט</t>
        </is>
      </c>
      <c r="B1419" t="inlineStr">
        <is>
          <t>DOUXO S3 PYO SHAMPOO 200 ML</t>
        </is>
      </c>
      <c r="C1419" t="inlineStr">
        <is>
          <t>מוצרים לטיפוח ונשיאת בע"ח</t>
        </is>
      </c>
      <c r="D1419" t="inlineStr">
        <is>
          <t>81-100</t>
        </is>
      </c>
      <c r="E1419" t="inlineStr">
        <is>
          <t>2026-06</t>
        </is>
      </c>
      <c r="F1419" t="n">
        <v>58.47</v>
      </c>
      <c r="G1419" t="n">
        <v>69</v>
      </c>
      <c r="H1419">
        <f>הגדרות!B7</f>
        <v/>
      </c>
      <c r="I1419">
        <f>F1419*(1-H1419/100)*1.18</f>
        <v/>
      </c>
      <c r="J1419">
        <f>הגדרות!C7</f>
        <v/>
      </c>
      <c r="K1419">
        <f>הגדרות!D7</f>
        <v/>
      </c>
      <c r="L1419">
        <f>I1419*(1+J1419/100)+K1419</f>
        <v/>
      </c>
    </row>
    <row r="1420">
      <c r="A1420" t="inlineStr">
        <is>
          <t>מדי-מרקט</t>
        </is>
      </c>
      <c r="B1420" t="inlineStr">
        <is>
          <t>DOUXO S3 SEB SHAMPOO 200 ML</t>
        </is>
      </c>
      <c r="C1420" t="inlineStr">
        <is>
          <t>מוצרים לטיפוח ונשיאת בע"ח</t>
        </is>
      </c>
      <c r="D1420" t="inlineStr">
        <is>
          <t>81-102</t>
        </is>
      </c>
      <c r="E1420" t="inlineStr">
        <is>
          <t>2026-06</t>
        </is>
      </c>
      <c r="F1420" t="n">
        <v>58.47</v>
      </c>
      <c r="G1420" t="n">
        <v>69</v>
      </c>
      <c r="H1420">
        <f>הגדרות!B7</f>
        <v/>
      </c>
      <c r="I1420">
        <f>F1420*(1-H1420/100)*1.18</f>
        <v/>
      </c>
      <c r="J1420">
        <f>הגדרות!C7</f>
        <v/>
      </c>
      <c r="K1420">
        <f>הגדרות!D7</f>
        <v/>
      </c>
      <c r="L1420">
        <f>I1420*(1+J1420/100)+K1420</f>
        <v/>
      </c>
    </row>
    <row r="1421">
      <c r="A1421" t="inlineStr">
        <is>
          <t>מדי-מרקט</t>
        </is>
      </c>
      <c r="B1421" t="inlineStr">
        <is>
          <t>Doxorubicin דוקסורוביצין 50 מ"ג 25 מ"ל 1 אמפ.</t>
        </is>
      </c>
      <c r="C1421" t="inlineStr">
        <is>
          <t>תרופות</t>
        </is>
      </c>
      <c r="D1421" t="inlineStr">
        <is>
          <t>463</t>
        </is>
      </c>
      <c r="E1421" t="inlineStr">
        <is>
          <t>2026-06</t>
        </is>
      </c>
      <c r="F1421" t="n">
        <v>166.95</v>
      </c>
      <c r="G1421" t="n">
        <v>197</v>
      </c>
      <c r="H1421">
        <f>הגדרות!B7</f>
        <v/>
      </c>
      <c r="I1421">
        <f>F1421*(1-H1421/100)*1.18</f>
        <v/>
      </c>
      <c r="J1421">
        <f>הגדרות!C7</f>
        <v/>
      </c>
      <c r="K1421">
        <f>הגדרות!D7</f>
        <v/>
      </c>
      <c r="L1421">
        <f>I1421*(1+J1421/100)+K1421</f>
        <v/>
      </c>
    </row>
    <row r="1422">
      <c r="A1422" t="inlineStr">
        <is>
          <t>מדי-מרקט</t>
        </is>
      </c>
      <c r="B1422" t="inlineStr">
        <is>
          <t>Doxycare Flavour 200Mg 100 Tablets</t>
        </is>
      </c>
      <c r="C1422" t="inlineStr">
        <is>
          <t>29ג' וטרינרי</t>
        </is>
      </c>
      <c r="D1422" t="inlineStr">
        <is>
          <t>40392</t>
        </is>
      </c>
      <c r="E1422" t="inlineStr">
        <is>
          <t>2026-06</t>
        </is>
      </c>
      <c r="F1422" t="n">
        <v>203.39</v>
      </c>
      <c r="G1422" t="n">
        <v>240</v>
      </c>
      <c r="H1422">
        <f>הגדרות!B7</f>
        <v/>
      </c>
      <c r="I1422">
        <f>F1422*(1-H1422/100)*1.18</f>
        <v/>
      </c>
      <c r="J1422">
        <f>הגדרות!C7</f>
        <v/>
      </c>
      <c r="K1422">
        <f>הגדרות!D7</f>
        <v/>
      </c>
      <c r="L1422">
        <f>I1422*(1+J1422/100)+K1422</f>
        <v/>
      </c>
    </row>
    <row r="1423">
      <c r="A1423" t="inlineStr">
        <is>
          <t>מדי-מרקט</t>
        </is>
      </c>
      <c r="B1423" t="inlineStr">
        <is>
          <t>Doxycare Flavour 40Mg 100 Tablets</t>
        </is>
      </c>
      <c r="C1423" t="inlineStr">
        <is>
          <t>29ג' וטרינרי</t>
        </is>
      </c>
      <c r="D1423" t="inlineStr">
        <is>
          <t>40390</t>
        </is>
      </c>
      <c r="E1423" t="inlineStr">
        <is>
          <t>2026-06</t>
        </is>
      </c>
      <c r="F1423" t="n">
        <v>81.36</v>
      </c>
      <c r="G1423" t="n">
        <v>96</v>
      </c>
      <c r="H1423">
        <f>הגדרות!B7</f>
        <v/>
      </c>
      <c r="I1423">
        <f>F1423*(1-H1423/100)*1.18</f>
        <v/>
      </c>
      <c r="J1423">
        <f>הגדרות!C7</f>
        <v/>
      </c>
      <c r="K1423">
        <f>הגדרות!D7</f>
        <v/>
      </c>
      <c r="L1423">
        <f>I1423*(1+J1423/100)+K1423</f>
        <v/>
      </c>
    </row>
    <row r="1424">
      <c r="A1424" t="inlineStr">
        <is>
          <t>מדי-מרקט</t>
        </is>
      </c>
      <c r="B1424" t="inlineStr">
        <is>
          <t>Doxycycline 200MG + VIT C 100 CAPS</t>
        </is>
      </c>
      <c r="C1424" t="inlineStr">
        <is>
          <t>הכנות בית מרקחת</t>
        </is>
      </c>
      <c r="D1424" t="inlineStr">
        <is>
          <t>6663</t>
        </is>
      </c>
      <c r="E1424" t="inlineStr">
        <is>
          <t>2026-06</t>
        </is>
      </c>
      <c r="F1424" t="n">
        <v>169.49</v>
      </c>
      <c r="G1424" t="n">
        <v>200</v>
      </c>
      <c r="H1424">
        <f>הגדרות!B7</f>
        <v/>
      </c>
      <c r="I1424">
        <f>F1424*(1-H1424/100)*1.18</f>
        <v/>
      </c>
      <c r="J1424">
        <f>הגדרות!C7</f>
        <v/>
      </c>
      <c r="K1424">
        <f>הגדרות!D7</f>
        <v/>
      </c>
      <c r="L1424">
        <f>I1424*(1+J1424/100)+K1424</f>
        <v/>
      </c>
    </row>
    <row r="1425">
      <c r="A1425" t="inlineStr">
        <is>
          <t>מדי-מרקט</t>
        </is>
      </c>
      <c r="B1425" t="inlineStr">
        <is>
          <t>Doxylin 100Mg X 10Tabs</t>
        </is>
      </c>
      <c r="C1425" t="inlineStr">
        <is>
          <t>תרופות</t>
        </is>
      </c>
      <c r="D1425" t="inlineStr">
        <is>
          <t>8644</t>
        </is>
      </c>
      <c r="E1425" t="inlineStr">
        <is>
          <t>2026-06</t>
        </is>
      </c>
      <c r="F1425" t="n">
        <v>8.5</v>
      </c>
      <c r="G1425" t="n">
        <v>10.03</v>
      </c>
      <c r="H1425">
        <f>הגדרות!B7</f>
        <v/>
      </c>
      <c r="I1425">
        <f>F1425*(1-H1425/100)*1.18</f>
        <v/>
      </c>
      <c r="J1425">
        <f>הגדרות!C7</f>
        <v/>
      </c>
      <c r="K1425">
        <f>הגדרות!D7</f>
        <v/>
      </c>
      <c r="L1425">
        <f>I1425*(1+J1425/100)+K1425</f>
        <v/>
      </c>
    </row>
    <row r="1426">
      <c r="A1426" t="inlineStr">
        <is>
          <t>מדי-מרקט</t>
        </is>
      </c>
      <c r="B1426" t="inlineStr">
        <is>
          <t>DOXYVAL 100MG 20X10T DOXYCYCLINE  200 TAB</t>
        </is>
      </c>
      <c r="C1426" t="inlineStr">
        <is>
          <t>29ג' וטרינרי CEVA</t>
        </is>
      </c>
      <c r="D1426" t="inlineStr">
        <is>
          <t>F25820B</t>
        </is>
      </c>
      <c r="E1426" t="inlineStr">
        <is>
          <t>2026-06</t>
        </is>
      </c>
      <c r="F1426" t="n">
        <v>325.42</v>
      </c>
      <c r="G1426" t="n">
        <v>384</v>
      </c>
      <c r="H1426">
        <f>הגדרות!B7</f>
        <v/>
      </c>
      <c r="I1426">
        <f>F1426*(1-H1426/100)*1.18</f>
        <v/>
      </c>
      <c r="J1426">
        <f>הגדרות!C7</f>
        <v/>
      </c>
      <c r="K1426">
        <f>הגדרות!D7</f>
        <v/>
      </c>
      <c r="L1426">
        <f>I1426*(1+J1426/100)+K1426</f>
        <v/>
      </c>
    </row>
    <row r="1427">
      <c r="A1427" t="inlineStr">
        <is>
          <t>מדי-מרקט</t>
        </is>
      </c>
      <c r="B1427" t="inlineStr">
        <is>
          <t>DOXYVAL 20MG 24X12T DOXYCYCLINE  288 TAB</t>
        </is>
      </c>
      <c r="C1427" t="inlineStr">
        <is>
          <t>29ג' וטרינרי CEVA</t>
        </is>
      </c>
      <c r="D1427" t="inlineStr">
        <is>
          <t>F25920B</t>
        </is>
      </c>
      <c r="E1427" t="inlineStr">
        <is>
          <t>2026-06</t>
        </is>
      </c>
      <c r="F1427" t="n">
        <v>186.44</v>
      </c>
      <c r="G1427" t="n">
        <v>220</v>
      </c>
      <c r="H1427">
        <f>הגדרות!B7</f>
        <v/>
      </c>
      <c r="I1427">
        <f>F1427*(1-H1427/100)*1.18</f>
        <v/>
      </c>
      <c r="J1427">
        <f>הגדרות!C7</f>
        <v/>
      </c>
      <c r="K1427">
        <f>הגדרות!D7</f>
        <v/>
      </c>
      <c r="L1427">
        <f>I1427*(1+J1427/100)+K1427</f>
        <v/>
      </c>
    </row>
    <row r="1428">
      <c r="A1428" t="inlineStr">
        <is>
          <t>מדי-מרקט</t>
        </is>
      </c>
      <c r="B1428" t="inlineStr">
        <is>
          <t>DOXYVAL 250MG 20X10T DOXYCYCLINE  200 TAB</t>
        </is>
      </c>
      <c r="C1428" t="inlineStr">
        <is>
          <t>29ג' וטרינרי CEVA</t>
        </is>
      </c>
      <c r="D1428" t="inlineStr">
        <is>
          <t>F26020B</t>
        </is>
      </c>
      <c r="E1428" t="inlineStr">
        <is>
          <t>2026-06</t>
        </is>
      </c>
      <c r="F1428" t="n">
        <v>409.32</v>
      </c>
      <c r="G1428" t="n">
        <v>483</v>
      </c>
      <c r="H1428">
        <f>הגדרות!B7</f>
        <v/>
      </c>
      <c r="I1428">
        <f>F1428*(1-H1428/100)*1.18</f>
        <v/>
      </c>
      <c r="J1428">
        <f>הגדרות!C7</f>
        <v/>
      </c>
      <c r="K1428">
        <f>הגדרות!D7</f>
        <v/>
      </c>
      <c r="L1428">
        <f>I1428*(1+J1428/100)+K1428</f>
        <v/>
      </c>
    </row>
    <row r="1429">
      <c r="A1429" t="inlineStr">
        <is>
          <t>מדי-מרקט</t>
        </is>
      </c>
      <c r="B1429" t="inlineStr">
        <is>
          <t>Dryline II water trap CO2 umec12 vet מיכל נוזלים קפנו מבוגר</t>
        </is>
      </c>
      <c r="C1429" t="inlineStr">
        <is>
          <t>Mindray</t>
        </is>
      </c>
      <c r="D1429" t="inlineStr">
        <is>
          <t>115-043024-00</t>
        </is>
      </c>
      <c r="E1429" t="inlineStr">
        <is>
          <t>2026-06</t>
        </is>
      </c>
      <c r="F1429" t="n">
        <v>127.12</v>
      </c>
      <c r="G1429" t="n">
        <v>150</v>
      </c>
      <c r="H1429">
        <f>הגדרות!B7</f>
        <v/>
      </c>
      <c r="I1429">
        <f>F1429*(1-H1429/100)*1.18</f>
        <v/>
      </c>
      <c r="J1429">
        <f>הגדרות!C7</f>
        <v/>
      </c>
      <c r="K1429">
        <f>הגדרות!D7</f>
        <v/>
      </c>
      <c r="L1429">
        <f>I1429*(1+J1429/100)+K1429</f>
        <v/>
      </c>
    </row>
    <row r="1430">
      <c r="A1430" t="inlineStr">
        <is>
          <t>מדי-מרקט</t>
        </is>
      </c>
      <c r="B1430" t="inlineStr">
        <is>
          <t>Duoresp Spiromax Inhaler 160/4.5 Mcg</t>
        </is>
      </c>
      <c r="C1430" t="inlineStr">
        <is>
          <t>תרופות</t>
        </is>
      </c>
      <c r="D1430" t="inlineStr">
        <is>
          <t>42652</t>
        </is>
      </c>
      <c r="E1430" t="inlineStr">
        <is>
          <t>2026-06</t>
        </is>
      </c>
      <c r="F1430" t="n">
        <v>135.29</v>
      </c>
      <c r="G1430" t="n">
        <v>159.64</v>
      </c>
      <c r="H1430">
        <f>הגדרות!B7</f>
        <v/>
      </c>
      <c r="I1430">
        <f>F1430*(1-H1430/100)*1.18</f>
        <v/>
      </c>
      <c r="J1430">
        <f>הגדרות!C7</f>
        <v/>
      </c>
      <c r="K1430">
        <f>הגדרות!D7</f>
        <v/>
      </c>
      <c r="L1430">
        <f>I1430*(1+J1430/100)+K1430</f>
        <v/>
      </c>
    </row>
    <row r="1431">
      <c r="A1431" t="inlineStr">
        <is>
          <t>מדי-מרקט</t>
        </is>
      </c>
      <c r="B1431" t="inlineStr">
        <is>
          <t>Duoresp Spiromax Inhaler 320/9 Mcg</t>
        </is>
      </c>
      <c r="C1431" t="inlineStr">
        <is>
          <t>תרופות</t>
        </is>
      </c>
      <c r="D1431" t="inlineStr">
        <is>
          <t>12653</t>
        </is>
      </c>
      <c r="E1431" t="inlineStr">
        <is>
          <t>2026-06</t>
        </is>
      </c>
      <c r="F1431" t="n">
        <v>132.97</v>
      </c>
      <c r="G1431" t="n">
        <v>156.9</v>
      </c>
      <c r="H1431">
        <f>הגדרות!B7</f>
        <v/>
      </c>
      <c r="I1431">
        <f>F1431*(1-H1431/100)*1.18</f>
        <v/>
      </c>
      <c r="J1431">
        <f>הגדרות!C7</f>
        <v/>
      </c>
      <c r="K1431">
        <f>הגדרות!D7</f>
        <v/>
      </c>
      <c r="L1431">
        <f>I1431*(1+J1431/100)+K1431</f>
        <v/>
      </c>
    </row>
    <row r="1432">
      <c r="A1432" t="inlineStr">
        <is>
          <t>מדי-מרקט</t>
        </is>
      </c>
      <c r="B1432" t="inlineStr">
        <is>
          <t>DUPIXENT 300MG/2ML2PS 29C</t>
        </is>
      </c>
      <c r="C1432" t="inlineStr">
        <is>
          <t>תרופות</t>
        </is>
      </c>
      <c r="D1432" t="inlineStr">
        <is>
          <t>04678</t>
        </is>
      </c>
      <c r="E1432" t="inlineStr">
        <is>
          <t>2026-06</t>
        </is>
      </c>
      <c r="F1432" t="n">
        <v>4796.61</v>
      </c>
      <c r="G1432" t="n">
        <v>5660</v>
      </c>
      <c r="H1432">
        <f>הגדרות!B7</f>
        <v/>
      </c>
      <c r="I1432">
        <f>F1432*(1-H1432/100)*1.18</f>
        <v/>
      </c>
      <c r="J1432">
        <f>הגדרות!C7</f>
        <v/>
      </c>
      <c r="K1432">
        <f>הגדרות!D7</f>
        <v/>
      </c>
      <c r="L1432">
        <f>I1432*(1+J1432/100)+K1432</f>
        <v/>
      </c>
    </row>
    <row r="1433">
      <c r="A1433" t="inlineStr">
        <is>
          <t>מדי-מרקט</t>
        </is>
      </c>
      <c r="B1433" t="inlineStr">
        <is>
          <t>E-Z cleanser 100ml למעבדת 2800VET מינדריי V-28E</t>
        </is>
      </c>
      <c r="C1433" t="inlineStr">
        <is>
          <t>Mindray</t>
        </is>
      </c>
      <c r="D1433" t="inlineStr">
        <is>
          <t>68914</t>
        </is>
      </c>
      <c r="E1433" t="inlineStr">
        <is>
          <t>2026-06</t>
        </is>
      </c>
      <c r="F1433" t="n">
        <v>65.08</v>
      </c>
      <c r="G1433" t="n">
        <v>76.79000000000001</v>
      </c>
      <c r="H1433">
        <f>הגדרות!B7</f>
        <v/>
      </c>
      <c r="I1433">
        <f>F1433*(1-H1433/100)*1.18</f>
        <v/>
      </c>
      <c r="J1433">
        <f>הגדרות!C7</f>
        <v/>
      </c>
      <c r="K1433">
        <f>הגדרות!D7</f>
        <v/>
      </c>
      <c r="L1433">
        <f>I1433*(1+J1433/100)+K1433</f>
        <v/>
      </c>
    </row>
    <row r="1434">
      <c r="A1434" t="inlineStr">
        <is>
          <t>מדי-מרקט</t>
        </is>
      </c>
      <c r="B1434" t="inlineStr">
        <is>
          <t>Easy Go Enema 180Ml- איזי גו 180</t>
        </is>
      </c>
      <c r="C1434" t="inlineStr">
        <is>
          <t>תרופות</t>
        </is>
      </c>
      <c r="D1434" t="inlineStr">
        <is>
          <t>18032</t>
        </is>
      </c>
      <c r="E1434" t="inlineStr">
        <is>
          <t>2026-06</t>
        </is>
      </c>
      <c r="F1434" t="n">
        <v>6.3</v>
      </c>
      <c r="G1434" t="n">
        <v>7.43</v>
      </c>
      <c r="H1434">
        <f>הגדרות!B7</f>
        <v/>
      </c>
      <c r="I1434">
        <f>F1434*(1-H1434/100)*1.18</f>
        <v/>
      </c>
      <c r="J1434">
        <f>הגדרות!C7</f>
        <v/>
      </c>
      <c r="K1434">
        <f>הגדרות!D7</f>
        <v/>
      </c>
      <c r="L1434">
        <f>I1434*(1+J1434/100)+K1434</f>
        <v/>
      </c>
    </row>
    <row r="1435">
      <c r="A1435" t="inlineStr">
        <is>
          <t>מדי-מרקט</t>
        </is>
      </c>
      <c r="B1435" t="inlineStr">
        <is>
          <t>Easy Go Micro Enema 8Ml*4- איזי גו מיקרו אנמה</t>
        </is>
      </c>
      <c r="C1435" t="inlineStr">
        <is>
          <t>תרופות</t>
        </is>
      </c>
      <c r="D1435" t="inlineStr">
        <is>
          <t>18034</t>
        </is>
      </c>
      <c r="E1435" t="inlineStr">
        <is>
          <t>2026-06</t>
        </is>
      </c>
      <c r="F1435" t="n">
        <v>9.15</v>
      </c>
      <c r="G1435" t="n">
        <v>10.8</v>
      </c>
      <c r="H1435">
        <f>הגדרות!B7</f>
        <v/>
      </c>
      <c r="I1435">
        <f>F1435*(1-H1435/100)*1.18</f>
        <v/>
      </c>
      <c r="J1435">
        <f>הגדרות!C7</f>
        <v/>
      </c>
      <c r="K1435">
        <f>הגדרות!D7</f>
        <v/>
      </c>
      <c r="L1435">
        <f>I1435*(1+J1435/100)+K1435</f>
        <v/>
      </c>
    </row>
    <row r="1436">
      <c r="A1436" t="inlineStr">
        <is>
          <t>מדי-מרקט</t>
        </is>
      </c>
      <c r="B1436" t="inlineStr">
        <is>
          <t>ECG Cable 3 lead for Innomed</t>
        </is>
      </c>
      <c r="C1436" t="inlineStr">
        <is>
          <t>ציוד ומכשור רפואי</t>
        </is>
      </c>
      <c r="D1436" t="inlineStr">
        <is>
          <t>5898566</t>
        </is>
      </c>
      <c r="E1436" t="inlineStr">
        <is>
          <t>2026-06</t>
        </is>
      </c>
      <c r="F1436" t="n">
        <v>1466.1</v>
      </c>
      <c r="G1436" t="n">
        <v>1730</v>
      </c>
      <c r="H1436">
        <f>הגדרות!B7</f>
        <v/>
      </c>
      <c r="I1436">
        <f>F1436*(1-H1436/100)*1.18</f>
        <v/>
      </c>
      <c r="J1436">
        <f>הגדרות!C7</f>
        <v/>
      </c>
      <c r="K1436">
        <f>הגדרות!D7</f>
        <v/>
      </c>
      <c r="L1436">
        <f>I1436*(1+J1436/100)+K1436</f>
        <v/>
      </c>
    </row>
    <row r="1437">
      <c r="A1437" t="inlineStr">
        <is>
          <t>מדי-מרקט</t>
        </is>
      </c>
      <c r="B1437" t="inlineStr">
        <is>
          <t>ElectroRice Strawberry 7.7G  אבקה למניעת התייבשות</t>
        </is>
      </c>
      <c r="C1437" t="inlineStr">
        <is>
          <t>תרופות</t>
        </is>
      </c>
      <c r="D1437" t="inlineStr">
        <is>
          <t>985639</t>
        </is>
      </c>
      <c r="E1437" t="inlineStr">
        <is>
          <t>2026-06</t>
        </is>
      </c>
      <c r="F1437" t="n">
        <v>18.64</v>
      </c>
      <c r="G1437" t="n">
        <v>22</v>
      </c>
      <c r="H1437">
        <f>הגדרות!B7</f>
        <v/>
      </c>
      <c r="I1437">
        <f>F1437*(1-H1437/100)*1.18</f>
        <v/>
      </c>
      <c r="J1437">
        <f>הגדרות!C7</f>
        <v/>
      </c>
      <c r="K1437">
        <f>הגדרות!D7</f>
        <v/>
      </c>
      <c r="L1437">
        <f>I1437*(1+J1437/100)+K1437</f>
        <v/>
      </c>
    </row>
    <row r="1438">
      <c r="A1438" t="inlineStr">
        <is>
          <t>מדי-מרקט</t>
        </is>
      </c>
      <c r="B1438" t="inlineStr">
        <is>
          <t>Eliquis 2.5Mg X 60Tab</t>
        </is>
      </c>
      <c r="C1438" t="inlineStr">
        <is>
          <t>תרופות</t>
        </is>
      </c>
      <c r="D1438" t="inlineStr">
        <is>
          <t>105526</t>
        </is>
      </c>
      <c r="E1438" t="inlineStr">
        <is>
          <t>2026-06</t>
        </is>
      </c>
      <c r="F1438" t="n">
        <v>249.15</v>
      </c>
      <c r="G1438" t="n">
        <v>294</v>
      </c>
      <c r="H1438">
        <f>הגדרות!B7</f>
        <v/>
      </c>
      <c r="I1438">
        <f>F1438*(1-H1438/100)*1.18</f>
        <v/>
      </c>
      <c r="J1438">
        <f>הגדרות!C7</f>
        <v/>
      </c>
      <c r="K1438">
        <f>הגדרות!D7</f>
        <v/>
      </c>
      <c r="L1438">
        <f>I1438*(1+J1438/100)+K1438</f>
        <v/>
      </c>
    </row>
    <row r="1439">
      <c r="A1439" t="inlineStr">
        <is>
          <t>מדי-מרקט</t>
        </is>
      </c>
      <c r="B1439" t="inlineStr">
        <is>
          <t>Elocom Cr 15 Gr</t>
        </is>
      </c>
      <c r="C1439" t="inlineStr">
        <is>
          <t>תרופות</t>
        </is>
      </c>
      <c r="D1439" t="inlineStr">
        <is>
          <t>22363</t>
        </is>
      </c>
      <c r="E1439" t="inlineStr">
        <is>
          <t>2026-06</t>
        </is>
      </c>
      <c r="F1439" t="n">
        <v>7.78</v>
      </c>
      <c r="G1439" t="n">
        <v>9.18</v>
      </c>
      <c r="H1439">
        <f>הגדרות!B7</f>
        <v/>
      </c>
      <c r="I1439">
        <f>F1439*(1-H1439/100)*1.18</f>
        <v/>
      </c>
      <c r="J1439">
        <f>הגדרות!C7</f>
        <v/>
      </c>
      <c r="K1439">
        <f>הגדרות!D7</f>
        <v/>
      </c>
      <c r="L1439">
        <f>I1439*(1+J1439/100)+K1439</f>
        <v/>
      </c>
    </row>
    <row r="1440">
      <c r="A1440" t="inlineStr">
        <is>
          <t>מדי-מרקט</t>
        </is>
      </c>
      <c r="B1440" t="inlineStr">
        <is>
          <t>Elocom Oint 15 Gr</t>
        </is>
      </c>
      <c r="C1440" t="inlineStr">
        <is>
          <t>תרופות</t>
        </is>
      </c>
      <c r="D1440" t="inlineStr">
        <is>
          <t>226659</t>
        </is>
      </c>
      <c r="E1440" t="inlineStr">
        <is>
          <t>2026-06</t>
        </is>
      </c>
      <c r="F1440" t="n">
        <v>8.050000000000001</v>
      </c>
      <c r="G1440" t="n">
        <v>9.5</v>
      </c>
      <c r="H1440">
        <f>הגדרות!B7</f>
        <v/>
      </c>
      <c r="I1440">
        <f>F1440*(1-H1440/100)*1.18</f>
        <v/>
      </c>
      <c r="J1440">
        <f>הגדרות!C7</f>
        <v/>
      </c>
      <c r="K1440">
        <f>הגדרות!D7</f>
        <v/>
      </c>
      <c r="L1440">
        <f>I1440*(1+J1440/100)+K1440</f>
        <v/>
      </c>
    </row>
    <row r="1441">
      <c r="A1441" t="inlineStr">
        <is>
          <t>מדי-מרקט</t>
        </is>
      </c>
      <c r="B1441" t="inlineStr">
        <is>
          <t>Eltroxin 100Mcg X 100Tabs</t>
        </is>
      </c>
      <c r="C1441" t="inlineStr">
        <is>
          <t>תרופות</t>
        </is>
      </c>
      <c r="D1441" t="inlineStr">
        <is>
          <t>5040</t>
        </is>
      </c>
      <c r="E1441" t="inlineStr">
        <is>
          <t>2026-06</t>
        </is>
      </c>
      <c r="F1441" t="n">
        <v>21.61</v>
      </c>
      <c r="G1441" t="n">
        <v>25.5</v>
      </c>
      <c r="H1441">
        <f>הגדרות!B7</f>
        <v/>
      </c>
      <c r="I1441">
        <f>F1441*(1-H1441/100)*1.18</f>
        <v/>
      </c>
      <c r="J1441">
        <f>הגדרות!C7</f>
        <v/>
      </c>
      <c r="K1441">
        <f>הגדרות!D7</f>
        <v/>
      </c>
      <c r="L1441">
        <f>I1441*(1+J1441/100)+K1441</f>
        <v/>
      </c>
    </row>
    <row r="1442">
      <c r="A1442" t="inlineStr">
        <is>
          <t>מדי-מרקט</t>
        </is>
      </c>
      <c r="B1442" t="inlineStr">
        <is>
          <t>Eltroxin 50Mcg X 100Tabs</t>
        </is>
      </c>
      <c r="C1442" t="inlineStr">
        <is>
          <t>תרופות</t>
        </is>
      </c>
      <c r="D1442" t="inlineStr">
        <is>
          <t>4471</t>
        </is>
      </c>
      <c r="E1442" t="inlineStr">
        <is>
          <t>2026-06</t>
        </is>
      </c>
      <c r="F1442" t="n">
        <v>16.27</v>
      </c>
      <c r="G1442" t="n">
        <v>19.2</v>
      </c>
      <c r="H1442">
        <f>הגדרות!B7</f>
        <v/>
      </c>
      <c r="I1442">
        <f>F1442*(1-H1442/100)*1.18</f>
        <v/>
      </c>
      <c r="J1442">
        <f>הגדרות!C7</f>
        <v/>
      </c>
      <c r="K1442">
        <f>הגדרות!D7</f>
        <v/>
      </c>
      <c r="L1442">
        <f>I1442*(1+J1442/100)+K1442</f>
        <v/>
      </c>
    </row>
    <row r="1443">
      <c r="A1443" t="inlineStr">
        <is>
          <t>מדי-מרקט</t>
        </is>
      </c>
      <c r="B1443" t="inlineStr">
        <is>
          <t>Emla קרם אמלה 30 גר'/ Lidopri Avenir</t>
        </is>
      </c>
      <c r="C1443" t="inlineStr">
        <is>
          <t>תרופות</t>
        </is>
      </c>
      <c r="D1443" t="inlineStr">
        <is>
          <t>16515</t>
        </is>
      </c>
      <c r="E1443" t="inlineStr">
        <is>
          <t>2026-06</t>
        </is>
      </c>
      <c r="F1443" t="n">
        <v>43.47</v>
      </c>
      <c r="G1443" t="n">
        <v>51.3</v>
      </c>
      <c r="H1443">
        <f>הגדרות!B7</f>
        <v/>
      </c>
      <c r="I1443">
        <f>F1443*(1-H1443/100)*1.18</f>
        <v/>
      </c>
      <c r="J1443">
        <f>הגדרות!C7</f>
        <v/>
      </c>
      <c r="K1443">
        <f>הגדרות!D7</f>
        <v/>
      </c>
      <c r="L1443">
        <f>I1443*(1+J1443/100)+K1443</f>
        <v/>
      </c>
    </row>
    <row r="1444">
      <c r="A1444" t="inlineStr">
        <is>
          <t>מדי-מרקט</t>
        </is>
      </c>
      <c r="B1444" t="inlineStr">
        <is>
          <t>Emol-Med.Bath Oil 200Ml - שמן תינוקות</t>
        </is>
      </c>
      <c r="C1444" t="inlineStr">
        <is>
          <t>תרופות</t>
        </is>
      </c>
      <c r="D1444" t="inlineStr">
        <is>
          <t>12689</t>
        </is>
      </c>
      <c r="E1444" t="inlineStr">
        <is>
          <t>2026-06</t>
        </is>
      </c>
      <c r="F1444" t="n">
        <v>18.02</v>
      </c>
      <c r="G1444" t="n">
        <v>21.26</v>
      </c>
      <c r="H1444">
        <f>הגדרות!B7</f>
        <v/>
      </c>
      <c r="I1444">
        <f>F1444*(1-H1444/100)*1.18</f>
        <v/>
      </c>
      <c r="J1444">
        <f>הגדרות!C7</f>
        <v/>
      </c>
      <c r="K1444">
        <f>הגדרות!D7</f>
        <v/>
      </c>
      <c r="L1444">
        <f>I1444*(1+J1444/100)+K1444</f>
        <v/>
      </c>
    </row>
    <row r="1445">
      <c r="A1445" t="inlineStr">
        <is>
          <t>מדי-מרקט</t>
        </is>
      </c>
      <c r="B1445" t="inlineStr">
        <is>
          <t>Enaladex 20Mg  X 30Tab</t>
        </is>
      </c>
      <c r="C1445" t="inlineStr">
        <is>
          <t>תרופות</t>
        </is>
      </c>
      <c r="D1445" t="inlineStr">
        <is>
          <t>10241</t>
        </is>
      </c>
      <c r="E1445" t="inlineStr">
        <is>
          <t>2026-06</t>
        </is>
      </c>
      <c r="F1445" t="n">
        <v>11.99</v>
      </c>
      <c r="G1445" t="n">
        <v>14.15</v>
      </c>
      <c r="H1445">
        <f>הגדרות!B7</f>
        <v/>
      </c>
      <c r="I1445">
        <f>F1445*(1-H1445/100)*1.18</f>
        <v/>
      </c>
      <c r="J1445">
        <f>הגדרות!C7</f>
        <v/>
      </c>
      <c r="K1445">
        <f>הגדרות!D7</f>
        <v/>
      </c>
      <c r="L1445">
        <f>I1445*(1+J1445/100)+K1445</f>
        <v/>
      </c>
    </row>
    <row r="1446">
      <c r="A1446" t="inlineStr">
        <is>
          <t>מדי-מרקט</t>
        </is>
      </c>
      <c r="B1446" t="inlineStr">
        <is>
          <t>Enaladex 5Mg  X 30Tab</t>
        </is>
      </c>
      <c r="C1446" t="inlineStr">
        <is>
          <t>תרופות</t>
        </is>
      </c>
      <c r="D1446" t="inlineStr">
        <is>
          <t>10266</t>
        </is>
      </c>
      <c r="E1446" t="inlineStr">
        <is>
          <t>2026-06</t>
        </is>
      </c>
      <c r="F1446" t="n">
        <v>9.960000000000001</v>
      </c>
      <c r="G1446" t="n">
        <v>11.75</v>
      </c>
      <c r="H1446">
        <f>הגדרות!B7</f>
        <v/>
      </c>
      <c r="I1446">
        <f>F1446*(1-H1446/100)*1.18</f>
        <v/>
      </c>
      <c r="J1446">
        <f>הגדרות!C7</f>
        <v/>
      </c>
      <c r="K1446">
        <f>הגדרות!D7</f>
        <v/>
      </c>
      <c r="L1446">
        <f>I1446*(1+J1446/100)+K1446</f>
        <v/>
      </c>
    </row>
    <row r="1447">
      <c r="A1447" t="inlineStr">
        <is>
          <t>מדי-מרקט</t>
        </is>
      </c>
      <c r="B1447" t="inlineStr">
        <is>
          <t>Enaladex/Enalapril 10Mg  X 30Tab</t>
        </is>
      </c>
      <c r="C1447" t="inlineStr">
        <is>
          <t>תרופות</t>
        </is>
      </c>
      <c r="D1447" t="inlineStr">
        <is>
          <t>10589</t>
        </is>
      </c>
      <c r="E1447" t="inlineStr">
        <is>
          <t>2026-06</t>
        </is>
      </c>
      <c r="F1447" t="n">
        <v>10.91</v>
      </c>
      <c r="G1447" t="n">
        <v>12.87</v>
      </c>
      <c r="H1447">
        <f>הגדרות!B7</f>
        <v/>
      </c>
      <c r="I1447">
        <f>F1447*(1-H1447/100)*1.18</f>
        <v/>
      </c>
      <c r="J1447">
        <f>הגדרות!C7</f>
        <v/>
      </c>
      <c r="K1447">
        <f>הגדרות!D7</f>
        <v/>
      </c>
      <c r="L1447">
        <f>I1447*(1+J1447/100)+K1447</f>
        <v/>
      </c>
    </row>
    <row r="1448">
      <c r="A1448" t="inlineStr">
        <is>
          <t>מדי-מרקט</t>
        </is>
      </c>
      <c r="B1448" t="inlineStr">
        <is>
          <t>Enrocare 25Mg/Ml Oral Solution 100Ml</t>
        </is>
      </c>
      <c r="C1448" t="inlineStr">
        <is>
          <t>29ג' וטרינרי</t>
        </is>
      </c>
      <c r="D1448" t="inlineStr">
        <is>
          <t>403681</t>
        </is>
      </c>
      <c r="E1448" t="inlineStr">
        <is>
          <t>2026-06</t>
        </is>
      </c>
      <c r="F1448" t="n">
        <v>50.85</v>
      </c>
      <c r="G1448" t="n">
        <v>60</v>
      </c>
      <c r="H1448">
        <f>הגדרות!B7</f>
        <v/>
      </c>
      <c r="I1448">
        <f>F1448*(1-H1448/100)*1.18</f>
        <v/>
      </c>
      <c r="J1448">
        <f>הגדרות!C7</f>
        <v/>
      </c>
      <c r="K1448">
        <f>הגדרות!D7</f>
        <v/>
      </c>
      <c r="L1448">
        <f>I1448*(1+J1448/100)+K1448</f>
        <v/>
      </c>
    </row>
    <row r="1449">
      <c r="A1449" t="inlineStr">
        <is>
          <t>מדי-מרקט</t>
        </is>
      </c>
      <c r="B1449" t="inlineStr">
        <is>
          <t>ENSURE PLUS ADVANCE COFFEE 220ML</t>
        </is>
      </c>
      <c r="C1449" t="inlineStr">
        <is>
          <t>מוצרים משלימים הומני</t>
        </is>
      </c>
      <c r="D1449" t="inlineStr">
        <is>
          <t>5036-22</t>
        </is>
      </c>
      <c r="E1449" t="inlineStr">
        <is>
          <t>2026-06</t>
        </is>
      </c>
      <c r="F1449" t="n">
        <v>9.15</v>
      </c>
      <c r="G1449" t="n">
        <v>10.8</v>
      </c>
      <c r="H1449">
        <f>הגדרות!B7</f>
        <v/>
      </c>
      <c r="I1449">
        <f>F1449*(1-H1449/100)*1.18</f>
        <v/>
      </c>
      <c r="J1449">
        <f>הגדרות!C7</f>
        <v/>
      </c>
      <c r="K1449">
        <f>הגדרות!D7</f>
        <v/>
      </c>
      <c r="L1449">
        <f>I1449*(1+J1449/100)+K1449</f>
        <v/>
      </c>
    </row>
    <row r="1450">
      <c r="A1450" t="inlineStr">
        <is>
          <t>מדי-מרקט</t>
        </is>
      </c>
      <c r="B1450" t="inlineStr">
        <is>
          <t>ENSURE PLUS BANANA 220 ML</t>
        </is>
      </c>
      <c r="C1450" t="inlineStr">
        <is>
          <t>מוצרים משלימים הומני</t>
        </is>
      </c>
      <c r="D1450" t="inlineStr">
        <is>
          <t>5036-4</t>
        </is>
      </c>
      <c r="E1450" t="inlineStr">
        <is>
          <t>2026-06</t>
        </is>
      </c>
      <c r="F1450" t="n">
        <v>7.8</v>
      </c>
      <c r="G1450" t="n">
        <v>9.199999999999999</v>
      </c>
      <c r="H1450">
        <f>הגדרות!B7</f>
        <v/>
      </c>
      <c r="I1450">
        <f>F1450*(1-H1450/100)*1.18</f>
        <v/>
      </c>
      <c r="J1450">
        <f>הגדרות!C7</f>
        <v/>
      </c>
      <c r="K1450">
        <f>הגדרות!D7</f>
        <v/>
      </c>
      <c r="L1450">
        <f>I1450*(1+J1450/100)+K1450</f>
        <v/>
      </c>
    </row>
    <row r="1451">
      <c r="A1451" t="inlineStr">
        <is>
          <t>מדי-מרקט</t>
        </is>
      </c>
      <c r="B1451" t="inlineStr">
        <is>
          <t>ENSURE PLUS VANILLA 220ML</t>
        </is>
      </c>
      <c r="C1451" t="inlineStr">
        <is>
          <t>מוצרים משלימים הומני</t>
        </is>
      </c>
      <c r="D1451" t="inlineStr">
        <is>
          <t>5036-3</t>
        </is>
      </c>
      <c r="E1451" t="inlineStr">
        <is>
          <t>2026-06</t>
        </is>
      </c>
      <c r="F1451" t="n">
        <v>11.19</v>
      </c>
      <c r="G1451" t="n">
        <v>13.2</v>
      </c>
      <c r="H1451">
        <f>הגדרות!B7</f>
        <v/>
      </c>
      <c r="I1451">
        <f>F1451*(1-H1451/100)*1.18</f>
        <v/>
      </c>
      <c r="J1451">
        <f>הגדרות!C7</f>
        <v/>
      </c>
      <c r="K1451">
        <f>הגדרות!D7</f>
        <v/>
      </c>
      <c r="L1451">
        <f>I1451*(1+J1451/100)+K1451</f>
        <v/>
      </c>
    </row>
    <row r="1452">
      <c r="A1452" t="inlineStr">
        <is>
          <t>מדי-מרקט</t>
        </is>
      </c>
      <c r="B1452" t="inlineStr">
        <is>
          <t>Entumin 40Mg X 30Tabs אנטומין טב'</t>
        </is>
      </c>
      <c r="C1452" t="inlineStr">
        <is>
          <t>תרופות</t>
        </is>
      </c>
      <c r="D1452" t="inlineStr">
        <is>
          <t>6213</t>
        </is>
      </c>
      <c r="E1452" t="inlineStr">
        <is>
          <t>2026-06</t>
        </is>
      </c>
      <c r="F1452" t="n">
        <v>21.1</v>
      </c>
      <c r="G1452" t="n">
        <v>24.9</v>
      </c>
      <c r="H1452">
        <f>הגדרות!B7</f>
        <v/>
      </c>
      <c r="I1452">
        <f>F1452*(1-H1452/100)*1.18</f>
        <v/>
      </c>
      <c r="J1452">
        <f>הגדרות!C7</f>
        <v/>
      </c>
      <c r="K1452">
        <f>הגדרות!D7</f>
        <v/>
      </c>
      <c r="L1452">
        <f>I1452*(1+J1452/100)+K1452</f>
        <v/>
      </c>
    </row>
    <row r="1453">
      <c r="A1453" t="inlineStr">
        <is>
          <t>מדי-מרקט</t>
        </is>
      </c>
      <c r="B1453" t="inlineStr">
        <is>
          <t>Ephedrine 50Mg 1Ml Inj * 10</t>
        </is>
      </c>
      <c r="C1453" t="inlineStr">
        <is>
          <t>29 יבוא תרופות הומניות חו"ל</t>
        </is>
      </c>
      <c r="D1453" t="inlineStr">
        <is>
          <t>M00057</t>
        </is>
      </c>
      <c r="E1453" t="inlineStr">
        <is>
          <t>2026-06</t>
        </is>
      </c>
      <c r="F1453" t="n">
        <v>30.51</v>
      </c>
      <c r="G1453" t="n">
        <v>36</v>
      </c>
      <c r="H1453">
        <f>הגדרות!B7</f>
        <v/>
      </c>
      <c r="I1453">
        <f>F1453*(1-H1453/100)*1.18</f>
        <v/>
      </c>
      <c r="J1453">
        <f>הגדרות!C7</f>
        <v/>
      </c>
      <c r="K1453">
        <f>הגדרות!D7</f>
        <v/>
      </c>
      <c r="L1453">
        <f>I1453*(1+J1453/100)+K1453</f>
        <v/>
      </c>
    </row>
    <row r="1454">
      <c r="A1454" t="inlineStr">
        <is>
          <t>מדי-מרקט</t>
        </is>
      </c>
      <c r="B1454" t="inlineStr">
        <is>
          <t>Epinephrine Inj 0.15Mg 2Pk</t>
        </is>
      </c>
      <c r="C1454" t="inlineStr">
        <is>
          <t>תרופות</t>
        </is>
      </c>
      <c r="D1454" t="inlineStr">
        <is>
          <t>68377</t>
        </is>
      </c>
      <c r="E1454" t="inlineStr">
        <is>
          <t>2026-06</t>
        </is>
      </c>
      <c r="F1454" t="n">
        <v>406.78</v>
      </c>
      <c r="G1454" t="n">
        <v>480</v>
      </c>
      <c r="H1454">
        <f>הגדרות!B7</f>
        <v/>
      </c>
      <c r="I1454">
        <f>F1454*(1-H1454/100)*1.18</f>
        <v/>
      </c>
      <c r="J1454">
        <f>הגדרות!C7</f>
        <v/>
      </c>
      <c r="K1454">
        <f>הגדרות!D7</f>
        <v/>
      </c>
      <c r="L1454">
        <f>I1454*(1+J1454/100)+K1454</f>
        <v/>
      </c>
    </row>
    <row r="1455">
      <c r="A1455" t="inlineStr">
        <is>
          <t>מדי-מרקט</t>
        </is>
      </c>
      <c r="B1455" t="inlineStr">
        <is>
          <t>Epinephrine Inj 0.3Mg 2Pk</t>
        </is>
      </c>
      <c r="C1455" t="inlineStr">
        <is>
          <t>תרופות</t>
        </is>
      </c>
      <c r="D1455" t="inlineStr">
        <is>
          <t>6837</t>
        </is>
      </c>
      <c r="E1455" t="inlineStr">
        <is>
          <t>2026-06</t>
        </is>
      </c>
      <c r="F1455" t="n">
        <v>403.39</v>
      </c>
      <c r="G1455" t="n">
        <v>476</v>
      </c>
      <c r="H1455">
        <f>הגדרות!B7</f>
        <v/>
      </c>
      <c r="I1455">
        <f>F1455*(1-H1455/100)*1.18</f>
        <v/>
      </c>
      <c r="J1455">
        <f>הגדרות!C7</f>
        <v/>
      </c>
      <c r="K1455">
        <f>הגדרות!D7</f>
        <v/>
      </c>
      <c r="L1455">
        <f>I1455*(1+J1455/100)+K1455</f>
        <v/>
      </c>
    </row>
    <row r="1456">
      <c r="A1456" t="inlineStr">
        <is>
          <t>מדי-מרקט</t>
        </is>
      </c>
      <c r="B1456" t="inlineStr">
        <is>
          <t>ERBITUX 5MG/ML 100 ML(500mg)</t>
        </is>
      </c>
      <c r="C1456" t="inlineStr">
        <is>
          <t>תרופות</t>
        </is>
      </c>
      <c r="D1456" t="inlineStr">
        <is>
          <t>05531</t>
        </is>
      </c>
      <c r="E1456" t="inlineStr">
        <is>
          <t>2026-06</t>
        </is>
      </c>
      <c r="F1456" t="n">
        <v>3551.44</v>
      </c>
      <c r="G1456" t="n">
        <v>4190.7</v>
      </c>
      <c r="H1456">
        <f>הגדרות!B7</f>
        <v/>
      </c>
      <c r="I1456">
        <f>F1456*(1-H1456/100)*1.18</f>
        <v/>
      </c>
      <c r="J1456">
        <f>הגדרות!C7</f>
        <v/>
      </c>
      <c r="K1456">
        <f>הגדרות!D7</f>
        <v/>
      </c>
      <c r="L1456">
        <f>I1456*(1+J1456/100)+K1456</f>
        <v/>
      </c>
    </row>
    <row r="1457">
      <c r="A1457" t="inlineStr">
        <is>
          <t>מדי-מרקט</t>
        </is>
      </c>
      <c r="B1457" t="inlineStr">
        <is>
          <t>ERLEADA 60MG 120 TABS</t>
        </is>
      </c>
      <c r="C1457" t="inlineStr">
        <is>
          <t>תרופות</t>
        </is>
      </c>
      <c r="D1457" t="inlineStr">
        <is>
          <t>05647</t>
        </is>
      </c>
      <c r="E1457" t="inlineStr">
        <is>
          <t>2026-06</t>
        </is>
      </c>
      <c r="F1457" t="n">
        <v>11125.42</v>
      </c>
      <c r="G1457" t="n">
        <v>13128</v>
      </c>
      <c r="H1457">
        <f>הגדרות!B7</f>
        <v/>
      </c>
      <c r="I1457">
        <f>F1457*(1-H1457/100)*1.18</f>
        <v/>
      </c>
      <c r="J1457">
        <f>הגדרות!C7</f>
        <v/>
      </c>
      <c r="K1457">
        <f>הגדרות!D7</f>
        <v/>
      </c>
      <c r="L1457">
        <f>I1457*(1+J1457/100)+K1457</f>
        <v/>
      </c>
    </row>
    <row r="1458">
      <c r="A1458" t="inlineStr">
        <is>
          <t>מדי-מרקט</t>
        </is>
      </c>
      <c r="B1458" t="inlineStr">
        <is>
          <t>Escitalopram Teva 10Mg 3X10Tbl Kr</t>
        </is>
      </c>
      <c r="C1458" t="inlineStr">
        <is>
          <t>תרופות</t>
        </is>
      </c>
      <c r="D1458" t="inlineStr">
        <is>
          <t>100710</t>
        </is>
      </c>
      <c r="E1458" t="inlineStr">
        <is>
          <t>2026-06</t>
        </is>
      </c>
      <c r="F1458" t="n">
        <v>21.19</v>
      </c>
      <c r="G1458" t="n">
        <v>25.01</v>
      </c>
      <c r="H1458">
        <f>הגדרות!B7</f>
        <v/>
      </c>
      <c r="I1458">
        <f>F1458*(1-H1458/100)*1.18</f>
        <v/>
      </c>
      <c r="J1458">
        <f>הגדרות!C7</f>
        <v/>
      </c>
      <c r="K1458">
        <f>הגדרות!D7</f>
        <v/>
      </c>
      <c r="L1458">
        <f>I1458*(1+J1458/100)+K1458</f>
        <v/>
      </c>
    </row>
    <row r="1459">
      <c r="A1459" t="inlineStr">
        <is>
          <t>מדי-מרקט</t>
        </is>
      </c>
      <c r="B1459" t="inlineStr">
        <is>
          <t>ESMOLOL 100MG INJ *5</t>
        </is>
      </c>
      <c r="C1459" t="inlineStr">
        <is>
          <t>29 יבוא תרופות הומניות חו"ל</t>
        </is>
      </c>
      <c r="D1459" t="inlineStr">
        <is>
          <t>1240401115</t>
        </is>
      </c>
      <c r="E1459" t="inlineStr">
        <is>
          <t>2026-06</t>
        </is>
      </c>
      <c r="F1459" t="n">
        <v>237.29</v>
      </c>
      <c r="G1459" t="n">
        <v>280</v>
      </c>
      <c r="H1459">
        <f>הגדרות!B7</f>
        <v/>
      </c>
      <c r="I1459">
        <f>F1459*(1-H1459/100)*1.18</f>
        <v/>
      </c>
      <c r="J1459">
        <f>הגדרות!C7</f>
        <v/>
      </c>
      <c r="K1459">
        <f>הגדרות!D7</f>
        <v/>
      </c>
      <c r="L1459">
        <f>I1459*(1+J1459/100)+K1459</f>
        <v/>
      </c>
    </row>
    <row r="1460">
      <c r="A1460" t="inlineStr">
        <is>
          <t>מדי-מרקט</t>
        </is>
      </c>
      <c r="B1460" t="inlineStr">
        <is>
          <t>Esomeprazole Medi Market 40Mg 50 Vial (Il)</t>
        </is>
      </c>
      <c r="C1460" t="inlineStr">
        <is>
          <t>תרופות רשומות- מדי מרקט</t>
        </is>
      </c>
      <c r="D1460" t="inlineStr">
        <is>
          <t>35875</t>
        </is>
      </c>
      <c r="E1460" t="inlineStr">
        <is>
          <t>2026-06</t>
        </is>
      </c>
      <c r="F1460" t="n">
        <v>211.65</v>
      </c>
      <c r="G1460" t="n">
        <v>249.75</v>
      </c>
      <c r="H1460">
        <f>הגדרות!B7</f>
        <v/>
      </c>
      <c r="I1460">
        <f>F1460*(1-H1460/100)*1.18</f>
        <v/>
      </c>
      <c r="J1460">
        <f>הגדרות!C7</f>
        <v/>
      </c>
      <c r="K1460">
        <f>הגדרות!D7</f>
        <v/>
      </c>
      <c r="L1460">
        <f>I1460*(1+J1460/100)+K1460</f>
        <v/>
      </c>
    </row>
    <row r="1461">
      <c r="A1461" t="inlineStr">
        <is>
          <t>מדי-מרקט</t>
        </is>
      </c>
      <c r="B1461" t="inlineStr">
        <is>
          <t>Esracain Cream 5% עזרקאין קרם 5% 20 גר'</t>
        </is>
      </c>
      <c r="C1461" t="inlineStr">
        <is>
          <t>תרופות</t>
        </is>
      </c>
      <c r="D1461" t="inlineStr">
        <is>
          <t>1432</t>
        </is>
      </c>
      <c r="E1461" t="inlineStr">
        <is>
          <t>2026-06</t>
        </is>
      </c>
      <c r="F1461" t="n">
        <v>17.5</v>
      </c>
      <c r="G1461" t="n">
        <v>20.65</v>
      </c>
      <c r="H1461">
        <f>הגדרות!B7</f>
        <v/>
      </c>
      <c r="I1461">
        <f>F1461*(1-H1461/100)*1.18</f>
        <v/>
      </c>
      <c r="J1461">
        <f>הגדרות!C7</f>
        <v/>
      </c>
      <c r="K1461">
        <f>הגדרות!D7</f>
        <v/>
      </c>
      <c r="L1461">
        <f>I1461*(1+J1461/100)+K1461</f>
        <v/>
      </c>
    </row>
    <row r="1462">
      <c r="A1462" t="inlineStr">
        <is>
          <t>מדי-מרקט</t>
        </is>
      </c>
      <c r="B1462" t="inlineStr">
        <is>
          <t>Esto 20Mg X 30Tabs</t>
        </is>
      </c>
      <c r="C1462" t="inlineStr">
        <is>
          <t>תרופות</t>
        </is>
      </c>
      <c r="D1462" t="inlineStr">
        <is>
          <t>100100</t>
        </is>
      </c>
      <c r="E1462" t="inlineStr">
        <is>
          <t>2026-06</t>
        </is>
      </c>
      <c r="F1462" t="n">
        <v>45.76</v>
      </c>
      <c r="G1462" t="n">
        <v>54</v>
      </c>
      <c r="H1462">
        <f>הגדרות!B7</f>
        <v/>
      </c>
      <c r="I1462">
        <f>F1462*(1-H1462/100)*1.18</f>
        <v/>
      </c>
      <c r="J1462">
        <f>הגדרות!C7</f>
        <v/>
      </c>
      <c r="K1462">
        <f>הגדרות!D7</f>
        <v/>
      </c>
      <c r="L1462">
        <f>I1462*(1+J1462/100)+K1462</f>
        <v/>
      </c>
    </row>
    <row r="1463">
      <c r="A1463" t="inlineStr">
        <is>
          <t>מדי-מרקט</t>
        </is>
      </c>
      <c r="B1463" t="inlineStr">
        <is>
          <t>ETAPIAM - ETHAMBUTOL 400mg 50 tab</t>
        </is>
      </c>
      <c r="C1463" t="inlineStr">
        <is>
          <t>29 יבוא תרופות הומניות חו"ל</t>
        </is>
      </c>
      <c r="D1463" t="inlineStr">
        <is>
          <t>25894</t>
        </is>
      </c>
      <c r="E1463" t="inlineStr">
        <is>
          <t>2026-06</t>
        </is>
      </c>
      <c r="F1463" t="n">
        <v>32.64</v>
      </c>
      <c r="G1463" t="n">
        <v>38.52</v>
      </c>
      <c r="H1463">
        <f>הגדרות!B7</f>
        <v/>
      </c>
      <c r="I1463">
        <f>F1463*(1-H1463/100)*1.18</f>
        <v/>
      </c>
      <c r="J1463">
        <f>הגדרות!C7</f>
        <v/>
      </c>
      <c r="K1463">
        <f>הגדרות!D7</f>
        <v/>
      </c>
      <c r="L1463">
        <f>I1463*(1+J1463/100)+K1463</f>
        <v/>
      </c>
    </row>
    <row r="1464">
      <c r="A1464" t="inlineStr">
        <is>
          <t>מדי-מרקט</t>
        </is>
      </c>
      <c r="B1464" t="inlineStr">
        <is>
          <t>Etomidato-Lipuro 2Mg/Ml Inj 10 Amp 10Ml</t>
        </is>
      </c>
      <c r="C1464" t="inlineStr">
        <is>
          <t>תרופות</t>
        </is>
      </c>
      <c r="D1464" t="inlineStr">
        <is>
          <t>5784521-1</t>
        </is>
      </c>
      <c r="E1464" t="inlineStr">
        <is>
          <t>2026-06</t>
        </is>
      </c>
      <c r="F1464" t="n">
        <v>68.03</v>
      </c>
      <c r="G1464" t="n">
        <v>80.27</v>
      </c>
      <c r="H1464">
        <f>הגדרות!B7</f>
        <v/>
      </c>
      <c r="I1464">
        <f>F1464*(1-H1464/100)*1.18</f>
        <v/>
      </c>
      <c r="J1464">
        <f>הגדרות!C7</f>
        <v/>
      </c>
      <c r="K1464">
        <f>הגדרות!D7</f>
        <v/>
      </c>
      <c r="L1464">
        <f>I1464*(1+J1464/100)+K1464</f>
        <v/>
      </c>
    </row>
    <row r="1465">
      <c r="A1465" t="inlineStr">
        <is>
          <t>מדי-מרקט</t>
        </is>
      </c>
      <c r="B1465" t="inlineStr">
        <is>
          <t>Etopan 400 Mg 30 Tab</t>
        </is>
      </c>
      <c r="C1465" t="inlineStr">
        <is>
          <t>תרופות</t>
        </is>
      </c>
      <c r="D1465" t="inlineStr">
        <is>
          <t>3321</t>
        </is>
      </c>
      <c r="E1465" t="inlineStr">
        <is>
          <t>2026-06</t>
        </is>
      </c>
      <c r="F1465" t="n">
        <v>86.44</v>
      </c>
      <c r="G1465" t="n">
        <v>102</v>
      </c>
      <c r="H1465">
        <f>הגדרות!B7</f>
        <v/>
      </c>
      <c r="I1465">
        <f>F1465*(1-H1465/100)*1.18</f>
        <v/>
      </c>
      <c r="J1465">
        <f>הגדרות!C7</f>
        <v/>
      </c>
      <c r="K1465">
        <f>הגדרות!D7</f>
        <v/>
      </c>
      <c r="L1465">
        <f>I1465*(1+J1465/100)+K1465</f>
        <v/>
      </c>
    </row>
    <row r="1466">
      <c r="A1466" t="inlineStr">
        <is>
          <t>מדי-מרקט</t>
        </is>
      </c>
      <c r="B1466" t="inlineStr">
        <is>
          <t>Etopan 400 Mg Xl 20 Tabs</t>
        </is>
      </c>
      <c r="C1466" t="inlineStr">
        <is>
          <t>תרופות</t>
        </is>
      </c>
      <c r="D1466" t="inlineStr">
        <is>
          <t>54144</t>
        </is>
      </c>
      <c r="E1466" t="inlineStr">
        <is>
          <t>2026-06</t>
        </is>
      </c>
      <c r="F1466" t="n">
        <v>61.19</v>
      </c>
      <c r="G1466" t="n">
        <v>72.2</v>
      </c>
      <c r="H1466">
        <f>הגדרות!B7</f>
        <v/>
      </c>
      <c r="I1466">
        <f>F1466*(1-H1466/100)*1.18</f>
        <v/>
      </c>
      <c r="J1466">
        <f>הגדרות!C7</f>
        <v/>
      </c>
      <c r="K1466">
        <f>הגדרות!D7</f>
        <v/>
      </c>
      <c r="L1466">
        <f>I1466*(1+J1466/100)+K1466</f>
        <v/>
      </c>
    </row>
    <row r="1467">
      <c r="A1467" t="inlineStr">
        <is>
          <t>מדי-מרקט</t>
        </is>
      </c>
      <c r="B1467" t="inlineStr">
        <is>
          <t>Etopan 500 20 T</t>
        </is>
      </c>
      <c r="C1467" t="inlineStr">
        <is>
          <t>תרופות</t>
        </is>
      </c>
      <c r="D1467" t="inlineStr">
        <is>
          <t>05522</t>
        </is>
      </c>
      <c r="E1467" t="inlineStr">
        <is>
          <t>2026-06</t>
        </is>
      </c>
      <c r="F1467" t="n">
        <v>65.25</v>
      </c>
      <c r="G1467" t="n">
        <v>77</v>
      </c>
      <c r="H1467">
        <f>הגדרות!B7</f>
        <v/>
      </c>
      <c r="I1467">
        <f>F1467*(1-H1467/100)*1.18</f>
        <v/>
      </c>
      <c r="J1467">
        <f>הגדרות!C7</f>
        <v/>
      </c>
      <c r="K1467">
        <f>הגדרות!D7</f>
        <v/>
      </c>
      <c r="L1467">
        <f>I1467*(1+J1467/100)+K1467</f>
        <v/>
      </c>
    </row>
    <row r="1468">
      <c r="A1468" t="inlineStr">
        <is>
          <t>מדי-מרקט</t>
        </is>
      </c>
      <c r="B1468" t="inlineStr">
        <is>
          <t>Etopan 600 Xl Mg 20 Tab</t>
        </is>
      </c>
      <c r="C1468" t="inlineStr">
        <is>
          <t>תרופות</t>
        </is>
      </c>
      <c r="D1468" t="inlineStr">
        <is>
          <t>64641</t>
        </is>
      </c>
      <c r="E1468" t="inlineStr">
        <is>
          <t>2026-06</t>
        </is>
      </c>
      <c r="F1468" t="n">
        <v>74.58</v>
      </c>
      <c r="G1468" t="n">
        <v>88</v>
      </c>
      <c r="H1468">
        <f>הגדרות!B7</f>
        <v/>
      </c>
      <c r="I1468">
        <f>F1468*(1-H1468/100)*1.18</f>
        <v/>
      </c>
      <c r="J1468">
        <f>הגדרות!C7</f>
        <v/>
      </c>
      <c r="K1468">
        <f>הגדרות!D7</f>
        <v/>
      </c>
      <c r="L1468">
        <f>I1468*(1+J1468/100)+K1468</f>
        <v/>
      </c>
    </row>
    <row r="1469">
      <c r="A1469" t="inlineStr">
        <is>
          <t>מדי-מרקט</t>
        </is>
      </c>
      <c r="B1469" t="inlineStr">
        <is>
          <t>Eurax 20 Mg Cream</t>
        </is>
      </c>
      <c r="C1469" t="inlineStr">
        <is>
          <t>תרופות</t>
        </is>
      </c>
      <c r="D1469" t="inlineStr">
        <is>
          <t>05094</t>
        </is>
      </c>
      <c r="E1469" t="inlineStr">
        <is>
          <t>2026-06</t>
        </is>
      </c>
      <c r="F1469" t="n">
        <v>16.91</v>
      </c>
      <c r="G1469" t="n">
        <v>19.95</v>
      </c>
      <c r="H1469">
        <f>הגדרות!B7</f>
        <v/>
      </c>
      <c r="I1469">
        <f>F1469*(1-H1469/100)*1.18</f>
        <v/>
      </c>
      <c r="J1469">
        <f>הגדרות!C7</f>
        <v/>
      </c>
      <c r="K1469">
        <f>הגדרות!D7</f>
        <v/>
      </c>
      <c r="L1469">
        <f>I1469*(1+J1469/100)+K1469</f>
        <v/>
      </c>
    </row>
    <row r="1470">
      <c r="A1470" t="inlineStr">
        <is>
          <t>מדי-מרקט</t>
        </is>
      </c>
      <c r="B1470" t="inlineStr">
        <is>
          <t>Euthyrox Tab 100Mcg (100)</t>
        </is>
      </c>
      <c r="C1470" t="inlineStr">
        <is>
          <t>תרופות</t>
        </is>
      </c>
      <c r="D1470" t="inlineStr">
        <is>
          <t>16361</t>
        </is>
      </c>
      <c r="E1470" t="inlineStr">
        <is>
          <t>2026-06</t>
        </is>
      </c>
      <c r="F1470" t="n">
        <v>24.16</v>
      </c>
      <c r="G1470" t="n">
        <v>28.51</v>
      </c>
      <c r="H1470">
        <f>הגדרות!B7</f>
        <v/>
      </c>
      <c r="I1470">
        <f>F1470*(1-H1470/100)*1.18</f>
        <v/>
      </c>
      <c r="J1470">
        <f>הגדרות!C7</f>
        <v/>
      </c>
      <c r="K1470">
        <f>הגדרות!D7</f>
        <v/>
      </c>
      <c r="L1470">
        <f>I1470*(1+J1470/100)+K1470</f>
        <v/>
      </c>
    </row>
    <row r="1471">
      <c r="A1471" t="inlineStr">
        <is>
          <t>מדי-מרקט</t>
        </is>
      </c>
      <c r="B1471" t="inlineStr">
        <is>
          <t>Euthyrox Tab 50Mcg (100)</t>
        </is>
      </c>
      <c r="C1471" t="inlineStr">
        <is>
          <t>תרופות</t>
        </is>
      </c>
      <c r="D1471" t="inlineStr">
        <is>
          <t>16360</t>
        </is>
      </c>
      <c r="E1471" t="inlineStr">
        <is>
          <t>2026-06</t>
        </is>
      </c>
      <c r="F1471" t="n">
        <v>17.49</v>
      </c>
      <c r="G1471" t="n">
        <v>20.64</v>
      </c>
      <c r="H1471">
        <f>הגדרות!B7</f>
        <v/>
      </c>
      <c r="I1471">
        <f>F1471*(1-H1471/100)*1.18</f>
        <v/>
      </c>
      <c r="J1471">
        <f>הגדרות!C7</f>
        <v/>
      </c>
      <c r="K1471">
        <f>הגדרות!D7</f>
        <v/>
      </c>
      <c r="L1471">
        <f>I1471*(1+J1471/100)+K1471</f>
        <v/>
      </c>
    </row>
    <row r="1472">
      <c r="A1472" t="inlineStr">
        <is>
          <t>מדי-מרקט</t>
        </is>
      </c>
      <c r="B1472" t="inlineStr">
        <is>
          <t>EYLEA PFS 40MG/1ML</t>
        </is>
      </c>
      <c r="C1472" t="inlineStr">
        <is>
          <t>תרופות</t>
        </is>
      </c>
      <c r="D1472" t="inlineStr">
        <is>
          <t>05579</t>
        </is>
      </c>
      <c r="E1472" t="inlineStr">
        <is>
          <t>2026-06</t>
        </is>
      </c>
      <c r="F1472" t="n">
        <v>2915.17</v>
      </c>
      <c r="G1472" t="n">
        <v>3439.9</v>
      </c>
      <c r="H1472">
        <f>הגדרות!B7</f>
        <v/>
      </c>
      <c r="I1472">
        <f>F1472*(1-H1472/100)*1.18</f>
        <v/>
      </c>
      <c r="J1472">
        <f>הגדרות!C7</f>
        <v/>
      </c>
      <c r="K1472">
        <f>הגדרות!D7</f>
        <v/>
      </c>
      <c r="L1472">
        <f>I1472*(1+J1472/100)+K1472</f>
        <v/>
      </c>
    </row>
    <row r="1473">
      <c r="A1473" t="inlineStr">
        <is>
          <t>מדי-מרקט</t>
        </is>
      </c>
      <c r="B1473" t="inlineStr">
        <is>
          <t>Ezecor 10Mg X 30Tab</t>
        </is>
      </c>
      <c r="C1473" t="inlineStr">
        <is>
          <t>תרופות</t>
        </is>
      </c>
      <c r="D1473" t="inlineStr">
        <is>
          <t>5610</t>
        </is>
      </c>
      <c r="E1473" t="inlineStr">
        <is>
          <t>2026-06</t>
        </is>
      </c>
      <c r="F1473" t="n">
        <v>51.69</v>
      </c>
      <c r="G1473" t="n">
        <v>61</v>
      </c>
      <c r="H1473">
        <f>הגדרות!B7</f>
        <v/>
      </c>
      <c r="I1473">
        <f>F1473*(1-H1473/100)*1.18</f>
        <v/>
      </c>
      <c r="J1473">
        <f>הגדרות!C7</f>
        <v/>
      </c>
      <c r="K1473">
        <f>הגדרות!D7</f>
        <v/>
      </c>
      <c r="L1473">
        <f>I1473*(1+J1473/100)+K1473</f>
        <v/>
      </c>
    </row>
    <row r="1474">
      <c r="A1474" t="inlineStr">
        <is>
          <t>מדי-מרקט</t>
        </is>
      </c>
      <c r="B1474" t="inlineStr">
        <is>
          <t>Famotidine Teva 20 M  פמוטידין טבע 20 מ"ג 30 כד</t>
        </is>
      </c>
      <c r="C1474" t="inlineStr">
        <is>
          <t>תרופות</t>
        </is>
      </c>
      <c r="D1474" t="inlineStr">
        <is>
          <t>3569322</t>
        </is>
      </c>
      <c r="E1474" t="inlineStr">
        <is>
          <t>2026-06</t>
        </is>
      </c>
      <c r="F1474" t="n">
        <v>15.42</v>
      </c>
      <c r="G1474" t="n">
        <v>18.2</v>
      </c>
      <c r="H1474">
        <f>הגדרות!B7</f>
        <v/>
      </c>
      <c r="I1474">
        <f>F1474*(1-H1474/100)*1.18</f>
        <v/>
      </c>
      <c r="J1474">
        <f>הגדרות!C7</f>
        <v/>
      </c>
      <c r="K1474">
        <f>הגדרות!D7</f>
        <v/>
      </c>
      <c r="L1474">
        <f>I1474*(1+J1474/100)+K1474</f>
        <v/>
      </c>
    </row>
    <row r="1475">
      <c r="A1475" t="inlineStr">
        <is>
          <t>מדי-מרקט</t>
        </is>
      </c>
      <c r="B1475" t="inlineStr">
        <is>
          <t>Famotidine Teva 40 Mg פמוטידין טבע 40 מ"ג 30 כד'</t>
        </is>
      </c>
      <c r="C1475" t="inlineStr">
        <is>
          <t>תרופות</t>
        </is>
      </c>
      <c r="D1475" t="inlineStr">
        <is>
          <t>356933</t>
        </is>
      </c>
      <c r="E1475" t="inlineStr">
        <is>
          <t>2026-06</t>
        </is>
      </c>
      <c r="F1475" t="n">
        <v>21.53</v>
      </c>
      <c r="G1475" t="n">
        <v>25.4</v>
      </c>
      <c r="H1475">
        <f>הגדרות!B7</f>
        <v/>
      </c>
      <c r="I1475">
        <f>F1475*(1-H1475/100)*1.18</f>
        <v/>
      </c>
      <c r="J1475">
        <f>הגדרות!C7</f>
        <v/>
      </c>
      <c r="K1475">
        <f>הגדרות!D7</f>
        <v/>
      </c>
      <c r="L1475">
        <f>I1475*(1+J1475/100)+K1475</f>
        <v/>
      </c>
    </row>
    <row r="1476">
      <c r="A1476" t="inlineStr">
        <is>
          <t>מדי-מרקט</t>
        </is>
      </c>
      <c r="B1476" t="inlineStr">
        <is>
          <t>FASTest CHLAM ag 1/10 test cassets קלמידיה</t>
        </is>
      </c>
      <c r="C1476" t="inlineStr">
        <is>
          <t>מוצרים משלימים לווט'</t>
        </is>
      </c>
      <c r="D1476" t="inlineStr">
        <is>
          <t>730010RG1</t>
        </is>
      </c>
      <c r="E1476" t="inlineStr">
        <is>
          <t>2026-06</t>
        </is>
      </c>
      <c r="F1476" t="n">
        <v>271.19</v>
      </c>
      <c r="G1476" t="n">
        <v>320</v>
      </c>
      <c r="H1476">
        <f>הגדרות!B7</f>
        <v/>
      </c>
      <c r="I1476">
        <f>F1476*(1-H1476/100)*1.18</f>
        <v/>
      </c>
      <c r="J1476">
        <f>הגדרות!C7</f>
        <v/>
      </c>
      <c r="K1476">
        <f>הגדרות!D7</f>
        <v/>
      </c>
      <c r="L1476">
        <f>I1476*(1+J1476/100)+K1476</f>
        <v/>
      </c>
    </row>
    <row r="1477">
      <c r="A1477" t="inlineStr">
        <is>
          <t>מדי-מרקט</t>
        </is>
      </c>
      <c r="B1477" t="inlineStr">
        <is>
          <t>FASTest DISTEMPER strip 1/10 test strips כלבלבת</t>
        </is>
      </c>
      <c r="C1477" t="inlineStr">
        <is>
          <t>מוצרים משלימים לווט'</t>
        </is>
      </c>
      <c r="D1477" t="inlineStr">
        <is>
          <t>830010RG1</t>
        </is>
      </c>
      <c r="E1477" t="inlineStr">
        <is>
          <t>2026-06</t>
        </is>
      </c>
      <c r="F1477" t="n">
        <v>214.41</v>
      </c>
      <c r="G1477" t="n">
        <v>253</v>
      </c>
      <c r="H1477">
        <f>הגדרות!B7</f>
        <v/>
      </c>
      <c r="I1477">
        <f>F1477*(1-H1477/100)*1.18</f>
        <v/>
      </c>
      <c r="J1477">
        <f>הגדרות!C7</f>
        <v/>
      </c>
      <c r="K1477">
        <f>הגדרות!D7</f>
        <v/>
      </c>
      <c r="L1477">
        <f>I1477*(1+J1477/100)+K1477</f>
        <v/>
      </c>
    </row>
    <row r="1478">
      <c r="A1478" t="inlineStr">
        <is>
          <t>מדי-מרקט</t>
        </is>
      </c>
      <c r="B1478" t="inlineStr">
        <is>
          <t>FASTest FeLV-FIV 15 test cassettes</t>
        </is>
      </c>
      <c r="C1478" t="inlineStr">
        <is>
          <t>מוצרים משלימים לווט'</t>
        </is>
      </c>
      <c r="D1478" t="inlineStr">
        <is>
          <t>761015RG1</t>
        </is>
      </c>
      <c r="E1478" t="inlineStr">
        <is>
          <t>2026-06</t>
        </is>
      </c>
      <c r="F1478" t="n">
        <v>550.85</v>
      </c>
      <c r="G1478" t="n">
        <v>650</v>
      </c>
      <c r="H1478">
        <f>הגדרות!B7</f>
        <v/>
      </c>
      <c r="I1478">
        <f>F1478*(1-H1478/100)*1.18</f>
        <v/>
      </c>
      <c r="J1478">
        <f>הגדרות!C7</f>
        <v/>
      </c>
      <c r="K1478">
        <f>הגדרות!D7</f>
        <v/>
      </c>
      <c r="L1478">
        <f>I1478*(1+J1478/100)+K1478</f>
        <v/>
      </c>
    </row>
    <row r="1479">
      <c r="A1479" t="inlineStr">
        <is>
          <t>מדי-מרקט</t>
        </is>
      </c>
      <c r="B1479" t="inlineStr">
        <is>
          <t>FASTest FIP 10 test cassettes</t>
        </is>
      </c>
      <c r="C1479" t="inlineStr">
        <is>
          <t>מוצרים משלימים לווט'</t>
        </is>
      </c>
      <c r="D1479" t="inlineStr">
        <is>
          <t>990010RK1</t>
        </is>
      </c>
      <c r="E1479" t="inlineStr">
        <is>
          <t>2026-06</t>
        </is>
      </c>
      <c r="F1479" t="n">
        <v>372.88</v>
      </c>
      <c r="G1479" t="n">
        <v>440</v>
      </c>
      <c r="H1479">
        <f>הגדרות!B7</f>
        <v/>
      </c>
      <c r="I1479">
        <f>F1479*(1-H1479/100)*1.18</f>
        <v/>
      </c>
      <c r="J1479">
        <f>הגדרות!C7</f>
        <v/>
      </c>
      <c r="K1479">
        <f>הגדרות!D7</f>
        <v/>
      </c>
      <c r="L1479">
        <f>I1479*(1+J1479/100)+K1479</f>
        <v/>
      </c>
    </row>
    <row r="1480">
      <c r="A1480" t="inlineStr">
        <is>
          <t>מדי-מרקט</t>
        </is>
      </c>
      <c r="B1480" t="inlineStr">
        <is>
          <t>FASTest FIV 10 test cassettes</t>
        </is>
      </c>
      <c r="C1480" t="inlineStr">
        <is>
          <t>מוצרים משלימים לווט'</t>
        </is>
      </c>
      <c r="D1480" t="inlineStr">
        <is>
          <t>960010RK1</t>
        </is>
      </c>
      <c r="E1480" t="inlineStr">
        <is>
          <t>2026-06</t>
        </is>
      </c>
      <c r="F1480" t="n">
        <v>254.24</v>
      </c>
      <c r="G1480" t="n">
        <v>300</v>
      </c>
      <c r="H1480">
        <f>הגדרות!B7</f>
        <v/>
      </c>
      <c r="I1480">
        <f>F1480*(1-H1480/100)*1.18</f>
        <v/>
      </c>
      <c r="J1480">
        <f>הגדרות!C7</f>
        <v/>
      </c>
      <c r="K1480">
        <f>הגדרות!D7</f>
        <v/>
      </c>
      <c r="L1480">
        <f>I1480*(1+J1480/100)+K1480</f>
        <v/>
      </c>
    </row>
    <row r="1481">
      <c r="A1481" t="inlineStr">
        <is>
          <t>מדי-מרקט</t>
        </is>
      </c>
      <c r="B1481" t="inlineStr">
        <is>
          <t>Favoxil 100G X30Tab</t>
        </is>
      </c>
      <c r="C1481" t="inlineStr">
        <is>
          <t>תרופות</t>
        </is>
      </c>
      <c r="D1481" t="inlineStr">
        <is>
          <t>36254</t>
        </is>
      </c>
      <c r="E1481" t="inlineStr">
        <is>
          <t>2026-06</t>
        </is>
      </c>
      <c r="F1481" t="n">
        <v>40</v>
      </c>
      <c r="G1481" t="n">
        <v>47.2</v>
      </c>
      <c r="H1481">
        <f>הגדרות!B7</f>
        <v/>
      </c>
      <c r="I1481">
        <f>F1481*(1-H1481/100)*1.18</f>
        <v/>
      </c>
      <c r="J1481">
        <f>הגדרות!C7</f>
        <v/>
      </c>
      <c r="K1481">
        <f>הגדרות!D7</f>
        <v/>
      </c>
      <c r="L1481">
        <f>I1481*(1+J1481/100)+K1481</f>
        <v/>
      </c>
    </row>
    <row r="1482">
      <c r="A1482" t="inlineStr">
        <is>
          <t>מדי-מרקט</t>
        </is>
      </c>
      <c r="B1482" t="inlineStr">
        <is>
          <t>FELIWAY CLAS F3 SPRAY 60ML for cat פליווי תרסיס</t>
        </is>
      </c>
      <c r="C1482" t="inlineStr">
        <is>
          <t>מוצרי הדברה והתנהגות CEVA</t>
        </is>
      </c>
      <c r="D1482" t="inlineStr">
        <is>
          <t>281010P</t>
        </is>
      </c>
      <c r="E1482" t="inlineStr">
        <is>
          <t>2026-06</t>
        </is>
      </c>
      <c r="F1482" t="n">
        <v>53.51</v>
      </c>
      <c r="G1482" t="n">
        <v>63.14</v>
      </c>
      <c r="H1482">
        <f>הגדרות!B7</f>
        <v/>
      </c>
      <c r="I1482">
        <f>F1482*(1-H1482/100)*1.18</f>
        <v/>
      </c>
      <c r="J1482">
        <f>הגדרות!C7</f>
        <v/>
      </c>
      <c r="K1482">
        <f>הגדרות!D7</f>
        <v/>
      </c>
      <c r="L1482">
        <f>I1482*(1+J1482/100)+K1482</f>
        <v/>
      </c>
    </row>
    <row r="1483">
      <c r="A1483" t="inlineStr">
        <is>
          <t>מדי-מרקט</t>
        </is>
      </c>
      <c r="B1483" t="inlineStr">
        <is>
          <t>FELIWAY DIFFUSER + REFILL 48ML פליווי מכשיר + מילוי</t>
        </is>
      </c>
      <c r="C1483" t="inlineStr">
        <is>
          <t>מוצרי הדברה והתנהגות CEVA</t>
        </is>
      </c>
      <c r="D1483" t="inlineStr">
        <is>
          <t>C23830L</t>
        </is>
      </c>
      <c r="E1483" t="inlineStr">
        <is>
          <t>2026-06</t>
        </is>
      </c>
      <c r="F1483" t="n">
        <v>53.67</v>
      </c>
      <c r="G1483" t="n">
        <v>63.33</v>
      </c>
      <c r="H1483">
        <f>הגדרות!B7</f>
        <v/>
      </c>
      <c r="I1483">
        <f>F1483*(1-H1483/100)*1.18</f>
        <v/>
      </c>
      <c r="J1483">
        <f>הגדרות!C7</f>
        <v/>
      </c>
      <c r="K1483">
        <f>הגדרות!D7</f>
        <v/>
      </c>
      <c r="L1483">
        <f>I1483*(1+J1483/100)+K1483</f>
        <v/>
      </c>
    </row>
    <row r="1484">
      <c r="A1484" t="inlineStr">
        <is>
          <t>מדי-מרקט</t>
        </is>
      </c>
      <c r="B1484" t="inlineStr">
        <is>
          <t>FELIWAY REFILL 48ML פליווי מילוי</t>
        </is>
      </c>
      <c r="C1484" t="inlineStr">
        <is>
          <t>מוצרי הדברה והתנהגות CEVA</t>
        </is>
      </c>
      <c r="D1484" t="inlineStr">
        <is>
          <t>C23850L</t>
        </is>
      </c>
      <c r="E1484" t="inlineStr">
        <is>
          <t>2026-06</t>
        </is>
      </c>
      <c r="F1484" t="n">
        <v>48.74</v>
      </c>
      <c r="G1484" t="n">
        <v>57.51</v>
      </c>
      <c r="H1484">
        <f>הגדרות!B7</f>
        <v/>
      </c>
      <c r="I1484">
        <f>F1484*(1-H1484/100)*1.18</f>
        <v/>
      </c>
      <c r="J1484">
        <f>הגדרות!C7</f>
        <v/>
      </c>
      <c r="K1484">
        <f>הגדרות!D7</f>
        <v/>
      </c>
      <c r="L1484">
        <f>I1484*(1+J1484/100)+K1484</f>
        <v/>
      </c>
    </row>
    <row r="1485">
      <c r="A1485" t="inlineStr">
        <is>
          <t>מדי-מרקט</t>
        </is>
      </c>
      <c r="B1485" t="inlineStr">
        <is>
          <t>Fenistil Drops פניסטיל 20 מ"ל טיפות</t>
        </is>
      </c>
      <c r="C1485" t="inlineStr">
        <is>
          <t>תרופות</t>
        </is>
      </c>
      <c r="D1485" t="inlineStr">
        <is>
          <t>5870</t>
        </is>
      </c>
      <c r="E1485" t="inlineStr">
        <is>
          <t>2026-06</t>
        </is>
      </c>
      <c r="F1485" t="n">
        <v>10.07</v>
      </c>
      <c r="G1485" t="n">
        <v>11.88</v>
      </c>
      <c r="H1485">
        <f>הגדרות!B7</f>
        <v/>
      </c>
      <c r="I1485">
        <f>F1485*(1-H1485/100)*1.18</f>
        <v/>
      </c>
      <c r="J1485">
        <f>הגדרות!C7</f>
        <v/>
      </c>
      <c r="K1485">
        <f>הגדרות!D7</f>
        <v/>
      </c>
      <c r="L1485">
        <f>I1485*(1+J1485/100)+K1485</f>
        <v/>
      </c>
    </row>
    <row r="1486">
      <c r="A1486" t="inlineStr">
        <is>
          <t>מדי-מרקט</t>
        </is>
      </c>
      <c r="B1486" t="inlineStr">
        <is>
          <t>Fentanyl - Kalceks 0.05Mg/Ml 10Ml 10 Amp (Il)</t>
        </is>
      </c>
      <c r="C1486" t="inlineStr">
        <is>
          <t>תרופות רשומות- מדי מרקט</t>
        </is>
      </c>
      <c r="D1486" t="inlineStr">
        <is>
          <t>523587</t>
        </is>
      </c>
      <c r="E1486" t="inlineStr">
        <is>
          <t>2026-06</t>
        </is>
      </c>
      <c r="F1486" t="n">
        <v>14.53</v>
      </c>
      <c r="G1486" t="n">
        <v>17.15</v>
      </c>
      <c r="H1486">
        <f>הגדרות!B7</f>
        <v/>
      </c>
      <c r="I1486">
        <f>F1486*(1-H1486/100)*1.18</f>
        <v/>
      </c>
      <c r="J1486">
        <f>הגדרות!C7</f>
        <v/>
      </c>
      <c r="K1486">
        <f>הגדרות!D7</f>
        <v/>
      </c>
      <c r="L1486">
        <f>I1486*(1+J1486/100)+K1486</f>
        <v/>
      </c>
    </row>
    <row r="1487">
      <c r="A1487" t="inlineStr">
        <is>
          <t>מדי-מרקט</t>
        </is>
      </c>
      <c r="B1487" t="inlineStr">
        <is>
          <t>Fentanyl - Kalceks 0.05Mg/Ml 2Ml 10 Amp (Il)</t>
        </is>
      </c>
      <c r="C1487" t="inlineStr">
        <is>
          <t>תרופות רשומות- מדי מרקט</t>
        </is>
      </c>
      <c r="D1487" t="inlineStr">
        <is>
          <t>523582</t>
        </is>
      </c>
      <c r="E1487" t="inlineStr">
        <is>
          <t>2026-06</t>
        </is>
      </c>
      <c r="F1487" t="n">
        <v>7.7</v>
      </c>
      <c r="G1487" t="n">
        <v>9.09</v>
      </c>
      <c r="H1487">
        <f>הגדרות!B7</f>
        <v/>
      </c>
      <c r="I1487">
        <f>F1487*(1-H1487/100)*1.18</f>
        <v/>
      </c>
      <c r="J1487">
        <f>הגדרות!C7</f>
        <v/>
      </c>
      <c r="K1487">
        <f>הגדרות!D7</f>
        <v/>
      </c>
      <c r="L1487">
        <f>I1487*(1+J1487/100)+K1487</f>
        <v/>
      </c>
    </row>
    <row r="1488">
      <c r="A1488" t="inlineStr">
        <is>
          <t>מדי-מרקט</t>
        </is>
      </c>
      <c r="B1488" t="inlineStr">
        <is>
          <t>Ferrinemia(Iron Iii) Injection 20Mg/1Ml 5Ml 5Amp (Il)</t>
        </is>
      </c>
      <c r="C1488" t="inlineStr">
        <is>
          <t>תרופות רשומות- מדי מרקט</t>
        </is>
      </c>
      <c r="D1488" t="inlineStr">
        <is>
          <t>58565</t>
        </is>
      </c>
      <c r="E1488" t="inlineStr">
        <is>
          <t>2026-06</t>
        </is>
      </c>
      <c r="F1488" t="n">
        <v>38.9</v>
      </c>
      <c r="G1488" t="n">
        <v>45.9</v>
      </c>
      <c r="H1488">
        <f>הגדרות!B7</f>
        <v/>
      </c>
      <c r="I1488">
        <f>F1488*(1-H1488/100)*1.18</f>
        <v/>
      </c>
      <c r="J1488">
        <f>הגדרות!C7</f>
        <v/>
      </c>
      <c r="K1488">
        <f>הגדרות!D7</f>
        <v/>
      </c>
      <c r="L1488">
        <f>I1488*(1+J1488/100)+K1488</f>
        <v/>
      </c>
    </row>
    <row r="1489">
      <c r="A1489" t="inlineStr">
        <is>
          <t>מדי-מרקט</t>
        </is>
      </c>
      <c r="B1489" t="inlineStr">
        <is>
          <t>Ferrocal Tab 30 פרוקל  30</t>
        </is>
      </c>
      <c r="C1489" t="inlineStr">
        <is>
          <t>תרופות</t>
        </is>
      </c>
      <c r="D1489" t="inlineStr">
        <is>
          <t>8994</t>
        </is>
      </c>
      <c r="E1489" t="inlineStr">
        <is>
          <t>2026-06</t>
        </is>
      </c>
      <c r="F1489" t="n">
        <v>11.44</v>
      </c>
      <c r="G1489" t="n">
        <v>13.5</v>
      </c>
      <c r="H1489">
        <f>הגדרות!B7</f>
        <v/>
      </c>
      <c r="I1489">
        <f>F1489*(1-H1489/100)*1.18</f>
        <v/>
      </c>
      <c r="J1489">
        <f>הגדרות!C7</f>
        <v/>
      </c>
      <c r="K1489">
        <f>הגדרות!D7</f>
        <v/>
      </c>
      <c r="L1489">
        <f>I1489*(1+J1489/100)+K1489</f>
        <v/>
      </c>
    </row>
    <row r="1490">
      <c r="A1490" t="inlineStr">
        <is>
          <t>מדי-מרקט</t>
        </is>
      </c>
      <c r="B1490" t="inlineStr">
        <is>
          <t>Fexofenadine - Trima 120 Mgx15 tab</t>
        </is>
      </c>
      <c r="C1490" t="inlineStr">
        <is>
          <t>תרופות</t>
        </is>
      </c>
      <c r="D1490" t="inlineStr">
        <is>
          <t>3028-1</t>
        </is>
      </c>
      <c r="E1490" t="inlineStr">
        <is>
          <t>2026-06</t>
        </is>
      </c>
      <c r="F1490" t="n">
        <v>18.64</v>
      </c>
      <c r="G1490" t="n">
        <v>22</v>
      </c>
      <c r="H1490">
        <f>הגדרות!B7</f>
        <v/>
      </c>
      <c r="I1490">
        <f>F1490*(1-H1490/100)*1.18</f>
        <v/>
      </c>
      <c r="J1490">
        <f>הגדרות!C7</f>
        <v/>
      </c>
      <c r="K1490">
        <f>הגדרות!D7</f>
        <v/>
      </c>
      <c r="L1490">
        <f>I1490*(1+J1490/100)+K1490</f>
        <v/>
      </c>
    </row>
    <row r="1491">
      <c r="A1491" t="inlineStr">
        <is>
          <t>מדי-מרקט</t>
        </is>
      </c>
      <c r="B1491" t="inlineStr">
        <is>
          <t>Flagyl 120 Ml Susp פלג'יל סוספנסיה 120 מ"ל 1 יח'</t>
        </is>
      </c>
      <c r="C1491" t="inlineStr">
        <is>
          <t>תרופות</t>
        </is>
      </c>
      <c r="D1491" t="inlineStr">
        <is>
          <t>1520</t>
        </is>
      </c>
      <c r="E1491" t="inlineStr">
        <is>
          <t>2026-06</t>
        </is>
      </c>
      <c r="F1491" t="n">
        <v>45.76</v>
      </c>
      <c r="G1491" t="n">
        <v>54</v>
      </c>
      <c r="H1491">
        <f>הגדרות!B7</f>
        <v/>
      </c>
      <c r="I1491">
        <f>F1491*(1-H1491/100)*1.18</f>
        <v/>
      </c>
      <c r="J1491">
        <f>הגדרות!C7</f>
        <v/>
      </c>
      <c r="K1491">
        <f>הגדרות!D7</f>
        <v/>
      </c>
      <c r="L1491">
        <f>I1491*(1+J1491/100)+K1491</f>
        <v/>
      </c>
    </row>
    <row r="1492">
      <c r="A1492" t="inlineStr">
        <is>
          <t>מדי-מרקט</t>
        </is>
      </c>
      <c r="B1492" t="inlineStr">
        <is>
          <t>Flagyl 250 Mg 20 Tabs פלג'יל 250 מ"ג 20 טב'</t>
        </is>
      </c>
      <c r="C1492" t="inlineStr">
        <is>
          <t>תרופות</t>
        </is>
      </c>
      <c r="D1492" t="inlineStr">
        <is>
          <t>1521</t>
        </is>
      </c>
      <c r="E1492" t="inlineStr">
        <is>
          <t>2026-06</t>
        </is>
      </c>
      <c r="F1492" t="n">
        <v>13.86</v>
      </c>
      <c r="G1492" t="n">
        <v>16.35</v>
      </c>
      <c r="H1492">
        <f>הגדרות!B7</f>
        <v/>
      </c>
      <c r="I1492">
        <f>F1492*(1-H1492/100)*1.18</f>
        <v/>
      </c>
      <c r="J1492">
        <f>הגדרות!C7</f>
        <v/>
      </c>
      <c r="K1492">
        <f>הגדרות!D7</f>
        <v/>
      </c>
      <c r="L1492">
        <f>I1492*(1+J1492/100)+K1492</f>
        <v/>
      </c>
    </row>
    <row r="1493">
      <c r="A1493" t="inlineStr">
        <is>
          <t>מדי-מרקט</t>
        </is>
      </c>
      <c r="B1493" t="inlineStr">
        <is>
          <t>Flaminal Forte 50 GRAM GEL</t>
        </is>
      </c>
      <c r="C1493" t="inlineStr">
        <is>
          <t>ציוד ומכשור רפואי</t>
        </is>
      </c>
      <c r="D1493" t="inlineStr">
        <is>
          <t>16532586</t>
        </is>
      </c>
      <c r="E1493" t="inlineStr">
        <is>
          <t>2026-06</t>
        </is>
      </c>
      <c r="F1493" t="n">
        <v>101.69</v>
      </c>
      <c r="G1493" t="n">
        <v>120</v>
      </c>
      <c r="H1493">
        <f>הגדרות!B7</f>
        <v/>
      </c>
      <c r="I1493">
        <f>F1493*(1-H1493/100)*1.18</f>
        <v/>
      </c>
      <c r="J1493">
        <f>הגדרות!C7</f>
        <v/>
      </c>
      <c r="K1493">
        <f>הגדרות!D7</f>
        <v/>
      </c>
      <c r="L1493">
        <f>I1493*(1+J1493/100)+K1493</f>
        <v/>
      </c>
    </row>
    <row r="1494">
      <c r="A1494" t="inlineStr">
        <is>
          <t>מדי-מרקט</t>
        </is>
      </c>
      <c r="B1494" t="inlineStr">
        <is>
          <t>Flaminal HYDRO 50 GRAM</t>
        </is>
      </c>
      <c r="C1494" t="inlineStr">
        <is>
          <t>ציוד ומכשור רפואי</t>
        </is>
      </c>
      <c r="D1494" t="inlineStr">
        <is>
          <t>16532587</t>
        </is>
      </c>
      <c r="E1494" t="inlineStr">
        <is>
          <t>2026-06</t>
        </is>
      </c>
      <c r="F1494" t="n">
        <v>56.06</v>
      </c>
      <c r="G1494" t="n">
        <v>66.15000000000001</v>
      </c>
      <c r="H1494">
        <f>הגדרות!B7</f>
        <v/>
      </c>
      <c r="I1494">
        <f>F1494*(1-H1494/100)*1.18</f>
        <v/>
      </c>
      <c r="J1494">
        <f>הגדרות!C7</f>
        <v/>
      </c>
      <c r="K1494">
        <f>הגדרות!D7</f>
        <v/>
      </c>
      <c r="L1494">
        <f>I1494*(1+J1494/100)+K1494</f>
        <v/>
      </c>
    </row>
    <row r="1495">
      <c r="A1495" t="inlineStr">
        <is>
          <t>מדי-מרקט</t>
        </is>
      </c>
      <c r="B1495" t="inlineStr">
        <is>
          <t>Flixonase Aq. Nasal Spray</t>
        </is>
      </c>
      <c r="C1495" t="inlineStr">
        <is>
          <t>תרופות</t>
        </is>
      </c>
      <c r="D1495" t="inlineStr">
        <is>
          <t>9172312</t>
        </is>
      </c>
      <c r="E1495" t="inlineStr">
        <is>
          <t>2026-06</t>
        </is>
      </c>
      <c r="F1495" t="n">
        <v>13.24</v>
      </c>
      <c r="G1495" t="n">
        <v>15.62</v>
      </c>
      <c r="H1495">
        <f>הגדרות!B7</f>
        <v/>
      </c>
      <c r="I1495">
        <f>F1495*(1-H1495/100)*1.18</f>
        <v/>
      </c>
      <c r="J1495">
        <f>הגדרות!C7</f>
        <v/>
      </c>
      <c r="K1495">
        <f>הגדרות!D7</f>
        <v/>
      </c>
      <c r="L1495">
        <f>I1495*(1+J1495/100)+K1495</f>
        <v/>
      </c>
    </row>
    <row r="1496">
      <c r="A1496" t="inlineStr">
        <is>
          <t>מדי-מרקט</t>
        </is>
      </c>
      <c r="B1496" t="inlineStr">
        <is>
          <t>Florinef / Astonin (Fludrocortisone) 0.1Mg 100 Tab</t>
        </is>
      </c>
      <c r="C1496" t="inlineStr">
        <is>
          <t>29 יבוא תרופות הומניות חו"ל</t>
        </is>
      </c>
      <c r="D1496" t="inlineStr">
        <is>
          <t>400130</t>
        </is>
      </c>
      <c r="E1496" t="inlineStr">
        <is>
          <t>2026-06</t>
        </is>
      </c>
      <c r="F1496" t="n">
        <v>134.75</v>
      </c>
      <c r="G1496" t="n">
        <v>159</v>
      </c>
      <c r="H1496">
        <f>הגדרות!B7</f>
        <v/>
      </c>
      <c r="I1496">
        <f>F1496*(1-H1496/100)*1.18</f>
        <v/>
      </c>
      <c r="J1496">
        <f>הגדרות!C7</f>
        <v/>
      </c>
      <c r="K1496">
        <f>הגדרות!D7</f>
        <v/>
      </c>
      <c r="L1496">
        <f>I1496*(1+J1496/100)+K1496</f>
        <v/>
      </c>
    </row>
    <row r="1497">
      <c r="A1497" t="inlineStr">
        <is>
          <t>מדי-מרקט</t>
        </is>
      </c>
      <c r="B1497" t="inlineStr">
        <is>
          <t>FLUMAZENIL  INRESA 0.5MG I.V 5 AMP</t>
        </is>
      </c>
      <c r="C1497" t="inlineStr">
        <is>
          <t>29 יבוא תרופות הומניות חו"ל</t>
        </is>
      </c>
      <c r="D1497" t="inlineStr">
        <is>
          <t>36784</t>
        </is>
      </c>
      <c r="E1497" t="inlineStr">
        <is>
          <t>2026-06</t>
        </is>
      </c>
      <c r="F1497" t="n">
        <v>99.53</v>
      </c>
      <c r="G1497" t="n">
        <v>117.45</v>
      </c>
      <c r="H1497">
        <f>הגדרות!B7</f>
        <v/>
      </c>
      <c r="I1497">
        <f>F1497*(1-H1497/100)*1.18</f>
        <v/>
      </c>
      <c r="J1497">
        <f>הגדרות!C7</f>
        <v/>
      </c>
      <c r="K1497">
        <f>הגדרות!D7</f>
        <v/>
      </c>
      <c r="L1497">
        <f>I1497*(1+J1497/100)+K1497</f>
        <v/>
      </c>
    </row>
    <row r="1498">
      <c r="A1498" t="inlineStr">
        <is>
          <t>מדי-מרקט</t>
        </is>
      </c>
      <c r="B1498" t="inlineStr">
        <is>
          <t>Flutine 20Mg 30 Caps פלוטין 20 מ"ג 30 קפס'</t>
        </is>
      </c>
      <c r="C1498" t="inlineStr">
        <is>
          <t>תרופות</t>
        </is>
      </c>
      <c r="D1498" t="inlineStr">
        <is>
          <t>6354</t>
        </is>
      </c>
      <c r="E1498" t="inlineStr">
        <is>
          <t>2026-06</t>
        </is>
      </c>
      <c r="F1498" t="n">
        <v>22.03</v>
      </c>
      <c r="G1498" t="n">
        <v>26</v>
      </c>
      <c r="H1498">
        <f>הגדרות!B7</f>
        <v/>
      </c>
      <c r="I1498">
        <f>F1498*(1-H1498/100)*1.18</f>
        <v/>
      </c>
      <c r="J1498">
        <f>הגדרות!C7</f>
        <v/>
      </c>
      <c r="K1498">
        <f>הגדרות!D7</f>
        <v/>
      </c>
      <c r="L1498">
        <f>I1498*(1+J1498/100)+K1498</f>
        <v/>
      </c>
    </row>
    <row r="1499">
      <c r="A1499" t="inlineStr">
        <is>
          <t>מדי-מרקט</t>
        </is>
      </c>
      <c r="B1499" t="inlineStr">
        <is>
          <t>Folic Acid Tabs,5Mg 30 Tab</t>
        </is>
      </c>
      <c r="C1499" t="inlineStr">
        <is>
          <t>תרופות</t>
        </is>
      </c>
      <c r="D1499" t="inlineStr">
        <is>
          <t>39304</t>
        </is>
      </c>
      <c r="E1499" t="inlineStr">
        <is>
          <t>2026-06</t>
        </is>
      </c>
      <c r="F1499" t="n">
        <v>13.98</v>
      </c>
      <c r="G1499" t="n">
        <v>16.5</v>
      </c>
      <c r="H1499">
        <f>הגדרות!B7</f>
        <v/>
      </c>
      <c r="I1499">
        <f>F1499*(1-H1499/100)*1.18</f>
        <v/>
      </c>
      <c r="J1499">
        <f>הגדרות!C7</f>
        <v/>
      </c>
      <c r="K1499">
        <f>הגדרות!D7</f>
        <v/>
      </c>
      <c r="L1499">
        <f>I1499*(1+J1499/100)+K1499</f>
        <v/>
      </c>
    </row>
    <row r="1500">
      <c r="A1500" t="inlineStr">
        <is>
          <t>מדי-מרקט</t>
        </is>
      </c>
      <c r="B1500" t="inlineStr">
        <is>
          <t>Forol 400 Mg 30 Tabs</t>
        </is>
      </c>
      <c r="C1500" t="inlineStr">
        <is>
          <t>תרופות</t>
        </is>
      </c>
      <c r="D1500" t="inlineStr">
        <is>
          <t>321148</t>
        </is>
      </c>
      <c r="E1500" t="inlineStr">
        <is>
          <t>2026-06</t>
        </is>
      </c>
      <c r="F1500" t="n">
        <v>22.63</v>
      </c>
      <c r="G1500" t="n">
        <v>26.7</v>
      </c>
      <c r="H1500">
        <f>הגדרות!B7</f>
        <v/>
      </c>
      <c r="I1500">
        <f>F1500*(1-H1500/100)*1.18</f>
        <v/>
      </c>
      <c r="J1500">
        <f>הגדרות!C7</f>
        <v/>
      </c>
      <c r="K1500">
        <f>הגדרות!D7</f>
        <v/>
      </c>
      <c r="L1500">
        <f>I1500*(1+J1500/100)+K1500</f>
        <v/>
      </c>
    </row>
    <row r="1501">
      <c r="A1501" t="inlineStr">
        <is>
          <t>מדי-מרקט</t>
        </is>
      </c>
      <c r="B1501" t="inlineStr">
        <is>
          <t>Forxiga 10Mg X 30Tab</t>
        </is>
      </c>
      <c r="C1501" t="inlineStr">
        <is>
          <t>תרופות</t>
        </is>
      </c>
      <c r="D1501" t="inlineStr">
        <is>
          <t>653253</t>
        </is>
      </c>
      <c r="E1501" t="inlineStr">
        <is>
          <t>2026-06</t>
        </is>
      </c>
      <c r="F1501" t="n">
        <v>150.08</v>
      </c>
      <c r="G1501" t="n">
        <v>177.09</v>
      </c>
      <c r="H1501">
        <f>הגדרות!B7</f>
        <v/>
      </c>
      <c r="I1501">
        <f>F1501*(1-H1501/100)*1.18</f>
        <v/>
      </c>
      <c r="J1501">
        <f>הגדרות!C7</f>
        <v/>
      </c>
      <c r="K1501">
        <f>הגדרות!D7</f>
        <v/>
      </c>
      <c r="L1501">
        <f>I1501*(1+J1501/100)+K1501</f>
        <v/>
      </c>
    </row>
    <row r="1502">
      <c r="A1502" t="inlineStr">
        <is>
          <t>מדי-מרקט</t>
        </is>
      </c>
      <c r="B1502" t="inlineStr">
        <is>
          <t>Frisium 10Mg 30 Tabs</t>
        </is>
      </c>
      <c r="C1502" t="inlineStr">
        <is>
          <t>תרופות</t>
        </is>
      </c>
      <c r="D1502" t="inlineStr">
        <is>
          <t>2882</t>
        </is>
      </c>
      <c r="E1502" t="inlineStr">
        <is>
          <t>2026-06</t>
        </is>
      </c>
      <c r="F1502" t="n">
        <v>11.1</v>
      </c>
      <c r="G1502" t="n">
        <v>13.1</v>
      </c>
      <c r="H1502">
        <f>הגדרות!B7</f>
        <v/>
      </c>
      <c r="I1502">
        <f>F1502*(1-H1502/100)*1.18</f>
        <v/>
      </c>
      <c r="J1502">
        <f>הגדרות!C7</f>
        <v/>
      </c>
      <c r="K1502">
        <f>הגדרות!D7</f>
        <v/>
      </c>
      <c r="L1502">
        <f>I1502*(1+J1502/100)+K1502</f>
        <v/>
      </c>
    </row>
    <row r="1503">
      <c r="A1503" t="inlineStr">
        <is>
          <t>מדי-מרקט</t>
        </is>
      </c>
      <c r="B1503" t="inlineStr">
        <is>
          <t>Fulvestrant Rompharm, sol.for inj,IM pre-filled syr 2x 5 ml</t>
        </is>
      </c>
      <c r="C1503" t="inlineStr">
        <is>
          <t>תרופות רשומות- מדי מרקט</t>
        </is>
      </c>
      <c r="D1503" t="inlineStr">
        <is>
          <t>28597</t>
        </is>
      </c>
      <c r="E1503" t="inlineStr">
        <is>
          <t>2026-06</t>
        </is>
      </c>
      <c r="F1503" t="n">
        <v>664.17</v>
      </c>
      <c r="G1503" t="n">
        <v>783.72</v>
      </c>
      <c r="H1503">
        <f>הגדרות!B7</f>
        <v/>
      </c>
      <c r="I1503">
        <f>F1503*(1-H1503/100)*1.18</f>
        <v/>
      </c>
      <c r="J1503">
        <f>הגדרות!C7</f>
        <v/>
      </c>
      <c r="K1503">
        <f>הגדרות!D7</f>
        <v/>
      </c>
      <c r="L1503">
        <f>I1503*(1+J1503/100)+K1503</f>
        <v/>
      </c>
    </row>
    <row r="1504">
      <c r="A1504" t="inlineStr">
        <is>
          <t>מדי-מרקט</t>
        </is>
      </c>
      <c r="B1504" t="inlineStr">
        <is>
          <t>Furosemide 5Mg 100 Cps</t>
        </is>
      </c>
      <c r="C1504" t="inlineStr">
        <is>
          <t>הכנות בית מרקחת</t>
        </is>
      </c>
      <c r="D1504" t="inlineStr">
        <is>
          <t>16772</t>
        </is>
      </c>
      <c r="E1504" t="inlineStr">
        <is>
          <t>2026-06</t>
        </is>
      </c>
      <c r="F1504" t="n">
        <v>84.75</v>
      </c>
      <c r="G1504" t="n">
        <v>100</v>
      </c>
      <c r="H1504">
        <f>הגדרות!B7</f>
        <v/>
      </c>
      <c r="I1504">
        <f>F1504*(1-H1504/100)*1.18</f>
        <v/>
      </c>
      <c r="J1504">
        <f>הגדרות!C7</f>
        <v/>
      </c>
      <c r="K1504">
        <f>הגדרות!D7</f>
        <v/>
      </c>
      <c r="L1504">
        <f>I1504*(1+J1504/100)+K1504</f>
        <v/>
      </c>
    </row>
    <row r="1505">
      <c r="A1505" t="inlineStr">
        <is>
          <t>מדי-מרקט</t>
        </is>
      </c>
      <c r="B1505" t="inlineStr">
        <is>
          <t>Furosemide Salf 20 Mg/2Ml X 5Amp</t>
        </is>
      </c>
      <c r="C1505" t="inlineStr">
        <is>
          <t>תרופות</t>
        </is>
      </c>
      <c r="D1505" t="inlineStr">
        <is>
          <t>1470-1</t>
        </is>
      </c>
      <c r="E1505" t="inlineStr">
        <is>
          <t>2026-06</t>
        </is>
      </c>
      <c r="F1505" t="n">
        <v>10.3</v>
      </c>
      <c r="G1505" t="n">
        <v>12.15</v>
      </c>
      <c r="H1505">
        <f>הגדרות!B7</f>
        <v/>
      </c>
      <c r="I1505">
        <f>F1505*(1-H1505/100)*1.18</f>
        <v/>
      </c>
      <c r="J1505">
        <f>הגדרות!C7</f>
        <v/>
      </c>
      <c r="K1505">
        <f>הגדרות!D7</f>
        <v/>
      </c>
      <c r="L1505">
        <f>I1505*(1+J1505/100)+K1505</f>
        <v/>
      </c>
    </row>
    <row r="1506">
      <c r="A1506" t="inlineStr">
        <is>
          <t>מדי-מרקט</t>
        </is>
      </c>
      <c r="B1506" t="inlineStr">
        <is>
          <t>Fusid 40 Mg 3*10 Tabs</t>
        </is>
      </c>
      <c r="C1506" t="inlineStr">
        <is>
          <t>תרופות</t>
        </is>
      </c>
      <c r="D1506" t="inlineStr">
        <is>
          <t>5580</t>
        </is>
      </c>
      <c r="E1506" t="inlineStr">
        <is>
          <t>2026-06</t>
        </is>
      </c>
      <c r="F1506" t="n">
        <v>9.859999999999999</v>
      </c>
      <c r="G1506" t="n">
        <v>11.64</v>
      </c>
      <c r="H1506">
        <f>הגדרות!B7</f>
        <v/>
      </c>
      <c r="I1506">
        <f>F1506*(1-H1506/100)*1.18</f>
        <v/>
      </c>
      <c r="J1506">
        <f>הגדרות!C7</f>
        <v/>
      </c>
      <c r="K1506">
        <f>הגדרות!D7</f>
        <v/>
      </c>
      <c r="L1506">
        <f>I1506*(1+J1506/100)+K1506</f>
        <v/>
      </c>
    </row>
    <row r="1507">
      <c r="A1507" t="inlineStr">
        <is>
          <t>מדי-מרקט</t>
        </is>
      </c>
      <c r="B1507" t="inlineStr">
        <is>
          <t>g-Pet Plus Blood Glucose Test 1X25 Strips</t>
        </is>
      </c>
      <c r="C1507" t="inlineStr">
        <is>
          <t>WOODLEY</t>
        </is>
      </c>
      <c r="D1507" t="inlineStr">
        <is>
          <t>WD0064A</t>
        </is>
      </c>
      <c r="E1507" t="inlineStr">
        <is>
          <t>2026-06</t>
        </is>
      </c>
      <c r="F1507" t="n">
        <v>194.92</v>
      </c>
      <c r="G1507" t="n">
        <v>230</v>
      </c>
      <c r="H1507">
        <f>הגדרות!B7</f>
        <v/>
      </c>
      <c r="I1507">
        <f>F1507*(1-H1507/100)*1.18</f>
        <v/>
      </c>
      <c r="J1507">
        <f>הגדרות!C7</f>
        <v/>
      </c>
      <c r="K1507">
        <f>הגדרות!D7</f>
        <v/>
      </c>
      <c r="L1507">
        <f>I1507*(1+J1507/100)+K1507</f>
        <v/>
      </c>
    </row>
    <row r="1508">
      <c r="A1508" t="inlineStr">
        <is>
          <t>מדי-מרקט</t>
        </is>
      </c>
      <c r="B1508" t="inlineStr">
        <is>
          <t>G.B Cream Jar 50Ml</t>
        </is>
      </c>
      <c r="C1508" t="inlineStr">
        <is>
          <t>הכנות בית מרקחת</t>
        </is>
      </c>
      <c r="D1508" t="inlineStr">
        <is>
          <t>1859</t>
        </is>
      </c>
      <c r="E1508" t="inlineStr">
        <is>
          <t>2026-06</t>
        </is>
      </c>
      <c r="F1508" t="n">
        <v>25.42</v>
      </c>
      <c r="G1508" t="n">
        <v>30</v>
      </c>
      <c r="H1508">
        <f>הגדרות!B7</f>
        <v/>
      </c>
      <c r="I1508">
        <f>F1508*(1-H1508/100)*1.18</f>
        <v/>
      </c>
      <c r="J1508">
        <f>הגדרות!C7</f>
        <v/>
      </c>
      <c r="K1508">
        <f>הגדרות!D7</f>
        <v/>
      </c>
      <c r="L1508">
        <f>I1508*(1+J1508/100)+K1508</f>
        <v/>
      </c>
    </row>
    <row r="1509">
      <c r="A1509" t="inlineStr">
        <is>
          <t>מדי-מרקט</t>
        </is>
      </c>
      <c r="B1509" t="inlineStr">
        <is>
          <t>G.P.B Cream Jar 20Ml</t>
        </is>
      </c>
      <c r="C1509" t="inlineStr">
        <is>
          <t>הכנות בית מרקחת</t>
        </is>
      </c>
      <c r="D1509" t="inlineStr">
        <is>
          <t>185</t>
        </is>
      </c>
      <c r="E1509" t="inlineStr">
        <is>
          <t>2026-06</t>
        </is>
      </c>
      <c r="F1509" t="n">
        <v>16.95</v>
      </c>
      <c r="G1509" t="n">
        <v>20</v>
      </c>
      <c r="H1509">
        <f>הגדרות!B7</f>
        <v/>
      </c>
      <c r="I1509">
        <f>F1509*(1-H1509/100)*1.18</f>
        <v/>
      </c>
      <c r="J1509">
        <f>הגדרות!C7</f>
        <v/>
      </c>
      <c r="K1509">
        <f>הגדרות!D7</f>
        <v/>
      </c>
      <c r="L1509">
        <f>I1509*(1+J1509/100)+K1509</f>
        <v/>
      </c>
    </row>
    <row r="1510">
      <c r="A1510" t="inlineStr">
        <is>
          <t>מדי-מרקט</t>
        </is>
      </c>
      <c r="B1510" t="inlineStr">
        <is>
          <t>G.P.B Cream Jar 50Ml</t>
        </is>
      </c>
      <c r="C1510" t="inlineStr">
        <is>
          <t>הכנות בית מרקחת</t>
        </is>
      </c>
      <c r="D1510" t="inlineStr">
        <is>
          <t>1857</t>
        </is>
      </c>
      <c r="E1510" t="inlineStr">
        <is>
          <t>2026-06</t>
        </is>
      </c>
      <c r="F1510" t="n">
        <v>25.42</v>
      </c>
      <c r="G1510" t="n">
        <v>30</v>
      </c>
      <c r="H1510">
        <f>הגדרות!B7</f>
        <v/>
      </c>
      <c r="I1510">
        <f>F1510*(1-H1510/100)*1.18</f>
        <v/>
      </c>
      <c r="J1510">
        <f>הגדרות!C7</f>
        <v/>
      </c>
      <c r="K1510">
        <f>הגדרות!D7</f>
        <v/>
      </c>
      <c r="L1510">
        <f>I1510*(1+J1510/100)+K1510</f>
        <v/>
      </c>
    </row>
    <row r="1511">
      <c r="A1511" t="inlineStr">
        <is>
          <t>מדי-מרקט</t>
        </is>
      </c>
      <c r="B1511" t="inlineStr">
        <is>
          <t>G.P.B Cream Tube 50Ml</t>
        </is>
      </c>
      <c r="C1511" t="inlineStr">
        <is>
          <t>הכנות בית מרקחת</t>
        </is>
      </c>
      <c r="D1511" t="inlineStr">
        <is>
          <t>18576</t>
        </is>
      </c>
      <c r="E1511" t="inlineStr">
        <is>
          <t>2026-06</t>
        </is>
      </c>
      <c r="F1511" t="n">
        <v>25.42</v>
      </c>
      <c r="G1511" t="n">
        <v>30</v>
      </c>
      <c r="H1511">
        <f>הגדרות!B7</f>
        <v/>
      </c>
      <c r="I1511">
        <f>F1511*(1-H1511/100)*1.18</f>
        <v/>
      </c>
      <c r="J1511">
        <f>הגדרות!C7</f>
        <v/>
      </c>
      <c r="K1511">
        <f>הגדרות!D7</f>
        <v/>
      </c>
      <c r="L1511">
        <f>I1511*(1+J1511/100)+K1511</f>
        <v/>
      </c>
    </row>
    <row r="1512">
      <c r="A1512" t="inlineStr">
        <is>
          <t>מדי-מרקט</t>
        </is>
      </c>
      <c r="B1512" t="inlineStr">
        <is>
          <t>Gabapentin 100 mg 100 caps (נופק ע"י בית מרקחת)</t>
        </is>
      </c>
      <c r="C1512" t="inlineStr">
        <is>
          <t>הכנות בית מרקחת</t>
        </is>
      </c>
      <c r="D1512" t="inlineStr">
        <is>
          <t>10036</t>
        </is>
      </c>
      <c r="E1512" t="inlineStr">
        <is>
          <t>2026-06</t>
        </is>
      </c>
      <c r="F1512" t="n">
        <v>127.12</v>
      </c>
      <c r="G1512" t="n">
        <v>150</v>
      </c>
      <c r="H1512">
        <f>הגדרות!B7</f>
        <v/>
      </c>
      <c r="I1512">
        <f>F1512*(1-H1512/100)*1.18</f>
        <v/>
      </c>
      <c r="J1512">
        <f>הגדרות!C7</f>
        <v/>
      </c>
      <c r="K1512">
        <f>הגדרות!D7</f>
        <v/>
      </c>
      <c r="L1512">
        <f>I1512*(1+J1512/100)+K1512</f>
        <v/>
      </c>
    </row>
    <row r="1513">
      <c r="A1513" t="inlineStr">
        <is>
          <t>מדי-מרקט</t>
        </is>
      </c>
      <c r="B1513" t="inlineStr">
        <is>
          <t>Gabapentin 100Mg 100Tabs</t>
        </is>
      </c>
      <c r="C1513" t="inlineStr">
        <is>
          <t>הכנות בית מרקחת</t>
        </is>
      </c>
      <c r="D1513" t="inlineStr">
        <is>
          <t>51028</t>
        </is>
      </c>
      <c r="E1513" t="inlineStr">
        <is>
          <t>2026-06</t>
        </is>
      </c>
      <c r="F1513" t="n">
        <v>127.12</v>
      </c>
      <c r="G1513" t="n">
        <v>150</v>
      </c>
      <c r="H1513">
        <f>הגדרות!B7</f>
        <v/>
      </c>
      <c r="I1513">
        <f>F1513*(1-H1513/100)*1.18</f>
        <v/>
      </c>
      <c r="J1513">
        <f>הגדרות!C7</f>
        <v/>
      </c>
      <c r="K1513">
        <f>הגדרות!D7</f>
        <v/>
      </c>
      <c r="L1513">
        <f>I1513*(1+J1513/100)+K1513</f>
        <v/>
      </c>
    </row>
    <row r="1514">
      <c r="A1514" t="inlineStr">
        <is>
          <t>מדי-מרקט</t>
        </is>
      </c>
      <c r="B1514" t="inlineStr">
        <is>
          <t>Gabapentin 200 Mg 100 Caps</t>
        </is>
      </c>
      <c r="C1514" t="inlineStr">
        <is>
          <t>הכנות בית מרקחת</t>
        </is>
      </c>
      <c r="D1514" t="inlineStr">
        <is>
          <t>10035</t>
        </is>
      </c>
      <c r="E1514" t="inlineStr">
        <is>
          <t>2026-06</t>
        </is>
      </c>
      <c r="F1514" t="n">
        <v>199.15</v>
      </c>
      <c r="G1514" t="n">
        <v>235</v>
      </c>
      <c r="H1514">
        <f>הגדרות!B7</f>
        <v/>
      </c>
      <c r="I1514">
        <f>F1514*(1-H1514/100)*1.18</f>
        <v/>
      </c>
      <c r="J1514">
        <f>הגדרות!C7</f>
        <v/>
      </c>
      <c r="K1514">
        <f>הגדרות!D7</f>
        <v/>
      </c>
      <c r="L1514">
        <f>I1514*(1+J1514/100)+K1514</f>
        <v/>
      </c>
    </row>
    <row r="1515">
      <c r="A1515" t="inlineStr">
        <is>
          <t>מדי-מרקט</t>
        </is>
      </c>
      <c r="B1515" t="inlineStr">
        <is>
          <t>Gabapentin 200Mg 100Tabs</t>
        </is>
      </c>
      <c r="C1515" t="inlineStr">
        <is>
          <t>הכנות בית מרקחת</t>
        </is>
      </c>
      <c r="D1515" t="inlineStr">
        <is>
          <t>51029</t>
        </is>
      </c>
      <c r="E1515" t="inlineStr">
        <is>
          <t>2026-06</t>
        </is>
      </c>
      <c r="F1515" t="n">
        <v>262.71</v>
      </c>
      <c r="G1515" t="n">
        <v>310</v>
      </c>
      <c r="H1515">
        <f>הגדרות!B7</f>
        <v/>
      </c>
      <c r="I1515">
        <f>F1515*(1-H1515/100)*1.18</f>
        <v/>
      </c>
      <c r="J1515">
        <f>הגדרות!C7</f>
        <v/>
      </c>
      <c r="K1515">
        <f>הגדרות!D7</f>
        <v/>
      </c>
      <c r="L1515">
        <f>I1515*(1+J1515/100)+K1515</f>
        <v/>
      </c>
    </row>
    <row r="1516">
      <c r="A1516" t="inlineStr">
        <is>
          <t>מדי-מרקט</t>
        </is>
      </c>
      <c r="B1516" t="inlineStr">
        <is>
          <t>Gabapentin 25 mg/0.1ml 1ML Transderaml Gel X 1 Syringe</t>
        </is>
      </c>
      <c r="C1516" t="inlineStr">
        <is>
          <t>הכנות בית מרקחת</t>
        </is>
      </c>
      <c r="D1516" t="inlineStr">
        <is>
          <t>346505</t>
        </is>
      </c>
      <c r="E1516" t="inlineStr">
        <is>
          <t>2026-06</t>
        </is>
      </c>
      <c r="F1516" t="n">
        <v>33.9</v>
      </c>
      <c r="G1516" t="n">
        <v>40</v>
      </c>
      <c r="H1516">
        <f>הגדרות!B7</f>
        <v/>
      </c>
      <c r="I1516">
        <f>F1516*(1-H1516/100)*1.18</f>
        <v/>
      </c>
      <c r="J1516">
        <f>הגדרות!C7</f>
        <v/>
      </c>
      <c r="K1516">
        <f>הגדרות!D7</f>
        <v/>
      </c>
      <c r="L1516">
        <f>I1516*(1+J1516/100)+K1516</f>
        <v/>
      </c>
    </row>
    <row r="1517">
      <c r="A1517" t="inlineStr">
        <is>
          <t>מדי-מרקט</t>
        </is>
      </c>
      <c r="B1517" t="inlineStr">
        <is>
          <t>Gabapentin 30 mg 100 caps</t>
        </is>
      </c>
      <c r="C1517" t="inlineStr">
        <is>
          <t>הכנות בית מרקחת</t>
        </is>
      </c>
      <c r="D1517" t="inlineStr">
        <is>
          <t>10039</t>
        </is>
      </c>
      <c r="E1517" t="inlineStr">
        <is>
          <t>2026-06</t>
        </is>
      </c>
      <c r="F1517" t="n">
        <v>101.69</v>
      </c>
      <c r="G1517" t="n">
        <v>120</v>
      </c>
      <c r="H1517">
        <f>הגדרות!B7</f>
        <v/>
      </c>
      <c r="I1517">
        <f>F1517*(1-H1517/100)*1.18</f>
        <v/>
      </c>
      <c r="J1517">
        <f>הגדרות!C7</f>
        <v/>
      </c>
      <c r="K1517">
        <f>הגדרות!D7</f>
        <v/>
      </c>
      <c r="L1517">
        <f>I1517*(1+J1517/100)+K1517</f>
        <v/>
      </c>
    </row>
    <row r="1518">
      <c r="A1518" t="inlineStr">
        <is>
          <t>מדי-מרקט</t>
        </is>
      </c>
      <c r="B1518" t="inlineStr">
        <is>
          <t>Gabapentin 50 mg 100 caps</t>
        </is>
      </c>
      <c r="C1518" t="inlineStr">
        <is>
          <t>הכנות בית מרקחת</t>
        </is>
      </c>
      <c r="D1518" t="inlineStr">
        <is>
          <t>10037</t>
        </is>
      </c>
      <c r="E1518" t="inlineStr">
        <is>
          <t>2026-06</t>
        </is>
      </c>
      <c r="F1518" t="n">
        <v>118.64</v>
      </c>
      <c r="G1518" t="n">
        <v>140</v>
      </c>
      <c r="H1518">
        <f>הגדרות!B7</f>
        <v/>
      </c>
      <c r="I1518">
        <f>F1518*(1-H1518/100)*1.18</f>
        <v/>
      </c>
      <c r="J1518">
        <f>הגדרות!C7</f>
        <v/>
      </c>
      <c r="K1518">
        <f>הגדרות!D7</f>
        <v/>
      </c>
      <c r="L1518">
        <f>I1518*(1+J1518/100)+K1518</f>
        <v/>
      </c>
    </row>
    <row r="1519">
      <c r="A1519" t="inlineStr">
        <is>
          <t>מדי-מרקט</t>
        </is>
      </c>
      <c r="B1519" t="inlineStr">
        <is>
          <t>Gabapentin-Teva 300Mg X 100Cps</t>
        </is>
      </c>
      <c r="C1519" t="inlineStr">
        <is>
          <t>תרופות</t>
        </is>
      </c>
      <c r="D1519" t="inlineStr">
        <is>
          <t>0GK00312</t>
        </is>
      </c>
      <c r="E1519" t="inlineStr">
        <is>
          <t>2026-06</t>
        </is>
      </c>
      <c r="F1519" t="n">
        <v>65.76000000000001</v>
      </c>
      <c r="G1519" t="n">
        <v>77.59999999999999</v>
      </c>
      <c r="H1519">
        <f>הגדרות!B7</f>
        <v/>
      </c>
      <c r="I1519">
        <f>F1519*(1-H1519/100)*1.18</f>
        <v/>
      </c>
      <c r="J1519">
        <f>הגדרות!C7</f>
        <v/>
      </c>
      <c r="K1519">
        <f>הגדרות!D7</f>
        <v/>
      </c>
      <c r="L1519">
        <f>I1519*(1+J1519/100)+K1519</f>
        <v/>
      </c>
    </row>
    <row r="1520">
      <c r="A1520" t="inlineStr">
        <is>
          <t>מדי-מרקט</t>
        </is>
      </c>
      <c r="B1520" t="inlineStr">
        <is>
          <t>Gabapentin-Teva 400Mg X 100Caps</t>
        </is>
      </c>
      <c r="C1520" t="inlineStr">
        <is>
          <t>תרופות</t>
        </is>
      </c>
      <c r="D1520" t="inlineStr">
        <is>
          <t>M00410</t>
        </is>
      </c>
      <c r="E1520" t="inlineStr">
        <is>
          <t>2026-06</t>
        </is>
      </c>
      <c r="F1520" t="n">
        <v>79.66</v>
      </c>
      <c r="G1520" t="n">
        <v>94</v>
      </c>
      <c r="H1520">
        <f>הגדרות!B7</f>
        <v/>
      </c>
      <c r="I1520">
        <f>F1520*(1-H1520/100)*1.18</f>
        <v/>
      </c>
      <c r="J1520">
        <f>הגדרות!C7</f>
        <v/>
      </c>
      <c r="K1520">
        <f>הגדרות!D7</f>
        <v/>
      </c>
      <c r="L1520">
        <f>I1520*(1+J1520/100)+K1520</f>
        <v/>
      </c>
    </row>
    <row r="1521">
      <c r="A1521" t="inlineStr">
        <is>
          <t>מדי-מרקט</t>
        </is>
      </c>
      <c r="B1521" t="inlineStr">
        <is>
          <t>Gan Ear Drops 15Ml</t>
        </is>
      </c>
      <c r="C1521" t="inlineStr">
        <is>
          <t>הכנות טיפות וג'ל לאוזניים</t>
        </is>
      </c>
      <c r="D1521" t="inlineStr">
        <is>
          <t>8090</t>
        </is>
      </c>
      <c r="E1521" t="inlineStr">
        <is>
          <t>2026-06</t>
        </is>
      </c>
      <c r="F1521" t="n">
        <v>4.01</v>
      </c>
      <c r="G1521" t="n">
        <v>4.73</v>
      </c>
      <c r="H1521">
        <f>הגדרות!B7</f>
        <v/>
      </c>
      <c r="I1521">
        <f>F1521*(1-H1521/100)*1.18</f>
        <v/>
      </c>
      <c r="J1521">
        <f>הגדרות!C7</f>
        <v/>
      </c>
      <c r="K1521">
        <f>הגדרות!D7</f>
        <v/>
      </c>
      <c r="L1521">
        <f>I1521*(1+J1521/100)+K1521</f>
        <v/>
      </c>
    </row>
    <row r="1522">
      <c r="A1522" t="inlineStr">
        <is>
          <t>מדי-מרקט</t>
        </is>
      </c>
      <c r="B1522" t="inlineStr">
        <is>
          <t>Ganciclovir Medi-Market 500 Mg 5 Vials(Il)</t>
        </is>
      </c>
      <c r="C1522" t="inlineStr">
        <is>
          <t>תרופות רשומות- מדי מרקט</t>
        </is>
      </c>
      <c r="D1522" t="inlineStr">
        <is>
          <t>58215</t>
        </is>
      </c>
      <c r="E1522" t="inlineStr">
        <is>
          <t>2026-06</t>
        </is>
      </c>
      <c r="F1522" t="n">
        <v>225.38</v>
      </c>
      <c r="G1522" t="n">
        <v>265.95</v>
      </c>
      <c r="H1522">
        <f>הגדרות!B7</f>
        <v/>
      </c>
      <c r="I1522">
        <f>F1522*(1-H1522/100)*1.18</f>
        <v/>
      </c>
      <c r="J1522">
        <f>הגדרות!C7</f>
        <v/>
      </c>
      <c r="K1522">
        <f>הגדרות!D7</f>
        <v/>
      </c>
      <c r="L1522">
        <f>I1522*(1+J1522/100)+K1522</f>
        <v/>
      </c>
    </row>
    <row r="1523">
      <c r="A1523" t="inlineStr">
        <is>
          <t>מדי-מרקט</t>
        </is>
      </c>
      <c r="B1523" t="inlineStr">
        <is>
          <t>Gas Filter Canister פילטר סופח גזים 800 גרם</t>
        </is>
      </c>
      <c r="C1523" t="inlineStr">
        <is>
          <t>עירוי הרדמה והנשמה</t>
        </is>
      </c>
      <c r="D1523" t="inlineStr">
        <is>
          <t>TA-VADGC8G</t>
        </is>
      </c>
      <c r="E1523" t="inlineStr">
        <is>
          <t>2026-06</t>
        </is>
      </c>
      <c r="F1523" t="n">
        <v>87.61</v>
      </c>
      <c r="G1523" t="n">
        <v>103.38</v>
      </c>
      <c r="H1523">
        <f>הגדרות!B7</f>
        <v/>
      </c>
      <c r="I1523">
        <f>F1523*(1-H1523/100)*1.18</f>
        <v/>
      </c>
      <c r="J1523">
        <f>הגדרות!C7</f>
        <v/>
      </c>
      <c r="K1523">
        <f>הגדרות!D7</f>
        <v/>
      </c>
      <c r="L1523">
        <f>I1523*(1+J1523/100)+K1523</f>
        <v/>
      </c>
    </row>
    <row r="1524">
      <c r="A1524" t="inlineStr">
        <is>
          <t>מדי-מרקט</t>
        </is>
      </c>
      <c r="B1524" t="inlineStr">
        <is>
          <t>Gastro 10Mg X 20Tabs</t>
        </is>
      </c>
      <c r="C1524" t="inlineStr">
        <is>
          <t>תרופות</t>
        </is>
      </c>
      <c r="D1524" t="inlineStr">
        <is>
          <t>7830</t>
        </is>
      </c>
      <c r="E1524" t="inlineStr">
        <is>
          <t>2026-06</t>
        </is>
      </c>
      <c r="F1524" t="n">
        <v>19.92</v>
      </c>
      <c r="G1524" t="n">
        <v>23.5</v>
      </c>
      <c r="H1524">
        <f>הגדרות!B7</f>
        <v/>
      </c>
      <c r="I1524">
        <f>F1524*(1-H1524/100)*1.18</f>
        <v/>
      </c>
      <c r="J1524">
        <f>הגדרות!C7</f>
        <v/>
      </c>
      <c r="K1524">
        <f>הגדרות!D7</f>
        <v/>
      </c>
      <c r="L1524">
        <f>I1524*(1+J1524/100)+K1524</f>
        <v/>
      </c>
    </row>
    <row r="1525">
      <c r="A1525" t="inlineStr">
        <is>
          <t>מדי-מרקט</t>
        </is>
      </c>
      <c r="B1525" t="inlineStr">
        <is>
          <t>Gastro 20Mg X 20Tabs</t>
        </is>
      </c>
      <c r="C1525" t="inlineStr">
        <is>
          <t>תרופות</t>
        </is>
      </c>
      <c r="D1525" t="inlineStr">
        <is>
          <t>1452</t>
        </is>
      </c>
      <c r="E1525" t="inlineStr">
        <is>
          <t>2026-06</t>
        </is>
      </c>
      <c r="F1525" t="n">
        <v>24.37</v>
      </c>
      <c r="G1525" t="n">
        <v>28.76</v>
      </c>
      <c r="H1525">
        <f>הגדרות!B7</f>
        <v/>
      </c>
      <c r="I1525">
        <f>F1525*(1-H1525/100)*1.18</f>
        <v/>
      </c>
      <c r="J1525">
        <f>הגדרות!C7</f>
        <v/>
      </c>
      <c r="K1525">
        <f>הגדרות!D7</f>
        <v/>
      </c>
      <c r="L1525">
        <f>I1525*(1+J1525/100)+K1525</f>
        <v/>
      </c>
    </row>
    <row r="1526">
      <c r="A1526" t="inlineStr">
        <is>
          <t>מדי-מרקט</t>
        </is>
      </c>
      <c r="B1526" t="inlineStr">
        <is>
          <t>GENTA Gentamicin 10% 100MG/ML 100ML INJ</t>
        </is>
      </c>
      <c r="C1526" t="inlineStr">
        <is>
          <t>תרופות</t>
        </is>
      </c>
      <c r="D1526" t="inlineStr">
        <is>
          <t>560-1</t>
        </is>
      </c>
      <c r="E1526" t="inlineStr">
        <is>
          <t>2026-06</t>
        </is>
      </c>
      <c r="F1526" t="n">
        <v>49.15</v>
      </c>
      <c r="G1526" t="n">
        <v>58</v>
      </c>
      <c r="H1526">
        <f>הגדרות!B7</f>
        <v/>
      </c>
      <c r="I1526">
        <f>F1526*(1-H1526/100)*1.18</f>
        <v/>
      </c>
      <c r="J1526">
        <f>הגדרות!C7</f>
        <v/>
      </c>
      <c r="K1526">
        <f>הגדרות!D7</f>
        <v/>
      </c>
      <c r="L1526">
        <f>I1526*(1+J1526/100)+K1526</f>
        <v/>
      </c>
    </row>
    <row r="1527">
      <c r="A1527" t="inlineStr">
        <is>
          <t>מדי-מרקט</t>
        </is>
      </c>
      <c r="B1527" t="inlineStr">
        <is>
          <t>Gentamicin  80 Mg/2 Ml *10 29ג'</t>
        </is>
      </c>
      <c r="C1527" t="inlineStr">
        <is>
          <t>29 יבוא תרופות הומניות חו"ל</t>
        </is>
      </c>
      <c r="D1527" t="inlineStr">
        <is>
          <t>5619</t>
        </is>
      </c>
      <c r="E1527" t="inlineStr">
        <is>
          <t>2026-06</t>
        </is>
      </c>
      <c r="F1527" t="n">
        <v>32.61</v>
      </c>
      <c r="G1527" t="n">
        <v>38.48</v>
      </c>
      <c r="H1527">
        <f>הגדרות!B7</f>
        <v/>
      </c>
      <c r="I1527">
        <f>F1527*(1-H1527/100)*1.18</f>
        <v/>
      </c>
      <c r="J1527">
        <f>הגדרות!C7</f>
        <v/>
      </c>
      <c r="K1527">
        <f>הגדרות!D7</f>
        <v/>
      </c>
      <c r="L1527">
        <f>I1527*(1+J1527/100)+K1527</f>
        <v/>
      </c>
    </row>
    <row r="1528">
      <c r="A1528" t="inlineStr">
        <is>
          <t>מדי-מרקט</t>
        </is>
      </c>
      <c r="B1528" t="inlineStr">
        <is>
          <t>Gentamycin 13.6Mg/Ml 7Ml Eye Drops</t>
        </is>
      </c>
      <c r="C1528" t="inlineStr">
        <is>
          <t>הכנות בית מרקחת</t>
        </is>
      </c>
      <c r="D1528" t="inlineStr">
        <is>
          <t>98585</t>
        </is>
      </c>
      <c r="E1528" t="inlineStr">
        <is>
          <t>2026-06</t>
        </is>
      </c>
      <c r="F1528" t="n">
        <v>21.19</v>
      </c>
      <c r="G1528" t="n">
        <v>25</v>
      </c>
      <c r="H1528">
        <f>הגדרות!B7</f>
        <v/>
      </c>
      <c r="I1528">
        <f>F1528*(1-H1528/100)*1.18</f>
        <v/>
      </c>
      <c r="J1528">
        <f>הגדרות!C7</f>
        <v/>
      </c>
      <c r="K1528">
        <f>הגדרות!D7</f>
        <v/>
      </c>
      <c r="L1528">
        <f>I1528*(1+J1528/100)+K1528</f>
        <v/>
      </c>
    </row>
    <row r="1529">
      <c r="A1529" t="inlineStr">
        <is>
          <t>מדי-מרקט</t>
        </is>
      </c>
      <c r="B1529" t="inlineStr">
        <is>
          <t>Gentatrim Cream Tube: 15 G</t>
        </is>
      </c>
      <c r="C1529" t="inlineStr">
        <is>
          <t>תרופות</t>
        </is>
      </c>
      <c r="D1529" t="inlineStr">
        <is>
          <t>10565</t>
        </is>
      </c>
      <c r="E1529" t="inlineStr">
        <is>
          <t>2026-06</t>
        </is>
      </c>
      <c r="F1529" t="n">
        <v>13.56</v>
      </c>
      <c r="G1529" t="n">
        <v>16</v>
      </c>
      <c r="H1529">
        <f>הגדרות!B7</f>
        <v/>
      </c>
      <c r="I1529">
        <f>F1529*(1-H1529/100)*1.18</f>
        <v/>
      </c>
      <c r="J1529">
        <f>הגדרות!C7</f>
        <v/>
      </c>
      <c r="K1529">
        <f>הגדרות!D7</f>
        <v/>
      </c>
      <c r="L1529">
        <f>I1529*(1+J1529/100)+K1529</f>
        <v/>
      </c>
    </row>
    <row r="1530">
      <c r="A1530" t="inlineStr">
        <is>
          <t>מדי-מרקט</t>
        </is>
      </c>
      <c r="B1530" t="inlineStr">
        <is>
          <t>Gentatrim Oint Tube: 15 G</t>
        </is>
      </c>
      <c r="C1530" t="inlineStr">
        <is>
          <t>תרופות</t>
        </is>
      </c>
      <c r="D1530" t="inlineStr">
        <is>
          <t>0566</t>
        </is>
      </c>
      <c r="E1530" t="inlineStr">
        <is>
          <t>2026-06</t>
        </is>
      </c>
      <c r="F1530" t="n">
        <v>6.83</v>
      </c>
      <c r="G1530" t="n">
        <v>8.06</v>
      </c>
      <c r="H1530">
        <f>הגדרות!B7</f>
        <v/>
      </c>
      <c r="I1530">
        <f>F1530*(1-H1530/100)*1.18</f>
        <v/>
      </c>
      <c r="J1530">
        <f>הגדרות!C7</f>
        <v/>
      </c>
      <c r="K1530">
        <f>הגדרות!D7</f>
        <v/>
      </c>
      <c r="L1530">
        <f>I1530*(1+J1530/100)+K1530</f>
        <v/>
      </c>
    </row>
    <row r="1531">
      <c r="A1531" t="inlineStr">
        <is>
          <t>מדי-מרקט</t>
        </is>
      </c>
      <c r="B1531" t="inlineStr">
        <is>
          <t>Gilex 10 Mg 30 Caps</t>
        </is>
      </c>
      <c r="C1531" t="inlineStr">
        <is>
          <t>תרופות</t>
        </is>
      </c>
      <c r="D1531" t="inlineStr">
        <is>
          <t>7561</t>
        </is>
      </c>
      <c r="E1531" t="inlineStr">
        <is>
          <t>2026-06</t>
        </is>
      </c>
      <c r="F1531" t="n">
        <v>12.46</v>
      </c>
      <c r="G1531" t="n">
        <v>14.7</v>
      </c>
      <c r="H1531">
        <f>הגדרות!B7</f>
        <v/>
      </c>
      <c r="I1531">
        <f>F1531*(1-H1531/100)*1.18</f>
        <v/>
      </c>
      <c r="J1531">
        <f>הגדרות!C7</f>
        <v/>
      </c>
      <c r="K1531">
        <f>הגדרות!D7</f>
        <v/>
      </c>
      <c r="L1531">
        <f>I1531*(1+J1531/100)+K1531</f>
        <v/>
      </c>
    </row>
    <row r="1532">
      <c r="A1532" t="inlineStr">
        <is>
          <t>מדי-מרקט</t>
        </is>
      </c>
      <c r="B1532" t="inlineStr">
        <is>
          <t>Gilex 25Mg X 30Caps</t>
        </is>
      </c>
      <c r="C1532" t="inlineStr">
        <is>
          <t>תרופות</t>
        </is>
      </c>
      <c r="D1532" t="inlineStr">
        <is>
          <t>1635362</t>
        </is>
      </c>
      <c r="E1532" t="inlineStr">
        <is>
          <t>2026-06</t>
        </is>
      </c>
      <c r="F1532" t="n">
        <v>15.08</v>
      </c>
      <c r="G1532" t="n">
        <v>17.8</v>
      </c>
      <c r="H1532">
        <f>הגדרות!B7</f>
        <v/>
      </c>
      <c r="I1532">
        <f>F1532*(1-H1532/100)*1.18</f>
        <v/>
      </c>
      <c r="J1532">
        <f>הגדרות!C7</f>
        <v/>
      </c>
      <c r="K1532">
        <f>הגדרות!D7</f>
        <v/>
      </c>
      <c r="L1532">
        <f>I1532*(1+J1532/100)+K1532</f>
        <v/>
      </c>
    </row>
    <row r="1533">
      <c r="A1533" t="inlineStr">
        <is>
          <t>מדי-מרקט</t>
        </is>
      </c>
      <c r="B1533" t="inlineStr">
        <is>
          <t>GLANATEC ophthalmic solution 0.4% 5 bottles/pack</t>
        </is>
      </c>
      <c r="C1533" t="inlineStr">
        <is>
          <t>29 יבוא תרופות הומניות חו"ל</t>
        </is>
      </c>
      <c r="D1533" t="inlineStr">
        <is>
          <t>285986</t>
        </is>
      </c>
      <c r="E1533" t="inlineStr">
        <is>
          <t>2026-06</t>
        </is>
      </c>
      <c r="F1533" t="n">
        <v>869.49</v>
      </c>
      <c r="G1533" t="n">
        <v>1026</v>
      </c>
      <c r="H1533">
        <f>הגדרות!B7</f>
        <v/>
      </c>
      <c r="I1533">
        <f>F1533*(1-H1533/100)*1.18</f>
        <v/>
      </c>
      <c r="J1533">
        <f>הגדרות!C7</f>
        <v/>
      </c>
      <c r="K1533">
        <f>הגדרות!D7</f>
        <v/>
      </c>
      <c r="L1533">
        <f>I1533*(1+J1533/100)+K1533</f>
        <v/>
      </c>
    </row>
    <row r="1534">
      <c r="A1534" t="inlineStr">
        <is>
          <t>מדי-מרקט</t>
        </is>
      </c>
      <c r="B1534" t="inlineStr">
        <is>
          <t>Glimepiride Teva 2Mg 30 Tab</t>
        </is>
      </c>
      <c r="C1534" t="inlineStr">
        <is>
          <t>תרופות</t>
        </is>
      </c>
      <c r="D1534" t="inlineStr">
        <is>
          <t>BI000162</t>
        </is>
      </c>
      <c r="E1534" t="inlineStr">
        <is>
          <t>2026-06</t>
        </is>
      </c>
      <c r="F1534" t="n">
        <v>11.02</v>
      </c>
      <c r="G1534" t="n">
        <v>13</v>
      </c>
      <c r="H1534">
        <f>הגדרות!B7</f>
        <v/>
      </c>
      <c r="I1534">
        <f>F1534*(1-H1534/100)*1.18</f>
        <v/>
      </c>
      <c r="J1534">
        <f>הגדרות!C7</f>
        <v/>
      </c>
      <c r="K1534">
        <f>הגדרות!D7</f>
        <v/>
      </c>
      <c r="L1534">
        <f>I1534*(1+J1534/100)+K1534</f>
        <v/>
      </c>
    </row>
    <row r="1535">
      <c r="A1535" t="inlineStr">
        <is>
          <t>מדי-מרקט</t>
        </is>
      </c>
      <c r="B1535" t="inlineStr">
        <is>
          <t>Glucagen Hypokit 1Mg Vial</t>
        </is>
      </c>
      <c r="C1535" t="inlineStr">
        <is>
          <t>תרופות</t>
        </is>
      </c>
      <c r="D1535" t="inlineStr">
        <is>
          <t>1642</t>
        </is>
      </c>
      <c r="E1535" t="inlineStr">
        <is>
          <t>2026-06</t>
        </is>
      </c>
      <c r="F1535" t="n">
        <v>68.14</v>
      </c>
      <c r="G1535" t="n">
        <v>80.40000000000001</v>
      </c>
      <c r="H1535">
        <f>הגדרות!B7</f>
        <v/>
      </c>
      <c r="I1535">
        <f>F1535*(1-H1535/100)*1.18</f>
        <v/>
      </c>
      <c r="J1535">
        <f>הגדרות!C7</f>
        <v/>
      </c>
      <c r="K1535">
        <f>הגדרות!D7</f>
        <v/>
      </c>
      <c r="L1535">
        <f>I1535*(1+J1535/100)+K1535</f>
        <v/>
      </c>
    </row>
    <row r="1536">
      <c r="A1536" t="inlineStr">
        <is>
          <t>מדי-מרקט</t>
        </is>
      </c>
      <c r="B1536" t="inlineStr">
        <is>
          <t>Glucogel 15 Gr X 3</t>
        </is>
      </c>
      <c r="C1536" t="inlineStr">
        <is>
          <t>תרופות</t>
        </is>
      </c>
      <c r="D1536" t="inlineStr">
        <is>
          <t>60143</t>
        </is>
      </c>
      <c r="E1536" t="inlineStr">
        <is>
          <t>2026-06</t>
        </is>
      </c>
      <c r="F1536" t="n">
        <v>29.49</v>
      </c>
      <c r="G1536" t="n">
        <v>34.8</v>
      </c>
      <c r="H1536">
        <f>הגדרות!B7</f>
        <v/>
      </c>
      <c r="I1536">
        <f>F1536*(1-H1536/100)*1.18</f>
        <v/>
      </c>
      <c r="J1536">
        <f>הגדרות!C7</f>
        <v/>
      </c>
      <c r="K1536">
        <f>הגדרות!D7</f>
        <v/>
      </c>
      <c r="L1536">
        <f>I1536*(1+J1536/100)+K1536</f>
        <v/>
      </c>
    </row>
    <row r="1537">
      <c r="A1537" t="inlineStr">
        <is>
          <t>מדי-מרקט</t>
        </is>
      </c>
      <c r="B1537" t="inlineStr">
        <is>
          <t>Glucomin 850Mg X 30Caps</t>
        </is>
      </c>
      <c r="C1537" t="inlineStr">
        <is>
          <t>תרופות</t>
        </is>
      </c>
      <c r="D1537" t="inlineStr">
        <is>
          <t>1682</t>
        </is>
      </c>
      <c r="E1537" t="inlineStr">
        <is>
          <t>2026-06</t>
        </is>
      </c>
      <c r="F1537" t="n">
        <v>9.960000000000001</v>
      </c>
      <c r="G1537" t="n">
        <v>11.75</v>
      </c>
      <c r="H1537">
        <f>הגדרות!B7</f>
        <v/>
      </c>
      <c r="I1537">
        <f>F1537*(1-H1537/100)*1.18</f>
        <v/>
      </c>
      <c r="J1537">
        <f>הגדרות!C7</f>
        <v/>
      </c>
      <c r="K1537">
        <f>הגדרות!D7</f>
        <v/>
      </c>
      <c r="L1537">
        <f>I1537*(1+J1537/100)+K1537</f>
        <v/>
      </c>
    </row>
    <row r="1538">
      <c r="A1538" t="inlineStr">
        <is>
          <t>מדי-מרקט</t>
        </is>
      </c>
      <c r="B1538" t="inlineStr">
        <is>
          <t>Glycerin Pediatric X5 Suppositories</t>
        </is>
      </c>
      <c r="C1538" t="inlineStr">
        <is>
          <t>תרופות</t>
        </is>
      </c>
      <c r="D1538" t="inlineStr">
        <is>
          <t>21692-1</t>
        </is>
      </c>
      <c r="E1538" t="inlineStr">
        <is>
          <t>2026-06</t>
        </is>
      </c>
      <c r="F1538" t="n">
        <v>8.31</v>
      </c>
      <c r="G1538" t="n">
        <v>9.800000000000001</v>
      </c>
      <c r="H1538">
        <f>הגדרות!B7</f>
        <v/>
      </c>
      <c r="I1538">
        <f>F1538*(1-H1538/100)*1.18</f>
        <v/>
      </c>
      <c r="J1538">
        <f>הגדרות!C7</f>
        <v/>
      </c>
      <c r="K1538">
        <f>הגדרות!D7</f>
        <v/>
      </c>
      <c r="L1538">
        <f>I1538*(1+J1538/100)+K1538</f>
        <v/>
      </c>
    </row>
    <row r="1539">
      <c r="A1539" t="inlineStr">
        <is>
          <t>מדי-מרקט</t>
        </is>
      </c>
      <c r="B1539" t="inlineStr">
        <is>
          <t>GlycoFLEX Plus for Dogs Over 30 Lbs - 18 kg</t>
        </is>
      </c>
      <c r="C1539" t="inlineStr">
        <is>
          <t>Vetri Science</t>
        </is>
      </c>
      <c r="D1539" t="inlineStr">
        <is>
          <t>09M292E.060</t>
        </is>
      </c>
      <c r="E1539" t="inlineStr">
        <is>
          <t>2026-06</t>
        </is>
      </c>
      <c r="F1539" t="n">
        <v>57.28</v>
      </c>
      <c r="G1539" t="n">
        <v>67.59</v>
      </c>
      <c r="H1539">
        <f>הגדרות!B7</f>
        <v/>
      </c>
      <c r="I1539">
        <f>F1539*(1-H1539/100)*1.18</f>
        <v/>
      </c>
      <c r="J1539">
        <f>הגדרות!C7</f>
        <v/>
      </c>
      <c r="K1539">
        <f>הגדרות!D7</f>
        <v/>
      </c>
      <c r="L1539">
        <f>I1539*(1+J1539/100)+K1539</f>
        <v/>
      </c>
    </row>
    <row r="1540">
      <c r="A1540" t="inlineStr">
        <is>
          <t>מדי-מרקט</t>
        </is>
      </c>
      <c r="B1540" t="inlineStr">
        <is>
          <t>GLYPRESSIN X 5INJ</t>
        </is>
      </c>
      <c r="C1540" t="inlineStr">
        <is>
          <t>תרופות</t>
        </is>
      </c>
      <c r="D1540" t="inlineStr">
        <is>
          <t>1682800402</t>
        </is>
      </c>
      <c r="E1540" t="inlineStr">
        <is>
          <t>2026-06</t>
        </is>
      </c>
      <c r="F1540" t="n">
        <v>288.14</v>
      </c>
      <c r="G1540" t="n">
        <v>340</v>
      </c>
      <c r="H1540">
        <f>הגדרות!B7</f>
        <v/>
      </c>
      <c r="I1540">
        <f>F1540*(1-H1540/100)*1.18</f>
        <v/>
      </c>
      <c r="J1540">
        <f>הגדרות!C7</f>
        <v/>
      </c>
      <c r="K1540">
        <f>הגדרות!D7</f>
        <v/>
      </c>
      <c r="L1540">
        <f>I1540*(1+J1540/100)+K1540</f>
        <v/>
      </c>
    </row>
    <row r="1541">
      <c r="A1541" t="inlineStr">
        <is>
          <t>מדי-מרקט</t>
        </is>
      </c>
      <c r="B1541" t="inlineStr">
        <is>
          <t>Granuflex גרנופלקס 10X10 S150 ס"מ - 10 יח'</t>
        </is>
      </c>
      <c r="C1541" t="inlineStr">
        <is>
          <t>מוצרי חבישה ופלסטרים</t>
        </is>
      </c>
      <c r="D1541" t="inlineStr">
        <is>
          <t>3972</t>
        </is>
      </c>
      <c r="E1541" t="inlineStr">
        <is>
          <t>2026-06</t>
        </is>
      </c>
      <c r="F1541" t="n">
        <v>111.86</v>
      </c>
      <c r="G1541" t="n">
        <v>132</v>
      </c>
      <c r="H1541">
        <f>הגדרות!B7</f>
        <v/>
      </c>
      <c r="I1541">
        <f>F1541*(1-H1541/100)*1.18</f>
        <v/>
      </c>
      <c r="J1541">
        <f>הגדרות!C7</f>
        <v/>
      </c>
      <c r="K1541">
        <f>הגדרות!D7</f>
        <v/>
      </c>
      <c r="L1541">
        <f>I1541*(1+J1541/100)+K1541</f>
        <v/>
      </c>
    </row>
    <row r="1542">
      <c r="A1542" t="inlineStr">
        <is>
          <t>מדי-מרקט</t>
        </is>
      </c>
      <c r="B1542" t="inlineStr">
        <is>
          <t>GYPSONA BANDAGE QUICK SETTING 10CM*3YD *24</t>
        </is>
      </c>
      <c r="C1542" t="inlineStr">
        <is>
          <t>מוצרי חבישה ופלסטרים</t>
        </is>
      </c>
      <c r="D1542" t="inlineStr">
        <is>
          <t>4145</t>
        </is>
      </c>
      <c r="E1542" t="inlineStr">
        <is>
          <t>2026-06</t>
        </is>
      </c>
      <c r="F1542" t="n">
        <v>72.03</v>
      </c>
      <c r="G1542" t="n">
        <v>85</v>
      </c>
      <c r="H1542">
        <f>הגדרות!B7</f>
        <v/>
      </c>
      <c r="I1542">
        <f>F1542*(1-H1542/100)*1.18</f>
        <v/>
      </c>
      <c r="J1542">
        <f>הגדרות!C7</f>
        <v/>
      </c>
      <c r="K1542">
        <f>הגדרות!D7</f>
        <v/>
      </c>
      <c r="L1542">
        <f>I1542*(1+J1542/100)+K1542</f>
        <v/>
      </c>
    </row>
    <row r="1543">
      <c r="A1543" t="inlineStr">
        <is>
          <t>מדי-מרקט</t>
        </is>
      </c>
      <c r="B1543" t="inlineStr">
        <is>
          <t>GYPSONA BANDAGE QUICK SETTING 12CM*3YD *20</t>
        </is>
      </c>
      <c r="C1543" t="inlineStr">
        <is>
          <t>מוצרי חבישה ופלסטרים</t>
        </is>
      </c>
      <c r="D1543" t="inlineStr">
        <is>
          <t>4148</t>
        </is>
      </c>
      <c r="E1543" t="inlineStr">
        <is>
          <t>2026-06</t>
        </is>
      </c>
      <c r="F1543" t="n">
        <v>57.88</v>
      </c>
      <c r="G1543" t="n">
        <v>68.3</v>
      </c>
      <c r="H1543">
        <f>הגדרות!B7</f>
        <v/>
      </c>
      <c r="I1543">
        <f>F1543*(1-H1543/100)*1.18</f>
        <v/>
      </c>
      <c r="J1543">
        <f>הגדרות!C7</f>
        <v/>
      </c>
      <c r="K1543">
        <f>הגדרות!D7</f>
        <v/>
      </c>
      <c r="L1543">
        <f>I1543*(1+J1543/100)+K1543</f>
        <v/>
      </c>
    </row>
    <row r="1544">
      <c r="A1544" t="inlineStr">
        <is>
          <t>מדי-מרקט</t>
        </is>
      </c>
      <c r="B1544" t="inlineStr">
        <is>
          <t>GYPSONA BANDAGE QUICK SETTING 15CM*3YD *16</t>
        </is>
      </c>
      <c r="C1544" t="inlineStr">
        <is>
          <t>מוצרי חבישה ופלסטרים</t>
        </is>
      </c>
      <c r="D1544" t="inlineStr">
        <is>
          <t>4149</t>
        </is>
      </c>
      <c r="E1544" t="inlineStr">
        <is>
          <t>2026-06</t>
        </is>
      </c>
      <c r="F1544" t="n">
        <v>62.98</v>
      </c>
      <c r="G1544" t="n">
        <v>74.31999999999999</v>
      </c>
      <c r="H1544">
        <f>הגדרות!B7</f>
        <v/>
      </c>
      <c r="I1544">
        <f>F1544*(1-H1544/100)*1.18</f>
        <v/>
      </c>
      <c r="J1544">
        <f>הגדרות!C7</f>
        <v/>
      </c>
      <c r="K1544">
        <f>הגדרות!D7</f>
        <v/>
      </c>
      <c r="L1544">
        <f>I1544*(1+J1544/100)+K1544</f>
        <v/>
      </c>
    </row>
    <row r="1545">
      <c r="A1545" t="inlineStr">
        <is>
          <t>מדי-מרקט</t>
        </is>
      </c>
      <c r="B1545" t="inlineStr">
        <is>
          <t>GYPSONA BANDAGE QUICK SETTING 8CM*3YD X 2*15</t>
        </is>
      </c>
      <c r="C1545" t="inlineStr">
        <is>
          <t>מוצרי חבישה ופלסטרים</t>
        </is>
      </c>
      <c r="D1545" t="inlineStr">
        <is>
          <t>4144</t>
        </is>
      </c>
      <c r="E1545" t="inlineStr">
        <is>
          <t>2026-06</t>
        </is>
      </c>
      <c r="F1545" t="n">
        <v>82.37</v>
      </c>
      <c r="G1545" t="n">
        <v>97.2</v>
      </c>
      <c r="H1545">
        <f>הגדרות!B7</f>
        <v/>
      </c>
      <c r="I1545">
        <f>F1545*(1-H1545/100)*1.18</f>
        <v/>
      </c>
      <c r="J1545">
        <f>הגדרות!C7</f>
        <v/>
      </c>
      <c r="K1545">
        <f>הגדרות!D7</f>
        <v/>
      </c>
      <c r="L1545">
        <f>I1545*(1+J1545/100)+K1545</f>
        <v/>
      </c>
    </row>
    <row r="1546">
      <c r="A1546" t="inlineStr">
        <is>
          <t>מדי-מרקט</t>
        </is>
      </c>
      <c r="B1546" t="inlineStr">
        <is>
          <t>Haldol 2Mg/Ml Drops 30Ml</t>
        </is>
      </c>
      <c r="C1546" t="inlineStr">
        <is>
          <t>תרופות</t>
        </is>
      </c>
      <c r="D1546" t="inlineStr">
        <is>
          <t>129685</t>
        </is>
      </c>
      <c r="E1546" t="inlineStr">
        <is>
          <t>2026-06</t>
        </is>
      </c>
      <c r="F1546" t="n">
        <v>15.73</v>
      </c>
      <c r="G1546" t="n">
        <v>18.56</v>
      </c>
      <c r="H1546">
        <f>הגדרות!B7</f>
        <v/>
      </c>
      <c r="I1546">
        <f>F1546*(1-H1546/100)*1.18</f>
        <v/>
      </c>
      <c r="J1546">
        <f>הגדרות!C7</f>
        <v/>
      </c>
      <c r="K1546">
        <f>הגדרות!D7</f>
        <v/>
      </c>
      <c r="L1546">
        <f>I1546*(1+J1546/100)+K1546</f>
        <v/>
      </c>
    </row>
    <row r="1547">
      <c r="A1547" t="inlineStr">
        <is>
          <t>מדי-מרקט</t>
        </is>
      </c>
      <c r="B1547" t="inlineStr">
        <is>
          <t>Haldol 5Mg/1Ml X 5Amp</t>
        </is>
      </c>
      <c r="C1547" t="inlineStr">
        <is>
          <t>תרופות</t>
        </is>
      </c>
      <c r="D1547" t="inlineStr">
        <is>
          <t>1617</t>
        </is>
      </c>
      <c r="E1547" t="inlineStr">
        <is>
          <t>2026-06</t>
        </is>
      </c>
      <c r="F1547" t="n">
        <v>12.2</v>
      </c>
      <c r="G1547" t="n">
        <v>14.4</v>
      </c>
      <c r="H1547">
        <f>הגדרות!B7</f>
        <v/>
      </c>
      <c r="I1547">
        <f>F1547*(1-H1547/100)*1.18</f>
        <v/>
      </c>
      <c r="J1547">
        <f>הגדרות!C7</f>
        <v/>
      </c>
      <c r="K1547">
        <f>הגדרות!D7</f>
        <v/>
      </c>
      <c r="L1547">
        <f>I1547*(1+J1547/100)+K1547</f>
        <v/>
      </c>
    </row>
    <row r="1548">
      <c r="A1548" t="inlineStr">
        <is>
          <t>מדי-מרקט</t>
        </is>
      </c>
      <c r="B1548" t="inlineStr">
        <is>
          <t>Haloper 5 Mg X 30 Tab</t>
        </is>
      </c>
      <c r="C1548" t="inlineStr">
        <is>
          <t>תרופות</t>
        </is>
      </c>
      <c r="D1548" t="inlineStr">
        <is>
          <t>26262</t>
        </is>
      </c>
      <c r="E1548" t="inlineStr">
        <is>
          <t>2026-06</t>
        </is>
      </c>
      <c r="F1548" t="n">
        <v>18.22</v>
      </c>
      <c r="G1548" t="n">
        <v>21.5</v>
      </c>
      <c r="H1548">
        <f>הגדרות!B7</f>
        <v/>
      </c>
      <c r="I1548">
        <f>F1548*(1-H1548/100)*1.18</f>
        <v/>
      </c>
      <c r="J1548">
        <f>הגדרות!C7</f>
        <v/>
      </c>
      <c r="K1548">
        <f>הגדרות!D7</f>
        <v/>
      </c>
      <c r="L1548">
        <f>I1548*(1+J1548/100)+K1548</f>
        <v/>
      </c>
    </row>
    <row r="1549">
      <c r="A1549" t="inlineStr">
        <is>
          <t>מדי-מרקט</t>
        </is>
      </c>
      <c r="B1549" t="inlineStr">
        <is>
          <t>happy tummy</t>
        </is>
      </c>
      <c r="C1549" t="inlineStr">
        <is>
          <t>תרופות</t>
        </is>
      </c>
      <c r="D1549" t="inlineStr">
        <is>
          <t>w2710</t>
        </is>
      </c>
      <c r="E1549" t="inlineStr">
        <is>
          <t>2026-06</t>
        </is>
      </c>
      <c r="F1549" t="n">
        <v>42.37</v>
      </c>
      <c r="G1549" t="n">
        <v>50</v>
      </c>
      <c r="H1549">
        <f>הגדרות!B7</f>
        <v/>
      </c>
      <c r="I1549">
        <f>F1549*(1-H1549/100)*1.18</f>
        <v/>
      </c>
      <c r="J1549">
        <f>הגדרות!C7</f>
        <v/>
      </c>
      <c r="K1549">
        <f>הגדרות!D7</f>
        <v/>
      </c>
      <c r="L1549">
        <f>I1549*(1+J1549/100)+K1549</f>
        <v/>
      </c>
    </row>
    <row r="1550">
      <c r="A1550" t="inlineStr">
        <is>
          <t>מדי-מרקט</t>
        </is>
      </c>
      <c r="B1550" t="inlineStr">
        <is>
          <t>Heparin Lock Flush 50 Units/5 Ml 12 Ml Syr X60</t>
        </is>
      </c>
      <c r="C1550" t="inlineStr">
        <is>
          <t>תרופות רשומות- מדי מרקט</t>
        </is>
      </c>
      <c r="D1550" t="inlineStr">
        <is>
          <t>MIH-2235</t>
        </is>
      </c>
      <c r="E1550" t="inlineStr">
        <is>
          <t>2026-06</t>
        </is>
      </c>
      <c r="F1550" t="n">
        <v>229.96</v>
      </c>
      <c r="G1550" t="n">
        <v>271.35</v>
      </c>
      <c r="H1550">
        <f>הגדרות!B7</f>
        <v/>
      </c>
      <c r="I1550">
        <f>F1550*(1-H1550/100)*1.18</f>
        <v/>
      </c>
      <c r="J1550">
        <f>הגדרות!C7</f>
        <v/>
      </c>
      <c r="K1550">
        <f>הגדרות!D7</f>
        <v/>
      </c>
      <c r="L1550">
        <f>I1550*(1+J1550/100)+K1550</f>
        <v/>
      </c>
    </row>
    <row r="1551">
      <c r="A1551" t="inlineStr">
        <is>
          <t>מדי-מרקט</t>
        </is>
      </c>
      <c r="B1551" t="inlineStr">
        <is>
          <t>Heparin Lock Flush 500 Units/5 Ml 12 Ml Syr X60</t>
        </is>
      </c>
      <c r="C1551" t="inlineStr">
        <is>
          <t>תרופות רשומות- מדי מרקט</t>
        </is>
      </c>
      <c r="D1551" t="inlineStr">
        <is>
          <t>MIH 3335</t>
        </is>
      </c>
      <c r="E1551" t="inlineStr">
        <is>
          <t>2026-06</t>
        </is>
      </c>
      <c r="F1551" t="n">
        <v>238.98</v>
      </c>
      <c r="G1551" t="n">
        <v>282</v>
      </c>
      <c r="H1551">
        <f>הגדרות!B7</f>
        <v/>
      </c>
      <c r="I1551">
        <f>F1551*(1-H1551/100)*1.18</f>
        <v/>
      </c>
      <c r="J1551">
        <f>הגדרות!C7</f>
        <v/>
      </c>
      <c r="K1551">
        <f>הגדרות!D7</f>
        <v/>
      </c>
      <c r="L1551">
        <f>I1551*(1+J1551/100)+K1551</f>
        <v/>
      </c>
    </row>
    <row r="1552">
      <c r="A1552" t="inlineStr">
        <is>
          <t>מדי-מרקט</t>
        </is>
      </c>
      <c r="B1552" t="inlineStr">
        <is>
          <t>Heparin Sod.Ph 25000Iu/5Ml 5Vi * 5Amp</t>
        </is>
      </c>
      <c r="C1552" t="inlineStr">
        <is>
          <t>תרופות</t>
        </is>
      </c>
      <c r="D1552" t="inlineStr">
        <is>
          <t>25317</t>
        </is>
      </c>
      <c r="E1552" t="inlineStr">
        <is>
          <t>2026-06</t>
        </is>
      </c>
      <c r="F1552" t="n">
        <v>94.84999999999999</v>
      </c>
      <c r="G1552" t="n">
        <v>111.92</v>
      </c>
      <c r="H1552">
        <f>הגדרות!B7</f>
        <v/>
      </c>
      <c r="I1552">
        <f>F1552*(1-H1552/100)*1.18</f>
        <v/>
      </c>
      <c r="J1552">
        <f>הגדרות!C7</f>
        <v/>
      </c>
      <c r="K1552">
        <f>הגדרות!D7</f>
        <v/>
      </c>
      <c r="L1552">
        <f>I1552*(1+J1552/100)+K1552</f>
        <v/>
      </c>
    </row>
    <row r="1553">
      <c r="A1553" t="inlineStr">
        <is>
          <t>מדי-מרקט</t>
        </is>
      </c>
      <c r="B1553" t="inlineStr">
        <is>
          <t>Heparin Sod.Ph 5000Iu/5Ml 5Vi *100Amp</t>
        </is>
      </c>
      <c r="C1553" t="inlineStr">
        <is>
          <t>תרופות</t>
        </is>
      </c>
      <c r="D1553" t="inlineStr">
        <is>
          <t>25317-1</t>
        </is>
      </c>
      <c r="E1553" t="inlineStr">
        <is>
          <t>2026-06</t>
        </is>
      </c>
      <c r="F1553" t="n">
        <v>1271.19</v>
      </c>
      <c r="G1553" t="n">
        <v>1500</v>
      </c>
      <c r="H1553">
        <f>הגדרות!B7</f>
        <v/>
      </c>
      <c r="I1553">
        <f>F1553*(1-H1553/100)*1.18</f>
        <v/>
      </c>
      <c r="J1553">
        <f>הגדרות!C7</f>
        <v/>
      </c>
      <c r="K1553">
        <f>הגדרות!D7</f>
        <v/>
      </c>
      <c r="L1553">
        <f>I1553*(1+J1553/100)+K1553</f>
        <v/>
      </c>
    </row>
    <row r="1554">
      <c r="A1554" t="inlineStr">
        <is>
          <t>מדי-מרקט</t>
        </is>
      </c>
      <c r="B1554" t="inlineStr">
        <is>
          <t>Hepatitis B Vaccine Adult 1Ml  Engerix-B * 10</t>
        </is>
      </c>
      <c r="C1554" t="inlineStr">
        <is>
          <t>תרופות</t>
        </is>
      </c>
      <c r="D1554" t="inlineStr">
        <is>
          <t>1801200385</t>
        </is>
      </c>
      <c r="E1554" t="inlineStr">
        <is>
          <t>2026-06</t>
        </is>
      </c>
      <c r="F1554" t="n">
        <v>457.63</v>
      </c>
      <c r="G1554" t="n">
        <v>540</v>
      </c>
      <c r="H1554">
        <f>הגדרות!B7</f>
        <v/>
      </c>
      <c r="I1554">
        <f>F1554*(1-H1554/100)*1.18</f>
        <v/>
      </c>
      <c r="J1554">
        <f>הגדרות!C7</f>
        <v/>
      </c>
      <c r="K1554">
        <f>הגדרות!D7</f>
        <v/>
      </c>
      <c r="L1554">
        <f>I1554*(1+J1554/100)+K1554</f>
        <v/>
      </c>
    </row>
    <row r="1555">
      <c r="A1555" t="inlineStr">
        <is>
          <t>מדי-מרקט</t>
        </is>
      </c>
      <c r="B1555" t="inlineStr">
        <is>
          <t>HERCEPTIN 440MG VIAL</t>
        </is>
      </c>
      <c r="C1555" t="inlineStr">
        <is>
          <t>תרופות</t>
        </is>
      </c>
      <c r="D1555" t="inlineStr">
        <is>
          <t>08324</t>
        </is>
      </c>
      <c r="E1555" t="inlineStr">
        <is>
          <t>2026-06</t>
        </is>
      </c>
      <c r="F1555" t="n">
        <v>2996.36</v>
      </c>
      <c r="G1555" t="n">
        <v>3535.7</v>
      </c>
      <c r="H1555">
        <f>הגדרות!B7</f>
        <v/>
      </c>
      <c r="I1555">
        <f>F1555*(1-H1555/100)*1.18</f>
        <v/>
      </c>
      <c r="J1555">
        <f>הגדרות!C7</f>
        <v/>
      </c>
      <c r="K1555">
        <f>הגדרות!D7</f>
        <v/>
      </c>
      <c r="L1555">
        <f>I1555*(1+J1555/100)+K1555</f>
        <v/>
      </c>
    </row>
    <row r="1556">
      <c r="A1556" t="inlineStr">
        <is>
          <t>מדי-מרקט</t>
        </is>
      </c>
      <c r="B1556" t="inlineStr">
        <is>
          <t>Hexacare Chlorhexidine 0.05%Solution 25ml w/vX 20 Irrigatio</t>
        </is>
      </c>
      <c r="C1556" t="inlineStr">
        <is>
          <t>תרופות</t>
        </is>
      </c>
      <c r="D1556" t="inlineStr">
        <is>
          <t>85856</t>
        </is>
      </c>
      <c r="E1556" t="inlineStr">
        <is>
          <t>2026-06</t>
        </is>
      </c>
      <c r="F1556" t="n">
        <v>32.2</v>
      </c>
      <c r="G1556" t="n">
        <v>38</v>
      </c>
      <c r="H1556">
        <f>הגדרות!B7</f>
        <v/>
      </c>
      <c r="I1556">
        <f>F1556*(1-H1556/100)*1.18</f>
        <v/>
      </c>
      <c r="J1556">
        <f>הגדרות!C7</f>
        <v/>
      </c>
      <c r="K1556">
        <f>הגדרות!D7</f>
        <v/>
      </c>
      <c r="L1556">
        <f>I1556*(1+J1556/100)+K1556</f>
        <v/>
      </c>
    </row>
    <row r="1557">
      <c r="A1557" t="inlineStr">
        <is>
          <t>מדי-מרקט</t>
        </is>
      </c>
      <c r="B1557" t="inlineStr">
        <is>
          <t>Hexakapron הקסקפרון 500 מ"ג כדורים 20 יח'</t>
        </is>
      </c>
      <c r="C1557" t="inlineStr">
        <is>
          <t>תרופות</t>
        </is>
      </c>
      <c r="D1557" t="inlineStr">
        <is>
          <t>0861</t>
        </is>
      </c>
      <c r="E1557" t="inlineStr">
        <is>
          <t>2026-06</t>
        </is>
      </c>
      <c r="F1557" t="n">
        <v>24.58</v>
      </c>
      <c r="G1557" t="n">
        <v>29</v>
      </c>
      <c r="H1557">
        <f>הגדרות!B7</f>
        <v/>
      </c>
      <c r="I1557">
        <f>F1557*(1-H1557/100)*1.18</f>
        <v/>
      </c>
      <c r="J1557">
        <f>הגדרות!C7</f>
        <v/>
      </c>
      <c r="K1557">
        <f>הגדרות!D7</f>
        <v/>
      </c>
      <c r="L1557">
        <f>I1557*(1+J1557/100)+K1557</f>
        <v/>
      </c>
    </row>
    <row r="1558">
      <c r="A1558" t="inlineStr">
        <is>
          <t>מדי-מרקט</t>
        </is>
      </c>
      <c r="B1558" t="inlineStr">
        <is>
          <t>Histafed 2.5Gm X 30Tab</t>
        </is>
      </c>
      <c r="C1558" t="inlineStr">
        <is>
          <t>תרופות</t>
        </is>
      </c>
      <c r="D1558" t="inlineStr">
        <is>
          <t>2609836</t>
        </is>
      </c>
      <c r="E1558" t="inlineStr">
        <is>
          <t>2026-06</t>
        </is>
      </c>
      <c r="F1558" t="n">
        <v>21.19</v>
      </c>
      <c r="G1558" t="n">
        <v>25</v>
      </c>
      <c r="H1558">
        <f>הגדרות!B7</f>
        <v/>
      </c>
      <c r="I1558">
        <f>F1558*(1-H1558/100)*1.18</f>
        <v/>
      </c>
      <c r="J1558">
        <f>הגדרות!C7</f>
        <v/>
      </c>
      <c r="K1558">
        <f>הגדרות!D7</f>
        <v/>
      </c>
      <c r="L1558">
        <f>I1558*(1+J1558/100)+K1558</f>
        <v/>
      </c>
    </row>
    <row r="1559">
      <c r="A1559" t="inlineStr">
        <is>
          <t>מדי-מרקט</t>
        </is>
      </c>
      <c r="B1559" t="inlineStr">
        <is>
          <t>HOMATROCIL EYE DROPS DEXAMTHASONE 1MG/ML 5ML</t>
        </is>
      </c>
      <c r="C1559" t="inlineStr">
        <is>
          <t>29ג' וטרינרי</t>
        </is>
      </c>
      <c r="D1559" t="inlineStr">
        <is>
          <t>412372</t>
        </is>
      </c>
      <c r="E1559" t="inlineStr">
        <is>
          <t>2026-06</t>
        </is>
      </c>
      <c r="F1559" t="n">
        <v>8.800000000000001</v>
      </c>
      <c r="G1559" t="n">
        <v>10.38</v>
      </c>
      <c r="H1559">
        <f>הגדרות!B7</f>
        <v/>
      </c>
      <c r="I1559">
        <f>F1559*(1-H1559/100)*1.18</f>
        <v/>
      </c>
      <c r="J1559">
        <f>הגדרות!C7</f>
        <v/>
      </c>
      <c r="K1559">
        <f>הגדרות!D7</f>
        <v/>
      </c>
      <c r="L1559">
        <f>I1559*(1+J1559/100)+K1559</f>
        <v/>
      </c>
    </row>
    <row r="1560">
      <c r="A1560" t="inlineStr">
        <is>
          <t>מדי-מרקט</t>
        </is>
      </c>
      <c r="B1560" t="inlineStr">
        <is>
          <t>Honey Activon Tube 20g</t>
        </is>
      </c>
      <c r="C1560" t="inlineStr">
        <is>
          <t>אדבינסיס ADVANCIS</t>
        </is>
      </c>
      <c r="D1560" t="inlineStr">
        <is>
          <t>CR4493</t>
        </is>
      </c>
      <c r="E1560" t="inlineStr">
        <is>
          <t>2026-06</t>
        </is>
      </c>
      <c r="F1560" t="n">
        <v>27.12</v>
      </c>
      <c r="G1560" t="n">
        <v>32</v>
      </c>
      <c r="H1560">
        <f>הגדרות!B7</f>
        <v/>
      </c>
      <c r="I1560">
        <f>F1560*(1-H1560/100)*1.18</f>
        <v/>
      </c>
      <c r="J1560">
        <f>הגדרות!C7</f>
        <v/>
      </c>
      <c r="K1560">
        <f>הגדרות!D7</f>
        <v/>
      </c>
      <c r="L1560">
        <f>I1560*(1+J1560/100)+K1560</f>
        <v/>
      </c>
    </row>
    <row r="1561">
      <c r="A1561" t="inlineStr">
        <is>
          <t>מדי-מרקט</t>
        </is>
      </c>
      <c r="B1561" t="inlineStr">
        <is>
          <t>Human Albumin 20%, 50 Ml</t>
        </is>
      </c>
      <c r="C1561" t="inlineStr">
        <is>
          <t>תרופות</t>
        </is>
      </c>
      <c r="D1561" t="inlineStr">
        <is>
          <t>08341</t>
        </is>
      </c>
      <c r="E1561" t="inlineStr">
        <is>
          <t>2026-06</t>
        </is>
      </c>
      <c r="F1561" t="n">
        <v>167.8</v>
      </c>
      <c r="G1561" t="n">
        <v>198</v>
      </c>
      <c r="H1561">
        <f>הגדרות!B7</f>
        <v/>
      </c>
      <c r="I1561">
        <f>F1561*(1-H1561/100)*1.18</f>
        <v/>
      </c>
      <c r="J1561">
        <f>הגדרות!C7</f>
        <v/>
      </c>
      <c r="K1561">
        <f>הגדרות!D7</f>
        <v/>
      </c>
      <c r="L1561">
        <f>I1561*(1+J1561/100)+K1561</f>
        <v/>
      </c>
    </row>
    <row r="1562">
      <c r="A1562" t="inlineStr">
        <is>
          <t>מדי-מרקט</t>
        </is>
      </c>
      <c r="B1562" t="inlineStr">
        <is>
          <t>Humanl Immunogl 10G/200Ml (5%) Igvena</t>
        </is>
      </c>
      <c r="C1562" t="inlineStr">
        <is>
          <t>תרופות</t>
        </is>
      </c>
      <c r="D1562" t="inlineStr">
        <is>
          <t>1800450010</t>
        </is>
      </c>
      <c r="E1562" t="inlineStr">
        <is>
          <t>2026-06</t>
        </is>
      </c>
      <c r="F1562" t="n">
        <v>2838.98</v>
      </c>
      <c r="G1562" t="n">
        <v>3350</v>
      </c>
      <c r="H1562">
        <f>הגדרות!B7</f>
        <v/>
      </c>
      <c r="I1562">
        <f>F1562*(1-H1562/100)*1.18</f>
        <v/>
      </c>
      <c r="J1562">
        <f>הגדרות!C7</f>
        <v/>
      </c>
      <c r="K1562">
        <f>הגדרות!D7</f>
        <v/>
      </c>
      <c r="L1562">
        <f>I1562*(1+J1562/100)+K1562</f>
        <v/>
      </c>
    </row>
    <row r="1563">
      <c r="A1563" t="inlineStr">
        <is>
          <t>מדי-מרקט</t>
        </is>
      </c>
      <c r="B1563" t="inlineStr">
        <is>
          <t>Hyaluronidase 1500Un Inj - Hyalase * 10</t>
        </is>
      </c>
      <c r="C1563" t="inlineStr">
        <is>
          <t>תרופות</t>
        </is>
      </c>
      <c r="D1563" t="inlineStr">
        <is>
          <t>1440000014</t>
        </is>
      </c>
      <c r="E1563" t="inlineStr">
        <is>
          <t>2026-06</t>
        </is>
      </c>
      <c r="F1563" t="n">
        <v>2304.41</v>
      </c>
      <c r="G1563" t="n">
        <v>2719.2</v>
      </c>
      <c r="H1563">
        <f>הגדרות!B7</f>
        <v/>
      </c>
      <c r="I1563">
        <f>F1563*(1-H1563/100)*1.18</f>
        <v/>
      </c>
      <c r="J1563">
        <f>הגדרות!C7</f>
        <v/>
      </c>
      <c r="K1563">
        <f>הגדרות!D7</f>
        <v/>
      </c>
      <c r="L1563">
        <f>I1563*(1+J1563/100)+K1563</f>
        <v/>
      </c>
    </row>
    <row r="1564">
      <c r="A1564" t="inlineStr">
        <is>
          <t>מדי-מרקט</t>
        </is>
      </c>
      <c r="B1564" t="inlineStr">
        <is>
          <t>Hycomycin היקומיצין משחת עור 15 גר'</t>
        </is>
      </c>
      <c r="C1564" t="inlineStr">
        <is>
          <t>תרופות</t>
        </is>
      </c>
      <c r="D1564" t="inlineStr">
        <is>
          <t>10830</t>
        </is>
      </c>
      <c r="E1564" t="inlineStr">
        <is>
          <t>2026-06</t>
        </is>
      </c>
      <c r="F1564" t="n">
        <v>16.95</v>
      </c>
      <c r="G1564" t="n">
        <v>20</v>
      </c>
      <c r="H1564">
        <f>הגדרות!B7</f>
        <v/>
      </c>
      <c r="I1564">
        <f>F1564*(1-H1564/100)*1.18</f>
        <v/>
      </c>
      <c r="J1564">
        <f>הגדרות!C7</f>
        <v/>
      </c>
      <c r="K1564">
        <f>הגדרות!D7</f>
        <v/>
      </c>
      <c r="L1564">
        <f>I1564*(1+J1564/100)+K1564</f>
        <v/>
      </c>
    </row>
    <row r="1565">
      <c r="A1565" t="inlineStr">
        <is>
          <t>מדי-מרקט</t>
        </is>
      </c>
      <c r="B1565" t="inlineStr">
        <is>
          <t>HYDRALAZINE 10MG  100TAB</t>
        </is>
      </c>
      <c r="C1565" t="inlineStr">
        <is>
          <t>29 יבוא תרופות הומניות חו"ל</t>
        </is>
      </c>
      <c r="D1565" t="inlineStr">
        <is>
          <t>1240800092</t>
        </is>
      </c>
      <c r="E1565" t="inlineStr">
        <is>
          <t>2026-06</t>
        </is>
      </c>
      <c r="F1565" t="n">
        <v>72.03</v>
      </c>
      <c r="G1565" t="n">
        <v>85</v>
      </c>
      <c r="H1565">
        <f>הגדרות!B7</f>
        <v/>
      </c>
      <c r="I1565">
        <f>F1565*(1-H1565/100)*1.18</f>
        <v/>
      </c>
      <c r="J1565">
        <f>הגדרות!C7</f>
        <v/>
      </c>
      <c r="K1565">
        <f>הגדרות!D7</f>
        <v/>
      </c>
      <c r="L1565">
        <f>I1565*(1+J1565/100)+K1565</f>
        <v/>
      </c>
    </row>
    <row r="1566">
      <c r="A1566" t="inlineStr">
        <is>
          <t>מדי-מרקט</t>
        </is>
      </c>
      <c r="B1566" t="inlineStr">
        <is>
          <t>Hydroagisten 15Gr Cream</t>
        </is>
      </c>
      <c r="C1566" t="inlineStr">
        <is>
          <t>תרופות</t>
        </is>
      </c>
      <c r="D1566" t="inlineStr">
        <is>
          <t>108243</t>
        </is>
      </c>
      <c r="E1566" t="inlineStr">
        <is>
          <t>2026-06</t>
        </is>
      </c>
      <c r="F1566" t="n">
        <v>24.05</v>
      </c>
      <c r="G1566" t="n">
        <v>28.38</v>
      </c>
      <c r="H1566">
        <f>הגדרות!B7</f>
        <v/>
      </c>
      <c r="I1566">
        <f>F1566*(1-H1566/100)*1.18</f>
        <v/>
      </c>
      <c r="J1566">
        <f>הגדרות!C7</f>
        <v/>
      </c>
      <c r="K1566">
        <f>הגדרות!D7</f>
        <v/>
      </c>
      <c r="L1566">
        <f>I1566*(1+J1566/100)+K1566</f>
        <v/>
      </c>
    </row>
    <row r="1567">
      <c r="A1567" t="inlineStr">
        <is>
          <t>מדי-מרקט</t>
        </is>
      </c>
      <c r="B1567" t="inlineStr">
        <is>
          <t>Hydrocortisone 10 Mg X 30Tab</t>
        </is>
      </c>
      <c r="C1567" t="inlineStr">
        <is>
          <t>תרופות</t>
        </is>
      </c>
      <c r="D1567" t="inlineStr">
        <is>
          <t>8077</t>
        </is>
      </c>
      <c r="E1567" t="inlineStr">
        <is>
          <t>2026-06</t>
        </is>
      </c>
      <c r="F1567" t="n">
        <v>45.76</v>
      </c>
      <c r="G1567" t="n">
        <v>54</v>
      </c>
      <c r="H1567">
        <f>הגדרות!B7</f>
        <v/>
      </c>
      <c r="I1567">
        <f>F1567*(1-H1567/100)*1.18</f>
        <v/>
      </c>
      <c r="J1567">
        <f>הגדרות!C7</f>
        <v/>
      </c>
      <c r="K1567">
        <f>הגדרות!D7</f>
        <v/>
      </c>
      <c r="L1567">
        <f>I1567*(1+J1567/100)+K1567</f>
        <v/>
      </c>
    </row>
    <row r="1568">
      <c r="A1568" t="inlineStr">
        <is>
          <t>מדי-מרקט</t>
        </is>
      </c>
      <c r="B1568" t="inlineStr">
        <is>
          <t>Hydrocortisone Aceponate 0.584 Mg/Ml Cutaneous 76Ml</t>
        </is>
      </c>
      <c r="C1568" t="inlineStr">
        <is>
          <t>29ג' וטרינרי</t>
        </is>
      </c>
      <c r="D1568" t="inlineStr">
        <is>
          <t>40377</t>
        </is>
      </c>
      <c r="E1568" t="inlineStr">
        <is>
          <t>2026-06</t>
        </is>
      </c>
      <c r="F1568" t="n">
        <v>76.27</v>
      </c>
      <c r="G1568" t="n">
        <v>90</v>
      </c>
      <c r="H1568">
        <f>הגדרות!B7</f>
        <v/>
      </c>
      <c r="I1568">
        <f>F1568*(1-H1568/100)*1.18</f>
        <v/>
      </c>
      <c r="J1568">
        <f>הגדרות!C7</f>
        <v/>
      </c>
      <c r="K1568">
        <f>הגדרות!D7</f>
        <v/>
      </c>
      <c r="L1568">
        <f>I1568*(1+J1568/100)+K1568</f>
        <v/>
      </c>
    </row>
    <row r="1569">
      <c r="A1569" t="inlineStr">
        <is>
          <t>מדי-מרקט</t>
        </is>
      </c>
      <c r="B1569" t="inlineStr">
        <is>
          <t>Hydrogel (ירוק) הידרוג'ל ג'ל 100 מ"ל</t>
        </is>
      </c>
      <c r="C1569" t="inlineStr">
        <is>
          <t>מוצרי חיטוי ואנטיספטיקה</t>
        </is>
      </c>
      <c r="D1569" t="inlineStr">
        <is>
          <t>14954</t>
        </is>
      </c>
      <c r="E1569" t="inlineStr">
        <is>
          <t>2026-06</t>
        </is>
      </c>
      <c r="F1569" t="n">
        <v>12.61</v>
      </c>
      <c r="G1569" t="n">
        <v>14.88</v>
      </c>
      <c r="H1569">
        <f>הגדרות!B7</f>
        <v/>
      </c>
      <c r="I1569">
        <f>F1569*(1-H1569/100)*1.18</f>
        <v/>
      </c>
      <c r="J1569">
        <f>הגדרות!C7</f>
        <v/>
      </c>
      <c r="K1569">
        <f>הגדרות!D7</f>
        <v/>
      </c>
      <c r="L1569">
        <f>I1569*(1+J1569/100)+K1569</f>
        <v/>
      </c>
    </row>
    <row r="1570">
      <c r="A1570" t="inlineStr">
        <is>
          <t>מדי-מרקט</t>
        </is>
      </c>
      <c r="B1570" t="inlineStr">
        <is>
          <t>Hydrogen Peroxide 3% 100ML מי חמצן רפואי</t>
        </is>
      </c>
      <c r="C1570" t="inlineStr">
        <is>
          <t>מוצרי חיטוי ואנטיספטיקה</t>
        </is>
      </c>
      <c r="D1570" t="inlineStr">
        <is>
          <t>12061</t>
        </is>
      </c>
      <c r="E1570" t="inlineStr">
        <is>
          <t>2026-06</t>
        </is>
      </c>
      <c r="F1570" t="n">
        <v>4.52</v>
      </c>
      <c r="G1570" t="n">
        <v>5.33</v>
      </c>
      <c r="H1570">
        <f>הגדרות!B7</f>
        <v/>
      </c>
      <c r="I1570">
        <f>F1570*(1-H1570/100)*1.18</f>
        <v/>
      </c>
      <c r="J1570">
        <f>הגדרות!C7</f>
        <v/>
      </c>
      <c r="K1570">
        <f>הגדרות!D7</f>
        <v/>
      </c>
      <c r="L1570">
        <f>I1570*(1+J1570/100)+K1570</f>
        <v/>
      </c>
    </row>
    <row r="1571">
      <c r="A1571" t="inlineStr">
        <is>
          <t>מדי-מרקט</t>
        </is>
      </c>
      <c r="B1571" t="inlineStr">
        <is>
          <t>Hydromorphone Kalceks 20 Mg/Ml*5Amp(Il)</t>
        </is>
      </c>
      <c r="C1571" t="inlineStr">
        <is>
          <t>תרופות רשומות- מדי מרקט</t>
        </is>
      </c>
      <c r="D1571" t="inlineStr">
        <is>
          <t>245875</t>
        </is>
      </c>
      <c r="E1571" t="inlineStr">
        <is>
          <t>2026-06</t>
        </is>
      </c>
      <c r="F1571" t="n">
        <v>59.32</v>
      </c>
      <c r="G1571" t="n">
        <v>70</v>
      </c>
      <c r="H1571">
        <f>הגדרות!B7</f>
        <v/>
      </c>
      <c r="I1571">
        <f>F1571*(1-H1571/100)*1.18</f>
        <v/>
      </c>
      <c r="J1571">
        <f>הגדרות!C7</f>
        <v/>
      </c>
      <c r="K1571">
        <f>הגדרות!D7</f>
        <v/>
      </c>
      <c r="L1571">
        <f>I1571*(1+J1571/100)+K1571</f>
        <v/>
      </c>
    </row>
    <row r="1572">
      <c r="A1572" t="inlineStr">
        <is>
          <t>מדי-מרקט</t>
        </is>
      </c>
      <c r="B1572" t="inlineStr">
        <is>
          <t>Hylo Comod / Hyl-Care Eye Drops</t>
        </is>
      </c>
      <c r="C1572" t="inlineStr">
        <is>
          <t>תרופות</t>
        </is>
      </c>
      <c r="D1572" t="inlineStr">
        <is>
          <t>1334</t>
        </is>
      </c>
      <c r="E1572" t="inlineStr">
        <is>
          <t>2026-06</t>
        </is>
      </c>
      <c r="F1572" t="n">
        <v>80.51000000000001</v>
      </c>
      <c r="G1572" t="n">
        <v>95</v>
      </c>
      <c r="H1572">
        <f>הגדרות!B7</f>
        <v/>
      </c>
      <c r="I1572">
        <f>F1572*(1-H1572/100)*1.18</f>
        <v/>
      </c>
      <c r="J1572">
        <f>הגדרות!C7</f>
        <v/>
      </c>
      <c r="K1572">
        <f>הגדרות!D7</f>
        <v/>
      </c>
      <c r="L1572">
        <f>I1572*(1+J1572/100)+K1572</f>
        <v/>
      </c>
    </row>
    <row r="1573">
      <c r="A1573" t="inlineStr">
        <is>
          <t>מדי-מרקט</t>
        </is>
      </c>
      <c r="B1573" t="inlineStr">
        <is>
          <t>IBRANCE 100 MG 21 CAPS</t>
        </is>
      </c>
      <c r="C1573" t="inlineStr">
        <is>
          <t>תרופות</t>
        </is>
      </c>
      <c r="D1573" t="inlineStr">
        <is>
          <t>859635</t>
        </is>
      </c>
      <c r="E1573" t="inlineStr">
        <is>
          <t>2026-06</t>
        </is>
      </c>
      <c r="F1573" t="n">
        <v>23300.85</v>
      </c>
      <c r="G1573" t="n">
        <v>27495</v>
      </c>
      <c r="H1573">
        <f>הגדרות!B7</f>
        <v/>
      </c>
      <c r="I1573">
        <f>F1573*(1-H1573/100)*1.18</f>
        <v/>
      </c>
      <c r="J1573">
        <f>הגדרות!C7</f>
        <v/>
      </c>
      <c r="K1573">
        <f>הגדרות!D7</f>
        <v/>
      </c>
      <c r="L1573">
        <f>I1573*(1+J1573/100)+K1573</f>
        <v/>
      </c>
    </row>
    <row r="1574">
      <c r="A1574" t="inlineStr">
        <is>
          <t>מדי-מרקט</t>
        </is>
      </c>
      <c r="B1574" t="inlineStr">
        <is>
          <t>IBRANCE 125 MG 21 CAPS</t>
        </is>
      </c>
      <c r="C1574" t="inlineStr">
        <is>
          <t>תרופות</t>
        </is>
      </c>
      <c r="D1574" t="inlineStr">
        <is>
          <t>589623</t>
        </is>
      </c>
      <c r="E1574" t="inlineStr">
        <is>
          <t>2026-06</t>
        </is>
      </c>
      <c r="F1574" t="n">
        <v>15731.56</v>
      </c>
      <c r="G1574" t="n">
        <v>18563.24</v>
      </c>
      <c r="H1574">
        <f>הגדרות!B7</f>
        <v/>
      </c>
      <c r="I1574">
        <f>F1574*(1-H1574/100)*1.18</f>
        <v/>
      </c>
      <c r="J1574">
        <f>הגדרות!C7</f>
        <v/>
      </c>
      <c r="K1574">
        <f>הגדרות!D7</f>
        <v/>
      </c>
      <c r="L1574">
        <f>I1574*(1+J1574/100)+K1574</f>
        <v/>
      </c>
    </row>
    <row r="1575">
      <c r="A1575" t="inlineStr">
        <is>
          <t>מדי-מרקט</t>
        </is>
      </c>
      <c r="B1575" t="inlineStr">
        <is>
          <t>Ibufen 400Mg X 50Caps</t>
        </is>
      </c>
      <c r="C1575" t="inlineStr">
        <is>
          <t>תרופות</t>
        </is>
      </c>
      <c r="D1575" t="inlineStr">
        <is>
          <t>6475</t>
        </is>
      </c>
      <c r="E1575" t="inlineStr">
        <is>
          <t>2026-06</t>
        </is>
      </c>
      <c r="F1575" t="n">
        <v>25</v>
      </c>
      <c r="G1575" t="n">
        <v>29.5</v>
      </c>
      <c r="H1575">
        <f>הגדרות!B7</f>
        <v/>
      </c>
      <c r="I1575">
        <f>F1575*(1-H1575/100)*1.18</f>
        <v/>
      </c>
      <c r="J1575">
        <f>הגדרות!C7</f>
        <v/>
      </c>
      <c r="K1575">
        <f>הגדרות!D7</f>
        <v/>
      </c>
      <c r="L1575">
        <f>I1575*(1+J1575/100)+K1575</f>
        <v/>
      </c>
    </row>
    <row r="1576">
      <c r="A1576" t="inlineStr">
        <is>
          <t>מדי-מרקט</t>
        </is>
      </c>
      <c r="B1576" t="inlineStr">
        <is>
          <t>Ibufen 600Mg X 30Caps</t>
        </is>
      </c>
      <c r="C1576" t="inlineStr">
        <is>
          <t>תרופות</t>
        </is>
      </c>
      <c r="D1576" t="inlineStr">
        <is>
          <t>7889</t>
        </is>
      </c>
      <c r="E1576" t="inlineStr">
        <is>
          <t>2026-06</t>
        </is>
      </c>
      <c r="F1576" t="n">
        <v>8.75</v>
      </c>
      <c r="G1576" t="n">
        <v>10.33</v>
      </c>
      <c r="H1576">
        <f>הגדרות!B7</f>
        <v/>
      </c>
      <c r="I1576">
        <f>F1576*(1-H1576/100)*1.18</f>
        <v/>
      </c>
      <c r="J1576">
        <f>הגדרות!C7</f>
        <v/>
      </c>
      <c r="K1576">
        <f>הגדרות!D7</f>
        <v/>
      </c>
      <c r="L1576">
        <f>I1576*(1+J1576/100)+K1576</f>
        <v/>
      </c>
    </row>
    <row r="1577">
      <c r="A1577" t="inlineStr">
        <is>
          <t>מדי-מרקט</t>
        </is>
      </c>
      <c r="B1577" t="inlineStr">
        <is>
          <t>Ichtamol Oint 14Gr</t>
        </is>
      </c>
      <c r="C1577" t="inlineStr">
        <is>
          <t>תרופות</t>
        </is>
      </c>
      <c r="D1577" t="inlineStr">
        <is>
          <t>9302</t>
        </is>
      </c>
      <c r="E1577" t="inlineStr">
        <is>
          <t>2026-06</t>
        </is>
      </c>
      <c r="F1577" t="n">
        <v>16.44</v>
      </c>
      <c r="G1577" t="n">
        <v>19.4</v>
      </c>
      <c r="H1577">
        <f>הגדרות!B7</f>
        <v/>
      </c>
      <c r="I1577">
        <f>F1577*(1-H1577/100)*1.18</f>
        <v/>
      </c>
      <c r="J1577">
        <f>הגדרות!C7</f>
        <v/>
      </c>
      <c r="K1577">
        <f>הגדרות!D7</f>
        <v/>
      </c>
      <c r="L1577">
        <f>I1577*(1+J1577/100)+K1577</f>
        <v/>
      </c>
    </row>
    <row r="1578">
      <c r="A1578" t="inlineStr">
        <is>
          <t>מדי-מרקט</t>
        </is>
      </c>
      <c r="B1578" t="inlineStr">
        <is>
          <t>Ichthyol 20% 200Gr</t>
        </is>
      </c>
      <c r="C1578" t="inlineStr">
        <is>
          <t>הכנות בית מרקחת</t>
        </is>
      </c>
      <c r="D1578" t="inlineStr">
        <is>
          <t>6128</t>
        </is>
      </c>
      <c r="E1578" t="inlineStr">
        <is>
          <t>2026-06</t>
        </is>
      </c>
      <c r="F1578" t="n">
        <v>19.45</v>
      </c>
      <c r="G1578" t="n">
        <v>22.95</v>
      </c>
      <c r="H1578">
        <f>הגדרות!B7</f>
        <v/>
      </c>
      <c r="I1578">
        <f>F1578*(1-H1578/100)*1.18</f>
        <v/>
      </c>
      <c r="J1578">
        <f>הגדרות!C7</f>
        <v/>
      </c>
      <c r="K1578">
        <f>הגדרות!D7</f>
        <v/>
      </c>
      <c r="L1578">
        <f>I1578*(1+J1578/100)+K1578</f>
        <v/>
      </c>
    </row>
    <row r="1579">
      <c r="A1579" t="inlineStr">
        <is>
          <t>מדי-מרקט</t>
        </is>
      </c>
      <c r="B1579" t="inlineStr">
        <is>
          <t>Ichthyol 20% 400Gr</t>
        </is>
      </c>
      <c r="C1579" t="inlineStr">
        <is>
          <t>הכנות בית מרקחת</t>
        </is>
      </c>
      <c r="D1579" t="inlineStr">
        <is>
          <t>6129</t>
        </is>
      </c>
      <c r="E1579" t="inlineStr">
        <is>
          <t>2026-06</t>
        </is>
      </c>
      <c r="F1579" t="n">
        <v>42.37</v>
      </c>
      <c r="G1579" t="n">
        <v>50</v>
      </c>
      <c r="H1579">
        <f>הגדרות!B7</f>
        <v/>
      </c>
      <c r="I1579">
        <f>F1579*(1-H1579/100)*1.18</f>
        <v/>
      </c>
      <c r="J1579">
        <f>הגדרות!C7</f>
        <v/>
      </c>
      <c r="K1579">
        <f>הגדרות!D7</f>
        <v/>
      </c>
      <c r="L1579">
        <f>I1579*(1+J1579/100)+K1579</f>
        <v/>
      </c>
    </row>
    <row r="1580">
      <c r="A1580" t="inlineStr">
        <is>
          <t>מדי-מרקט</t>
        </is>
      </c>
      <c r="B1580" t="inlineStr">
        <is>
          <t>ILOMEDIN 0.1MG/ML 0.5ML X 1 VAIL</t>
        </is>
      </c>
      <c r="C1580" t="inlineStr">
        <is>
          <t>תרופות</t>
        </is>
      </c>
      <c r="D1580" t="inlineStr">
        <is>
          <t>09059</t>
        </is>
      </c>
      <c r="E1580" t="inlineStr">
        <is>
          <t>2026-06</t>
        </is>
      </c>
      <c r="F1580" t="n">
        <v>378.92</v>
      </c>
      <c r="G1580" t="n">
        <v>447.13</v>
      </c>
      <c r="H1580">
        <f>הגדרות!B7</f>
        <v/>
      </c>
      <c r="I1580">
        <f>F1580*(1-H1580/100)*1.18</f>
        <v/>
      </c>
      <c r="J1580">
        <f>הגדרות!C7</f>
        <v/>
      </c>
      <c r="K1580">
        <f>הגדרות!D7</f>
        <v/>
      </c>
      <c r="L1580">
        <f>I1580*(1+J1580/100)+K1580</f>
        <v/>
      </c>
    </row>
    <row r="1581">
      <c r="A1581" t="inlineStr">
        <is>
          <t>מדי-מרקט</t>
        </is>
      </c>
      <c r="B1581" t="inlineStr">
        <is>
          <t>Imipenem/Cilastatin Tamrisa® 500mg/500mg 10 vial</t>
        </is>
      </c>
      <c r="C1581" t="inlineStr">
        <is>
          <t>29 יבוא תרופות הומניות חו"ל</t>
        </is>
      </c>
      <c r="D1581" t="inlineStr">
        <is>
          <t>254126</t>
        </is>
      </c>
      <c r="E1581" t="inlineStr">
        <is>
          <t>2026-06</t>
        </is>
      </c>
      <c r="F1581" t="n">
        <v>152.54</v>
      </c>
      <c r="G1581" t="n">
        <v>180</v>
      </c>
      <c r="H1581">
        <f>הגדרות!B7</f>
        <v/>
      </c>
      <c r="I1581">
        <f>F1581*(1-H1581/100)*1.18</f>
        <v/>
      </c>
      <c r="J1581">
        <f>הגדרות!C7</f>
        <v/>
      </c>
      <c r="K1581">
        <f>הגדרות!D7</f>
        <v/>
      </c>
      <c r="L1581">
        <f>I1581*(1+J1581/100)+K1581</f>
        <v/>
      </c>
    </row>
    <row r="1582">
      <c r="A1582" t="inlineStr">
        <is>
          <t>מדי-מרקט</t>
        </is>
      </c>
      <c r="B1582" t="inlineStr">
        <is>
          <t>Immersion Oil 10 Ml אימרסיה</t>
        </is>
      </c>
      <c r="C1582" t="inlineStr">
        <is>
          <t>הכנות בית מרקחת</t>
        </is>
      </c>
      <c r="D1582" t="inlineStr">
        <is>
          <t>4872</t>
        </is>
      </c>
      <c r="E1582" t="inlineStr">
        <is>
          <t>2026-06</t>
        </is>
      </c>
      <c r="F1582" t="n">
        <v>13.56</v>
      </c>
      <c r="G1582" t="n">
        <v>16</v>
      </c>
      <c r="H1582">
        <f>הגדרות!B7</f>
        <v/>
      </c>
      <c r="I1582">
        <f>F1582*(1-H1582/100)*1.18</f>
        <v/>
      </c>
      <c r="J1582">
        <f>הגדרות!C7</f>
        <v/>
      </c>
      <c r="K1582">
        <f>הגדרות!D7</f>
        <v/>
      </c>
      <c r="L1582">
        <f>I1582*(1+J1582/100)+K1582</f>
        <v/>
      </c>
    </row>
    <row r="1583">
      <c r="A1583" t="inlineStr">
        <is>
          <t>מדי-מרקט</t>
        </is>
      </c>
      <c r="B1583" t="inlineStr">
        <is>
          <t>Immersion Oil 50 Ml אימרסיה</t>
        </is>
      </c>
      <c r="C1583" t="inlineStr">
        <is>
          <t>הכנות בית מרקחת</t>
        </is>
      </c>
      <c r="D1583" t="inlineStr">
        <is>
          <t>48722</t>
        </is>
      </c>
      <c r="E1583" t="inlineStr">
        <is>
          <t>2026-06</t>
        </is>
      </c>
      <c r="F1583" t="n">
        <v>27.46</v>
      </c>
      <c r="G1583" t="n">
        <v>32.4</v>
      </c>
      <c r="H1583">
        <f>הגדרות!B7</f>
        <v/>
      </c>
      <c r="I1583">
        <f>F1583*(1-H1583/100)*1.18</f>
        <v/>
      </c>
      <c r="J1583">
        <f>הגדרות!C7</f>
        <v/>
      </c>
      <c r="K1583">
        <f>הגדרות!D7</f>
        <v/>
      </c>
      <c r="L1583">
        <f>I1583*(1+J1583/100)+K1583</f>
        <v/>
      </c>
    </row>
    <row r="1584">
      <c r="A1584" t="inlineStr">
        <is>
          <t>מדי-מרקט</t>
        </is>
      </c>
      <c r="B1584" t="inlineStr">
        <is>
          <t>IMOVAX POLIO 0.5 ML VACC</t>
        </is>
      </c>
      <c r="C1584" t="inlineStr">
        <is>
          <t>תרופות</t>
        </is>
      </c>
      <c r="D1584" t="inlineStr">
        <is>
          <t>12544</t>
        </is>
      </c>
      <c r="E1584" t="inlineStr">
        <is>
          <t>2026-06</t>
        </is>
      </c>
      <c r="F1584" t="n">
        <v>40.68</v>
      </c>
      <c r="G1584" t="n">
        <v>48</v>
      </c>
      <c r="H1584">
        <f>הגדרות!B7</f>
        <v/>
      </c>
      <c r="I1584">
        <f>F1584*(1-H1584/100)*1.18</f>
        <v/>
      </c>
      <c r="J1584">
        <f>הגדרות!C7</f>
        <v/>
      </c>
      <c r="K1584">
        <f>הגדרות!D7</f>
        <v/>
      </c>
      <c r="L1584">
        <f>I1584*(1+J1584/100)+K1584</f>
        <v/>
      </c>
    </row>
    <row r="1585">
      <c r="A1585" t="inlineStr">
        <is>
          <t>מדי-מרקט</t>
        </is>
      </c>
      <c r="B1585" t="inlineStr">
        <is>
          <t>Indigocarmin  20 mg/5 ml 10 Amps</t>
        </is>
      </c>
      <c r="C1585" t="inlineStr">
        <is>
          <t>29 יבוא תרופות הומניות חו"ל</t>
        </is>
      </c>
      <c r="D1585" t="inlineStr">
        <is>
          <t>3596846</t>
        </is>
      </c>
      <c r="E1585" t="inlineStr">
        <is>
          <t>2026-06</t>
        </is>
      </c>
      <c r="F1585" t="n">
        <v>234.53</v>
      </c>
      <c r="G1585" t="n">
        <v>276.75</v>
      </c>
      <c r="H1585">
        <f>הגדרות!B7</f>
        <v/>
      </c>
      <c r="I1585">
        <f>F1585*(1-H1585/100)*1.18</f>
        <v/>
      </c>
      <c r="J1585">
        <f>הגדרות!C7</f>
        <v/>
      </c>
      <c r="K1585">
        <f>הגדרות!D7</f>
        <v/>
      </c>
      <c r="L1585">
        <f>I1585*(1+J1585/100)+K1585</f>
        <v/>
      </c>
    </row>
    <row r="1586">
      <c r="A1586" t="inlineStr">
        <is>
          <t>מדי-מרקט</t>
        </is>
      </c>
      <c r="B1586" t="inlineStr">
        <is>
          <t>Infusion pump holder(0675/international)for VETA 5</t>
        </is>
      </c>
      <c r="C1586" t="inlineStr">
        <is>
          <t>Mindray</t>
        </is>
      </c>
      <c r="D1586" t="inlineStr">
        <is>
          <t>033-001251-00</t>
        </is>
      </c>
      <c r="E1586" t="inlineStr">
        <is>
          <t>2026-06</t>
        </is>
      </c>
      <c r="F1586" t="n">
        <v>363.56</v>
      </c>
      <c r="G1586" t="n">
        <v>429</v>
      </c>
      <c r="H1586">
        <f>הגדרות!B7</f>
        <v/>
      </c>
      <c r="I1586">
        <f>F1586*(1-H1586/100)*1.18</f>
        <v/>
      </c>
      <c r="J1586">
        <f>הגדרות!C7</f>
        <v/>
      </c>
      <c r="K1586">
        <f>הגדרות!D7</f>
        <v/>
      </c>
      <c r="L1586">
        <f>I1586*(1+J1586/100)+K1586</f>
        <v/>
      </c>
    </row>
    <row r="1587">
      <c r="A1587" t="inlineStr">
        <is>
          <t>מדי-מרקט</t>
        </is>
      </c>
      <c r="B1587" t="inlineStr">
        <is>
          <t>INJ. Apomorphine 2.5 mg/mL 10mL</t>
        </is>
      </c>
      <c r="C1587" t="inlineStr">
        <is>
          <t>הכנות בית מרקחת</t>
        </is>
      </c>
      <c r="D1587" t="inlineStr">
        <is>
          <t>2268</t>
        </is>
      </c>
      <c r="E1587" t="inlineStr">
        <is>
          <t>2026-06</t>
        </is>
      </c>
      <c r="F1587" t="n">
        <v>63.56</v>
      </c>
      <c r="G1587" t="n">
        <v>75</v>
      </c>
      <c r="H1587">
        <f>הגדרות!B7</f>
        <v/>
      </c>
      <c r="I1587">
        <f>F1587*(1-H1587/100)*1.18</f>
        <v/>
      </c>
      <c r="J1587">
        <f>הגדרות!C7</f>
        <v/>
      </c>
      <c r="K1587">
        <f>הגדרות!D7</f>
        <v/>
      </c>
      <c r="L1587">
        <f>I1587*(1+J1587/100)+K1587</f>
        <v/>
      </c>
    </row>
    <row r="1588">
      <c r="A1588" t="inlineStr">
        <is>
          <t>מדי-מרקט</t>
        </is>
      </c>
      <c r="B1588" t="inlineStr">
        <is>
          <t>INJ. Buprenorphine 5mg/mL 10mL</t>
        </is>
      </c>
      <c r="C1588" t="inlineStr">
        <is>
          <t>הכנות בית מרקחת</t>
        </is>
      </c>
      <c r="D1588" t="inlineStr">
        <is>
          <t>8087</t>
        </is>
      </c>
      <c r="E1588" t="inlineStr">
        <is>
          <t>2026-06</t>
        </is>
      </c>
      <c r="F1588" t="n">
        <v>17.16</v>
      </c>
      <c r="G1588" t="n">
        <v>20.25</v>
      </c>
      <c r="H1588">
        <f>הגדרות!B7</f>
        <v/>
      </c>
      <c r="I1588">
        <f>F1588*(1-H1588/100)*1.18</f>
        <v/>
      </c>
      <c r="J1588">
        <f>הגדרות!C7</f>
        <v/>
      </c>
      <c r="K1588">
        <f>הגדרות!D7</f>
        <v/>
      </c>
      <c r="L1588">
        <f>I1588*(1+J1588/100)+K1588</f>
        <v/>
      </c>
    </row>
    <row r="1589">
      <c r="A1589" t="inlineStr">
        <is>
          <t>מדי-מרקט</t>
        </is>
      </c>
      <c r="B1589" t="inlineStr">
        <is>
          <t>INJ. D.M.S.O 90% 100mL</t>
        </is>
      </c>
      <c r="C1589" t="inlineStr">
        <is>
          <t>הכנות בית מרקחת</t>
        </is>
      </c>
      <c r="D1589" t="inlineStr">
        <is>
          <t>4464</t>
        </is>
      </c>
      <c r="E1589" t="inlineStr">
        <is>
          <t>2026-06</t>
        </is>
      </c>
      <c r="F1589" t="n">
        <v>80.51000000000001</v>
      </c>
      <c r="G1589" t="n">
        <v>95</v>
      </c>
      <c r="H1589">
        <f>הגדרות!B7</f>
        <v/>
      </c>
      <c r="I1589">
        <f>F1589*(1-H1589/100)*1.18</f>
        <v/>
      </c>
      <c r="J1589">
        <f>הגדרות!C7</f>
        <v/>
      </c>
      <c r="K1589">
        <f>הגדרות!D7</f>
        <v/>
      </c>
      <c r="L1589">
        <f>I1589*(1+J1589/100)+K1589</f>
        <v/>
      </c>
    </row>
    <row r="1590">
      <c r="A1590" t="inlineStr">
        <is>
          <t>מדי-מרקט</t>
        </is>
      </c>
      <c r="B1590" t="inlineStr">
        <is>
          <t>INJ. Dexamethasone 10mg/mL 10mL</t>
        </is>
      </c>
      <c r="C1590" t="inlineStr">
        <is>
          <t>הכנות בית מרקחת</t>
        </is>
      </c>
      <c r="D1590" t="inlineStr">
        <is>
          <t>46771</t>
        </is>
      </c>
      <c r="E1590" t="inlineStr">
        <is>
          <t>2026-06</t>
        </is>
      </c>
      <c r="F1590" t="n">
        <v>13.56</v>
      </c>
      <c r="G1590" t="n">
        <v>16</v>
      </c>
      <c r="H1590">
        <f>הגדרות!B7</f>
        <v/>
      </c>
      <c r="I1590">
        <f>F1590*(1-H1590/100)*1.18</f>
        <v/>
      </c>
      <c r="J1590">
        <f>הגדרות!C7</f>
        <v/>
      </c>
      <c r="K1590">
        <f>הגדרות!D7</f>
        <v/>
      </c>
      <c r="L1590">
        <f>I1590*(1+J1590/100)+K1590</f>
        <v/>
      </c>
    </row>
    <row r="1591">
      <c r="A1591" t="inlineStr">
        <is>
          <t>מדי-מרקט</t>
        </is>
      </c>
      <c r="B1591" t="inlineStr">
        <is>
          <t>INJ. Dexamethasone 10mg/mL 20mL</t>
        </is>
      </c>
      <c r="C1591" t="inlineStr">
        <is>
          <t>הכנות בית מרקחת</t>
        </is>
      </c>
      <c r="D1591" t="inlineStr">
        <is>
          <t>78904</t>
        </is>
      </c>
      <c r="E1591" t="inlineStr">
        <is>
          <t>2026-06</t>
        </is>
      </c>
      <c r="F1591" t="n">
        <v>16.95</v>
      </c>
      <c r="G1591" t="n">
        <v>20</v>
      </c>
      <c r="H1591">
        <f>הגדרות!B7</f>
        <v/>
      </c>
      <c r="I1591">
        <f>F1591*(1-H1591/100)*1.18</f>
        <v/>
      </c>
      <c r="J1591">
        <f>הגדרות!C7</f>
        <v/>
      </c>
      <c r="K1591">
        <f>הגדרות!D7</f>
        <v/>
      </c>
      <c r="L1591">
        <f>I1591*(1+J1591/100)+K1591</f>
        <v/>
      </c>
    </row>
    <row r="1592">
      <c r="A1592" t="inlineStr">
        <is>
          <t>מדי-מרקט</t>
        </is>
      </c>
      <c r="B1592" t="inlineStr">
        <is>
          <t>INJ. Dexamethasone 10mg/mL 50mL</t>
        </is>
      </c>
      <c r="C1592" t="inlineStr">
        <is>
          <t>הכנות בית מרקחת</t>
        </is>
      </c>
      <c r="D1592" t="inlineStr">
        <is>
          <t>99544</t>
        </is>
      </c>
      <c r="E1592" t="inlineStr">
        <is>
          <t>2026-06</t>
        </is>
      </c>
      <c r="F1592" t="n">
        <v>50.85</v>
      </c>
      <c r="G1592" t="n">
        <v>60</v>
      </c>
      <c r="H1592">
        <f>הגדרות!B7</f>
        <v/>
      </c>
      <c r="I1592">
        <f>F1592*(1-H1592/100)*1.18</f>
        <v/>
      </c>
      <c r="J1592">
        <f>הגדרות!C7</f>
        <v/>
      </c>
      <c r="K1592">
        <f>הגדרות!D7</f>
        <v/>
      </c>
      <c r="L1592">
        <f>I1592*(1+J1592/100)+K1592</f>
        <v/>
      </c>
    </row>
    <row r="1593">
      <c r="A1593" t="inlineStr">
        <is>
          <t>מדי-מרקט</t>
        </is>
      </c>
      <c r="B1593" t="inlineStr">
        <is>
          <t>INJ. Dexamethasone 50mg/mL 10mL</t>
        </is>
      </c>
      <c r="C1593" t="inlineStr">
        <is>
          <t>הכנות בית מרקחת</t>
        </is>
      </c>
      <c r="D1593" t="inlineStr">
        <is>
          <t>9954</t>
        </is>
      </c>
      <c r="E1593" t="inlineStr">
        <is>
          <t>2026-06</t>
        </is>
      </c>
      <c r="F1593" t="n">
        <v>50.85</v>
      </c>
      <c r="G1593" t="n">
        <v>60</v>
      </c>
      <c r="H1593">
        <f>הגדרות!B7</f>
        <v/>
      </c>
      <c r="I1593">
        <f>F1593*(1-H1593/100)*1.18</f>
        <v/>
      </c>
      <c r="J1593">
        <f>הגדרות!C7</f>
        <v/>
      </c>
      <c r="K1593">
        <f>הגדרות!D7</f>
        <v/>
      </c>
      <c r="L1593">
        <f>I1593*(1+J1593/100)+K1593</f>
        <v/>
      </c>
    </row>
    <row r="1594">
      <c r="A1594" t="inlineStr">
        <is>
          <t>מדי-מרקט</t>
        </is>
      </c>
      <c r="B1594" t="inlineStr">
        <is>
          <t>INJ. Dexamethasone 50mg/mL 50mL</t>
        </is>
      </c>
      <c r="C1594" t="inlineStr">
        <is>
          <t>הכנות בית מרקחת</t>
        </is>
      </c>
      <c r="D1594" t="inlineStr">
        <is>
          <t>9955</t>
        </is>
      </c>
      <c r="E1594" t="inlineStr">
        <is>
          <t>2026-06</t>
        </is>
      </c>
      <c r="F1594" t="n">
        <v>122.88</v>
      </c>
      <c r="G1594" t="n">
        <v>145</v>
      </c>
      <c r="H1594">
        <f>הגדרות!B7</f>
        <v/>
      </c>
      <c r="I1594">
        <f>F1594*(1-H1594/100)*1.18</f>
        <v/>
      </c>
      <c r="J1594">
        <f>הגדרות!C7</f>
        <v/>
      </c>
      <c r="K1594">
        <f>הגדרות!D7</f>
        <v/>
      </c>
      <c r="L1594">
        <f>I1594*(1+J1594/100)+K1594</f>
        <v/>
      </c>
    </row>
    <row r="1595">
      <c r="A1595" t="inlineStr">
        <is>
          <t>מדי-מרקט</t>
        </is>
      </c>
      <c r="B1595" t="inlineStr">
        <is>
          <t>INJ. Diazepam 5Mg/Ml 50mL</t>
        </is>
      </c>
      <c r="C1595" t="inlineStr">
        <is>
          <t>הכנות בית מרקחת</t>
        </is>
      </c>
      <c r="D1595" t="inlineStr">
        <is>
          <t>3406</t>
        </is>
      </c>
      <c r="E1595" t="inlineStr">
        <is>
          <t>2026-06</t>
        </is>
      </c>
      <c r="F1595" t="n">
        <v>50.85</v>
      </c>
      <c r="G1595" t="n">
        <v>60</v>
      </c>
      <c r="H1595">
        <f>הגדרות!B7</f>
        <v/>
      </c>
      <c r="I1595">
        <f>F1595*(1-H1595/100)*1.18</f>
        <v/>
      </c>
      <c r="J1595">
        <f>הגדרות!C7</f>
        <v/>
      </c>
      <c r="K1595">
        <f>הגדרות!D7</f>
        <v/>
      </c>
      <c r="L1595">
        <f>I1595*(1+J1595/100)+K1595</f>
        <v/>
      </c>
    </row>
    <row r="1596">
      <c r="A1596" t="inlineStr">
        <is>
          <t>מדי-מרקט</t>
        </is>
      </c>
      <c r="B1596" t="inlineStr">
        <is>
          <t>INJ. Diphenhydramine 10% 20mL</t>
        </is>
      </c>
      <c r="C1596" t="inlineStr">
        <is>
          <t>הכנות בית מרקחת</t>
        </is>
      </c>
      <c r="D1596" t="inlineStr">
        <is>
          <t>1560</t>
        </is>
      </c>
      <c r="E1596" t="inlineStr">
        <is>
          <t>2026-06</t>
        </is>
      </c>
      <c r="F1596" t="n">
        <v>28.81</v>
      </c>
      <c r="G1596" t="n">
        <v>34</v>
      </c>
      <c r="H1596">
        <f>הגדרות!B7</f>
        <v/>
      </c>
      <c r="I1596">
        <f>F1596*(1-H1596/100)*1.18</f>
        <v/>
      </c>
      <c r="J1596">
        <f>הגדרות!C7</f>
        <v/>
      </c>
      <c r="K1596">
        <f>הגדרות!D7</f>
        <v/>
      </c>
      <c r="L1596">
        <f>I1596*(1+J1596/100)+K1596</f>
        <v/>
      </c>
    </row>
    <row r="1597">
      <c r="A1597" t="inlineStr">
        <is>
          <t>מדי-מרקט</t>
        </is>
      </c>
      <c r="B1597" t="inlineStr">
        <is>
          <t>INJ. Dipyrone 50% 50mL</t>
        </is>
      </c>
      <c r="C1597" t="inlineStr">
        <is>
          <t>הכנות בית מרקחת</t>
        </is>
      </c>
      <c r="D1597" t="inlineStr">
        <is>
          <t>6503</t>
        </is>
      </c>
      <c r="E1597" t="inlineStr">
        <is>
          <t>2026-06</t>
        </is>
      </c>
      <c r="F1597" t="n">
        <v>38.14</v>
      </c>
      <c r="G1597" t="n">
        <v>45</v>
      </c>
      <c r="H1597">
        <f>הגדרות!B7</f>
        <v/>
      </c>
      <c r="I1597">
        <f>F1597*(1-H1597/100)*1.18</f>
        <v/>
      </c>
      <c r="J1597">
        <f>הגדרות!C7</f>
        <v/>
      </c>
      <c r="K1597">
        <f>הגדרות!D7</f>
        <v/>
      </c>
      <c r="L1597">
        <f>I1597*(1+J1597/100)+K1597</f>
        <v/>
      </c>
    </row>
    <row r="1598">
      <c r="A1598" t="inlineStr">
        <is>
          <t>מדי-מרקט</t>
        </is>
      </c>
      <c r="B1598" t="inlineStr">
        <is>
          <t>INJ. Estradiol Benzoate 0.5% 10mL</t>
        </is>
      </c>
      <c r="C1598" t="inlineStr">
        <is>
          <t>הכנות בית מרקחת</t>
        </is>
      </c>
      <c r="D1598" t="inlineStr">
        <is>
          <t>0290</t>
        </is>
      </c>
      <c r="E1598" t="inlineStr">
        <is>
          <t>2026-06</t>
        </is>
      </c>
      <c r="F1598" t="n">
        <v>25.42</v>
      </c>
      <c r="G1598" t="n">
        <v>30</v>
      </c>
      <c r="H1598">
        <f>הגדרות!B7</f>
        <v/>
      </c>
      <c r="I1598">
        <f>F1598*(1-H1598/100)*1.18</f>
        <v/>
      </c>
      <c r="J1598">
        <f>הגדרות!C7</f>
        <v/>
      </c>
      <c r="K1598">
        <f>הגדרות!D7</f>
        <v/>
      </c>
      <c r="L1598">
        <f>I1598*(1+J1598/100)+K1598</f>
        <v/>
      </c>
    </row>
    <row r="1599">
      <c r="A1599" t="inlineStr">
        <is>
          <t>מדי-מרקט</t>
        </is>
      </c>
      <c r="B1599" t="inlineStr">
        <is>
          <t>INJ. Famotidine 10mg/mL 20mL</t>
        </is>
      </c>
      <c r="C1599" t="inlineStr">
        <is>
          <t>הכנות בית מרקחת</t>
        </is>
      </c>
      <c r="D1599" t="inlineStr">
        <is>
          <t>11036</t>
        </is>
      </c>
      <c r="E1599" t="inlineStr">
        <is>
          <t>2026-06</t>
        </is>
      </c>
      <c r="F1599" t="n">
        <v>9.15</v>
      </c>
      <c r="G1599" t="n">
        <v>10.8</v>
      </c>
      <c r="H1599">
        <f>הגדרות!B7</f>
        <v/>
      </c>
      <c r="I1599">
        <f>F1599*(1-H1599/100)*1.18</f>
        <v/>
      </c>
      <c r="J1599">
        <f>הגדרות!C7</f>
        <v/>
      </c>
      <c r="K1599">
        <f>הגדרות!D7</f>
        <v/>
      </c>
      <c r="L1599">
        <f>I1599*(1+J1599/100)+K1599</f>
        <v/>
      </c>
    </row>
    <row r="1600">
      <c r="A1600" t="inlineStr">
        <is>
          <t>מדי-מרקט</t>
        </is>
      </c>
      <c r="B1600" t="inlineStr">
        <is>
          <t>INJ. Lidocaine 3% 50mL</t>
        </is>
      </c>
      <c r="C1600" t="inlineStr">
        <is>
          <t>הכנות בית מרקחת</t>
        </is>
      </c>
      <c r="D1600" t="inlineStr">
        <is>
          <t>4837</t>
        </is>
      </c>
      <c r="E1600" t="inlineStr">
        <is>
          <t>2026-06</t>
        </is>
      </c>
      <c r="F1600" t="n">
        <v>29.66</v>
      </c>
      <c r="G1600" t="n">
        <v>35</v>
      </c>
      <c r="H1600">
        <f>הגדרות!B7</f>
        <v/>
      </c>
      <c r="I1600">
        <f>F1600*(1-H1600/100)*1.18</f>
        <v/>
      </c>
      <c r="J1600">
        <f>הגדרות!C7</f>
        <v/>
      </c>
      <c r="K1600">
        <f>הגדרות!D7</f>
        <v/>
      </c>
      <c r="L1600">
        <f>I1600*(1+J1600/100)+K1600</f>
        <v/>
      </c>
    </row>
    <row r="1601">
      <c r="A1601" t="inlineStr">
        <is>
          <t>מדי-מרקט</t>
        </is>
      </c>
      <c r="B1601" t="inlineStr">
        <is>
          <t>INJ. Praziquantel 5.68% + Lidocaine 2% 20ml</t>
        </is>
      </c>
      <c r="C1601" t="inlineStr">
        <is>
          <t>הכנות בית מרקחת</t>
        </is>
      </c>
      <c r="D1601" t="inlineStr">
        <is>
          <t>4975</t>
        </is>
      </c>
      <c r="E1601" t="inlineStr">
        <is>
          <t>2026-06</t>
        </is>
      </c>
      <c r="F1601" t="n">
        <v>237.29</v>
      </c>
      <c r="G1601" t="n">
        <v>280</v>
      </c>
      <c r="H1601">
        <f>הגדרות!B7</f>
        <v/>
      </c>
      <c r="I1601">
        <f>F1601*(1-H1601/100)*1.18</f>
        <v/>
      </c>
      <c r="J1601">
        <f>הגדרות!C7</f>
        <v/>
      </c>
      <c r="K1601">
        <f>הגדרות!D7</f>
        <v/>
      </c>
      <c r="L1601">
        <f>I1601*(1+J1601/100)+K1601</f>
        <v/>
      </c>
    </row>
    <row r="1602">
      <c r="A1602" t="inlineStr">
        <is>
          <t>מדי-מרקט</t>
        </is>
      </c>
      <c r="B1602" t="inlineStr">
        <is>
          <t>INJ. Prednisolone 25mg/mL + Lidocaine 2% 50mL</t>
        </is>
      </c>
      <c r="C1602" t="inlineStr">
        <is>
          <t>הכנות בית מרקחת</t>
        </is>
      </c>
      <c r="D1602" t="inlineStr">
        <is>
          <t>102030</t>
        </is>
      </c>
      <c r="E1602" t="inlineStr">
        <is>
          <t>2026-06</t>
        </is>
      </c>
      <c r="F1602" t="n">
        <v>67.8</v>
      </c>
      <c r="G1602" t="n">
        <v>80</v>
      </c>
      <c r="H1602">
        <f>הגדרות!B7</f>
        <v/>
      </c>
      <c r="I1602">
        <f>F1602*(1-H1602/100)*1.18</f>
        <v/>
      </c>
      <c r="J1602">
        <f>הגדרות!C7</f>
        <v/>
      </c>
      <c r="K1602">
        <f>הגדרות!D7</f>
        <v/>
      </c>
      <c r="L1602">
        <f>I1602*(1+J1602/100)+K1602</f>
        <v/>
      </c>
    </row>
    <row r="1603">
      <c r="A1603" t="inlineStr">
        <is>
          <t>מדי-מרקט</t>
        </is>
      </c>
      <c r="B1603" t="inlineStr">
        <is>
          <t>INJ. Prednisolone Acetate 25mg/mL 50mL</t>
        </is>
      </c>
      <c r="C1603" t="inlineStr">
        <is>
          <t>הכנות בית מרקחת</t>
        </is>
      </c>
      <c r="D1603" t="inlineStr">
        <is>
          <t>97941</t>
        </is>
      </c>
      <c r="E1603" t="inlineStr">
        <is>
          <t>2026-06</t>
        </is>
      </c>
      <c r="F1603" t="n">
        <v>59.32</v>
      </c>
      <c r="G1603" t="n">
        <v>70</v>
      </c>
      <c r="H1603">
        <f>הגדרות!B7</f>
        <v/>
      </c>
      <c r="I1603">
        <f>F1603*(1-H1603/100)*1.18</f>
        <v/>
      </c>
      <c r="J1603">
        <f>הגדרות!C7</f>
        <v/>
      </c>
      <c r="K1603">
        <f>הגדרות!D7</f>
        <v/>
      </c>
      <c r="L1603">
        <f>I1603*(1+J1603/100)+K1603</f>
        <v/>
      </c>
    </row>
    <row r="1604">
      <c r="A1604" t="inlineStr">
        <is>
          <t>מדי-מרקט</t>
        </is>
      </c>
      <c r="B1604" t="inlineStr">
        <is>
          <t>INJ. Vitamin B1 10% 20mL</t>
        </is>
      </c>
      <c r="C1604" t="inlineStr">
        <is>
          <t>הכנות בית מרקחת</t>
        </is>
      </c>
      <c r="D1604" t="inlineStr">
        <is>
          <t>4468</t>
        </is>
      </c>
      <c r="E1604" t="inlineStr">
        <is>
          <t>2026-06</t>
        </is>
      </c>
      <c r="F1604" t="n">
        <v>16.95</v>
      </c>
      <c r="G1604" t="n">
        <v>20</v>
      </c>
      <c r="H1604">
        <f>הגדרות!B7</f>
        <v/>
      </c>
      <c r="I1604">
        <f>F1604*(1-H1604/100)*1.18</f>
        <v/>
      </c>
      <c r="J1604">
        <f>הגדרות!C7</f>
        <v/>
      </c>
      <c r="K1604">
        <f>הגדרות!D7</f>
        <v/>
      </c>
      <c r="L1604">
        <f>I1604*(1+J1604/100)+K1604</f>
        <v/>
      </c>
    </row>
    <row r="1605">
      <c r="A1605" t="inlineStr">
        <is>
          <t>מדי-מרקט</t>
        </is>
      </c>
      <c r="B1605" t="inlineStr">
        <is>
          <t>INJ. Vitamin E 10% + Seleniume 0.1% 20mL</t>
        </is>
      </c>
      <c r="C1605" t="inlineStr">
        <is>
          <t>הכנות בית מרקחת</t>
        </is>
      </c>
      <c r="D1605" t="inlineStr">
        <is>
          <t>4985</t>
        </is>
      </c>
      <c r="E1605" t="inlineStr">
        <is>
          <t>2026-06</t>
        </is>
      </c>
      <c r="F1605" t="n">
        <v>23.73</v>
      </c>
      <c r="G1605" t="n">
        <v>28</v>
      </c>
      <c r="H1605">
        <f>הגדרות!B7</f>
        <v/>
      </c>
      <c r="I1605">
        <f>F1605*(1-H1605/100)*1.18</f>
        <v/>
      </c>
      <c r="J1605">
        <f>הגדרות!C7</f>
        <v/>
      </c>
      <c r="K1605">
        <f>הגדרות!D7</f>
        <v/>
      </c>
      <c r="L1605">
        <f>I1605*(1+J1605/100)+K1605</f>
        <v/>
      </c>
    </row>
    <row r="1606">
      <c r="A1606" t="inlineStr">
        <is>
          <t>מדי-מרקט</t>
        </is>
      </c>
      <c r="B1606" t="inlineStr">
        <is>
          <t>INJ. Vitamin K1 50mg/mL 10mL</t>
        </is>
      </c>
      <c r="C1606" t="inlineStr">
        <is>
          <t>הכנות בית מרקחת</t>
        </is>
      </c>
      <c r="D1606" t="inlineStr">
        <is>
          <t>8175</t>
        </is>
      </c>
      <c r="E1606" t="inlineStr">
        <is>
          <t>2026-06</t>
        </is>
      </c>
      <c r="F1606" t="n">
        <v>152.54</v>
      </c>
      <c r="G1606" t="n">
        <v>180</v>
      </c>
      <c r="H1606">
        <f>הגדרות!B7</f>
        <v/>
      </c>
      <c r="I1606">
        <f>F1606*(1-H1606/100)*1.18</f>
        <v/>
      </c>
      <c r="J1606">
        <f>הגדרות!C7</f>
        <v/>
      </c>
      <c r="K1606">
        <f>הגדרות!D7</f>
        <v/>
      </c>
      <c r="L1606">
        <f>I1606*(1+J1606/100)+K1606</f>
        <v/>
      </c>
    </row>
    <row r="1607">
      <c r="A1607" t="inlineStr">
        <is>
          <t>מדי-מרקט</t>
        </is>
      </c>
      <c r="B1607" t="inlineStr">
        <is>
          <t>INJ. Yohimbine 0.2% 50mL</t>
        </is>
      </c>
      <c r="C1607" t="inlineStr">
        <is>
          <t>הכנות בית מרקחת</t>
        </is>
      </c>
      <c r="D1607" t="inlineStr">
        <is>
          <t>1022</t>
        </is>
      </c>
      <c r="E1607" t="inlineStr">
        <is>
          <t>2026-06</t>
        </is>
      </c>
      <c r="F1607" t="n">
        <v>17.39</v>
      </c>
      <c r="G1607" t="n">
        <v>20.52</v>
      </c>
      <c r="H1607">
        <f>הגדרות!B7</f>
        <v/>
      </c>
      <c r="I1607">
        <f>F1607*(1-H1607/100)*1.18</f>
        <v/>
      </c>
      <c r="J1607">
        <f>הגדרות!C7</f>
        <v/>
      </c>
      <c r="K1607">
        <f>הגדרות!D7</f>
        <v/>
      </c>
      <c r="L1607">
        <f>I1607*(1+J1607/100)+K1607</f>
        <v/>
      </c>
    </row>
    <row r="1608">
      <c r="A1608" t="inlineStr">
        <is>
          <t>מדי-מרקט</t>
        </is>
      </c>
      <c r="B1608" t="inlineStr">
        <is>
          <t>Inotyol 50G Ointment</t>
        </is>
      </c>
      <c r="C1608" t="inlineStr">
        <is>
          <t>תרופות</t>
        </is>
      </c>
      <c r="D1608" t="inlineStr">
        <is>
          <t>1574</t>
        </is>
      </c>
      <c r="E1608" t="inlineStr">
        <is>
          <t>2026-06</t>
        </is>
      </c>
      <c r="F1608" t="n">
        <v>39.58</v>
      </c>
      <c r="G1608" t="n">
        <v>46.7</v>
      </c>
      <c r="H1608">
        <f>הגדרות!B7</f>
        <v/>
      </c>
      <c r="I1608">
        <f>F1608*(1-H1608/100)*1.18</f>
        <v/>
      </c>
      <c r="J1608">
        <f>הגדרות!C7</f>
        <v/>
      </c>
      <c r="K1608">
        <f>הגדרות!D7</f>
        <v/>
      </c>
      <c r="L1608">
        <f>I1608*(1+J1608/100)+K1608</f>
        <v/>
      </c>
    </row>
    <row r="1609">
      <c r="A1609" t="inlineStr">
        <is>
          <t>מדי-מרקט</t>
        </is>
      </c>
      <c r="B1609" t="inlineStr">
        <is>
          <t>InSight qLabs PT/aPTT 12 Strips</t>
        </is>
      </c>
      <c r="C1609" t="inlineStr">
        <is>
          <t>WOODLEY</t>
        </is>
      </c>
      <c r="D1609" t="inlineStr">
        <is>
          <t>WD0243</t>
        </is>
      </c>
      <c r="E1609" t="inlineStr">
        <is>
          <t>2026-06</t>
        </is>
      </c>
      <c r="F1609" t="n">
        <v>440.68</v>
      </c>
      <c r="G1609" t="n">
        <v>520</v>
      </c>
      <c r="H1609">
        <f>הגדרות!B7</f>
        <v/>
      </c>
      <c r="I1609">
        <f>F1609*(1-H1609/100)*1.18</f>
        <v/>
      </c>
      <c r="J1609">
        <f>הגדרות!C7</f>
        <v/>
      </c>
      <c r="K1609">
        <f>הגדרות!D7</f>
        <v/>
      </c>
      <c r="L1609">
        <f>I1609*(1+J1609/100)+K1609</f>
        <v/>
      </c>
    </row>
    <row r="1610">
      <c r="A1610" t="inlineStr">
        <is>
          <t>מדי-מרקט</t>
        </is>
      </c>
      <c r="B1610" t="inlineStr">
        <is>
          <t>INSU.NOVORAPID VIAL 10 ML</t>
        </is>
      </c>
      <c r="C1610" t="inlineStr">
        <is>
          <t>תרופות</t>
        </is>
      </c>
      <c r="D1610" t="inlineStr">
        <is>
          <t>621632</t>
        </is>
      </c>
      <c r="E1610" t="inlineStr">
        <is>
          <t>2026-06</t>
        </is>
      </c>
      <c r="F1610" t="n">
        <v>72.86</v>
      </c>
      <c r="G1610" t="n">
        <v>85.98</v>
      </c>
      <c r="H1610">
        <f>הגדרות!B7</f>
        <v/>
      </c>
      <c r="I1610">
        <f>F1610*(1-H1610/100)*1.18</f>
        <v/>
      </c>
      <c r="J1610">
        <f>הגדרות!C7</f>
        <v/>
      </c>
      <c r="K1610">
        <f>הגדרות!D7</f>
        <v/>
      </c>
      <c r="L1610">
        <f>I1610*(1+J1610/100)+K1610</f>
        <v/>
      </c>
    </row>
    <row r="1611">
      <c r="A1611" t="inlineStr">
        <is>
          <t>מדי-מרקט</t>
        </is>
      </c>
      <c r="B1611" t="inlineStr">
        <is>
          <t>INSULIN ACTRAPID HM VIAL 10ML</t>
        </is>
      </c>
      <c r="C1611" t="inlineStr">
        <is>
          <t>תרופות</t>
        </is>
      </c>
      <c r="D1611" t="inlineStr">
        <is>
          <t>65704</t>
        </is>
      </c>
      <c r="E1611" t="inlineStr">
        <is>
          <t>2026-06</t>
        </is>
      </c>
      <c r="F1611" t="n">
        <v>56.57</v>
      </c>
      <c r="G1611" t="n">
        <v>66.75</v>
      </c>
      <c r="H1611">
        <f>הגדרות!B7</f>
        <v/>
      </c>
      <c r="I1611">
        <f>F1611*(1-H1611/100)*1.18</f>
        <v/>
      </c>
      <c r="J1611">
        <f>הגדרות!C7</f>
        <v/>
      </c>
      <c r="K1611">
        <f>הגדרות!D7</f>
        <v/>
      </c>
      <c r="L1611">
        <f>I1611*(1+J1611/100)+K1611</f>
        <v/>
      </c>
    </row>
    <row r="1612">
      <c r="A1612" t="inlineStr">
        <is>
          <t>מדי-מרקט</t>
        </is>
      </c>
      <c r="B1612" t="inlineStr">
        <is>
          <t>Insulin Humulin Nph Vial 10 Ml</t>
        </is>
      </c>
      <c r="C1612" t="inlineStr">
        <is>
          <t>תרופות</t>
        </is>
      </c>
      <c r="D1612" t="inlineStr">
        <is>
          <t>45987</t>
        </is>
      </c>
      <c r="E1612" t="inlineStr">
        <is>
          <t>2026-06</t>
        </is>
      </c>
      <c r="F1612" t="n">
        <v>76.81</v>
      </c>
      <c r="G1612" t="n">
        <v>90.64</v>
      </c>
      <c r="H1612">
        <f>הגדרות!B7</f>
        <v/>
      </c>
      <c r="I1612">
        <f>F1612*(1-H1612/100)*1.18</f>
        <v/>
      </c>
      <c r="J1612">
        <f>הגדרות!C7</f>
        <v/>
      </c>
      <c r="K1612">
        <f>הגדרות!D7</f>
        <v/>
      </c>
      <c r="L1612">
        <f>I1612*(1+J1612/100)+K1612</f>
        <v/>
      </c>
    </row>
    <row r="1613">
      <c r="A1613" t="inlineStr">
        <is>
          <t>מדי-מרקט</t>
        </is>
      </c>
      <c r="B1613" t="inlineStr">
        <is>
          <t>Intracinol (Triamcinolone) Ophth Susp 1ML</t>
        </is>
      </c>
      <c r="C1613" t="inlineStr">
        <is>
          <t>תרופות רשומות- מדי מרקט</t>
        </is>
      </c>
      <c r="D1613" t="inlineStr">
        <is>
          <t>259875</t>
        </is>
      </c>
      <c r="E1613" t="inlineStr">
        <is>
          <t>2026-06</t>
        </is>
      </c>
      <c r="F1613" t="n">
        <v>154.45</v>
      </c>
      <c r="G1613" t="n">
        <v>182.25</v>
      </c>
      <c r="H1613">
        <f>הגדרות!B7</f>
        <v/>
      </c>
      <c r="I1613">
        <f>F1613*(1-H1613/100)*1.18</f>
        <v/>
      </c>
      <c r="J1613">
        <f>הגדרות!C7</f>
        <v/>
      </c>
      <c r="K1613">
        <f>הגדרות!D7</f>
        <v/>
      </c>
      <c r="L1613">
        <f>I1613*(1+J1613/100)+K1613</f>
        <v/>
      </c>
    </row>
    <row r="1614">
      <c r="A1614" t="inlineStr">
        <is>
          <t>מדי-מרקט</t>
        </is>
      </c>
      <c r="B1614" t="inlineStr">
        <is>
          <t>Invanz 1G 10 Vials</t>
        </is>
      </c>
      <c r="C1614" t="inlineStr">
        <is>
          <t>תרופות</t>
        </is>
      </c>
      <c r="D1614" t="inlineStr">
        <is>
          <t>09571</t>
        </is>
      </c>
      <c r="E1614" t="inlineStr">
        <is>
          <t>2026-06</t>
        </is>
      </c>
      <c r="F1614" t="n">
        <v>1796.61</v>
      </c>
      <c r="G1614" t="n">
        <v>2120</v>
      </c>
      <c r="H1614">
        <f>הגדרות!B7</f>
        <v/>
      </c>
      <c r="I1614">
        <f>F1614*(1-H1614/100)*1.18</f>
        <v/>
      </c>
      <c r="J1614">
        <f>הגדרות!C7</f>
        <v/>
      </c>
      <c r="K1614">
        <f>הגדרות!D7</f>
        <v/>
      </c>
      <c r="L1614">
        <f>I1614*(1+J1614/100)+K1614</f>
        <v/>
      </c>
    </row>
    <row r="1615">
      <c r="A1615" t="inlineStr">
        <is>
          <t>מדי-מרקט</t>
        </is>
      </c>
      <c r="B1615" t="inlineStr">
        <is>
          <t>IODIFLOR  SOLUTION 20ml</t>
        </is>
      </c>
      <c r="C1615" t="inlineStr">
        <is>
          <t>מוצרי חיטוי ואנטיספטיקה</t>
        </is>
      </c>
      <c r="D1615" t="inlineStr">
        <is>
          <t>9943</t>
        </is>
      </c>
      <c r="E1615" t="inlineStr">
        <is>
          <t>2026-06</t>
        </is>
      </c>
      <c r="F1615" t="n">
        <v>4.77</v>
      </c>
      <c r="G1615" t="n">
        <v>5.63</v>
      </c>
      <c r="H1615">
        <f>הגדרות!B7</f>
        <v/>
      </c>
      <c r="I1615">
        <f>F1615*(1-H1615/100)*1.18</f>
        <v/>
      </c>
      <c r="J1615">
        <f>הגדרות!C7</f>
        <v/>
      </c>
      <c r="K1615">
        <f>הגדרות!D7</f>
        <v/>
      </c>
      <c r="L1615">
        <f>I1615*(1+J1615/100)+K1615</f>
        <v/>
      </c>
    </row>
    <row r="1616">
      <c r="A1616" t="inlineStr">
        <is>
          <t>מדי-מרקט</t>
        </is>
      </c>
      <c r="B1616" t="inlineStr">
        <is>
          <t>IODIFLOR 10% 250Gr Oint</t>
        </is>
      </c>
      <c r="C1616" t="inlineStr">
        <is>
          <t>תרופות</t>
        </is>
      </c>
      <c r="D1616" t="inlineStr">
        <is>
          <t>2789</t>
        </is>
      </c>
      <c r="E1616" t="inlineStr">
        <is>
          <t>2026-06</t>
        </is>
      </c>
      <c r="F1616" t="n">
        <v>22.46</v>
      </c>
      <c r="G1616" t="n">
        <v>26.5</v>
      </c>
      <c r="H1616">
        <f>הגדרות!B7</f>
        <v/>
      </c>
      <c r="I1616">
        <f>F1616*(1-H1616/100)*1.18</f>
        <v/>
      </c>
      <c r="J1616">
        <f>הגדרות!C7</f>
        <v/>
      </c>
      <c r="K1616">
        <f>הגדרות!D7</f>
        <v/>
      </c>
      <c r="L1616">
        <f>I1616*(1+J1616/100)+K1616</f>
        <v/>
      </c>
    </row>
    <row r="1617">
      <c r="A1617" t="inlineStr">
        <is>
          <t>מדי-מרקט</t>
        </is>
      </c>
      <c r="B1617" t="inlineStr">
        <is>
          <t>IODIFLOR SOL 1 Liter יודיפלור</t>
        </is>
      </c>
      <c r="C1617" t="inlineStr">
        <is>
          <t>מוצרי חיטוי ואנטיספטיקה</t>
        </is>
      </c>
      <c r="D1617" t="inlineStr">
        <is>
          <t>2436-1</t>
        </is>
      </c>
      <c r="E1617" t="inlineStr">
        <is>
          <t>2026-06</t>
        </is>
      </c>
      <c r="F1617" t="n">
        <v>25</v>
      </c>
      <c r="G1617" t="n">
        <v>29.5</v>
      </c>
      <c r="H1617">
        <f>הגדרות!B7</f>
        <v/>
      </c>
      <c r="I1617">
        <f>F1617*(1-H1617/100)*1.18</f>
        <v/>
      </c>
      <c r="J1617">
        <f>הגדרות!C7</f>
        <v/>
      </c>
      <c r="K1617">
        <f>הגדרות!D7</f>
        <v/>
      </c>
      <c r="L1617">
        <f>I1617*(1+J1617/100)+K1617</f>
        <v/>
      </c>
    </row>
    <row r="1618">
      <c r="A1618" t="inlineStr">
        <is>
          <t>מדי-מרקט</t>
        </is>
      </c>
      <c r="B1618" t="inlineStr">
        <is>
          <t>IODIFLOR-POVIDONE IODINE 7.5% 1 LITER פול' תרחיץ</t>
        </is>
      </c>
      <c r="C1618" t="inlineStr">
        <is>
          <t>מוצרי חיטוי ואנטיספטיקה</t>
        </is>
      </c>
      <c r="D1618" t="inlineStr">
        <is>
          <t>2792</t>
        </is>
      </c>
      <c r="E1618" t="inlineStr">
        <is>
          <t>2026-06</t>
        </is>
      </c>
      <c r="F1618" t="n">
        <v>23.64</v>
      </c>
      <c r="G1618" t="n">
        <v>27.9</v>
      </c>
      <c r="H1618">
        <f>הגדרות!B7</f>
        <v/>
      </c>
      <c r="I1618">
        <f>F1618*(1-H1618/100)*1.18</f>
        <v/>
      </c>
      <c r="J1618">
        <f>הגדרות!C7</f>
        <v/>
      </c>
      <c r="K1618">
        <f>הגדרות!D7</f>
        <v/>
      </c>
      <c r="L1618">
        <f>I1618*(1+J1618/100)+K1618</f>
        <v/>
      </c>
    </row>
    <row r="1619">
      <c r="A1619" t="inlineStr">
        <is>
          <t>מדי-מרקט</t>
        </is>
      </c>
      <c r="B1619" t="inlineStr">
        <is>
          <t>IODIFLOR-POVIDONE IODINE 7.5% 200ML פוליד' תרחיץ</t>
        </is>
      </c>
      <c r="C1619" t="inlineStr">
        <is>
          <t>מוצרי חיטוי ואנטיספטיקה</t>
        </is>
      </c>
      <c r="D1619" t="inlineStr">
        <is>
          <t>2792-1</t>
        </is>
      </c>
      <c r="E1619" t="inlineStr">
        <is>
          <t>2026-06</t>
        </is>
      </c>
      <c r="F1619" t="n">
        <v>16.78</v>
      </c>
      <c r="G1619" t="n">
        <v>19.8</v>
      </c>
      <c r="H1619">
        <f>הגדרות!B7</f>
        <v/>
      </c>
      <c r="I1619">
        <f>F1619*(1-H1619/100)*1.18</f>
        <v/>
      </c>
      <c r="J1619">
        <f>הגדרות!C7</f>
        <v/>
      </c>
      <c r="K1619">
        <f>הגדרות!D7</f>
        <v/>
      </c>
      <c r="L1619">
        <f>I1619*(1+J1619/100)+K1619</f>
        <v/>
      </c>
    </row>
    <row r="1620">
      <c r="A1620" t="inlineStr">
        <is>
          <t>מדי-מרקט</t>
        </is>
      </c>
      <c r="B1620" t="inlineStr">
        <is>
          <t>Iodo-Vit Solution 300Ml</t>
        </is>
      </c>
      <c r="C1620" t="inlineStr">
        <is>
          <t>תרופות</t>
        </is>
      </c>
      <c r="D1620" t="inlineStr">
        <is>
          <t>56013</t>
        </is>
      </c>
      <c r="E1620" t="inlineStr">
        <is>
          <t>2026-06</t>
        </is>
      </c>
      <c r="F1620" t="n">
        <v>13.9</v>
      </c>
      <c r="G1620" t="n">
        <v>16.4</v>
      </c>
      <c r="H1620">
        <f>הגדרות!B7</f>
        <v/>
      </c>
      <c r="I1620">
        <f>F1620*(1-H1620/100)*1.18</f>
        <v/>
      </c>
      <c r="J1620">
        <f>הגדרות!C7</f>
        <v/>
      </c>
      <c r="K1620">
        <f>הגדרות!D7</f>
        <v/>
      </c>
      <c r="L1620">
        <f>I1620*(1+J1620/100)+K1620</f>
        <v/>
      </c>
    </row>
    <row r="1621">
      <c r="A1621" t="inlineStr">
        <is>
          <t>מדי-מרקט</t>
        </is>
      </c>
      <c r="B1621" t="inlineStr">
        <is>
          <t>Iodo-Vit/Polydine Sol 100Ml/פולידין/Iodiflor</t>
        </is>
      </c>
      <c r="C1621" t="inlineStr">
        <is>
          <t>תרופות</t>
        </is>
      </c>
      <c r="D1621" t="inlineStr">
        <is>
          <t>2257</t>
        </is>
      </c>
      <c r="E1621" t="inlineStr">
        <is>
          <t>2026-06</t>
        </is>
      </c>
      <c r="F1621" t="n">
        <v>14.41</v>
      </c>
      <c r="G1621" t="n">
        <v>17</v>
      </c>
      <c r="H1621">
        <f>הגדרות!B7</f>
        <v/>
      </c>
      <c r="I1621">
        <f>F1621*(1-H1621/100)*1.18</f>
        <v/>
      </c>
      <c r="J1621">
        <f>הגדרות!C7</f>
        <v/>
      </c>
      <c r="K1621">
        <f>הגדרות!D7</f>
        <v/>
      </c>
      <c r="L1621">
        <f>I1621*(1+J1621/100)+K1621</f>
        <v/>
      </c>
    </row>
    <row r="1622">
      <c r="A1622" t="inlineStr">
        <is>
          <t>מדי-מרקט</t>
        </is>
      </c>
      <c r="B1622" t="inlineStr">
        <is>
          <t>Ipadine 2% Forte 500Ml Floris</t>
        </is>
      </c>
      <c r="C1622" t="inlineStr">
        <is>
          <t>מוצרי חיטוי ואנטיספטיקה</t>
        </is>
      </c>
      <c r="D1622" t="inlineStr">
        <is>
          <t>17797</t>
        </is>
      </c>
      <c r="E1622" t="inlineStr">
        <is>
          <t>2026-06</t>
        </is>
      </c>
      <c r="F1622" t="n">
        <v>22.03</v>
      </c>
      <c r="G1622" t="n">
        <v>26</v>
      </c>
      <c r="H1622">
        <f>הגדרות!B7</f>
        <v/>
      </c>
      <c r="I1622">
        <f>F1622*(1-H1622/100)*1.18</f>
        <v/>
      </c>
      <c r="J1622">
        <f>הגדרות!C7</f>
        <v/>
      </c>
      <c r="K1622">
        <f>הגדרות!D7</f>
        <v/>
      </c>
      <c r="L1622">
        <f>I1622*(1+J1622/100)+K1622</f>
        <v/>
      </c>
    </row>
    <row r="1623">
      <c r="A1623" t="inlineStr">
        <is>
          <t>מדי-מרקט</t>
        </is>
      </c>
      <c r="B1623" t="inlineStr">
        <is>
          <t>Ipratrim Inhaler 20 Mcg</t>
        </is>
      </c>
      <c r="C1623" t="inlineStr">
        <is>
          <t>תרופות</t>
        </is>
      </c>
      <c r="D1623" t="inlineStr">
        <is>
          <t>1906-1</t>
        </is>
      </c>
      <c r="E1623" t="inlineStr">
        <is>
          <t>2026-06</t>
        </is>
      </c>
      <c r="F1623" t="n">
        <v>18.64</v>
      </c>
      <c r="G1623" t="n">
        <v>22</v>
      </c>
      <c r="H1623">
        <f>הגדרות!B7</f>
        <v/>
      </c>
      <c r="I1623">
        <f>F1623*(1-H1623/100)*1.18</f>
        <v/>
      </c>
      <c r="J1623">
        <f>הגדרות!C7</f>
        <v/>
      </c>
      <c r="K1623">
        <f>הגדרות!D7</f>
        <v/>
      </c>
      <c r="L1623">
        <f>I1623*(1+J1623/100)+K1623</f>
        <v/>
      </c>
    </row>
    <row r="1624">
      <c r="A1624" t="inlineStr">
        <is>
          <t>מדי-מרקט</t>
        </is>
      </c>
      <c r="B1624" t="inlineStr">
        <is>
          <t>IRINOTECAN HCL SEACROSS 100 mg/5ml (IL)</t>
        </is>
      </c>
      <c r="C1624" t="inlineStr">
        <is>
          <t>תרופות רשומות- מדי מרקט</t>
        </is>
      </c>
      <c r="D1624" t="inlineStr">
        <is>
          <t>58726</t>
        </is>
      </c>
      <c r="E1624" t="inlineStr">
        <is>
          <t>2026-06</t>
        </is>
      </c>
      <c r="F1624" t="n">
        <v>351.6</v>
      </c>
      <c r="G1624" t="n">
        <v>414.89</v>
      </c>
      <c r="H1624">
        <f>הגדרות!B7</f>
        <v/>
      </c>
      <c r="I1624">
        <f>F1624*(1-H1624/100)*1.18</f>
        <v/>
      </c>
      <c r="J1624">
        <f>הגדרות!C7</f>
        <v/>
      </c>
      <c r="K1624">
        <f>הגדרות!D7</f>
        <v/>
      </c>
      <c r="L1624">
        <f>I1624*(1+J1624/100)+K1624</f>
        <v/>
      </c>
    </row>
    <row r="1625">
      <c r="A1625" t="inlineStr">
        <is>
          <t>מדי-מרקט</t>
        </is>
      </c>
      <c r="B1625" t="inlineStr">
        <is>
          <t>Isocor 2.5 mg/ml - Verapamil hydrochloride 2.5 mg/ml*10</t>
        </is>
      </c>
      <c r="C1625" t="inlineStr">
        <is>
          <t>29 יבוא תרופות הומניות חו"ל</t>
        </is>
      </c>
      <c r="D1625" t="inlineStr">
        <is>
          <t>78596</t>
        </is>
      </c>
      <c r="E1625" t="inlineStr">
        <is>
          <t>2026-06</t>
        </is>
      </c>
      <c r="F1625" t="n">
        <v>46.37</v>
      </c>
      <c r="G1625" t="n">
        <v>54.72</v>
      </c>
      <c r="H1625">
        <f>הגדרות!B7</f>
        <v/>
      </c>
      <c r="I1625">
        <f>F1625*(1-H1625/100)*1.18</f>
        <v/>
      </c>
      <c r="J1625">
        <f>הגדרות!C7</f>
        <v/>
      </c>
      <c r="K1625">
        <f>הגדרות!D7</f>
        <v/>
      </c>
      <c r="L1625">
        <f>I1625*(1+J1625/100)+K1625</f>
        <v/>
      </c>
    </row>
    <row r="1626">
      <c r="A1626" t="inlineStr">
        <is>
          <t>מדי-מרקט</t>
        </is>
      </c>
      <c r="B1626" t="inlineStr">
        <is>
          <t>Isoflurane 100 Ml איזופלוראן</t>
        </is>
      </c>
      <c r="C1626" t="inlineStr">
        <is>
          <t>תרופות</t>
        </is>
      </c>
      <c r="D1626" t="inlineStr">
        <is>
          <t>64444</t>
        </is>
      </c>
      <c r="E1626" t="inlineStr">
        <is>
          <t>2026-06</t>
        </is>
      </c>
      <c r="F1626" t="n">
        <v>45.76</v>
      </c>
      <c r="G1626" t="n">
        <v>54</v>
      </c>
      <c r="H1626">
        <f>הגדרות!B7</f>
        <v/>
      </c>
      <c r="I1626">
        <f>F1626*(1-H1626/100)*1.18</f>
        <v/>
      </c>
      <c r="J1626">
        <f>הגדרות!C7</f>
        <v/>
      </c>
      <c r="K1626">
        <f>הגדרות!D7</f>
        <v/>
      </c>
      <c r="L1626">
        <f>I1626*(1+J1626/100)+K1626</f>
        <v/>
      </c>
    </row>
    <row r="1627">
      <c r="A1627" t="inlineStr">
        <is>
          <t>מדי-מרקט</t>
        </is>
      </c>
      <c r="B1627" t="inlineStr">
        <is>
          <t>Isoflurane 250 Ml  איזופלוראן</t>
        </is>
      </c>
      <c r="C1627" t="inlineStr">
        <is>
          <t>תרופות</t>
        </is>
      </c>
      <c r="D1627" t="inlineStr">
        <is>
          <t>633333</t>
        </is>
      </c>
      <c r="E1627" t="inlineStr">
        <is>
          <t>2026-06</t>
        </is>
      </c>
      <c r="F1627" t="n">
        <v>129.89</v>
      </c>
      <c r="G1627" t="n">
        <v>153.27</v>
      </c>
      <c r="H1627">
        <f>הגדרות!B7</f>
        <v/>
      </c>
      <c r="I1627">
        <f>F1627*(1-H1627/100)*1.18</f>
        <v/>
      </c>
      <c r="J1627">
        <f>הגדרות!C7</f>
        <v/>
      </c>
      <c r="K1627">
        <f>הגדרות!D7</f>
        <v/>
      </c>
      <c r="L1627">
        <f>I1627*(1+J1627/100)+K1627</f>
        <v/>
      </c>
    </row>
    <row r="1628">
      <c r="A1628" t="inlineStr">
        <is>
          <t>מדי-מרקט</t>
        </is>
      </c>
      <c r="B1628" t="inlineStr">
        <is>
          <t>ISOKET /ISOSORBIDE DINITRATE 0.1% 10MG/10MLSOL 10AMP</t>
        </is>
      </c>
      <c r="C1628" t="inlineStr">
        <is>
          <t>29 יבוא תרופות הומניות חו"ל</t>
        </is>
      </c>
      <c r="D1628" t="inlineStr">
        <is>
          <t>2658956</t>
        </is>
      </c>
      <c r="E1628" t="inlineStr">
        <is>
          <t>2026-06</t>
        </is>
      </c>
      <c r="F1628" t="n">
        <v>292.37</v>
      </c>
      <c r="G1628" t="n">
        <v>345</v>
      </c>
      <c r="H1628">
        <f>הגדרות!B7</f>
        <v/>
      </c>
      <c r="I1628">
        <f>F1628*(1-H1628/100)*1.18</f>
        <v/>
      </c>
      <c r="J1628">
        <f>הגדרות!C7</f>
        <v/>
      </c>
      <c r="K1628">
        <f>הגדרות!D7</f>
        <v/>
      </c>
      <c r="L1628">
        <f>I1628*(1+J1628/100)+K1628</f>
        <v/>
      </c>
    </row>
    <row r="1629">
      <c r="A1629" t="inlineStr">
        <is>
          <t>מדי-מרקט</t>
        </is>
      </c>
      <c r="B1629" t="inlineStr">
        <is>
          <t>Itch-Free + Citronella Cream 500Ml</t>
        </is>
      </c>
      <c r="C1629" t="inlineStr">
        <is>
          <t>הכנות בית מרקחת</t>
        </is>
      </c>
      <c r="D1629" t="inlineStr">
        <is>
          <t>4095</t>
        </is>
      </c>
      <c r="E1629" t="inlineStr">
        <is>
          <t>2026-06</t>
        </is>
      </c>
      <c r="F1629" t="n">
        <v>25.17</v>
      </c>
      <c r="G1629" t="n">
        <v>29.7</v>
      </c>
      <c r="H1629">
        <f>הגדרות!B7</f>
        <v/>
      </c>
      <c r="I1629">
        <f>F1629*(1-H1629/100)*1.18</f>
        <v/>
      </c>
      <c r="J1629">
        <f>הגדרות!C7</f>
        <v/>
      </c>
      <c r="K1629">
        <f>הגדרות!D7</f>
        <v/>
      </c>
      <c r="L1629">
        <f>I1629*(1+J1629/100)+K1629</f>
        <v/>
      </c>
    </row>
    <row r="1630">
      <c r="A1630" t="inlineStr">
        <is>
          <t>מדי-מרקט</t>
        </is>
      </c>
      <c r="B1630" t="inlineStr">
        <is>
          <t>Itraconazole 200mg 100 caps איטרקונזול (נופק ע"י בית מרקחת)</t>
        </is>
      </c>
      <c r="C1630" t="inlineStr">
        <is>
          <t>הכנות בית מרקחת</t>
        </is>
      </c>
      <c r="D1630" t="inlineStr">
        <is>
          <t>56672</t>
        </is>
      </c>
      <c r="E1630" t="inlineStr">
        <is>
          <t>2026-06</t>
        </is>
      </c>
      <c r="F1630" t="n">
        <v>237.29</v>
      </c>
      <c r="G1630" t="n">
        <v>280</v>
      </c>
      <c r="H1630">
        <f>הגדרות!B7</f>
        <v/>
      </c>
      <c r="I1630">
        <f>F1630*(1-H1630/100)*1.18</f>
        <v/>
      </c>
      <c r="J1630">
        <f>הגדרות!C7</f>
        <v/>
      </c>
      <c r="K1630">
        <f>הגדרות!D7</f>
        <v/>
      </c>
      <c r="L1630">
        <f>I1630*(1+J1630/100)+K1630</f>
        <v/>
      </c>
    </row>
    <row r="1631">
      <c r="A1631" t="inlineStr">
        <is>
          <t>מדי-מרקט</t>
        </is>
      </c>
      <c r="B1631" t="inlineStr">
        <is>
          <t>Itraconazole 300mg 100 caps איטרקונזול (נופק ע"י בית מרקחת)</t>
        </is>
      </c>
      <c r="C1631" t="inlineStr">
        <is>
          <t>הכנות בית מרקחת</t>
        </is>
      </c>
      <c r="D1631" t="inlineStr">
        <is>
          <t>56670</t>
        </is>
      </c>
      <c r="E1631" t="inlineStr">
        <is>
          <t>2026-06</t>
        </is>
      </c>
      <c r="F1631" t="n">
        <v>254.24</v>
      </c>
      <c r="G1631" t="n">
        <v>300</v>
      </c>
      <c r="H1631">
        <f>הגדרות!B7</f>
        <v/>
      </c>
      <c r="I1631">
        <f>F1631*(1-H1631/100)*1.18</f>
        <v/>
      </c>
      <c r="J1631">
        <f>הגדרות!C7</f>
        <v/>
      </c>
      <c r="K1631">
        <f>הגדרות!D7</f>
        <v/>
      </c>
      <c r="L1631">
        <f>I1631*(1+J1631/100)+K1631</f>
        <v/>
      </c>
    </row>
    <row r="1632">
      <c r="A1632" t="inlineStr">
        <is>
          <t>מדי-מרקט</t>
        </is>
      </c>
      <c r="B1632" t="inlineStr">
        <is>
          <t>Itraconazole 50Mg 100Tabs</t>
        </is>
      </c>
      <c r="C1632" t="inlineStr">
        <is>
          <t>הכנות בית מרקחת</t>
        </is>
      </c>
      <c r="D1632" t="inlineStr">
        <is>
          <t>56678</t>
        </is>
      </c>
      <c r="E1632" t="inlineStr">
        <is>
          <t>2026-06</t>
        </is>
      </c>
      <c r="F1632" t="n">
        <v>186.44</v>
      </c>
      <c r="G1632" t="n">
        <v>220</v>
      </c>
      <c r="H1632">
        <f>הגדרות!B7</f>
        <v/>
      </c>
      <c r="I1632">
        <f>F1632*(1-H1632/100)*1.18</f>
        <v/>
      </c>
      <c r="J1632">
        <f>הגדרות!C7</f>
        <v/>
      </c>
      <c r="K1632">
        <f>הגדרות!D7</f>
        <v/>
      </c>
      <c r="L1632">
        <f>I1632*(1+J1632/100)+K1632</f>
        <v/>
      </c>
    </row>
    <row r="1633">
      <c r="A1633" t="inlineStr">
        <is>
          <t>מדי-מרקט</t>
        </is>
      </c>
      <c r="B1633" t="inlineStr">
        <is>
          <t>Ivedex I.P.E.D Ear Drops 15Ml</t>
        </is>
      </c>
      <c r="C1633" t="inlineStr">
        <is>
          <t>הכנות טיפות וג'ל לאוזניים</t>
        </is>
      </c>
      <c r="D1633" t="inlineStr">
        <is>
          <t>100152</t>
        </is>
      </c>
      <c r="E1633" t="inlineStr">
        <is>
          <t>2026-06</t>
        </is>
      </c>
      <c r="F1633" t="n">
        <v>21.19</v>
      </c>
      <c r="G1633" t="n">
        <v>25</v>
      </c>
      <c r="H1633">
        <f>הגדרות!B7</f>
        <v/>
      </c>
      <c r="I1633">
        <f>F1633*(1-H1633/100)*1.18</f>
        <v/>
      </c>
      <c r="J1633">
        <f>הגדרות!C7</f>
        <v/>
      </c>
      <c r="K1633">
        <f>הגדרות!D7</f>
        <v/>
      </c>
      <c r="L1633">
        <f>I1633*(1+J1633/100)+K1633</f>
        <v/>
      </c>
    </row>
    <row r="1634">
      <c r="A1634" t="inlineStr">
        <is>
          <t>מדי-מרקט</t>
        </is>
      </c>
      <c r="B1634" t="inlineStr">
        <is>
          <t>Ivermectin 30Mic + Praziq60Mg 0.5Ml Transdermal Gel 2 Syrin</t>
        </is>
      </c>
      <c r="C1634" t="inlineStr">
        <is>
          <t>הכנות בית מרקחת</t>
        </is>
      </c>
      <c r="D1634" t="inlineStr">
        <is>
          <t>706319</t>
        </is>
      </c>
      <c r="E1634" t="inlineStr">
        <is>
          <t>2026-06</t>
        </is>
      </c>
      <c r="F1634" t="n">
        <v>92.37</v>
      </c>
      <c r="G1634" t="n">
        <v>109</v>
      </c>
      <c r="H1634">
        <f>הגדרות!B7</f>
        <v/>
      </c>
      <c r="I1634">
        <f>F1634*(1-H1634/100)*1.18</f>
        <v/>
      </c>
      <c r="J1634">
        <f>הגדרות!C7</f>
        <v/>
      </c>
      <c r="K1634">
        <f>הגדרות!D7</f>
        <v/>
      </c>
      <c r="L1634">
        <f>I1634*(1+J1634/100)+K1634</f>
        <v/>
      </c>
    </row>
    <row r="1635">
      <c r="A1635" t="inlineStr">
        <is>
          <t>מדי-מרקט</t>
        </is>
      </c>
      <c r="B1635" t="inlineStr">
        <is>
          <t>Ivermectin Ear Drops 0.1%  15Ml</t>
        </is>
      </c>
      <c r="C1635" t="inlineStr">
        <is>
          <t>הכנות טיפות וג'ל לאוזניים</t>
        </is>
      </c>
      <c r="D1635" t="inlineStr">
        <is>
          <t>8882</t>
        </is>
      </c>
      <c r="E1635" t="inlineStr">
        <is>
          <t>2026-06</t>
        </is>
      </c>
      <c r="F1635" t="n">
        <v>16.95</v>
      </c>
      <c r="G1635" t="n">
        <v>20</v>
      </c>
      <c r="H1635">
        <f>הגדרות!B7</f>
        <v/>
      </c>
      <c r="I1635">
        <f>F1635*(1-H1635/100)*1.18</f>
        <v/>
      </c>
      <c r="J1635">
        <f>הגדרות!C7</f>
        <v/>
      </c>
      <c r="K1635">
        <f>הגדרות!D7</f>
        <v/>
      </c>
      <c r="L1635">
        <f>I1635*(1+J1635/100)+K1635</f>
        <v/>
      </c>
    </row>
    <row r="1636">
      <c r="A1636" t="inlineStr">
        <is>
          <t>מדי-מרקט</t>
        </is>
      </c>
      <c r="B1636" t="inlineStr">
        <is>
          <t>Ivertin veterinary 1% 10mg/ml,100 ml</t>
        </is>
      </c>
      <c r="C1636" t="inlineStr">
        <is>
          <t>תרופות</t>
        </is>
      </c>
      <c r="D1636" t="inlineStr">
        <is>
          <t>65325255</t>
        </is>
      </c>
      <c r="E1636" t="inlineStr">
        <is>
          <t>2026-06</t>
        </is>
      </c>
      <c r="F1636" t="n">
        <v>101.69</v>
      </c>
      <c r="G1636" t="n">
        <v>120</v>
      </c>
      <c r="H1636">
        <f>הגדרות!B7</f>
        <v/>
      </c>
      <c r="I1636">
        <f>F1636*(1-H1636/100)*1.18</f>
        <v/>
      </c>
      <c r="J1636">
        <f>הגדרות!C7</f>
        <v/>
      </c>
      <c r="K1636">
        <f>הגדרות!D7</f>
        <v/>
      </c>
      <c r="L1636">
        <f>I1636*(1+J1636/100)+K1636</f>
        <v/>
      </c>
    </row>
    <row r="1637">
      <c r="A1637" t="inlineStr">
        <is>
          <t>מדי-מרקט</t>
        </is>
      </c>
      <c r="B1637" t="inlineStr">
        <is>
          <t>Januet 50/1000G X 56Tabs</t>
        </is>
      </c>
      <c r="C1637" t="inlineStr">
        <is>
          <t>תרופות</t>
        </is>
      </c>
      <c r="D1637" t="inlineStr">
        <is>
          <t>12322</t>
        </is>
      </c>
      <c r="E1637" t="inlineStr">
        <is>
          <t>2026-06</t>
        </is>
      </c>
      <c r="F1637" t="n">
        <v>155.08</v>
      </c>
      <c r="G1637" t="n">
        <v>183</v>
      </c>
      <c r="H1637">
        <f>הגדרות!B7</f>
        <v/>
      </c>
      <c r="I1637">
        <f>F1637*(1-H1637/100)*1.18</f>
        <v/>
      </c>
      <c r="J1637">
        <f>הגדרות!C7</f>
        <v/>
      </c>
      <c r="K1637">
        <f>הגדרות!D7</f>
        <v/>
      </c>
      <c r="L1637">
        <f>I1637*(1+J1637/100)+K1637</f>
        <v/>
      </c>
    </row>
    <row r="1638">
      <c r="A1638" t="inlineStr">
        <is>
          <t>מדי-מרקט</t>
        </is>
      </c>
      <c r="B1638" t="inlineStr">
        <is>
          <t>JANUET 50/850 MG 56 TABS</t>
        </is>
      </c>
      <c r="C1638" t="inlineStr">
        <is>
          <t>תרופות</t>
        </is>
      </c>
      <c r="D1638" t="inlineStr">
        <is>
          <t>12321</t>
        </is>
      </c>
      <c r="E1638" t="inlineStr">
        <is>
          <t>2026-06</t>
        </is>
      </c>
      <c r="F1638" t="n">
        <v>163.56</v>
      </c>
      <c r="G1638" t="n">
        <v>193</v>
      </c>
      <c r="H1638">
        <f>הגדרות!B7</f>
        <v/>
      </c>
      <c r="I1638">
        <f>F1638*(1-H1638/100)*1.18</f>
        <v/>
      </c>
      <c r="J1638">
        <f>הגדרות!C7</f>
        <v/>
      </c>
      <c r="K1638">
        <f>הגדרות!D7</f>
        <v/>
      </c>
      <c r="L1638">
        <f>I1638*(1+J1638/100)+K1638</f>
        <v/>
      </c>
    </row>
    <row r="1639">
      <c r="A1639" t="inlineStr">
        <is>
          <t>מדי-מרקט</t>
        </is>
      </c>
      <c r="B1639" t="inlineStr">
        <is>
          <t>JARDIANCE 25 MG</t>
        </is>
      </c>
      <c r="C1639" t="inlineStr">
        <is>
          <t>תרופות</t>
        </is>
      </c>
      <c r="D1639" t="inlineStr">
        <is>
          <t>10069</t>
        </is>
      </c>
      <c r="E1639" t="inlineStr">
        <is>
          <t>2026-06</t>
        </is>
      </c>
      <c r="F1639" t="n">
        <v>170.34</v>
      </c>
      <c r="G1639" t="n">
        <v>201</v>
      </c>
      <c r="H1639">
        <f>הגדרות!B7</f>
        <v/>
      </c>
      <c r="I1639">
        <f>F1639*(1-H1639/100)*1.18</f>
        <v/>
      </c>
      <c r="J1639">
        <f>הגדרות!C7</f>
        <v/>
      </c>
      <c r="K1639">
        <f>הגדרות!D7</f>
        <v/>
      </c>
      <c r="L1639">
        <f>I1639*(1+J1639/100)+K1639</f>
        <v/>
      </c>
    </row>
    <row r="1640">
      <c r="A1640" t="inlineStr">
        <is>
          <t>מדי-מרקט</t>
        </is>
      </c>
      <c r="B1640" t="inlineStr">
        <is>
          <t>Jardiance Duo 12.5 Mg/1000 Mg</t>
        </is>
      </c>
      <c r="C1640" t="inlineStr">
        <is>
          <t>תרופות</t>
        </is>
      </c>
      <c r="D1640" t="inlineStr">
        <is>
          <t>10071</t>
        </is>
      </c>
      <c r="E1640" t="inlineStr">
        <is>
          <t>2026-06</t>
        </is>
      </c>
      <c r="F1640" t="n">
        <v>157.35</v>
      </c>
      <c r="G1640" t="n">
        <v>185.67</v>
      </c>
      <c r="H1640">
        <f>הגדרות!B7</f>
        <v/>
      </c>
      <c r="I1640">
        <f>F1640*(1-H1640/100)*1.18</f>
        <v/>
      </c>
      <c r="J1640">
        <f>הגדרות!C7</f>
        <v/>
      </c>
      <c r="K1640">
        <f>הגדרות!D7</f>
        <v/>
      </c>
      <c r="L1640">
        <f>I1640*(1+J1640/100)+K1640</f>
        <v/>
      </c>
    </row>
    <row r="1641">
      <c r="A1641" t="inlineStr">
        <is>
          <t>מדי-מרקט</t>
        </is>
      </c>
      <c r="B1641" t="inlineStr">
        <is>
          <t>JEVITY PLUS 1 LITER RTH READY</t>
        </is>
      </c>
      <c r="C1641" t="inlineStr">
        <is>
          <t>מוצרים משלימים הומני</t>
        </is>
      </c>
      <c r="D1641" t="inlineStr">
        <is>
          <t>300028</t>
        </is>
      </c>
      <c r="E1641" t="inlineStr">
        <is>
          <t>2026-06</t>
        </is>
      </c>
      <c r="F1641" t="n">
        <v>35.42</v>
      </c>
      <c r="G1641" t="n">
        <v>41.8</v>
      </c>
      <c r="H1641">
        <f>הגדרות!B7</f>
        <v/>
      </c>
      <c r="I1641">
        <f>F1641*(1-H1641/100)*1.18</f>
        <v/>
      </c>
      <c r="J1641">
        <f>הגדרות!C7</f>
        <v/>
      </c>
      <c r="K1641">
        <f>הגדרות!D7</f>
        <v/>
      </c>
      <c r="L1641">
        <f>I1641*(1+J1641/100)+K1641</f>
        <v/>
      </c>
    </row>
    <row r="1642">
      <c r="A1642" t="inlineStr">
        <is>
          <t>מדי-מרקט</t>
        </is>
      </c>
      <c r="B1642" t="inlineStr">
        <is>
          <t>Kalgaron Strawberry /Orange  24</t>
        </is>
      </c>
      <c r="C1642" t="inlineStr">
        <is>
          <t>תרופות</t>
        </is>
      </c>
      <c r="D1642" t="inlineStr">
        <is>
          <t>16478</t>
        </is>
      </c>
      <c r="E1642" t="inlineStr">
        <is>
          <t>2026-06</t>
        </is>
      </c>
      <c r="F1642" t="n">
        <v>14.58</v>
      </c>
      <c r="G1642" t="n">
        <v>17.2</v>
      </c>
      <c r="H1642">
        <f>הגדרות!B7</f>
        <v/>
      </c>
      <c r="I1642">
        <f>F1642*(1-H1642/100)*1.18</f>
        <v/>
      </c>
      <c r="J1642">
        <f>הגדרות!C7</f>
        <v/>
      </c>
      <c r="K1642">
        <f>הגדרות!D7</f>
        <v/>
      </c>
      <c r="L1642">
        <f>I1642*(1+J1642/100)+K1642</f>
        <v/>
      </c>
    </row>
    <row r="1643">
      <c r="A1643" t="inlineStr">
        <is>
          <t>מדי-מרקט</t>
        </is>
      </c>
      <c r="B1643" t="inlineStr">
        <is>
          <t>kamrho-d  i.m 300mcg/2ml (אנטי די)</t>
        </is>
      </c>
      <c r="C1643" t="inlineStr">
        <is>
          <t>תרופות</t>
        </is>
      </c>
      <c r="D1643" t="inlineStr">
        <is>
          <t>56899</t>
        </is>
      </c>
      <c r="E1643" t="inlineStr">
        <is>
          <t>2026-06</t>
        </is>
      </c>
      <c r="F1643" t="n">
        <v>169.52</v>
      </c>
      <c r="G1643" t="n">
        <v>200.03</v>
      </c>
      <c r="H1643">
        <f>הגדרות!B7</f>
        <v/>
      </c>
      <c r="I1643">
        <f>F1643*(1-H1643/100)*1.18</f>
        <v/>
      </c>
      <c r="J1643">
        <f>הגדרות!C7</f>
        <v/>
      </c>
      <c r="K1643">
        <f>הגדרות!D7</f>
        <v/>
      </c>
      <c r="L1643">
        <f>I1643*(1+J1643/100)+K1643</f>
        <v/>
      </c>
    </row>
    <row r="1644">
      <c r="A1644" t="inlineStr">
        <is>
          <t>מדי-מרקט</t>
        </is>
      </c>
      <c r="B1644" t="inlineStr">
        <is>
          <t>Kayexalate Powder 1Lb</t>
        </is>
      </c>
      <c r="C1644" t="inlineStr">
        <is>
          <t>תרופות</t>
        </is>
      </c>
      <c r="D1644" t="inlineStr">
        <is>
          <t>11227</t>
        </is>
      </c>
      <c r="E1644" t="inlineStr">
        <is>
          <t>2026-06</t>
        </is>
      </c>
      <c r="F1644" t="n">
        <v>180.33</v>
      </c>
      <c r="G1644" t="n">
        <v>212.79</v>
      </c>
      <c r="H1644">
        <f>הגדרות!B7</f>
        <v/>
      </c>
      <c r="I1644">
        <f>F1644*(1-H1644/100)*1.18</f>
        <v/>
      </c>
      <c r="J1644">
        <f>הגדרות!C7</f>
        <v/>
      </c>
      <c r="K1644">
        <f>הגדרות!D7</f>
        <v/>
      </c>
      <c r="L1644">
        <f>I1644*(1+J1644/100)+K1644</f>
        <v/>
      </c>
    </row>
    <row r="1645">
      <c r="A1645" t="inlineStr">
        <is>
          <t>מדי-מרקט</t>
        </is>
      </c>
      <c r="B1645" t="inlineStr">
        <is>
          <t>KENALOG /TRIAMCINOLONE 40MG/1ML INJ *3</t>
        </is>
      </c>
      <c r="C1645" t="inlineStr">
        <is>
          <t>29 יבוא תרופות הומניות חו"ל</t>
        </is>
      </c>
      <c r="D1645" t="inlineStr">
        <is>
          <t>M013972056</t>
        </is>
      </c>
      <c r="E1645" t="inlineStr">
        <is>
          <t>2026-06</t>
        </is>
      </c>
      <c r="F1645" t="n">
        <v>68.31</v>
      </c>
      <c r="G1645" t="n">
        <v>80.59999999999999</v>
      </c>
      <c r="H1645">
        <f>הגדרות!B7</f>
        <v/>
      </c>
      <c r="I1645">
        <f>F1645*(1-H1645/100)*1.18</f>
        <v/>
      </c>
      <c r="J1645">
        <f>הגדרות!C7</f>
        <v/>
      </c>
      <c r="K1645">
        <f>הגדרות!D7</f>
        <v/>
      </c>
      <c r="L1645">
        <f>I1645*(1+J1645/100)+K1645</f>
        <v/>
      </c>
    </row>
    <row r="1646">
      <c r="A1646" t="inlineStr">
        <is>
          <t>מדי-מרקט</t>
        </is>
      </c>
      <c r="B1646" t="inlineStr">
        <is>
          <t>Ketamine - Ketalar 50Mg/Ml 10Ml</t>
        </is>
      </c>
      <c r="C1646" t="inlineStr">
        <is>
          <t>תרופות</t>
        </is>
      </c>
      <c r="D1646" t="inlineStr">
        <is>
          <t>14554</t>
        </is>
      </c>
      <c r="E1646" t="inlineStr">
        <is>
          <t>2026-06</t>
        </is>
      </c>
      <c r="F1646" t="n">
        <v>54.49</v>
      </c>
      <c r="G1646" t="n">
        <v>64.3</v>
      </c>
      <c r="H1646">
        <f>הגדרות!B7</f>
        <v/>
      </c>
      <c r="I1646">
        <f>F1646*(1-H1646/100)*1.18</f>
        <v/>
      </c>
      <c r="J1646">
        <f>הגדרות!C7</f>
        <v/>
      </c>
      <c r="K1646">
        <f>הגדרות!D7</f>
        <v/>
      </c>
      <c r="L1646">
        <f>I1646*(1+J1646/100)+K1646</f>
        <v/>
      </c>
    </row>
    <row r="1647">
      <c r="A1647" t="inlineStr">
        <is>
          <t>מדי-מרקט</t>
        </is>
      </c>
      <c r="B1647" t="inlineStr">
        <is>
          <t>Ketamine G.L. 10Mg/Ml 5Ml 5Amp(Il)</t>
        </is>
      </c>
      <c r="C1647" t="inlineStr">
        <is>
          <t>תרופות רשומות- מדי מרקט</t>
        </is>
      </c>
      <c r="D1647" t="inlineStr">
        <is>
          <t>256485</t>
        </is>
      </c>
      <c r="E1647" t="inlineStr">
        <is>
          <t>2026-06</t>
        </is>
      </c>
      <c r="F1647" t="n">
        <v>24.03</v>
      </c>
      <c r="G1647" t="n">
        <v>28.35</v>
      </c>
      <c r="H1647">
        <f>הגדרות!B7</f>
        <v/>
      </c>
      <c r="I1647">
        <f>F1647*(1-H1647/100)*1.18</f>
        <v/>
      </c>
      <c r="J1647">
        <f>הגדרות!C7</f>
        <v/>
      </c>
      <c r="K1647">
        <f>הגדרות!D7</f>
        <v/>
      </c>
      <c r="L1647">
        <f>I1647*(1+J1647/100)+K1647</f>
        <v/>
      </c>
    </row>
    <row r="1648">
      <c r="A1648" t="inlineStr">
        <is>
          <t>מדי-מרקט</t>
        </is>
      </c>
      <c r="B1648" t="inlineStr">
        <is>
          <t>KETOROLAC NORMON  30MG/ML X 100 AMP (29G)</t>
        </is>
      </c>
      <c r="C1648" t="inlineStr">
        <is>
          <t>29 יבוא תרופות הומניות חו"ל</t>
        </is>
      </c>
      <c r="D1648" t="inlineStr">
        <is>
          <t>635896</t>
        </is>
      </c>
      <c r="E1648" t="inlineStr">
        <is>
          <t>2026-06</t>
        </is>
      </c>
      <c r="F1648" t="n">
        <v>211.86</v>
      </c>
      <c r="G1648" t="n">
        <v>250</v>
      </c>
      <c r="H1648">
        <f>הגדרות!B7</f>
        <v/>
      </c>
      <c r="I1648">
        <f>F1648*(1-H1648/100)*1.18</f>
        <v/>
      </c>
      <c r="J1648">
        <f>הגדרות!C7</f>
        <v/>
      </c>
      <c r="K1648">
        <f>הגדרות!D7</f>
        <v/>
      </c>
      <c r="L1648">
        <f>I1648*(1+J1648/100)+K1648</f>
        <v/>
      </c>
    </row>
    <row r="1649">
      <c r="A1649" t="inlineStr">
        <is>
          <t>מדי-מרקט</t>
        </is>
      </c>
      <c r="B1649" t="inlineStr">
        <is>
          <t>Ketorolac Trometamol Rompharm 30Mg/Ml X10Amp(Il</t>
        </is>
      </c>
      <c r="C1649" t="inlineStr">
        <is>
          <t>תרופות רשומות- מדי מרקט</t>
        </is>
      </c>
      <c r="D1649" t="inlineStr">
        <is>
          <t>3645987</t>
        </is>
      </c>
      <c r="E1649" t="inlineStr">
        <is>
          <t>2026-06</t>
        </is>
      </c>
      <c r="F1649" t="n">
        <v>19.49</v>
      </c>
      <c r="G1649" t="n">
        <v>23</v>
      </c>
      <c r="H1649">
        <f>הגדרות!B7</f>
        <v/>
      </c>
      <c r="I1649">
        <f>F1649*(1-H1649/100)*1.18</f>
        <v/>
      </c>
      <c r="J1649">
        <f>הגדרות!C7</f>
        <v/>
      </c>
      <c r="K1649">
        <f>הגדרות!D7</f>
        <v/>
      </c>
      <c r="L1649">
        <f>I1649*(1+J1649/100)+K1649</f>
        <v/>
      </c>
    </row>
    <row r="1650">
      <c r="A1650" t="inlineStr">
        <is>
          <t>מדי-מרקט</t>
        </is>
      </c>
      <c r="B1650" t="inlineStr">
        <is>
          <t>KEYTRUDA 100 MG/ 4ML 1VIAL</t>
        </is>
      </c>
      <c r="C1650" t="inlineStr">
        <is>
          <t>תרופות</t>
        </is>
      </c>
      <c r="D1650" t="inlineStr">
        <is>
          <t>968555</t>
        </is>
      </c>
      <c r="E1650" t="inlineStr">
        <is>
          <t>2026-06</t>
        </is>
      </c>
      <c r="F1650" t="n">
        <v>11392.86</v>
      </c>
      <c r="G1650" t="n">
        <v>13443.58</v>
      </c>
      <c r="H1650">
        <f>הגדרות!B7</f>
        <v/>
      </c>
      <c r="I1650">
        <f>F1650*(1-H1650/100)*1.18</f>
        <v/>
      </c>
      <c r="J1650">
        <f>הגדרות!C7</f>
        <v/>
      </c>
      <c r="K1650">
        <f>הגדרות!D7</f>
        <v/>
      </c>
      <c r="L1650">
        <f>I1650*(1+J1650/100)+K1650</f>
        <v/>
      </c>
    </row>
    <row r="1651">
      <c r="A1651" t="inlineStr">
        <is>
          <t>מדי-מרקט</t>
        </is>
      </c>
      <c r="B1651" t="inlineStr">
        <is>
          <t>Klinident ( קוקי דנט) טב' ניקוי 66 יח'</t>
        </is>
      </c>
      <c r="C1651" t="inlineStr">
        <is>
          <t>מוצרי חיטוי ואנטיספטיקה</t>
        </is>
      </c>
      <c r="D1651" t="inlineStr">
        <is>
          <t>32647</t>
        </is>
      </c>
      <c r="E1651" t="inlineStr">
        <is>
          <t>2026-06</t>
        </is>
      </c>
      <c r="F1651" t="n">
        <v>27.67</v>
      </c>
      <c r="G1651" t="n">
        <v>32.65</v>
      </c>
      <c r="H1651">
        <f>הגדרות!B7</f>
        <v/>
      </c>
      <c r="I1651">
        <f>F1651*(1-H1651/100)*1.18</f>
        <v/>
      </c>
      <c r="J1651">
        <f>הגדרות!C7</f>
        <v/>
      </c>
      <c r="K1651">
        <f>הגדרות!D7</f>
        <v/>
      </c>
      <c r="L1651">
        <f>I1651*(1+J1651/100)+K1651</f>
        <v/>
      </c>
    </row>
    <row r="1652">
      <c r="A1652" t="inlineStr">
        <is>
          <t>מדי-מרקט</t>
        </is>
      </c>
      <c r="B1652" t="inlineStr">
        <is>
          <t>Kombihylan®</t>
        </is>
      </c>
      <c r="C1652" t="inlineStr">
        <is>
          <t>תרופות רשומות- מדי מרקט</t>
        </is>
      </c>
      <c r="D1652" t="inlineStr">
        <is>
          <t>5897455</t>
        </is>
      </c>
      <c r="E1652" t="inlineStr">
        <is>
          <t>2026-06</t>
        </is>
      </c>
      <c r="F1652" t="n">
        <v>405.93</v>
      </c>
      <c r="G1652" t="n">
        <v>479</v>
      </c>
      <c r="H1652">
        <f>הגדרות!B7</f>
        <v/>
      </c>
      <c r="I1652">
        <f>F1652*(1-H1652/100)*1.18</f>
        <v/>
      </c>
      <c r="J1652">
        <f>הגדרות!C7</f>
        <v/>
      </c>
      <c r="K1652">
        <f>הגדרות!D7</f>
        <v/>
      </c>
      <c r="L1652">
        <f>I1652*(1+J1652/100)+K1652</f>
        <v/>
      </c>
    </row>
    <row r="1653">
      <c r="A1653" t="inlineStr">
        <is>
          <t>מדי-מרקט</t>
        </is>
      </c>
      <c r="B1653" t="inlineStr">
        <is>
          <t>Konakion 10Mg 1 Ml 5 Amps קונקיון 5 אמפ'</t>
        </is>
      </c>
      <c r="C1653" t="inlineStr">
        <is>
          <t>תרופות</t>
        </is>
      </c>
      <c r="D1653" t="inlineStr">
        <is>
          <t>1770</t>
        </is>
      </c>
      <c r="E1653" t="inlineStr">
        <is>
          <t>2026-06</t>
        </is>
      </c>
      <c r="F1653" t="n">
        <v>20.34</v>
      </c>
      <c r="G1653" t="n">
        <v>24</v>
      </c>
      <c r="H1653">
        <f>הגדרות!B7</f>
        <v/>
      </c>
      <c r="I1653">
        <f>F1653*(1-H1653/100)*1.18</f>
        <v/>
      </c>
      <c r="J1653">
        <f>הגדרות!C7</f>
        <v/>
      </c>
      <c r="K1653">
        <f>הגדרות!D7</f>
        <v/>
      </c>
      <c r="L1653">
        <f>I1653*(1+J1653/100)+K1653</f>
        <v/>
      </c>
    </row>
    <row r="1654">
      <c r="A1654" t="inlineStr">
        <is>
          <t>מדי-מרקט</t>
        </is>
      </c>
      <c r="B1654" t="inlineStr">
        <is>
          <t>KYPROLIS 60MG VIAL AMP</t>
        </is>
      </c>
      <c r="C1654" t="inlineStr">
        <is>
          <t>תרופות</t>
        </is>
      </c>
      <c r="D1654" t="inlineStr">
        <is>
          <t>23652</t>
        </is>
      </c>
      <c r="E1654" t="inlineStr">
        <is>
          <t>2026-06</t>
        </is>
      </c>
      <c r="F1654" t="n">
        <v>5182.8</v>
      </c>
      <c r="G1654" t="n">
        <v>6115.7</v>
      </c>
      <c r="H1654">
        <f>הגדרות!B7</f>
        <v/>
      </c>
      <c r="I1654">
        <f>F1654*(1-H1654/100)*1.18</f>
        <v/>
      </c>
      <c r="J1654">
        <f>הגדרות!C7</f>
        <v/>
      </c>
      <c r="K1654">
        <f>הגדרות!D7</f>
        <v/>
      </c>
      <c r="L1654">
        <f>I1654*(1+J1654/100)+K1654</f>
        <v/>
      </c>
    </row>
    <row r="1655">
      <c r="A1655" t="inlineStr">
        <is>
          <t>מדי-מרקט</t>
        </is>
      </c>
      <c r="B1655" t="inlineStr">
        <is>
          <t>Labetalol Hydrochloride 5 Mg / 1 Ml*5</t>
        </is>
      </c>
      <c r="C1655" t="inlineStr">
        <is>
          <t>תרופות</t>
        </is>
      </c>
      <c r="D1655" t="inlineStr">
        <is>
          <t>33599-1</t>
        </is>
      </c>
      <c r="E1655" t="inlineStr">
        <is>
          <t>2026-06</t>
        </is>
      </c>
      <c r="F1655" t="n">
        <v>77.97</v>
      </c>
      <c r="G1655" t="n">
        <v>92</v>
      </c>
      <c r="H1655">
        <f>הגדרות!B7</f>
        <v/>
      </c>
      <c r="I1655">
        <f>F1655*(1-H1655/100)*1.18</f>
        <v/>
      </c>
      <c r="J1655">
        <f>הגדרות!C7</f>
        <v/>
      </c>
      <c r="K1655">
        <f>הגדרות!D7</f>
        <v/>
      </c>
      <c r="L1655">
        <f>I1655*(1+J1655/100)+K1655</f>
        <v/>
      </c>
    </row>
    <row r="1656">
      <c r="A1656" t="inlineStr">
        <is>
          <t>מדי-מרקט</t>
        </is>
      </c>
      <c r="B1656" t="inlineStr">
        <is>
          <t>Lacrimol Opht. Drops 15 Cc</t>
        </is>
      </c>
      <c r="C1656" t="inlineStr">
        <is>
          <t>תרופות</t>
        </is>
      </c>
      <c r="D1656" t="inlineStr">
        <is>
          <t>6000052</t>
        </is>
      </c>
      <c r="E1656" t="inlineStr">
        <is>
          <t>2026-06</t>
        </is>
      </c>
      <c r="F1656" t="n">
        <v>6.58</v>
      </c>
      <c r="G1656" t="n">
        <v>7.76</v>
      </c>
      <c r="H1656">
        <f>הגדרות!B7</f>
        <v/>
      </c>
      <c r="I1656">
        <f>F1656*(1-H1656/100)*1.18</f>
        <v/>
      </c>
      <c r="J1656">
        <f>הגדרות!C7</f>
        <v/>
      </c>
      <c r="K1656">
        <f>הגדרות!D7</f>
        <v/>
      </c>
      <c r="L1656">
        <f>I1656*(1+J1656/100)+K1656</f>
        <v/>
      </c>
    </row>
    <row r="1657">
      <c r="A1657" t="inlineStr">
        <is>
          <t>מדי-מרקט</t>
        </is>
      </c>
      <c r="B1657" t="inlineStr">
        <is>
          <t>Lacromycin Eye Drop לקרומיצין טיפות עיניים 5 מ"ל</t>
        </is>
      </c>
      <c r="C1657" t="inlineStr">
        <is>
          <t>תרופות</t>
        </is>
      </c>
      <c r="D1657" t="inlineStr">
        <is>
          <t>6139</t>
        </is>
      </c>
      <c r="E1657" t="inlineStr">
        <is>
          <t>2026-06</t>
        </is>
      </c>
      <c r="F1657" t="n">
        <v>7.25</v>
      </c>
      <c r="G1657" t="n">
        <v>8.550000000000001</v>
      </c>
      <c r="H1657">
        <f>הגדרות!B7</f>
        <v/>
      </c>
      <c r="I1657">
        <f>F1657*(1-H1657/100)*1.18</f>
        <v/>
      </c>
      <c r="J1657">
        <f>הגדרות!C7</f>
        <v/>
      </c>
      <c r="K1657">
        <f>הגדרות!D7</f>
        <v/>
      </c>
      <c r="L1657">
        <f>I1657*(1+J1657/100)+K1657</f>
        <v/>
      </c>
    </row>
    <row r="1658">
      <c r="A1658" t="inlineStr">
        <is>
          <t>מדי-מרקט</t>
        </is>
      </c>
      <c r="B1658" t="inlineStr">
        <is>
          <t>Laevolac 670Mg/Ml 500 Ml</t>
        </is>
      </c>
      <c r="C1658" t="inlineStr">
        <is>
          <t>תרופות</t>
        </is>
      </c>
      <c r="D1658" t="inlineStr">
        <is>
          <t>307256</t>
        </is>
      </c>
      <c r="E1658" t="inlineStr">
        <is>
          <t>2026-06</t>
        </is>
      </c>
      <c r="F1658" t="n">
        <v>27.56</v>
      </c>
      <c r="G1658" t="n">
        <v>32.52</v>
      </c>
      <c r="H1658">
        <f>הגדרות!B7</f>
        <v/>
      </c>
      <c r="I1658">
        <f>F1658*(1-H1658/100)*1.18</f>
        <v/>
      </c>
      <c r="J1658">
        <f>הגדרות!C7</f>
        <v/>
      </c>
      <c r="K1658">
        <f>הגדרות!D7</f>
        <v/>
      </c>
      <c r="L1658">
        <f>I1658*(1+J1658/100)+K1658</f>
        <v/>
      </c>
    </row>
    <row r="1659">
      <c r="A1659" t="inlineStr">
        <is>
          <t>מדי-מרקט</t>
        </is>
      </c>
      <c r="B1659" t="inlineStr">
        <is>
          <t>Lamogine 100 Mg 30 Tab</t>
        </is>
      </c>
      <c r="C1659" t="inlineStr">
        <is>
          <t>תרופות</t>
        </is>
      </c>
      <c r="D1659" t="inlineStr">
        <is>
          <t>200817</t>
        </is>
      </c>
      <c r="E1659" t="inlineStr">
        <is>
          <t>2026-06</t>
        </is>
      </c>
      <c r="F1659" t="n">
        <v>37.37</v>
      </c>
      <c r="G1659" t="n">
        <v>44.1</v>
      </c>
      <c r="H1659">
        <f>הגדרות!B7</f>
        <v/>
      </c>
      <c r="I1659">
        <f>F1659*(1-H1659/100)*1.18</f>
        <v/>
      </c>
      <c r="J1659">
        <f>הגדרות!C7</f>
        <v/>
      </c>
      <c r="K1659">
        <f>הגדרות!D7</f>
        <v/>
      </c>
      <c r="L1659">
        <f>I1659*(1+J1659/100)+K1659</f>
        <v/>
      </c>
    </row>
    <row r="1660">
      <c r="A1660" t="inlineStr">
        <is>
          <t>מדי-מרקט</t>
        </is>
      </c>
      <c r="B1660" t="inlineStr">
        <is>
          <t>Lamogine 200Mg X30 TAB</t>
        </is>
      </c>
      <c r="C1660" t="inlineStr">
        <is>
          <t>תרופות</t>
        </is>
      </c>
      <c r="D1660" t="inlineStr">
        <is>
          <t>1281200921</t>
        </is>
      </c>
      <c r="E1660" t="inlineStr">
        <is>
          <t>2026-06</t>
        </is>
      </c>
      <c r="F1660" t="n">
        <v>23.93</v>
      </c>
      <c r="G1660" t="n">
        <v>28.24</v>
      </c>
      <c r="H1660">
        <f>הגדרות!B7</f>
        <v/>
      </c>
      <c r="I1660">
        <f>F1660*(1-H1660/100)*1.18</f>
        <v/>
      </c>
      <c r="J1660">
        <f>הגדרות!C7</f>
        <v/>
      </c>
      <c r="K1660">
        <f>הגדרות!D7</f>
        <v/>
      </c>
      <c r="L1660">
        <f>I1660*(1+J1660/100)+K1660</f>
        <v/>
      </c>
    </row>
    <row r="1661">
      <c r="A1661" t="inlineStr">
        <is>
          <t>מדי-מרקט</t>
        </is>
      </c>
      <c r="B1661" t="inlineStr">
        <is>
          <t>Lamogine 25 Mg 30 Tab</t>
        </is>
      </c>
      <c r="C1661" t="inlineStr">
        <is>
          <t>תרופות</t>
        </is>
      </c>
      <c r="D1661" t="inlineStr">
        <is>
          <t>200815</t>
        </is>
      </c>
      <c r="E1661" t="inlineStr">
        <is>
          <t>2026-06</t>
        </is>
      </c>
      <c r="F1661" t="n">
        <v>16.95</v>
      </c>
      <c r="G1661" t="n">
        <v>20</v>
      </c>
      <c r="H1661">
        <f>הגדרות!B7</f>
        <v/>
      </c>
      <c r="I1661">
        <f>F1661*(1-H1661/100)*1.18</f>
        <v/>
      </c>
      <c r="J1661">
        <f>הגדרות!C7</f>
        <v/>
      </c>
      <c r="K1661">
        <f>הגדרות!D7</f>
        <v/>
      </c>
      <c r="L1661">
        <f>I1661*(1+J1661/100)+K1661</f>
        <v/>
      </c>
    </row>
    <row r="1662">
      <c r="A1662" t="inlineStr">
        <is>
          <t>מדי-מרקט</t>
        </is>
      </c>
      <c r="B1662" t="inlineStr">
        <is>
          <t>Lamogine 50 Mg 30 Tab</t>
        </is>
      </c>
      <c r="C1662" t="inlineStr">
        <is>
          <t>תרופות</t>
        </is>
      </c>
      <c r="D1662" t="inlineStr">
        <is>
          <t>200816</t>
        </is>
      </c>
      <c r="E1662" t="inlineStr">
        <is>
          <t>2026-06</t>
        </is>
      </c>
      <c r="F1662" t="n">
        <v>12.53</v>
      </c>
      <c r="G1662" t="n">
        <v>14.78</v>
      </c>
      <c r="H1662">
        <f>הגדרות!B7</f>
        <v/>
      </c>
      <c r="I1662">
        <f>F1662*(1-H1662/100)*1.18</f>
        <v/>
      </c>
      <c r="J1662">
        <f>הגדרות!C7</f>
        <v/>
      </c>
      <c r="K1662">
        <f>הגדרות!D7</f>
        <v/>
      </c>
      <c r="L1662">
        <f>I1662*(1+J1662/100)+K1662</f>
        <v/>
      </c>
    </row>
    <row r="1663">
      <c r="A1663" t="inlineStr">
        <is>
          <t>מדי-מרקט</t>
        </is>
      </c>
      <c r="B1663" t="inlineStr">
        <is>
          <t>Lanton 15Mg X 28Caps</t>
        </is>
      </c>
      <c r="C1663" t="inlineStr">
        <is>
          <t>תרופות</t>
        </is>
      </c>
      <c r="D1663" t="inlineStr">
        <is>
          <t>12320</t>
        </is>
      </c>
      <c r="E1663" t="inlineStr">
        <is>
          <t>2026-06</t>
        </is>
      </c>
      <c r="F1663" t="n">
        <v>21.19</v>
      </c>
      <c r="G1663" t="n">
        <v>25</v>
      </c>
      <c r="H1663">
        <f>הגדרות!B7</f>
        <v/>
      </c>
      <c r="I1663">
        <f>F1663*(1-H1663/100)*1.18</f>
        <v/>
      </c>
      <c r="J1663">
        <f>הגדרות!C7</f>
        <v/>
      </c>
      <c r="K1663">
        <f>הגדרות!D7</f>
        <v/>
      </c>
      <c r="L1663">
        <f>I1663*(1+J1663/100)+K1663</f>
        <v/>
      </c>
    </row>
    <row r="1664">
      <c r="A1664" t="inlineStr">
        <is>
          <t>מדי-מרקט</t>
        </is>
      </c>
      <c r="B1664" t="inlineStr">
        <is>
          <t>Lanton 30Mg X 28Caps</t>
        </is>
      </c>
      <c r="C1664" t="inlineStr">
        <is>
          <t>תרופות</t>
        </is>
      </c>
      <c r="D1664" t="inlineStr">
        <is>
          <t>60009</t>
        </is>
      </c>
      <c r="E1664" t="inlineStr">
        <is>
          <t>2026-06</t>
        </is>
      </c>
      <c r="F1664" t="n">
        <v>19.66</v>
      </c>
      <c r="G1664" t="n">
        <v>23.2</v>
      </c>
      <c r="H1664">
        <f>הגדרות!B7</f>
        <v/>
      </c>
      <c r="I1664">
        <f>F1664*(1-H1664/100)*1.18</f>
        <v/>
      </c>
      <c r="J1664">
        <f>הגדרות!C7</f>
        <v/>
      </c>
      <c r="K1664">
        <f>הגדרות!D7</f>
        <v/>
      </c>
      <c r="L1664">
        <f>I1664*(1+J1664/100)+K1664</f>
        <v/>
      </c>
    </row>
    <row r="1665">
      <c r="A1665" t="inlineStr">
        <is>
          <t>מדי-מרקט</t>
        </is>
      </c>
      <c r="B1665" t="inlineStr">
        <is>
          <t>Lantus 100Iu/Ml Vial 10Ml</t>
        </is>
      </c>
      <c r="C1665" t="inlineStr">
        <is>
          <t>תרופות</t>
        </is>
      </c>
      <c r="D1665" t="inlineStr">
        <is>
          <t>64774</t>
        </is>
      </c>
      <c r="E1665" t="inlineStr">
        <is>
          <t>2026-06</t>
        </is>
      </c>
      <c r="F1665" t="n">
        <v>177.97</v>
      </c>
      <c r="G1665" t="n">
        <v>210</v>
      </c>
      <c r="H1665">
        <f>הגדרות!B7</f>
        <v/>
      </c>
      <c r="I1665">
        <f>F1665*(1-H1665/100)*1.18</f>
        <v/>
      </c>
      <c r="J1665">
        <f>הגדרות!C7</f>
        <v/>
      </c>
      <c r="K1665">
        <f>הגדרות!D7</f>
        <v/>
      </c>
      <c r="L1665">
        <f>I1665*(1+J1665/100)+K1665</f>
        <v/>
      </c>
    </row>
    <row r="1666">
      <c r="A1666" t="inlineStr">
        <is>
          <t>מדי-מרקט</t>
        </is>
      </c>
      <c r="B1666" t="inlineStr">
        <is>
          <t>Laxadin 30 Tabs לקסדין 30 טבליות</t>
        </is>
      </c>
      <c r="C1666" t="inlineStr">
        <is>
          <t>תרופות</t>
        </is>
      </c>
      <c r="D1666" t="inlineStr">
        <is>
          <t>41020</t>
        </is>
      </c>
      <c r="E1666" t="inlineStr">
        <is>
          <t>2026-06</t>
        </is>
      </c>
      <c r="F1666" t="n">
        <v>16.61</v>
      </c>
      <c r="G1666" t="n">
        <v>19.6</v>
      </c>
      <c r="H1666">
        <f>הגדרות!B7</f>
        <v/>
      </c>
      <c r="I1666">
        <f>F1666*(1-H1666/100)*1.18</f>
        <v/>
      </c>
      <c r="J1666">
        <f>הגדרות!C7</f>
        <v/>
      </c>
      <c r="K1666">
        <f>הגדרות!D7</f>
        <v/>
      </c>
      <c r="L1666">
        <f>I1666*(1+J1666/100)+K1666</f>
        <v/>
      </c>
    </row>
    <row r="1667">
      <c r="A1667" t="inlineStr">
        <is>
          <t>מדי-מרקט</t>
        </is>
      </c>
      <c r="B1667" t="inlineStr">
        <is>
          <t>Laxavet 40g Paste</t>
        </is>
      </c>
      <c r="C1667" t="inlineStr">
        <is>
          <t>29ג' וטרינרי</t>
        </is>
      </c>
      <c r="D1667" t="inlineStr">
        <is>
          <t>404006</t>
        </is>
      </c>
      <c r="E1667" t="inlineStr">
        <is>
          <t>2026-06</t>
        </is>
      </c>
      <c r="F1667" t="n">
        <v>16.1</v>
      </c>
      <c r="G1667" t="n">
        <v>19</v>
      </c>
      <c r="H1667">
        <f>הגדרות!B7</f>
        <v/>
      </c>
      <c r="I1667">
        <f>F1667*(1-H1667/100)*1.18</f>
        <v/>
      </c>
      <c r="J1667">
        <f>הגדרות!C7</f>
        <v/>
      </c>
      <c r="K1667">
        <f>הגדרות!D7</f>
        <v/>
      </c>
      <c r="L1667">
        <f>I1667*(1+J1667/100)+K1667</f>
        <v/>
      </c>
    </row>
    <row r="1668">
      <c r="A1668" t="inlineStr">
        <is>
          <t>מדי-מרקט</t>
        </is>
      </c>
      <c r="B1668" t="inlineStr">
        <is>
          <t>LENVIMA 10MG 30Caps</t>
        </is>
      </c>
      <c r="C1668" t="inlineStr">
        <is>
          <t>תרופות</t>
        </is>
      </c>
      <c r="D1668" t="inlineStr">
        <is>
          <t>147902</t>
        </is>
      </c>
      <c r="E1668" t="inlineStr">
        <is>
          <t>2026-06</t>
        </is>
      </c>
      <c r="F1668" t="n">
        <v>5920.42</v>
      </c>
      <c r="G1668" t="n">
        <v>6986.1</v>
      </c>
      <c r="H1668">
        <f>הגדרות!B7</f>
        <v/>
      </c>
      <c r="I1668">
        <f>F1668*(1-H1668/100)*1.18</f>
        <v/>
      </c>
      <c r="J1668">
        <f>הגדרות!C7</f>
        <v/>
      </c>
      <c r="K1668">
        <f>הגדרות!D7</f>
        <v/>
      </c>
      <c r="L1668">
        <f>I1668*(1+J1668/100)+K1668</f>
        <v/>
      </c>
    </row>
    <row r="1669">
      <c r="A1669" t="inlineStr">
        <is>
          <t>מדי-מרקט</t>
        </is>
      </c>
      <c r="B1669" t="inlineStr">
        <is>
          <t>LENVIMA 4MG 30Caps</t>
        </is>
      </c>
      <c r="C1669" t="inlineStr">
        <is>
          <t>תרופות</t>
        </is>
      </c>
      <c r="D1669" t="inlineStr">
        <is>
          <t>582004</t>
        </is>
      </c>
      <c r="E1669" t="inlineStr">
        <is>
          <t>2026-06</t>
        </is>
      </c>
      <c r="F1669" t="n">
        <v>6810.93</v>
      </c>
      <c r="G1669" t="n">
        <v>8036.9</v>
      </c>
      <c r="H1669">
        <f>הגדרות!B7</f>
        <v/>
      </c>
      <c r="I1669">
        <f>F1669*(1-H1669/100)*1.18</f>
        <v/>
      </c>
      <c r="J1669">
        <f>הגדרות!C7</f>
        <v/>
      </c>
      <c r="K1669">
        <f>הגדרות!D7</f>
        <v/>
      </c>
      <c r="L1669">
        <f>I1669*(1+J1669/100)+K1669</f>
        <v/>
      </c>
    </row>
    <row r="1670">
      <c r="A1670" t="inlineStr">
        <is>
          <t>מדי-מרקט</t>
        </is>
      </c>
      <c r="B1670" t="inlineStr">
        <is>
          <t>Leponex 25 Mg * 50 Tab</t>
        </is>
      </c>
      <c r="C1670" t="inlineStr">
        <is>
          <t>תרופות</t>
        </is>
      </c>
      <c r="D1670" t="inlineStr">
        <is>
          <t>23380</t>
        </is>
      </c>
      <c r="E1670" t="inlineStr">
        <is>
          <t>2026-06</t>
        </is>
      </c>
      <c r="F1670" t="n">
        <v>18.56</v>
      </c>
      <c r="G1670" t="n">
        <v>21.9</v>
      </c>
      <c r="H1670">
        <f>הגדרות!B7</f>
        <v/>
      </c>
      <c r="I1670">
        <f>F1670*(1-H1670/100)*1.18</f>
        <v/>
      </c>
      <c r="J1670">
        <f>הגדרות!C7</f>
        <v/>
      </c>
      <c r="K1670">
        <f>הגדרות!D7</f>
        <v/>
      </c>
      <c r="L1670">
        <f>I1670*(1+J1670/100)+K1670</f>
        <v/>
      </c>
    </row>
    <row r="1671">
      <c r="A1671" t="inlineStr">
        <is>
          <t>מדי-מרקט</t>
        </is>
      </c>
      <c r="B1671" t="inlineStr">
        <is>
          <t>Letrozole Teva 2.5Mg 3X10Tbl</t>
        </is>
      </c>
      <c r="C1671" t="inlineStr">
        <is>
          <t>תרופות</t>
        </is>
      </c>
      <c r="D1671" t="inlineStr">
        <is>
          <t>3L425253</t>
        </is>
      </c>
      <c r="E1671" t="inlineStr">
        <is>
          <t>2026-06</t>
        </is>
      </c>
      <c r="F1671" t="n">
        <v>48.81</v>
      </c>
      <c r="G1671" t="n">
        <v>57.6</v>
      </c>
      <c r="H1671">
        <f>הגדרות!B7</f>
        <v/>
      </c>
      <c r="I1671">
        <f>F1671*(1-H1671/100)*1.18</f>
        <v/>
      </c>
      <c r="J1671">
        <f>הגדרות!C7</f>
        <v/>
      </c>
      <c r="K1671">
        <f>הגדרות!D7</f>
        <v/>
      </c>
      <c r="L1671">
        <f>I1671*(1+J1671/100)+K1671</f>
        <v/>
      </c>
    </row>
    <row r="1672">
      <c r="A1672" t="inlineStr">
        <is>
          <t>מדי-מרקט</t>
        </is>
      </c>
      <c r="B1672" t="inlineStr">
        <is>
          <t>LEUKINE (Sargramostim ) 250 mcg vial*5 VIALS</t>
        </is>
      </c>
      <c r="C1672" t="inlineStr">
        <is>
          <t>29 יבוא תרופות הומניות חו"ל</t>
        </is>
      </c>
      <c r="D1672" t="inlineStr">
        <is>
          <t>71837-5843-05</t>
        </is>
      </c>
      <c r="E1672" t="inlineStr">
        <is>
          <t>2026-06</t>
        </is>
      </c>
      <c r="F1672" t="n">
        <v>7665.25</v>
      </c>
      <c r="G1672" t="n">
        <v>9045</v>
      </c>
      <c r="H1672">
        <f>הגדרות!B7</f>
        <v/>
      </c>
      <c r="I1672">
        <f>F1672*(1-H1672/100)*1.18</f>
        <v/>
      </c>
      <c r="J1672">
        <f>הגדרות!C7</f>
        <v/>
      </c>
      <c r="K1672">
        <f>הגדרות!D7</f>
        <v/>
      </c>
      <c r="L1672">
        <f>I1672*(1+J1672/100)+K1672</f>
        <v/>
      </c>
    </row>
    <row r="1673">
      <c r="A1673" t="inlineStr">
        <is>
          <t>מדי-מרקט</t>
        </is>
      </c>
      <c r="B1673" t="inlineStr">
        <is>
          <t>Leunase (L-asparaginase)10,000K.U Injection vial</t>
        </is>
      </c>
      <c r="C1673" t="inlineStr">
        <is>
          <t>29 יבוא תרופות הומניות חו"ל</t>
        </is>
      </c>
      <c r="D1673" t="inlineStr">
        <is>
          <t>256859</t>
        </is>
      </c>
      <c r="E1673" t="inlineStr">
        <is>
          <t>2026-06</t>
        </is>
      </c>
      <c r="F1673" t="n">
        <v>505.93</v>
      </c>
      <c r="G1673" t="n">
        <v>597</v>
      </c>
      <c r="H1673">
        <f>הגדרות!B7</f>
        <v/>
      </c>
      <c r="I1673">
        <f>F1673*(1-H1673/100)*1.18</f>
        <v/>
      </c>
      <c r="J1673">
        <f>הגדרות!C7</f>
        <v/>
      </c>
      <c r="K1673">
        <f>הגדרות!D7</f>
        <v/>
      </c>
      <c r="L1673">
        <f>I1673*(1+J1673/100)+K1673</f>
        <v/>
      </c>
    </row>
    <row r="1674">
      <c r="A1674" t="inlineStr">
        <is>
          <t>מדי-מרקט</t>
        </is>
      </c>
      <c r="B1674" t="inlineStr">
        <is>
          <t>Levebon 100 Mg/Ml 5 Ml X 10 Vials(Il)</t>
        </is>
      </c>
      <c r="C1674" t="inlineStr">
        <is>
          <t>תרופות רשומות- מדי מרקט</t>
        </is>
      </c>
      <c r="D1674" t="inlineStr">
        <is>
          <t>3985785</t>
        </is>
      </c>
      <c r="E1674" t="inlineStr">
        <is>
          <t>2026-06</t>
        </is>
      </c>
      <c r="F1674" t="n">
        <v>237.29</v>
      </c>
      <c r="G1674" t="n">
        <v>280</v>
      </c>
      <c r="H1674">
        <f>הגדרות!B7</f>
        <v/>
      </c>
      <c r="I1674">
        <f>F1674*(1-H1674/100)*1.18</f>
        <v/>
      </c>
      <c r="J1674">
        <f>הגדרות!C7</f>
        <v/>
      </c>
      <c r="K1674">
        <f>הגדרות!D7</f>
        <v/>
      </c>
      <c r="L1674">
        <f>I1674*(1+J1674/100)+K1674</f>
        <v/>
      </c>
    </row>
    <row r="1675">
      <c r="A1675" t="inlineStr">
        <is>
          <t>מדי-מרקט</t>
        </is>
      </c>
      <c r="B1675" t="inlineStr">
        <is>
          <t>Levetrim 250 Mg 60 Tabs</t>
        </is>
      </c>
      <c r="C1675" t="inlineStr">
        <is>
          <t>תרופות</t>
        </is>
      </c>
      <c r="D1675" t="inlineStr">
        <is>
          <t>87542</t>
        </is>
      </c>
      <c r="E1675" t="inlineStr">
        <is>
          <t>2026-06</t>
        </is>
      </c>
      <c r="F1675" t="n">
        <v>211.86</v>
      </c>
      <c r="G1675" t="n">
        <v>250</v>
      </c>
      <c r="H1675">
        <f>הגדרות!B7</f>
        <v/>
      </c>
      <c r="I1675">
        <f>F1675*(1-H1675/100)*1.18</f>
        <v/>
      </c>
      <c r="J1675">
        <f>הגדרות!C7</f>
        <v/>
      </c>
      <c r="K1675">
        <f>הגדרות!D7</f>
        <v/>
      </c>
      <c r="L1675">
        <f>I1675*(1+J1675/100)+K1675</f>
        <v/>
      </c>
    </row>
    <row r="1676">
      <c r="A1676" t="inlineStr">
        <is>
          <t>מדי-מרקט</t>
        </is>
      </c>
      <c r="B1676" t="inlineStr">
        <is>
          <t>Levetrim 500 Mg 60 Tabs</t>
        </is>
      </c>
      <c r="C1676" t="inlineStr">
        <is>
          <t>תרופות</t>
        </is>
      </c>
      <c r="D1676" t="inlineStr">
        <is>
          <t>2591238</t>
        </is>
      </c>
      <c r="E1676" t="inlineStr">
        <is>
          <t>2026-06</t>
        </is>
      </c>
      <c r="F1676" t="n">
        <v>131.36</v>
      </c>
      <c r="G1676" t="n">
        <v>155</v>
      </c>
      <c r="H1676">
        <f>הגדרות!B7</f>
        <v/>
      </c>
      <c r="I1676">
        <f>F1676*(1-H1676/100)*1.18</f>
        <v/>
      </c>
      <c r="J1676">
        <f>הגדרות!C7</f>
        <v/>
      </c>
      <c r="K1676">
        <f>הגדרות!D7</f>
        <v/>
      </c>
      <c r="L1676">
        <f>I1676*(1+J1676/100)+K1676</f>
        <v/>
      </c>
    </row>
    <row r="1677">
      <c r="A1677" t="inlineStr">
        <is>
          <t>מדי-מרקט</t>
        </is>
      </c>
      <c r="B1677" t="inlineStr">
        <is>
          <t>LEVOMEPROMAZINE 25MG/1ML INJ. NOZINAN,  SINOGAN X 5 INJ</t>
        </is>
      </c>
      <c r="C1677" t="inlineStr">
        <is>
          <t>29 יבוא תרופות הומניות חו"ל</t>
        </is>
      </c>
      <c r="D1677" t="inlineStr">
        <is>
          <t>2574</t>
        </is>
      </c>
      <c r="E1677" t="inlineStr">
        <is>
          <t>2026-06</t>
        </is>
      </c>
      <c r="F1677" t="n">
        <v>65</v>
      </c>
      <c r="G1677" t="n">
        <v>76.7</v>
      </c>
      <c r="H1677">
        <f>הגדרות!B7</f>
        <v/>
      </c>
      <c r="I1677">
        <f>F1677*(1-H1677/100)*1.18</f>
        <v/>
      </c>
      <c r="J1677">
        <f>הגדרות!C7</f>
        <v/>
      </c>
      <c r="K1677">
        <f>הגדרות!D7</f>
        <v/>
      </c>
      <c r="L1677">
        <f>I1677*(1+J1677/100)+K1677</f>
        <v/>
      </c>
    </row>
    <row r="1678">
      <c r="A1678" t="inlineStr">
        <is>
          <t>מדי-מרקט</t>
        </is>
      </c>
      <c r="B1678" t="inlineStr">
        <is>
          <t>LIBEO 10MG 12X10T FUROSEMIDE 120 TAB</t>
        </is>
      </c>
      <c r="C1678" t="inlineStr">
        <is>
          <t>29ג' וטרינרי CEVA</t>
        </is>
      </c>
      <c r="D1678" t="inlineStr">
        <is>
          <t>F27610K</t>
        </is>
      </c>
      <c r="E1678" t="inlineStr">
        <is>
          <t>2026-06</t>
        </is>
      </c>
      <c r="F1678" t="n">
        <v>194.92</v>
      </c>
      <c r="G1678" t="n">
        <v>230</v>
      </c>
      <c r="H1678">
        <f>הגדרות!B7</f>
        <v/>
      </c>
      <c r="I1678">
        <f>F1678*(1-H1678/100)*1.18</f>
        <v/>
      </c>
      <c r="J1678">
        <f>הגדרות!C7</f>
        <v/>
      </c>
      <c r="K1678">
        <f>הגדרות!D7</f>
        <v/>
      </c>
      <c r="L1678">
        <f>I1678*(1+J1678/100)+K1678</f>
        <v/>
      </c>
    </row>
    <row r="1679">
      <c r="A1679" t="inlineStr">
        <is>
          <t>מדי-מרקט</t>
        </is>
      </c>
      <c r="B1679" t="inlineStr">
        <is>
          <t>LIBEO 40MG 15X8T FUROSEMIDE 120 TAB</t>
        </is>
      </c>
      <c r="C1679" t="inlineStr">
        <is>
          <t>29ג' וטרינרי CEVA</t>
        </is>
      </c>
      <c r="D1679" t="inlineStr">
        <is>
          <t>F27620I</t>
        </is>
      </c>
      <c r="E1679" t="inlineStr">
        <is>
          <t>2026-06</t>
        </is>
      </c>
      <c r="F1679" t="n">
        <v>279.66</v>
      </c>
      <c r="G1679" t="n">
        <v>330</v>
      </c>
      <c r="H1679">
        <f>הגדרות!B7</f>
        <v/>
      </c>
      <c r="I1679">
        <f>F1679*(1-H1679/100)*1.18</f>
        <v/>
      </c>
      <c r="J1679">
        <f>הגדרות!C7</f>
        <v/>
      </c>
      <c r="K1679">
        <f>הגדרות!D7</f>
        <v/>
      </c>
      <c r="L1679">
        <f>I1679*(1+J1679/100)+K1679</f>
        <v/>
      </c>
    </row>
    <row r="1680">
      <c r="A1680" t="inlineStr">
        <is>
          <t>מדי-מרקט</t>
        </is>
      </c>
      <c r="B1680" t="inlineStr">
        <is>
          <t>LICARBIUM 300MG 100T</t>
        </is>
      </c>
      <c r="C1680" t="inlineStr">
        <is>
          <t>תרופות</t>
        </is>
      </c>
      <c r="D1680" t="inlineStr">
        <is>
          <t>15232</t>
        </is>
      </c>
      <c r="E1680" t="inlineStr">
        <is>
          <t>2026-06</t>
        </is>
      </c>
      <c r="F1680" t="n">
        <v>66.44</v>
      </c>
      <c r="G1680" t="n">
        <v>78.40000000000001</v>
      </c>
      <c r="H1680">
        <f>הגדרות!B7</f>
        <v/>
      </c>
      <c r="I1680">
        <f>F1680*(1-H1680/100)*1.18</f>
        <v/>
      </c>
      <c r="J1680">
        <f>הגדרות!C7</f>
        <v/>
      </c>
      <c r="K1680">
        <f>הגדרות!D7</f>
        <v/>
      </c>
      <c r="L1680">
        <f>I1680*(1+J1680/100)+K1680</f>
        <v/>
      </c>
    </row>
    <row r="1681">
      <c r="A1681" t="inlineStr">
        <is>
          <t>מדי-מרקט</t>
        </is>
      </c>
      <c r="B1681" t="inlineStr">
        <is>
          <t>Lidocaine 1% 10 Ml X 5Amp -לידוקאין</t>
        </is>
      </c>
      <c r="C1681" t="inlineStr">
        <is>
          <t>תרופות</t>
        </is>
      </c>
      <c r="D1681" t="inlineStr">
        <is>
          <t>5470-2</t>
        </is>
      </c>
      <c r="E1681" t="inlineStr">
        <is>
          <t>2026-06</t>
        </is>
      </c>
      <c r="F1681" t="n">
        <v>9.15</v>
      </c>
      <c r="G1681" t="n">
        <v>10.8</v>
      </c>
      <c r="H1681">
        <f>הגדרות!B7</f>
        <v/>
      </c>
      <c r="I1681">
        <f>F1681*(1-H1681/100)*1.18</f>
        <v/>
      </c>
      <c r="J1681">
        <f>הגדרות!C7</f>
        <v/>
      </c>
      <c r="K1681">
        <f>הגדרות!D7</f>
        <v/>
      </c>
      <c r="L1681">
        <f>I1681*(1+J1681/100)+K1681</f>
        <v/>
      </c>
    </row>
    <row r="1682">
      <c r="A1682" t="inlineStr">
        <is>
          <t>מדי-מרקט</t>
        </is>
      </c>
      <c r="B1682" t="inlineStr">
        <is>
          <t>Lidocaine 10% 80Ml Spray</t>
        </is>
      </c>
      <c r="C1682" t="inlineStr">
        <is>
          <t>תרופות</t>
        </is>
      </c>
      <c r="D1682" t="inlineStr">
        <is>
          <t>1251</t>
        </is>
      </c>
      <c r="E1682" t="inlineStr">
        <is>
          <t>2026-06</t>
        </is>
      </c>
      <c r="F1682" t="n">
        <v>51.48</v>
      </c>
      <c r="G1682" t="n">
        <v>60.75</v>
      </c>
      <c r="H1682">
        <f>הגדרות!B7</f>
        <v/>
      </c>
      <c r="I1682">
        <f>F1682*(1-H1682/100)*1.18</f>
        <v/>
      </c>
      <c r="J1682">
        <f>הגדרות!C7</f>
        <v/>
      </c>
      <c r="K1682">
        <f>הגדרות!D7</f>
        <v/>
      </c>
      <c r="L1682">
        <f>I1682*(1+J1682/100)+K1682</f>
        <v/>
      </c>
    </row>
    <row r="1683">
      <c r="A1683" t="inlineStr">
        <is>
          <t>מדי-מרקט</t>
        </is>
      </c>
      <c r="B1683" t="inlineStr">
        <is>
          <t>LIDOCAINE 2% 10 ML X 5AMP</t>
        </is>
      </c>
      <c r="C1683" t="inlineStr">
        <is>
          <t>תרופות</t>
        </is>
      </c>
      <c r="D1683" t="inlineStr">
        <is>
          <t>5471-4</t>
        </is>
      </c>
      <c r="E1683" t="inlineStr">
        <is>
          <t>2026-06</t>
        </is>
      </c>
      <c r="F1683" t="n">
        <v>6.86</v>
      </c>
      <c r="G1683" t="n">
        <v>8.1</v>
      </c>
      <c r="H1683">
        <f>הגדרות!B7</f>
        <v/>
      </c>
      <c r="I1683">
        <f>F1683*(1-H1683/100)*1.18</f>
        <v/>
      </c>
      <c r="J1683">
        <f>הגדרות!C7</f>
        <v/>
      </c>
      <c r="K1683">
        <f>הגדרות!D7</f>
        <v/>
      </c>
      <c r="L1683">
        <f>I1683*(1+J1683/100)+K1683</f>
        <v/>
      </c>
    </row>
    <row r="1684">
      <c r="A1684" t="inlineStr">
        <is>
          <t>מדי-מרקט</t>
        </is>
      </c>
      <c r="B1684" t="inlineStr">
        <is>
          <t>Lidocaine Hcl2%&amp; Epinephrine 50 Cartridg קרפולות</t>
        </is>
      </c>
      <c r="C1684" t="inlineStr">
        <is>
          <t>תרופות</t>
        </is>
      </c>
      <c r="D1684" t="inlineStr">
        <is>
          <t>8894</t>
        </is>
      </c>
      <c r="E1684" t="inlineStr">
        <is>
          <t>2026-06</t>
        </is>
      </c>
      <c r="F1684" t="n">
        <v>109.32</v>
      </c>
      <c r="G1684" t="n">
        <v>129</v>
      </c>
      <c r="H1684">
        <f>הגדרות!B7</f>
        <v/>
      </c>
      <c r="I1684">
        <f>F1684*(1-H1684/100)*1.18</f>
        <v/>
      </c>
      <c r="J1684">
        <f>הגדרות!C7</f>
        <v/>
      </c>
      <c r="K1684">
        <f>הגדרות!D7</f>
        <v/>
      </c>
      <c r="L1684">
        <f>I1684*(1+J1684/100)+K1684</f>
        <v/>
      </c>
    </row>
    <row r="1685">
      <c r="A1685" t="inlineStr">
        <is>
          <t>מדי-מרקט</t>
        </is>
      </c>
      <c r="B1685" t="inlineStr">
        <is>
          <t>LIDOCAINE RAZ GEL 2% *30g - עזרקאין ג'ל</t>
        </is>
      </c>
      <c r="C1685" t="inlineStr">
        <is>
          <t>תרופות</t>
        </is>
      </c>
      <c r="D1685" t="inlineStr">
        <is>
          <t>1430-1</t>
        </is>
      </c>
      <c r="E1685" t="inlineStr">
        <is>
          <t>2026-06</t>
        </is>
      </c>
      <c r="F1685" t="n">
        <v>16.1</v>
      </c>
      <c r="G1685" t="n">
        <v>19</v>
      </c>
      <c r="H1685">
        <f>הגדרות!B7</f>
        <v/>
      </c>
      <c r="I1685">
        <f>F1685*(1-H1685/100)*1.18</f>
        <v/>
      </c>
      <c r="J1685">
        <f>הגדרות!C7</f>
        <v/>
      </c>
      <c r="K1685">
        <f>הגדרות!D7</f>
        <v/>
      </c>
      <c r="L1685">
        <f>I1685*(1+J1685/100)+K1685</f>
        <v/>
      </c>
    </row>
    <row r="1686">
      <c r="A1686" t="inlineStr">
        <is>
          <t>מדי-מרקט</t>
        </is>
      </c>
      <c r="B1686" t="inlineStr">
        <is>
          <t>Lipitor 10 Mg 30 Tabs  ליפיטור 10 מ"ג 30 טב</t>
        </is>
      </c>
      <c r="C1686" t="inlineStr">
        <is>
          <t>תרופות</t>
        </is>
      </c>
      <c r="D1686" t="inlineStr">
        <is>
          <t>114</t>
        </is>
      </c>
      <c r="E1686" t="inlineStr">
        <is>
          <t>2026-06</t>
        </is>
      </c>
      <c r="F1686" t="n">
        <v>16.95</v>
      </c>
      <c r="G1686" t="n">
        <v>20</v>
      </c>
      <c r="H1686">
        <f>הגדרות!B7</f>
        <v/>
      </c>
      <c r="I1686">
        <f>F1686*(1-H1686/100)*1.18</f>
        <v/>
      </c>
      <c r="J1686">
        <f>הגדרות!C7</f>
        <v/>
      </c>
      <c r="K1686">
        <f>הגדרות!D7</f>
        <v/>
      </c>
      <c r="L1686">
        <f>I1686*(1+J1686/100)+K1686</f>
        <v/>
      </c>
    </row>
    <row r="1687">
      <c r="A1687" t="inlineStr">
        <is>
          <t>מדי-מרקט</t>
        </is>
      </c>
      <c r="B1687" t="inlineStr">
        <is>
          <t>Lipofundin Mct 20% 500Ml X 10 Inj</t>
        </is>
      </c>
      <c r="C1687" t="inlineStr">
        <is>
          <t>תרופות</t>
        </is>
      </c>
      <c r="D1687" t="inlineStr">
        <is>
          <t>1402050023</t>
        </is>
      </c>
      <c r="E1687" t="inlineStr">
        <is>
          <t>2026-06</t>
        </is>
      </c>
      <c r="F1687" t="n">
        <v>114.85</v>
      </c>
      <c r="G1687" t="n">
        <v>135.52</v>
      </c>
      <c r="H1687">
        <f>הגדרות!B7</f>
        <v/>
      </c>
      <c r="I1687">
        <f>F1687*(1-H1687/100)*1.18</f>
        <v/>
      </c>
      <c r="J1687">
        <f>הגדרות!C7</f>
        <v/>
      </c>
      <c r="K1687">
        <f>הגדרות!D7</f>
        <v/>
      </c>
      <c r="L1687">
        <f>I1687*(1+J1687/100)+K1687</f>
        <v/>
      </c>
    </row>
    <row r="1688">
      <c r="A1688" t="inlineStr">
        <is>
          <t>מדי-מרקט</t>
        </is>
      </c>
      <c r="B1688" t="inlineStr">
        <is>
          <t>Litorva 10Mg X 30Tabs</t>
        </is>
      </c>
      <c r="C1688" t="inlineStr">
        <is>
          <t>תרופות</t>
        </is>
      </c>
      <c r="D1688" t="inlineStr">
        <is>
          <t>382932-1</t>
        </is>
      </c>
      <c r="E1688" t="inlineStr">
        <is>
          <t>2026-06</t>
        </is>
      </c>
      <c r="F1688" t="n">
        <v>11.95</v>
      </c>
      <c r="G1688" t="n">
        <v>14.1</v>
      </c>
      <c r="H1688">
        <f>הגדרות!B7</f>
        <v/>
      </c>
      <c r="I1688">
        <f>F1688*(1-H1688/100)*1.18</f>
        <v/>
      </c>
      <c r="J1688">
        <f>הגדרות!C7</f>
        <v/>
      </c>
      <c r="K1688">
        <f>הגדרות!D7</f>
        <v/>
      </c>
      <c r="L1688">
        <f>I1688*(1+J1688/100)+K1688</f>
        <v/>
      </c>
    </row>
    <row r="1689">
      <c r="A1689" t="inlineStr">
        <is>
          <t>מדי-מרקט</t>
        </is>
      </c>
      <c r="B1689" t="inlineStr">
        <is>
          <t>Litorva 20Mg X 30Tab</t>
        </is>
      </c>
      <c r="C1689" t="inlineStr">
        <is>
          <t>תרופות</t>
        </is>
      </c>
      <c r="D1689" t="inlineStr">
        <is>
          <t>654361</t>
        </is>
      </c>
      <c r="E1689" t="inlineStr">
        <is>
          <t>2026-06</t>
        </is>
      </c>
      <c r="F1689" t="n">
        <v>15.25</v>
      </c>
      <c r="G1689" t="n">
        <v>18</v>
      </c>
      <c r="H1689">
        <f>הגדרות!B7</f>
        <v/>
      </c>
      <c r="I1689">
        <f>F1689*(1-H1689/100)*1.18</f>
        <v/>
      </c>
      <c r="J1689">
        <f>הגדרות!C7</f>
        <v/>
      </c>
      <c r="K1689">
        <f>הגדרות!D7</f>
        <v/>
      </c>
      <c r="L1689">
        <f>I1689*(1+J1689/100)+K1689</f>
        <v/>
      </c>
    </row>
    <row r="1690">
      <c r="A1690" t="inlineStr">
        <is>
          <t>מדי-מרקט</t>
        </is>
      </c>
      <c r="B1690" t="inlineStr">
        <is>
          <t>Litorva 80Mg X 30Tab</t>
        </is>
      </c>
      <c r="C1690" t="inlineStr">
        <is>
          <t>תרופות</t>
        </is>
      </c>
      <c r="D1690" t="inlineStr">
        <is>
          <t>654364</t>
        </is>
      </c>
      <c r="E1690" t="inlineStr">
        <is>
          <t>2026-06</t>
        </is>
      </c>
      <c r="F1690" t="n">
        <v>31.78</v>
      </c>
      <c r="G1690" t="n">
        <v>37.5</v>
      </c>
      <c r="H1690">
        <f>הגדרות!B7</f>
        <v/>
      </c>
      <c r="I1690">
        <f>F1690*(1-H1690/100)*1.18</f>
        <v/>
      </c>
      <c r="J1690">
        <f>הגדרות!C7</f>
        <v/>
      </c>
      <c r="K1690">
        <f>הגדרות!D7</f>
        <v/>
      </c>
      <c r="L1690">
        <f>I1690*(1+J1690/100)+K1690</f>
        <v/>
      </c>
    </row>
    <row r="1691">
      <c r="A1691" t="inlineStr">
        <is>
          <t>מדי-מרקט</t>
        </is>
      </c>
      <c r="B1691" t="inlineStr">
        <is>
          <t>Localin Coll לוקלין טיפות עיניים 15 מ"ל</t>
        </is>
      </c>
      <c r="C1691" t="inlineStr">
        <is>
          <t>תרופות</t>
        </is>
      </c>
      <c r="D1691" t="inlineStr">
        <is>
          <t>6158</t>
        </is>
      </c>
      <c r="E1691" t="inlineStr">
        <is>
          <t>2026-06</t>
        </is>
      </c>
      <c r="F1691" t="n">
        <v>18.9</v>
      </c>
      <c r="G1691" t="n">
        <v>22.3</v>
      </c>
      <c r="H1691">
        <f>הגדרות!B7</f>
        <v/>
      </c>
      <c r="I1691">
        <f>F1691*(1-H1691/100)*1.18</f>
        <v/>
      </c>
      <c r="J1691">
        <f>הגדרות!C7</f>
        <v/>
      </c>
      <c r="K1691">
        <f>הגדרות!D7</f>
        <v/>
      </c>
      <c r="L1691">
        <f>I1691*(1+J1691/100)+K1691</f>
        <v/>
      </c>
    </row>
    <row r="1692">
      <c r="A1692" t="inlineStr">
        <is>
          <t>מדי-מרקט</t>
        </is>
      </c>
      <c r="B1692" t="inlineStr">
        <is>
          <t>Lomaira 8mg 90 tabs(29g)</t>
        </is>
      </c>
      <c r="C1692" t="inlineStr">
        <is>
          <t>29 יבוא תרופות הומניות חו"ל</t>
        </is>
      </c>
      <c r="D1692" t="inlineStr">
        <is>
          <t>10702-0001-09</t>
        </is>
      </c>
      <c r="E1692" t="inlineStr">
        <is>
          <t>2026-06</t>
        </is>
      </c>
      <c r="F1692" t="n">
        <v>414.41</v>
      </c>
      <c r="G1692" t="n">
        <v>489</v>
      </c>
      <c r="H1692">
        <f>הגדרות!B7</f>
        <v/>
      </c>
      <c r="I1692">
        <f>F1692*(1-H1692/100)*1.18</f>
        <v/>
      </c>
      <c r="J1692">
        <f>הגדרות!C7</f>
        <v/>
      </c>
      <c r="K1692">
        <f>הגדרות!D7</f>
        <v/>
      </c>
      <c r="L1692">
        <f>I1692*(1+J1692/100)+K1692</f>
        <v/>
      </c>
    </row>
    <row r="1693">
      <c r="A1693" t="inlineStr">
        <is>
          <t>מדי-מרקט</t>
        </is>
      </c>
      <c r="B1693" t="inlineStr">
        <is>
          <t>Loratadine 10Mg 20Tab לוראסטים 10 מג 20 X</t>
        </is>
      </c>
      <c r="C1693" t="inlineStr">
        <is>
          <t>תרופות</t>
        </is>
      </c>
      <c r="D1693" t="inlineStr">
        <is>
          <t>32699</t>
        </is>
      </c>
      <c r="E1693" t="inlineStr">
        <is>
          <t>2026-06</t>
        </is>
      </c>
      <c r="F1693" t="n">
        <v>28.81</v>
      </c>
      <c r="G1693" t="n">
        <v>34</v>
      </c>
      <c r="H1693">
        <f>הגדרות!B7</f>
        <v/>
      </c>
      <c r="I1693">
        <f>F1693*(1-H1693/100)*1.18</f>
        <v/>
      </c>
      <c r="J1693">
        <f>הגדרות!C7</f>
        <v/>
      </c>
      <c r="K1693">
        <f>הגדרות!D7</f>
        <v/>
      </c>
      <c r="L1693">
        <f>I1693*(1+J1693/100)+K1693</f>
        <v/>
      </c>
    </row>
    <row r="1694">
      <c r="A1694" t="inlineStr">
        <is>
          <t>מדי-מרקט</t>
        </is>
      </c>
      <c r="B1694" t="inlineStr">
        <is>
          <t>Lorivan 1Mg X 20Tabs</t>
        </is>
      </c>
      <c r="C1694" t="inlineStr">
        <is>
          <t>תרופות</t>
        </is>
      </c>
      <c r="D1694" t="inlineStr">
        <is>
          <t>100124587</t>
        </is>
      </c>
      <c r="E1694" t="inlineStr">
        <is>
          <t>2026-06</t>
        </is>
      </c>
      <c r="F1694" t="n">
        <v>3.81</v>
      </c>
      <c r="G1694" t="n">
        <v>4.5</v>
      </c>
      <c r="H1694">
        <f>הגדרות!B7</f>
        <v/>
      </c>
      <c r="I1694">
        <f>F1694*(1-H1694/100)*1.18</f>
        <v/>
      </c>
      <c r="J1694">
        <f>הגדרות!C7</f>
        <v/>
      </c>
      <c r="K1694">
        <f>הגדרות!D7</f>
        <v/>
      </c>
      <c r="L1694">
        <f>I1694*(1+J1694/100)+K1694</f>
        <v/>
      </c>
    </row>
    <row r="1695">
      <c r="A1695" t="inlineStr">
        <is>
          <t>מדי-מרקט</t>
        </is>
      </c>
      <c r="B1695" t="inlineStr">
        <is>
          <t>Lormyx 200Mg X 12 F.C Tab</t>
        </is>
      </c>
      <c r="C1695" t="inlineStr">
        <is>
          <t>תרופות</t>
        </is>
      </c>
      <c r="D1695" t="inlineStr">
        <is>
          <t>16358-1</t>
        </is>
      </c>
      <c r="E1695" t="inlineStr">
        <is>
          <t>2026-06</t>
        </is>
      </c>
      <c r="F1695" t="n">
        <v>65.25</v>
      </c>
      <c r="G1695" t="n">
        <v>77</v>
      </c>
      <c r="H1695">
        <f>הגדרות!B7</f>
        <v/>
      </c>
      <c r="I1695">
        <f>F1695*(1-H1695/100)*1.18</f>
        <v/>
      </c>
      <c r="J1695">
        <f>הגדרות!C7</f>
        <v/>
      </c>
      <c r="K1695">
        <f>הגדרות!D7</f>
        <v/>
      </c>
      <c r="L1695">
        <f>I1695*(1+J1695/100)+K1695</f>
        <v/>
      </c>
    </row>
    <row r="1696">
      <c r="A1696" t="inlineStr">
        <is>
          <t>מדי-מרקט</t>
        </is>
      </c>
      <c r="B1696" t="inlineStr">
        <is>
          <t>Losardex 12.5Mg X 30Tab</t>
        </is>
      </c>
      <c r="C1696" t="inlineStr">
        <is>
          <t>תרופות</t>
        </is>
      </c>
      <c r="D1696" t="inlineStr">
        <is>
          <t>12399</t>
        </is>
      </c>
      <c r="E1696" t="inlineStr">
        <is>
          <t>2026-06</t>
        </is>
      </c>
      <c r="F1696" t="n">
        <v>10.76</v>
      </c>
      <c r="G1696" t="n">
        <v>12.7</v>
      </c>
      <c r="H1696">
        <f>הגדרות!B7</f>
        <v/>
      </c>
      <c r="I1696">
        <f>F1696*(1-H1696/100)*1.18</f>
        <v/>
      </c>
      <c r="J1696">
        <f>הגדרות!C7</f>
        <v/>
      </c>
      <c r="K1696">
        <f>הגדרות!D7</f>
        <v/>
      </c>
      <c r="L1696">
        <f>I1696*(1+J1696/100)+K1696</f>
        <v/>
      </c>
    </row>
    <row r="1697">
      <c r="A1697" t="inlineStr">
        <is>
          <t>מדי-מרקט</t>
        </is>
      </c>
      <c r="B1697" t="inlineStr">
        <is>
          <t>Losardex 50Mg X 30Tab</t>
        </is>
      </c>
      <c r="C1697" t="inlineStr">
        <is>
          <t>תרופות</t>
        </is>
      </c>
      <c r="D1697" t="inlineStr">
        <is>
          <t>3l750030</t>
        </is>
      </c>
      <c r="E1697" t="inlineStr">
        <is>
          <t>2026-06</t>
        </is>
      </c>
      <c r="F1697" t="n">
        <v>12.54</v>
      </c>
      <c r="G1697" t="n">
        <v>14.8</v>
      </c>
      <c r="H1697">
        <f>הגדרות!B7</f>
        <v/>
      </c>
      <c r="I1697">
        <f>F1697*(1-H1697/100)*1.18</f>
        <v/>
      </c>
      <c r="J1697">
        <f>הגדרות!C7</f>
        <v/>
      </c>
      <c r="K1697">
        <f>הגדרות!D7</f>
        <v/>
      </c>
      <c r="L1697">
        <f>I1697*(1+J1697/100)+K1697</f>
        <v/>
      </c>
    </row>
    <row r="1698">
      <c r="A1698" t="inlineStr">
        <is>
          <t>מדי-מרקט</t>
        </is>
      </c>
      <c r="B1698" t="inlineStr">
        <is>
          <t>Lotan 50Gm X 30Tab</t>
        </is>
      </c>
      <c r="C1698" t="inlineStr">
        <is>
          <t>תרופות</t>
        </is>
      </c>
      <c r="D1698" t="inlineStr">
        <is>
          <t>36953</t>
        </is>
      </c>
      <c r="E1698" t="inlineStr">
        <is>
          <t>2026-06</t>
        </is>
      </c>
      <c r="F1698" t="n">
        <v>12.81</v>
      </c>
      <c r="G1698" t="n">
        <v>15.12</v>
      </c>
      <c r="H1698">
        <f>הגדרות!B7</f>
        <v/>
      </c>
      <c r="I1698">
        <f>F1698*(1-H1698/100)*1.18</f>
        <v/>
      </c>
      <c r="J1698">
        <f>הגדרות!C7</f>
        <v/>
      </c>
      <c r="K1698">
        <f>הגדרות!D7</f>
        <v/>
      </c>
      <c r="L1698">
        <f>I1698*(1+J1698/100)+K1698</f>
        <v/>
      </c>
    </row>
    <row r="1699">
      <c r="A1699" t="inlineStr">
        <is>
          <t>מדי-מרקט</t>
        </is>
      </c>
      <c r="B1699" t="inlineStr">
        <is>
          <t>LOZAPINE /Leponex 100Mg X 50Tab</t>
        </is>
      </c>
      <c r="C1699" t="inlineStr">
        <is>
          <t>תרופות</t>
        </is>
      </c>
      <c r="D1699" t="inlineStr">
        <is>
          <t>18967</t>
        </is>
      </c>
      <c r="E1699" t="inlineStr">
        <is>
          <t>2026-06</t>
        </is>
      </c>
      <c r="F1699" t="n">
        <v>70.51000000000001</v>
      </c>
      <c r="G1699" t="n">
        <v>83.2</v>
      </c>
      <c r="H1699">
        <f>הגדרות!B7</f>
        <v/>
      </c>
      <c r="I1699">
        <f>F1699*(1-H1699/100)*1.18</f>
        <v/>
      </c>
      <c r="J1699">
        <f>הגדרות!C7</f>
        <v/>
      </c>
      <c r="K1699">
        <f>הגדרות!D7</f>
        <v/>
      </c>
      <c r="L1699">
        <f>I1699*(1+J1699/100)+K1699</f>
        <v/>
      </c>
    </row>
    <row r="1700">
      <c r="A1700" t="inlineStr">
        <is>
          <t>מדי-מרקט</t>
        </is>
      </c>
      <c r="B1700" t="inlineStr">
        <is>
          <t>Lubricating Jelly 113G</t>
        </is>
      </c>
      <c r="C1700" t="inlineStr">
        <is>
          <t>תרופות</t>
        </is>
      </c>
      <c r="D1700" t="inlineStr">
        <is>
          <t>1848000745</t>
        </is>
      </c>
      <c r="E1700" t="inlineStr">
        <is>
          <t>2026-06</t>
        </is>
      </c>
      <c r="F1700" t="n">
        <v>8.140000000000001</v>
      </c>
      <c r="G1700" t="n">
        <v>9.6</v>
      </c>
      <c r="H1700">
        <f>הגדרות!B7</f>
        <v/>
      </c>
      <c r="I1700">
        <f>F1700*(1-H1700/100)*1.18</f>
        <v/>
      </c>
      <c r="J1700">
        <f>הגדרות!C7</f>
        <v/>
      </c>
      <c r="K1700">
        <f>הגדרות!D7</f>
        <v/>
      </c>
      <c r="L1700">
        <f>I1700*(1+J1700/100)+K1700</f>
        <v/>
      </c>
    </row>
    <row r="1701">
      <c r="A1701" t="inlineStr">
        <is>
          <t>מדי-מרקט</t>
        </is>
      </c>
      <c r="B1701" t="inlineStr">
        <is>
          <t>LUCENTIS 0.5MG 0.05ML PFS</t>
        </is>
      </c>
      <c r="C1701" t="inlineStr">
        <is>
          <t>תרופות</t>
        </is>
      </c>
      <c r="D1701" t="inlineStr">
        <is>
          <t>12561</t>
        </is>
      </c>
      <c r="E1701" t="inlineStr">
        <is>
          <t>2026-06</t>
        </is>
      </c>
      <c r="F1701" t="n">
        <v>3020.5</v>
      </c>
      <c r="G1701" t="n">
        <v>3564.19</v>
      </c>
      <c r="H1701">
        <f>הגדרות!B7</f>
        <v/>
      </c>
      <c r="I1701">
        <f>F1701*(1-H1701/100)*1.18</f>
        <v/>
      </c>
      <c r="J1701">
        <f>הגדרות!C7</f>
        <v/>
      </c>
      <c r="K1701">
        <f>הגדרות!D7</f>
        <v/>
      </c>
      <c r="L1701">
        <f>I1701*(1+J1701/100)+K1701</f>
        <v/>
      </c>
    </row>
    <row r="1702">
      <c r="A1702" t="inlineStr">
        <is>
          <t>מדי-מרקט</t>
        </is>
      </c>
      <c r="B1702" t="inlineStr">
        <is>
          <t>LUER ADAPTER 100/sp -מחט לואקוטיינר ח.פ 1.5*21 כחול</t>
        </is>
      </c>
      <c r="C1702" t="inlineStr">
        <is>
          <t>מזרקים,מחטים,ונפלונים,סקלפלים</t>
        </is>
      </c>
      <c r="D1702" t="inlineStr">
        <is>
          <t>BD367300</t>
        </is>
      </c>
      <c r="E1702" t="inlineStr">
        <is>
          <t>2026-06</t>
        </is>
      </c>
      <c r="F1702" t="n">
        <v>55.08</v>
      </c>
      <c r="G1702" t="n">
        <v>65</v>
      </c>
      <c r="H1702">
        <f>הגדרות!B7</f>
        <v/>
      </c>
      <c r="I1702">
        <f>F1702*(1-H1702/100)*1.18</f>
        <v/>
      </c>
      <c r="J1702">
        <f>הגדרות!C7</f>
        <v/>
      </c>
      <c r="K1702">
        <f>הגדרות!D7</f>
        <v/>
      </c>
      <c r="L1702">
        <f>I1702*(1+J1702/100)+K1702</f>
        <v/>
      </c>
    </row>
    <row r="1703">
      <c r="A1703" t="inlineStr">
        <is>
          <t>מדי-מרקט</t>
        </is>
      </c>
      <c r="B1703" t="inlineStr">
        <is>
          <t>Lustral 50Mg X 28Tabs</t>
        </is>
      </c>
      <c r="C1703" t="inlineStr">
        <is>
          <t>תרופות</t>
        </is>
      </c>
      <c r="D1703" t="inlineStr">
        <is>
          <t>123755</t>
        </is>
      </c>
      <c r="E1703" t="inlineStr">
        <is>
          <t>2026-06</t>
        </is>
      </c>
      <c r="F1703" t="n">
        <v>18.64</v>
      </c>
      <c r="G1703" t="n">
        <v>22</v>
      </c>
      <c r="H1703">
        <f>הגדרות!B7</f>
        <v/>
      </c>
      <c r="I1703">
        <f>F1703*(1-H1703/100)*1.18</f>
        <v/>
      </c>
      <c r="J1703">
        <f>הגדרות!C7</f>
        <v/>
      </c>
      <c r="K1703">
        <f>הגדרות!D7</f>
        <v/>
      </c>
      <c r="L1703">
        <f>I1703*(1+J1703/100)+K1703</f>
        <v/>
      </c>
    </row>
    <row r="1704">
      <c r="A1704" t="inlineStr">
        <is>
          <t>מדי-מרקט</t>
        </is>
      </c>
      <c r="B1704" t="inlineStr">
        <is>
          <t>Lyclear 30Gr Cream</t>
        </is>
      </c>
      <c r="C1704" t="inlineStr">
        <is>
          <t>תרופות</t>
        </is>
      </c>
      <c r="D1704" t="inlineStr">
        <is>
          <t>50312</t>
        </is>
      </c>
      <c r="E1704" t="inlineStr">
        <is>
          <t>2026-06</t>
        </is>
      </c>
      <c r="F1704" t="n">
        <v>44.49</v>
      </c>
      <c r="G1704" t="n">
        <v>52.5</v>
      </c>
      <c r="H1704">
        <f>הגדרות!B7</f>
        <v/>
      </c>
      <c r="I1704">
        <f>F1704*(1-H1704/100)*1.18</f>
        <v/>
      </c>
      <c r="J1704">
        <f>הגדרות!C7</f>
        <v/>
      </c>
      <c r="K1704">
        <f>הגדרות!D7</f>
        <v/>
      </c>
      <c r="L1704">
        <f>I1704*(1+J1704/100)+K1704</f>
        <v/>
      </c>
    </row>
    <row r="1705">
      <c r="A1705" t="inlineStr">
        <is>
          <t>מדי-מרקט</t>
        </is>
      </c>
      <c r="B1705" t="inlineStr">
        <is>
          <t>Lynparza 150mg 56tab</t>
        </is>
      </c>
      <c r="C1705" t="inlineStr">
        <is>
          <t>תרופות</t>
        </is>
      </c>
      <c r="D1705" t="inlineStr">
        <is>
          <t>369633</t>
        </is>
      </c>
      <c r="E1705" t="inlineStr">
        <is>
          <t>2026-06</t>
        </is>
      </c>
      <c r="F1705" t="n">
        <v>9063.559999999999</v>
      </c>
      <c r="G1705" t="n">
        <v>10695</v>
      </c>
      <c r="H1705">
        <f>הגדרות!B7</f>
        <v/>
      </c>
      <c r="I1705">
        <f>F1705*(1-H1705/100)*1.18</f>
        <v/>
      </c>
      <c r="J1705">
        <f>הגדרות!C7</f>
        <v/>
      </c>
      <c r="K1705">
        <f>הגדרות!D7</f>
        <v/>
      </c>
      <c r="L1705">
        <f>I1705*(1+J1705/100)+K1705</f>
        <v/>
      </c>
    </row>
    <row r="1706">
      <c r="A1706" t="inlineStr">
        <is>
          <t>מדי-מרקט</t>
        </is>
      </c>
      <c r="B1706" t="inlineStr">
        <is>
          <t>Lyrica 150Mg X 56 Caps</t>
        </is>
      </c>
      <c r="C1706" t="inlineStr">
        <is>
          <t>תרופות</t>
        </is>
      </c>
      <c r="D1706" t="inlineStr">
        <is>
          <t>12339</t>
        </is>
      </c>
      <c r="E1706" t="inlineStr">
        <is>
          <t>2026-06</t>
        </is>
      </c>
      <c r="F1706" t="n">
        <v>127.12</v>
      </c>
      <c r="G1706" t="n">
        <v>150</v>
      </c>
      <c r="H1706">
        <f>הגדרות!B7</f>
        <v/>
      </c>
      <c r="I1706">
        <f>F1706*(1-H1706/100)*1.18</f>
        <v/>
      </c>
      <c r="J1706">
        <f>הגדרות!C7</f>
        <v/>
      </c>
      <c r="K1706">
        <f>הגדרות!D7</f>
        <v/>
      </c>
      <c r="L1706">
        <f>I1706*(1+J1706/100)+K1706</f>
        <v/>
      </c>
    </row>
    <row r="1707">
      <c r="A1707" t="inlineStr">
        <is>
          <t>מדי-מרקט</t>
        </is>
      </c>
      <c r="B1707" t="inlineStr">
        <is>
          <t>Lyrica 25Mg 56 Caps</t>
        </is>
      </c>
      <c r="C1707" t="inlineStr">
        <is>
          <t>תרופות</t>
        </is>
      </c>
      <c r="D1707" t="inlineStr">
        <is>
          <t>56412</t>
        </is>
      </c>
      <c r="E1707" t="inlineStr">
        <is>
          <t>2026-06</t>
        </is>
      </c>
      <c r="F1707" t="n">
        <v>30.51</v>
      </c>
      <c r="G1707" t="n">
        <v>36</v>
      </c>
      <c r="H1707">
        <f>הגדרות!B7</f>
        <v/>
      </c>
      <c r="I1707">
        <f>F1707*(1-H1707/100)*1.18</f>
        <v/>
      </c>
      <c r="J1707">
        <f>הגדרות!C7</f>
        <v/>
      </c>
      <c r="K1707">
        <f>הגדרות!D7</f>
        <v/>
      </c>
      <c r="L1707">
        <f>I1707*(1+J1707/100)+K1707</f>
        <v/>
      </c>
    </row>
    <row r="1708">
      <c r="A1708" t="inlineStr">
        <is>
          <t>מדי-מרקט</t>
        </is>
      </c>
      <c r="B1708" t="inlineStr">
        <is>
          <t>Lyrica 300Mg X 56Caps</t>
        </is>
      </c>
      <c r="C1708" t="inlineStr">
        <is>
          <t>תרופות</t>
        </is>
      </c>
      <c r="D1708" t="inlineStr">
        <is>
          <t>54613</t>
        </is>
      </c>
      <c r="E1708" t="inlineStr">
        <is>
          <t>2026-06</t>
        </is>
      </c>
      <c r="F1708" t="n">
        <v>150</v>
      </c>
      <c r="G1708" t="n">
        <v>177</v>
      </c>
      <c r="H1708">
        <f>הגדרות!B7</f>
        <v/>
      </c>
      <c r="I1708">
        <f>F1708*(1-H1708/100)*1.18</f>
        <v/>
      </c>
      <c r="J1708">
        <f>הגדרות!C7</f>
        <v/>
      </c>
      <c r="K1708">
        <f>הגדרות!D7</f>
        <v/>
      </c>
      <c r="L1708">
        <f>I1708*(1+J1708/100)+K1708</f>
        <v/>
      </c>
    </row>
    <row r="1709">
      <c r="A1709" t="inlineStr">
        <is>
          <t>מדי-מרקט</t>
        </is>
      </c>
      <c r="B1709" t="inlineStr">
        <is>
          <t>Lyrica 75Mg 56 Caps</t>
        </is>
      </c>
      <c r="C1709" t="inlineStr">
        <is>
          <t>תרופות</t>
        </is>
      </c>
      <c r="D1709" t="inlineStr">
        <is>
          <t>546541</t>
        </is>
      </c>
      <c r="E1709" t="inlineStr">
        <is>
          <t>2026-06</t>
        </is>
      </c>
      <c r="F1709" t="n">
        <v>86.44</v>
      </c>
      <c r="G1709" t="n">
        <v>102</v>
      </c>
      <c r="H1709">
        <f>הגדרות!B7</f>
        <v/>
      </c>
      <c r="I1709">
        <f>F1709*(1-H1709/100)*1.18</f>
        <v/>
      </c>
      <c r="J1709">
        <f>הגדרות!C7</f>
        <v/>
      </c>
      <c r="K1709">
        <f>הגדרות!D7</f>
        <v/>
      </c>
      <c r="L1709">
        <f>I1709*(1+J1709/100)+K1709</f>
        <v/>
      </c>
    </row>
    <row r="1710">
      <c r="A1710" t="inlineStr">
        <is>
          <t>מדי-מרקט</t>
        </is>
      </c>
      <c r="B1710" t="inlineStr">
        <is>
          <t>Lyse 100 ml למעבדת מינדריי V-3CFL BC-30</t>
        </is>
      </c>
      <c r="C1710" t="inlineStr">
        <is>
          <t>Mindray</t>
        </is>
      </c>
      <c r="D1710" t="inlineStr">
        <is>
          <t>105-019147-00</t>
        </is>
      </c>
      <c r="E1710" t="inlineStr">
        <is>
          <t>2026-06</t>
        </is>
      </c>
      <c r="F1710" t="n">
        <v>157.38</v>
      </c>
      <c r="G1710" t="n">
        <v>185.71</v>
      </c>
      <c r="H1710">
        <f>הגדרות!B7</f>
        <v/>
      </c>
      <c r="I1710">
        <f>F1710*(1-H1710/100)*1.18</f>
        <v/>
      </c>
      <c r="J1710">
        <f>הגדרות!C7</f>
        <v/>
      </c>
      <c r="K1710">
        <f>הגדרות!D7</f>
        <v/>
      </c>
      <c r="L1710">
        <f>I1710*(1+J1710/100)+K1710</f>
        <v/>
      </c>
    </row>
    <row r="1711">
      <c r="A1711" t="inlineStr">
        <is>
          <t>מדי-מרקט</t>
        </is>
      </c>
      <c r="B1711" t="inlineStr">
        <is>
          <t>Lyse 180 ml למעבדת 2800VET מינדריי V-28C</t>
        </is>
      </c>
      <c r="C1711" t="inlineStr">
        <is>
          <t>Mindray</t>
        </is>
      </c>
      <c r="D1711" t="inlineStr">
        <is>
          <t>68912</t>
        </is>
      </c>
      <c r="E1711" t="inlineStr">
        <is>
          <t>2026-06</t>
        </is>
      </c>
      <c r="F1711" t="n">
        <v>97.55</v>
      </c>
      <c r="G1711" t="n">
        <v>115.11</v>
      </c>
      <c r="H1711">
        <f>הגדרות!B7</f>
        <v/>
      </c>
      <c r="I1711">
        <f>F1711*(1-H1711/100)*1.18</f>
        <v/>
      </c>
      <c r="J1711">
        <f>הגדרות!C7</f>
        <v/>
      </c>
      <c r="K1711">
        <f>הגדרות!D7</f>
        <v/>
      </c>
      <c r="L1711">
        <f>I1711*(1+J1711/100)+K1711</f>
        <v/>
      </c>
    </row>
    <row r="1712">
      <c r="A1712" t="inlineStr">
        <is>
          <t>מדי-מרקט</t>
        </is>
      </c>
      <c r="B1712" t="inlineStr">
        <is>
          <t>Lyteers Eye Drops לייטירס תחליף דמעות 15 מ"ל</t>
        </is>
      </c>
      <c r="C1712" t="inlineStr">
        <is>
          <t>תרופות</t>
        </is>
      </c>
      <c r="D1712" t="inlineStr">
        <is>
          <t>1080</t>
        </is>
      </c>
      <c r="E1712" t="inlineStr">
        <is>
          <t>2026-06</t>
        </is>
      </c>
      <c r="F1712" t="n">
        <v>8.07</v>
      </c>
      <c r="G1712" t="n">
        <v>9.52</v>
      </c>
      <c r="H1712">
        <f>הגדרות!B7</f>
        <v/>
      </c>
      <c r="I1712">
        <f>F1712*(1-H1712/100)*1.18</f>
        <v/>
      </c>
      <c r="J1712">
        <f>הגדרות!C7</f>
        <v/>
      </c>
      <c r="K1712">
        <f>הגדרות!D7</f>
        <v/>
      </c>
      <c r="L1712">
        <f>I1712*(1+J1712/100)+K1712</f>
        <v/>
      </c>
    </row>
    <row r="1713">
      <c r="A1713" t="inlineStr">
        <is>
          <t>מדי-מרקט</t>
        </is>
      </c>
      <c r="B1713" t="inlineStr">
        <is>
          <t>LYTIC REAGENT 1L BOTTLE FOR VET ראגנט לURIT 2900</t>
        </is>
      </c>
      <c r="C1713" t="inlineStr">
        <is>
          <t>URIT</t>
        </is>
      </c>
      <c r="D1713" t="inlineStr">
        <is>
          <t>14474</t>
        </is>
      </c>
      <c r="E1713" t="inlineStr">
        <is>
          <t>2026-06</t>
        </is>
      </c>
      <c r="F1713" t="n">
        <v>288.14</v>
      </c>
      <c r="G1713" t="n">
        <v>340</v>
      </c>
      <c r="H1713">
        <f>הגדרות!B7</f>
        <v/>
      </c>
      <c r="I1713">
        <f>F1713*(1-H1713/100)*1.18</f>
        <v/>
      </c>
      <c r="J1713">
        <f>הגדרות!C7</f>
        <v/>
      </c>
      <c r="K1713">
        <f>הגדרות!D7</f>
        <v/>
      </c>
      <c r="L1713">
        <f>I1713*(1+J1713/100)+K1713</f>
        <v/>
      </c>
    </row>
    <row r="1714">
      <c r="A1714" t="inlineStr">
        <is>
          <t>מדי-מרקט</t>
        </is>
      </c>
      <c r="B1714" t="inlineStr">
        <is>
          <t>Maalox Susp: 355 Ml מאלוקס סירופ 355 מ"ל</t>
        </is>
      </c>
      <c r="C1714" t="inlineStr">
        <is>
          <t>תרופות</t>
        </is>
      </c>
      <c r="D1714" t="inlineStr">
        <is>
          <t>9772</t>
        </is>
      </c>
      <c r="E1714" t="inlineStr">
        <is>
          <t>2026-06</t>
        </is>
      </c>
      <c r="F1714" t="n">
        <v>36.78</v>
      </c>
      <c r="G1714" t="n">
        <v>43.4</v>
      </c>
      <c r="H1714">
        <f>הגדרות!B7</f>
        <v/>
      </c>
      <c r="I1714">
        <f>F1714*(1-H1714/100)*1.18</f>
        <v/>
      </c>
      <c r="J1714">
        <f>הגדרות!C7</f>
        <v/>
      </c>
      <c r="K1714">
        <f>הגדרות!D7</f>
        <v/>
      </c>
      <c r="L1714">
        <f>I1714*(1+J1714/100)+K1714</f>
        <v/>
      </c>
    </row>
    <row r="1715">
      <c r="A1715" t="inlineStr">
        <is>
          <t>מדי-מרקט</t>
        </is>
      </c>
      <c r="B1715" t="inlineStr">
        <is>
          <t>MABTHERA 100MG 10ML 2VIALS</t>
        </is>
      </c>
      <c r="C1715" t="inlineStr">
        <is>
          <t>תרופות</t>
        </is>
      </c>
      <c r="D1715" t="inlineStr">
        <is>
          <t>13543</t>
        </is>
      </c>
      <c r="E1715" t="inlineStr">
        <is>
          <t>2026-06</t>
        </is>
      </c>
      <c r="F1715" t="n">
        <v>1340.97</v>
      </c>
      <c r="G1715" t="n">
        <v>1582.34</v>
      </c>
      <c r="H1715">
        <f>הגדרות!B7</f>
        <v/>
      </c>
      <c r="I1715">
        <f>F1715*(1-H1715/100)*1.18</f>
        <v/>
      </c>
      <c r="J1715">
        <f>הגדרות!C7</f>
        <v/>
      </c>
      <c r="K1715">
        <f>הגדרות!D7</f>
        <v/>
      </c>
      <c r="L1715">
        <f>I1715*(1+J1715/100)+K1715</f>
        <v/>
      </c>
    </row>
    <row r="1716">
      <c r="A1716" t="inlineStr">
        <is>
          <t>מדי-מרקט</t>
        </is>
      </c>
      <c r="B1716" t="inlineStr">
        <is>
          <t>MABTHERA 500MG 50ML 1VIAL</t>
        </is>
      </c>
      <c r="C1716" t="inlineStr">
        <is>
          <t>תרופות</t>
        </is>
      </c>
      <c r="D1716" t="inlineStr">
        <is>
          <t>13544</t>
        </is>
      </c>
      <c r="E1716" t="inlineStr">
        <is>
          <t>2026-06</t>
        </is>
      </c>
      <c r="F1716" t="n">
        <v>3136.69</v>
      </c>
      <c r="G1716" t="n">
        <v>3701.3</v>
      </c>
      <c r="H1716">
        <f>הגדרות!B7</f>
        <v/>
      </c>
      <c r="I1716">
        <f>F1716*(1-H1716/100)*1.18</f>
        <v/>
      </c>
      <c r="J1716">
        <f>הגדרות!C7</f>
        <v/>
      </c>
      <c r="K1716">
        <f>הגדרות!D7</f>
        <v/>
      </c>
      <c r="L1716">
        <f>I1716*(1+J1716/100)+K1716</f>
        <v/>
      </c>
    </row>
    <row r="1717">
      <c r="A1717" t="inlineStr">
        <is>
          <t>מדי-מרקט</t>
        </is>
      </c>
      <c r="B1717" t="inlineStr">
        <is>
          <t>MACROBID 100MG X 100TAB</t>
        </is>
      </c>
      <c r="C1717" t="inlineStr">
        <is>
          <t>תרופות</t>
        </is>
      </c>
      <c r="D1717" t="inlineStr">
        <is>
          <t>400034</t>
        </is>
      </c>
      <c r="E1717" t="inlineStr">
        <is>
          <t>2026-06</t>
        </is>
      </c>
      <c r="F1717" t="n">
        <v>330.59</v>
      </c>
      <c r="G1717" t="n">
        <v>390.1</v>
      </c>
      <c r="H1717">
        <f>הגדרות!B7</f>
        <v/>
      </c>
      <c r="I1717">
        <f>F1717*(1-H1717/100)*1.18</f>
        <v/>
      </c>
      <c r="J1717">
        <f>הגדרות!C7</f>
        <v/>
      </c>
      <c r="K1717">
        <f>הגדרות!D7</f>
        <v/>
      </c>
      <c r="L1717">
        <f>I1717*(1+J1717/100)+K1717</f>
        <v/>
      </c>
    </row>
    <row r="1718">
      <c r="A1718" t="inlineStr">
        <is>
          <t>מדי-מרקט</t>
        </is>
      </c>
      <c r="B1718" t="inlineStr">
        <is>
          <t>Magnesium Sulphate Kalceks 50% 10Ml 10 Amp (Il)</t>
        </is>
      </c>
      <c r="C1718" t="inlineStr">
        <is>
          <t>תרופות רשומות- מדי מרקט</t>
        </is>
      </c>
      <c r="D1718" t="inlineStr">
        <is>
          <t>258548</t>
        </is>
      </c>
      <c r="E1718" t="inlineStr">
        <is>
          <t>2026-06</t>
        </is>
      </c>
      <c r="F1718" t="n">
        <v>12.81</v>
      </c>
      <c r="G1718" t="n">
        <v>15.12</v>
      </c>
      <c r="H1718">
        <f>הגדרות!B7</f>
        <v/>
      </c>
      <c r="I1718">
        <f>F1718*(1-H1718/100)*1.18</f>
        <v/>
      </c>
      <c r="J1718">
        <f>הגדרות!C7</f>
        <v/>
      </c>
      <c r="K1718">
        <f>הגדרות!D7</f>
        <v/>
      </c>
      <c r="L1718">
        <f>I1718*(1+J1718/100)+K1718</f>
        <v/>
      </c>
    </row>
    <row r="1719">
      <c r="A1719" t="inlineStr">
        <is>
          <t>מדי-מרקט</t>
        </is>
      </c>
      <c r="B1719" t="inlineStr">
        <is>
          <t>Magnox 520mg x 60cap</t>
        </is>
      </c>
      <c r="C1719" t="inlineStr">
        <is>
          <t>תרופות</t>
        </is>
      </c>
      <c r="D1719" t="inlineStr">
        <is>
          <t>86931</t>
        </is>
      </c>
      <c r="E1719" t="inlineStr">
        <is>
          <t>2026-06</t>
        </is>
      </c>
      <c r="F1719" t="n">
        <v>49.49</v>
      </c>
      <c r="G1719" t="n">
        <v>58.4</v>
      </c>
      <c r="H1719">
        <f>הגדרות!B7</f>
        <v/>
      </c>
      <c r="I1719">
        <f>F1719*(1-H1719/100)*1.18</f>
        <v/>
      </c>
      <c r="J1719">
        <f>הגדרות!C7</f>
        <v/>
      </c>
      <c r="K1719">
        <f>הגדרות!D7</f>
        <v/>
      </c>
      <c r="L1719">
        <f>I1719*(1+J1719/100)+K1719</f>
        <v/>
      </c>
    </row>
    <row r="1720">
      <c r="A1720" t="inlineStr">
        <is>
          <t>מדי-מרקט</t>
        </is>
      </c>
      <c r="B1720" t="inlineStr">
        <is>
          <t>Marbocare Flavoured 5Mg  100 Tablets</t>
        </is>
      </c>
      <c r="C1720" t="inlineStr">
        <is>
          <t>29ג' וטרינרי</t>
        </is>
      </c>
      <c r="D1720" t="inlineStr">
        <is>
          <t>40369</t>
        </is>
      </c>
      <c r="E1720" t="inlineStr">
        <is>
          <t>2026-06</t>
        </is>
      </c>
      <c r="F1720" t="n">
        <v>105.93</v>
      </c>
      <c r="G1720" t="n">
        <v>125</v>
      </c>
      <c r="H1720">
        <f>הגדרות!B7</f>
        <v/>
      </c>
      <c r="I1720">
        <f>F1720*(1-H1720/100)*1.18</f>
        <v/>
      </c>
      <c r="J1720">
        <f>הגדרות!C7</f>
        <v/>
      </c>
      <c r="K1720">
        <f>הגדרות!D7</f>
        <v/>
      </c>
      <c r="L1720">
        <f>I1720*(1+J1720/100)+K1720</f>
        <v/>
      </c>
    </row>
    <row r="1721">
      <c r="A1721" t="inlineStr">
        <is>
          <t>מדי-מרקט</t>
        </is>
      </c>
      <c r="B1721" t="inlineStr">
        <is>
          <t>Marbosyva Marbofloxacin 10% 100Ml/Ml Inj</t>
        </is>
      </c>
      <c r="C1721" t="inlineStr">
        <is>
          <t>תרופות</t>
        </is>
      </c>
      <c r="D1721" t="inlineStr">
        <is>
          <t>671</t>
        </is>
      </c>
      <c r="E1721" t="inlineStr">
        <is>
          <t>2026-06</t>
        </is>
      </c>
      <c r="F1721" t="n">
        <v>127.12</v>
      </c>
      <c r="G1721" t="n">
        <v>150</v>
      </c>
      <c r="H1721">
        <f>הגדרות!B7</f>
        <v/>
      </c>
      <c r="I1721">
        <f>F1721*(1-H1721/100)*1.18</f>
        <v/>
      </c>
      <c r="J1721">
        <f>הגדרות!C7</f>
        <v/>
      </c>
      <c r="K1721">
        <f>הגדרות!D7</f>
        <v/>
      </c>
      <c r="L1721">
        <f>I1721*(1+J1721/100)+K1721</f>
        <v/>
      </c>
    </row>
    <row r="1722">
      <c r="A1722" t="inlineStr">
        <is>
          <t>מדי-מרקט</t>
        </is>
      </c>
      <c r="B1722" t="inlineStr">
        <is>
          <t>MASK M F. USE W. RESPICHAMBER מסיכה ילד</t>
        </is>
      </c>
      <c r="C1722" t="inlineStr">
        <is>
          <t>ציוד ומכשור רפואי</t>
        </is>
      </c>
      <c r="D1722" t="inlineStr">
        <is>
          <t>3069917227</t>
        </is>
      </c>
      <c r="E1722" t="inlineStr">
        <is>
          <t>2026-06</t>
        </is>
      </c>
      <c r="F1722" t="n">
        <v>37.42</v>
      </c>
      <c r="G1722" t="n">
        <v>44.15</v>
      </c>
      <c r="H1722">
        <f>הגדרות!B7</f>
        <v/>
      </c>
      <c r="I1722">
        <f>F1722*(1-H1722/100)*1.18</f>
        <v/>
      </c>
      <c r="J1722">
        <f>הגדרות!C7</f>
        <v/>
      </c>
      <c r="K1722">
        <f>הגדרות!D7</f>
        <v/>
      </c>
      <c r="L1722">
        <f>I1722*(1+J1722/100)+K1722</f>
        <v/>
      </c>
    </row>
    <row r="1723">
      <c r="A1723" t="inlineStr">
        <is>
          <t>מדי-מרקט</t>
        </is>
      </c>
      <c r="B1723" t="inlineStr">
        <is>
          <t>Maxitrol 5Ml Ophthalmic Susp-מקסיטרול</t>
        </is>
      </c>
      <c r="C1723" t="inlineStr">
        <is>
          <t>תרופות</t>
        </is>
      </c>
      <c r="D1723" t="inlineStr">
        <is>
          <t>1573</t>
        </is>
      </c>
      <c r="E1723" t="inlineStr">
        <is>
          <t>2026-06</t>
        </is>
      </c>
      <c r="F1723" t="n">
        <v>11.61</v>
      </c>
      <c r="G1723" t="n">
        <v>13.7</v>
      </c>
      <c r="H1723">
        <f>הגדרות!B7</f>
        <v/>
      </c>
      <c r="I1723">
        <f>F1723*(1-H1723/100)*1.18</f>
        <v/>
      </c>
      <c r="J1723">
        <f>הגדרות!C7</f>
        <v/>
      </c>
      <c r="K1723">
        <f>הגדרות!D7</f>
        <v/>
      </c>
      <c r="L1723">
        <f>I1723*(1+J1723/100)+K1723</f>
        <v/>
      </c>
    </row>
    <row r="1724">
      <c r="A1724" t="inlineStr">
        <is>
          <t>מדי-מרקט</t>
        </is>
      </c>
      <c r="B1724" t="inlineStr">
        <is>
          <t>Maxitrol Oint 3.5 Gr -מקסיטרול משחה</t>
        </is>
      </c>
      <c r="C1724" t="inlineStr">
        <is>
          <t>תרופות</t>
        </is>
      </c>
      <c r="D1724" t="inlineStr">
        <is>
          <t>3710</t>
        </is>
      </c>
      <c r="E1724" t="inlineStr">
        <is>
          <t>2026-06</t>
        </is>
      </c>
      <c r="F1724" t="n">
        <v>16.95</v>
      </c>
      <c r="G1724" t="n">
        <v>20</v>
      </c>
      <c r="H1724">
        <f>הגדרות!B7</f>
        <v/>
      </c>
      <c r="I1724">
        <f>F1724*(1-H1724/100)*1.18</f>
        <v/>
      </c>
      <c r="J1724">
        <f>הגדרות!C7</f>
        <v/>
      </c>
      <c r="K1724">
        <f>הגדרות!D7</f>
        <v/>
      </c>
      <c r="L1724">
        <f>I1724*(1+J1724/100)+K1724</f>
        <v/>
      </c>
    </row>
    <row r="1725">
      <c r="A1725" t="inlineStr">
        <is>
          <t>מדי-מרקט</t>
        </is>
      </c>
      <c r="B1725" t="inlineStr">
        <is>
          <t>Medi Cidin D Ophtalmic Oint 5Ml</t>
        </is>
      </c>
      <c r="C1725" t="inlineStr">
        <is>
          <t>הכנות בית מרקחת</t>
        </is>
      </c>
      <c r="D1725" t="inlineStr">
        <is>
          <t>1462</t>
        </is>
      </c>
      <c r="E1725" t="inlineStr">
        <is>
          <t>2026-06</t>
        </is>
      </c>
      <c r="F1725" t="n">
        <v>18.64</v>
      </c>
      <c r="G1725" t="n">
        <v>22</v>
      </c>
      <c r="H1725">
        <f>הגדרות!B7</f>
        <v/>
      </c>
      <c r="I1725">
        <f>F1725*(1-H1725/100)*1.18</f>
        <v/>
      </c>
      <c r="J1725">
        <f>הגדרות!C7</f>
        <v/>
      </c>
      <c r="K1725">
        <f>הגדרות!D7</f>
        <v/>
      </c>
      <c r="L1725">
        <f>I1725*(1+J1725/100)+K1725</f>
        <v/>
      </c>
    </row>
    <row r="1726">
      <c r="A1726" t="inlineStr">
        <is>
          <t>מדי-מרקט</t>
        </is>
      </c>
      <c r="B1726" t="inlineStr">
        <is>
          <t>Medipirin 100 Mg 30 Tabs (Il)</t>
        </is>
      </c>
      <c r="C1726" t="inlineStr">
        <is>
          <t>תרופות רשומות- מדי מרקט</t>
        </is>
      </c>
      <c r="D1726" t="inlineStr">
        <is>
          <t>26589</t>
        </is>
      </c>
      <c r="E1726" t="inlineStr">
        <is>
          <t>2026-06</t>
        </is>
      </c>
      <c r="F1726" t="n">
        <v>10.04</v>
      </c>
      <c r="G1726" t="n">
        <v>11.85</v>
      </c>
      <c r="H1726">
        <f>הגדרות!B7</f>
        <v/>
      </c>
      <c r="I1726">
        <f>F1726*(1-H1726/100)*1.18</f>
        <v/>
      </c>
      <c r="J1726">
        <f>הגדרות!C7</f>
        <v/>
      </c>
      <c r="K1726">
        <f>הגדרות!D7</f>
        <v/>
      </c>
      <c r="L1726">
        <f>I1726*(1+J1726/100)+K1726</f>
        <v/>
      </c>
    </row>
    <row r="1727">
      <c r="A1727" t="inlineStr">
        <is>
          <t>מדי-מרקט</t>
        </is>
      </c>
      <c r="B1727" t="inlineStr">
        <is>
          <t>Meloxicam 0.5mg/0.1ml Transdermal Gel 1ML X 1 Syringe</t>
        </is>
      </c>
      <c r="C1727" t="inlineStr">
        <is>
          <t>הכנות בית מרקחת</t>
        </is>
      </c>
      <c r="D1727" t="inlineStr">
        <is>
          <t>346507</t>
        </is>
      </c>
      <c r="E1727" t="inlineStr">
        <is>
          <t>2026-06</t>
        </is>
      </c>
      <c r="F1727" t="n">
        <v>42.37</v>
      </c>
      <c r="G1727" t="n">
        <v>50</v>
      </c>
      <c r="H1727">
        <f>הגדרות!B7</f>
        <v/>
      </c>
      <c r="I1727">
        <f>F1727*(1-H1727/100)*1.18</f>
        <v/>
      </c>
      <c r="J1727">
        <f>הגדרות!C7</f>
        <v/>
      </c>
      <c r="K1727">
        <f>הגדרות!D7</f>
        <v/>
      </c>
      <c r="L1727">
        <f>I1727*(1+J1727/100)+K1727</f>
        <v/>
      </c>
    </row>
    <row r="1728">
      <c r="A1728" t="inlineStr">
        <is>
          <t>מדי-מרקט</t>
        </is>
      </c>
      <c r="B1728" t="inlineStr">
        <is>
          <t>Meloxicam 1 Mg 100 Tabs</t>
        </is>
      </c>
      <c r="C1728" t="inlineStr">
        <is>
          <t>הכנות בית מרקחת</t>
        </is>
      </c>
      <c r="D1728" t="inlineStr">
        <is>
          <t>57032</t>
        </is>
      </c>
      <c r="E1728" t="inlineStr">
        <is>
          <t>2026-06</t>
        </is>
      </c>
      <c r="F1728" t="n">
        <v>161.02</v>
      </c>
      <c r="G1728" t="n">
        <v>190</v>
      </c>
      <c r="H1728">
        <f>הגדרות!B7</f>
        <v/>
      </c>
      <c r="I1728">
        <f>F1728*(1-H1728/100)*1.18</f>
        <v/>
      </c>
      <c r="J1728">
        <f>הגדרות!C7</f>
        <v/>
      </c>
      <c r="K1728">
        <f>הגדרות!D7</f>
        <v/>
      </c>
      <c r="L1728">
        <f>I1728*(1+J1728/100)+K1728</f>
        <v/>
      </c>
    </row>
    <row r="1729">
      <c r="A1729" t="inlineStr">
        <is>
          <t>מדי-מרקט</t>
        </is>
      </c>
      <c r="B1729" t="inlineStr">
        <is>
          <t>Memantine Grindex 10 Mg 30 Tab (Il)</t>
        </is>
      </c>
      <c r="C1729" t="inlineStr">
        <is>
          <t>תרופות רשומות- מדי מרקט</t>
        </is>
      </c>
      <c r="D1729" t="inlineStr">
        <is>
          <t>568741</t>
        </is>
      </c>
      <c r="E1729" t="inlineStr">
        <is>
          <t>2026-06</t>
        </is>
      </c>
      <c r="F1729" t="n">
        <v>34.96</v>
      </c>
      <c r="G1729" t="n">
        <v>41.25</v>
      </c>
      <c r="H1729">
        <f>הגדרות!B7</f>
        <v/>
      </c>
      <c r="I1729">
        <f>F1729*(1-H1729/100)*1.18</f>
        <v/>
      </c>
      <c r="J1729">
        <f>הגדרות!C7</f>
        <v/>
      </c>
      <c r="K1729">
        <f>הגדרות!D7</f>
        <v/>
      </c>
      <c r="L1729">
        <f>I1729*(1+J1729/100)+K1729</f>
        <v/>
      </c>
    </row>
    <row r="1730">
      <c r="A1730" t="inlineStr">
        <is>
          <t>מדי-מרקט</t>
        </is>
      </c>
      <c r="B1730" t="inlineStr">
        <is>
          <t>Meronem Powder 1G X 10Vial</t>
        </is>
      </c>
      <c r="C1730" t="inlineStr">
        <is>
          <t>תרופות</t>
        </is>
      </c>
      <c r="D1730" t="inlineStr">
        <is>
          <t>203612</t>
        </is>
      </c>
      <c r="E1730" t="inlineStr">
        <is>
          <t>2026-06</t>
        </is>
      </c>
      <c r="F1730" t="n">
        <v>237.29</v>
      </c>
      <c r="G1730" t="n">
        <v>280</v>
      </c>
      <c r="H1730">
        <f>הגדרות!B7</f>
        <v/>
      </c>
      <c r="I1730">
        <f>F1730*(1-H1730/100)*1.18</f>
        <v/>
      </c>
      <c r="J1730">
        <f>הגדרות!C7</f>
        <v/>
      </c>
      <c r="K1730">
        <f>הגדרות!D7</f>
        <v/>
      </c>
      <c r="L1730">
        <f>I1730*(1+J1730/100)+K1730</f>
        <v/>
      </c>
    </row>
    <row r="1731">
      <c r="A1731" t="inlineStr">
        <is>
          <t>מדי-מרקט</t>
        </is>
      </c>
      <c r="B1731" t="inlineStr">
        <is>
          <t>Meronem Powder 500Mg X 10 Vial</t>
        </is>
      </c>
      <c r="C1731" t="inlineStr">
        <is>
          <t>תרופות</t>
        </is>
      </c>
      <c r="D1731" t="inlineStr">
        <is>
          <t>203687</t>
        </is>
      </c>
      <c r="E1731" t="inlineStr">
        <is>
          <t>2026-06</t>
        </is>
      </c>
      <c r="F1731" t="n">
        <v>220.34</v>
      </c>
      <c r="G1731" t="n">
        <v>260</v>
      </c>
      <c r="H1731">
        <f>הגדרות!B7</f>
        <v/>
      </c>
      <c r="I1731">
        <f>F1731*(1-H1731/100)*1.18</f>
        <v/>
      </c>
      <c r="J1731">
        <f>הגדרות!C7</f>
        <v/>
      </c>
      <c r="K1731">
        <f>הגדרות!D7</f>
        <v/>
      </c>
      <c r="L1731">
        <f>I1731*(1+J1731/100)+K1731</f>
        <v/>
      </c>
    </row>
    <row r="1732">
      <c r="A1732" t="inlineStr">
        <is>
          <t>מדי-מרקט</t>
        </is>
      </c>
      <c r="B1732" t="inlineStr">
        <is>
          <t>Metabolase Veterinary 500Ml Sol For Injection</t>
        </is>
      </c>
      <c r="C1732" t="inlineStr">
        <is>
          <t>תרופות</t>
        </is>
      </c>
      <c r="D1732" t="inlineStr">
        <is>
          <t>635325</t>
        </is>
      </c>
      <c r="E1732" t="inlineStr">
        <is>
          <t>2026-06</t>
        </is>
      </c>
      <c r="F1732" t="n">
        <v>54.24</v>
      </c>
      <c r="G1732" t="n">
        <v>64</v>
      </c>
      <c r="H1732">
        <f>הגדרות!B7</f>
        <v/>
      </c>
      <c r="I1732">
        <f>F1732*(1-H1732/100)*1.18</f>
        <v/>
      </c>
      <c r="J1732">
        <f>הגדרות!C7</f>
        <v/>
      </c>
      <c r="K1732">
        <f>הגדרות!D7</f>
        <v/>
      </c>
      <c r="L1732">
        <f>I1732*(1+J1732/100)+K1732</f>
        <v/>
      </c>
    </row>
    <row r="1733">
      <c r="A1733" t="inlineStr">
        <is>
          <t>מדי-מרקט</t>
        </is>
      </c>
      <c r="B1733" t="inlineStr">
        <is>
          <t>Metformin Teva 850 מטפורמין טבע 850 מ"ג  15X2 טב'</t>
        </is>
      </c>
      <c r="C1733" t="inlineStr">
        <is>
          <t>תרופות</t>
        </is>
      </c>
      <c r="D1733" t="inlineStr">
        <is>
          <t>800899</t>
        </is>
      </c>
      <c r="E1733" t="inlineStr">
        <is>
          <t>2026-06</t>
        </is>
      </c>
      <c r="F1733" t="n">
        <v>9.699999999999999</v>
      </c>
      <c r="G1733" t="n">
        <v>11.45</v>
      </c>
      <c r="H1733">
        <f>הגדרות!B7</f>
        <v/>
      </c>
      <c r="I1733">
        <f>F1733*(1-H1733/100)*1.18</f>
        <v/>
      </c>
      <c r="J1733">
        <f>הגדרות!C7</f>
        <v/>
      </c>
      <c r="K1733">
        <f>הגדרות!D7</f>
        <v/>
      </c>
      <c r="L1733">
        <f>I1733*(1+J1733/100)+K1733</f>
        <v/>
      </c>
    </row>
    <row r="1734">
      <c r="A1734" t="inlineStr">
        <is>
          <t>מדי-מרקט</t>
        </is>
      </c>
      <c r="B1734" t="inlineStr">
        <is>
          <t>Methone (Methadone) Injection 10Mg/Ml 20 Ml</t>
        </is>
      </c>
      <c r="C1734" t="inlineStr">
        <is>
          <t>29ג' וטרינרי CEVA</t>
        </is>
      </c>
      <c r="D1734" t="inlineStr">
        <is>
          <t>E56210B</t>
        </is>
      </c>
      <c r="E1734" t="inlineStr">
        <is>
          <t>2026-06</t>
        </is>
      </c>
      <c r="F1734" t="n">
        <v>122.88</v>
      </c>
      <c r="G1734" t="n">
        <v>145</v>
      </c>
      <c r="H1734">
        <f>הגדרות!B7</f>
        <v/>
      </c>
      <c r="I1734">
        <f>F1734*(1-H1734/100)*1.18</f>
        <v/>
      </c>
      <c r="J1734">
        <f>הגדרות!C7</f>
        <v/>
      </c>
      <c r="K1734">
        <f>הגדרות!D7</f>
        <v/>
      </c>
      <c r="L1734">
        <f>I1734*(1+J1734/100)+K1734</f>
        <v/>
      </c>
    </row>
    <row r="1735">
      <c r="A1735" t="inlineStr">
        <is>
          <t>מדי-מרקט</t>
        </is>
      </c>
      <c r="B1735" t="inlineStr">
        <is>
          <t>Metoclopramide 10 Mg/2 Ml Inj  X 5 Amp</t>
        </is>
      </c>
      <c r="C1735" t="inlineStr">
        <is>
          <t>תרופות</t>
        </is>
      </c>
      <c r="D1735" t="inlineStr">
        <is>
          <t>2225896</t>
        </is>
      </c>
      <c r="E1735" t="inlineStr">
        <is>
          <t>2026-06</t>
        </is>
      </c>
      <c r="F1735" t="n">
        <v>6.3</v>
      </c>
      <c r="G1735" t="n">
        <v>7.43</v>
      </c>
      <c r="H1735">
        <f>הגדרות!B7</f>
        <v/>
      </c>
      <c r="I1735">
        <f>F1735*(1-H1735/100)*1.18</f>
        <v/>
      </c>
      <c r="J1735">
        <f>הגדרות!C7</f>
        <v/>
      </c>
      <c r="K1735">
        <f>הגדרות!D7</f>
        <v/>
      </c>
      <c r="L1735">
        <f>I1735*(1+J1735/100)+K1735</f>
        <v/>
      </c>
    </row>
    <row r="1736">
      <c r="A1736" t="inlineStr">
        <is>
          <t>מדי-מרקט</t>
        </is>
      </c>
      <c r="B1736" t="inlineStr">
        <is>
          <t>Metrocare Flavour 250 Mg 100Tabs For Dogs&amp;Cat</t>
        </is>
      </c>
      <c r="C1736" t="inlineStr">
        <is>
          <t>29ג' וטרינרי</t>
        </is>
      </c>
      <c r="D1736" t="inlineStr">
        <is>
          <t>40383</t>
        </is>
      </c>
      <c r="E1736" t="inlineStr">
        <is>
          <t>2026-06</t>
        </is>
      </c>
      <c r="F1736" t="n">
        <v>101.69</v>
      </c>
      <c r="G1736" t="n">
        <v>120</v>
      </c>
      <c r="H1736">
        <f>הגדרות!B7</f>
        <v/>
      </c>
      <c r="I1736">
        <f>F1736*(1-H1736/100)*1.18</f>
        <v/>
      </c>
      <c r="J1736">
        <f>הגדרות!C7</f>
        <v/>
      </c>
      <c r="K1736">
        <f>הגדרות!D7</f>
        <v/>
      </c>
      <c r="L1736">
        <f>I1736*(1+J1736/100)+K1736</f>
        <v/>
      </c>
    </row>
    <row r="1737">
      <c r="A1737" t="inlineStr">
        <is>
          <t>מדי-מרקט</t>
        </is>
      </c>
      <c r="B1737" t="inlineStr">
        <is>
          <t>Metrocare Flavour 500 Mg 100Tabs For Dogs&amp;Cat</t>
        </is>
      </c>
      <c r="C1737" t="inlineStr">
        <is>
          <t>29ג' וטרינרי</t>
        </is>
      </c>
      <c r="D1737" t="inlineStr">
        <is>
          <t>40389</t>
        </is>
      </c>
      <c r="E1737" t="inlineStr">
        <is>
          <t>2026-06</t>
        </is>
      </c>
      <c r="F1737" t="n">
        <v>131.36</v>
      </c>
      <c r="G1737" t="n">
        <v>155</v>
      </c>
      <c r="H1737">
        <f>הגדרות!B7</f>
        <v/>
      </c>
      <c r="I1737">
        <f>F1737*(1-H1737/100)*1.18</f>
        <v/>
      </c>
      <c r="J1737">
        <f>הגדרות!C7</f>
        <v/>
      </c>
      <c r="K1737">
        <f>הגדרות!D7</f>
        <v/>
      </c>
      <c r="L1737">
        <f>I1737*(1+J1737/100)+K1737</f>
        <v/>
      </c>
    </row>
    <row r="1738">
      <c r="A1738" t="inlineStr">
        <is>
          <t>מדי-מרקט</t>
        </is>
      </c>
      <c r="B1738" t="inlineStr">
        <is>
          <t>Metronidazole 0.5% 100 Ml Inj</t>
        </is>
      </c>
      <c r="C1738" t="inlineStr">
        <is>
          <t>תרופות</t>
        </is>
      </c>
      <c r="D1738" t="inlineStr">
        <is>
          <t>146</t>
        </is>
      </c>
      <c r="E1738" t="inlineStr">
        <is>
          <t>2026-06</t>
        </is>
      </c>
      <c r="F1738" t="n">
        <v>4.66</v>
      </c>
      <c r="G1738" t="n">
        <v>5.5</v>
      </c>
      <c r="H1738">
        <f>הגדרות!B7</f>
        <v/>
      </c>
      <c r="I1738">
        <f>F1738*(1-H1738/100)*1.18</f>
        <v/>
      </c>
      <c r="J1738">
        <f>הגדרות!C7</f>
        <v/>
      </c>
      <c r="K1738">
        <f>הגדרות!D7</f>
        <v/>
      </c>
      <c r="L1738">
        <f>I1738*(1+J1738/100)+K1738</f>
        <v/>
      </c>
    </row>
    <row r="1739">
      <c r="A1739" t="inlineStr">
        <is>
          <t>מדי-מרקט</t>
        </is>
      </c>
      <c r="B1739" t="inlineStr">
        <is>
          <t>Metronidazole 100 mg 100 caps</t>
        </is>
      </c>
      <c r="C1739" t="inlineStr">
        <is>
          <t>הכנות בית מרקחת</t>
        </is>
      </c>
      <c r="D1739" t="inlineStr">
        <is>
          <t>8331</t>
        </is>
      </c>
      <c r="E1739" t="inlineStr">
        <is>
          <t>2026-06</t>
        </is>
      </c>
      <c r="F1739" t="n">
        <v>93.22</v>
      </c>
      <c r="G1739" t="n">
        <v>110</v>
      </c>
      <c r="H1739">
        <f>הגדרות!B7</f>
        <v/>
      </c>
      <c r="I1739">
        <f>F1739*(1-H1739/100)*1.18</f>
        <v/>
      </c>
      <c r="J1739">
        <f>הגדרות!C7</f>
        <v/>
      </c>
      <c r="K1739">
        <f>הגדרות!D7</f>
        <v/>
      </c>
      <c r="L1739">
        <f>I1739*(1+J1739/100)+K1739</f>
        <v/>
      </c>
    </row>
    <row r="1740">
      <c r="A1740" t="inlineStr">
        <is>
          <t>מדי-מרקט</t>
        </is>
      </c>
      <c r="B1740" t="inlineStr">
        <is>
          <t>Metronidazole 200 mg 100 caps</t>
        </is>
      </c>
      <c r="C1740" t="inlineStr">
        <is>
          <t>הכנות בית מרקחת</t>
        </is>
      </c>
      <c r="D1740" t="inlineStr">
        <is>
          <t>83331</t>
        </is>
      </c>
      <c r="E1740" t="inlineStr">
        <is>
          <t>2026-06</t>
        </is>
      </c>
      <c r="F1740" t="n">
        <v>101.69</v>
      </c>
      <c r="G1740" t="n">
        <v>120</v>
      </c>
      <c r="H1740">
        <f>הגדרות!B7</f>
        <v/>
      </c>
      <c r="I1740">
        <f>F1740*(1-H1740/100)*1.18</f>
        <v/>
      </c>
      <c r="J1740">
        <f>הגדרות!C7</f>
        <v/>
      </c>
      <c r="K1740">
        <f>הגדרות!D7</f>
        <v/>
      </c>
      <c r="L1740">
        <f>I1740*(1+J1740/100)+K1740</f>
        <v/>
      </c>
    </row>
    <row r="1741">
      <c r="A1741" t="inlineStr">
        <is>
          <t>מדי-מרקט</t>
        </is>
      </c>
      <c r="B1741" t="inlineStr">
        <is>
          <t>Metronidazole 300 mg 100 caps</t>
        </is>
      </c>
      <c r="C1741" t="inlineStr">
        <is>
          <t>הכנות בית מרקחת</t>
        </is>
      </c>
      <c r="D1741" t="inlineStr">
        <is>
          <t>83315</t>
        </is>
      </c>
      <c r="E1741" t="inlineStr">
        <is>
          <t>2026-06</t>
        </is>
      </c>
      <c r="F1741" t="n">
        <v>100</v>
      </c>
      <c r="G1741" t="n">
        <v>118</v>
      </c>
      <c r="H1741">
        <f>הגדרות!B7</f>
        <v/>
      </c>
      <c r="I1741">
        <f>F1741*(1-H1741/100)*1.18</f>
        <v/>
      </c>
      <c r="J1741">
        <f>הגדרות!C7</f>
        <v/>
      </c>
      <c r="K1741">
        <f>הגדרות!D7</f>
        <v/>
      </c>
      <c r="L1741">
        <f>I1741*(1+J1741/100)+K1741</f>
        <v/>
      </c>
    </row>
    <row r="1742">
      <c r="A1742" t="inlineStr">
        <is>
          <t>מדי-מרקט</t>
        </is>
      </c>
      <c r="B1742" t="inlineStr">
        <is>
          <t>Metronidazole 400 mg 100 caps</t>
        </is>
      </c>
      <c r="C1742" t="inlineStr">
        <is>
          <t>הכנות בית מרקחת</t>
        </is>
      </c>
      <c r="D1742" t="inlineStr">
        <is>
          <t>86309</t>
        </is>
      </c>
      <c r="E1742" t="inlineStr">
        <is>
          <t>2026-06</t>
        </is>
      </c>
      <c r="F1742" t="n">
        <v>110.17</v>
      </c>
      <c r="G1742" t="n">
        <v>130</v>
      </c>
      <c r="H1742">
        <f>הגדרות!B7</f>
        <v/>
      </c>
      <c r="I1742">
        <f>F1742*(1-H1742/100)*1.18</f>
        <v/>
      </c>
      <c r="J1742">
        <f>הגדרות!C7</f>
        <v/>
      </c>
      <c r="K1742">
        <f>הגדרות!D7</f>
        <v/>
      </c>
      <c r="L1742">
        <f>I1742*(1+J1742/100)+K1742</f>
        <v/>
      </c>
    </row>
    <row r="1743">
      <c r="A1743" t="inlineStr">
        <is>
          <t>מדי-מרקט</t>
        </is>
      </c>
      <c r="B1743" t="inlineStr">
        <is>
          <t>Metronidazole 500 mg 100 caps</t>
        </is>
      </c>
      <c r="C1743" t="inlineStr">
        <is>
          <t>הכנות בית מרקחת</t>
        </is>
      </c>
      <c r="D1743" t="inlineStr">
        <is>
          <t>8332</t>
        </is>
      </c>
      <c r="E1743" t="inlineStr">
        <is>
          <t>2026-06</t>
        </is>
      </c>
      <c r="F1743" t="n">
        <v>135.59</v>
      </c>
      <c r="G1743" t="n">
        <v>160</v>
      </c>
      <c r="H1743">
        <f>הגדרות!B7</f>
        <v/>
      </c>
      <c r="I1743">
        <f>F1743*(1-H1743/100)*1.18</f>
        <v/>
      </c>
      <c r="J1743">
        <f>הגדרות!C7</f>
        <v/>
      </c>
      <c r="K1743">
        <f>הגדרות!D7</f>
        <v/>
      </c>
      <c r="L1743">
        <f>I1743*(1+J1743/100)+K1743</f>
        <v/>
      </c>
    </row>
    <row r="1744">
      <c r="A1744" t="inlineStr">
        <is>
          <t>מדי-מרקט</t>
        </is>
      </c>
      <c r="B1744" t="inlineStr">
        <is>
          <t>MEXILETINE 150MG CAP 100</t>
        </is>
      </c>
      <c r="C1744" t="inlineStr">
        <is>
          <t>29 יבוא תרופות הומניות חו"ל</t>
        </is>
      </c>
      <c r="D1744" t="inlineStr">
        <is>
          <t>62559-0820-01</t>
        </is>
      </c>
      <c r="E1744" t="inlineStr">
        <is>
          <t>2026-06</t>
        </is>
      </c>
      <c r="F1744" t="n">
        <v>217.37</v>
      </c>
      <c r="G1744" t="n">
        <v>256.5</v>
      </c>
      <c r="H1744">
        <f>הגדרות!B7</f>
        <v/>
      </c>
      <c r="I1744">
        <f>F1744*(1-H1744/100)*1.18</f>
        <v/>
      </c>
      <c r="J1744">
        <f>הגדרות!C7</f>
        <v/>
      </c>
      <c r="K1744">
        <f>הגדרות!D7</f>
        <v/>
      </c>
      <c r="L1744">
        <f>I1744*(1+J1744/100)+K1744</f>
        <v/>
      </c>
    </row>
    <row r="1745">
      <c r="A1745" t="inlineStr">
        <is>
          <t>מדי-מרקט</t>
        </is>
      </c>
      <c r="B1745" t="inlineStr">
        <is>
          <t>Micro-Kalium Prolonged Release Kcl 600 Mg 50 Caps(Il)</t>
        </is>
      </c>
      <c r="C1745" t="inlineStr">
        <is>
          <t>תרופות רשומות- מדי מרקט</t>
        </is>
      </c>
      <c r="D1745" t="inlineStr">
        <is>
          <t>2539866</t>
        </is>
      </c>
      <c r="E1745" t="inlineStr">
        <is>
          <t>2026-06</t>
        </is>
      </c>
      <c r="F1745" t="n">
        <v>13.49</v>
      </c>
      <c r="G1745" t="n">
        <v>15.92</v>
      </c>
      <c r="H1745">
        <f>הגדרות!B7</f>
        <v/>
      </c>
      <c r="I1745">
        <f>F1745*(1-H1745/100)*1.18</f>
        <v/>
      </c>
      <c r="J1745">
        <f>הגדרות!C7</f>
        <v/>
      </c>
      <c r="K1745">
        <f>הגדרות!D7</f>
        <v/>
      </c>
      <c r="L1745">
        <f>I1745*(1+J1745/100)+K1745</f>
        <v/>
      </c>
    </row>
    <row r="1746">
      <c r="A1746" t="inlineStr">
        <is>
          <t>מדי-מרקט</t>
        </is>
      </c>
      <c r="B1746" t="inlineStr">
        <is>
          <t>Micropirin 75Mg X 30Tabs</t>
        </is>
      </c>
      <c r="C1746" t="inlineStr">
        <is>
          <t>תרופות</t>
        </is>
      </c>
      <c r="D1746" t="inlineStr">
        <is>
          <t>5488</t>
        </is>
      </c>
      <c r="E1746" t="inlineStr">
        <is>
          <t>2026-06</t>
        </is>
      </c>
      <c r="F1746" t="n">
        <v>11.44</v>
      </c>
      <c r="G1746" t="n">
        <v>13.5</v>
      </c>
      <c r="H1746">
        <f>הגדרות!B7</f>
        <v/>
      </c>
      <c r="I1746">
        <f>F1746*(1-H1746/100)*1.18</f>
        <v/>
      </c>
      <c r="J1746">
        <f>הגדרות!C7</f>
        <v/>
      </c>
      <c r="K1746">
        <f>הגדרות!D7</f>
        <v/>
      </c>
      <c r="L1746">
        <f>I1746*(1+J1746/100)+K1746</f>
        <v/>
      </c>
    </row>
    <row r="1747">
      <c r="A1747" t="inlineStr">
        <is>
          <t>מדי-מרקט</t>
        </is>
      </c>
      <c r="B1747" t="inlineStr">
        <is>
          <t>Midazolam Kalceks 1Mg/Ml 5 Ml X 10Amp(Il)</t>
        </is>
      </c>
      <c r="C1747" t="inlineStr">
        <is>
          <t>תרופות רשומות- מדי מרקט</t>
        </is>
      </c>
      <c r="D1747" t="inlineStr">
        <is>
          <t>236753</t>
        </is>
      </c>
      <c r="E1747" t="inlineStr">
        <is>
          <t>2026-06</t>
        </is>
      </c>
      <c r="F1747" t="n">
        <v>31.69</v>
      </c>
      <c r="G1747" t="n">
        <v>37.4</v>
      </c>
      <c r="H1747">
        <f>הגדרות!B7</f>
        <v/>
      </c>
      <c r="I1747">
        <f>F1747*(1-H1747/100)*1.18</f>
        <v/>
      </c>
      <c r="J1747">
        <f>הגדרות!C7</f>
        <v/>
      </c>
      <c r="K1747">
        <f>הגדרות!D7</f>
        <v/>
      </c>
      <c r="L1747">
        <f>I1747*(1+J1747/100)+K1747</f>
        <v/>
      </c>
    </row>
    <row r="1748">
      <c r="A1748" t="inlineStr">
        <is>
          <t>מדי-מרקט</t>
        </is>
      </c>
      <c r="B1748" t="inlineStr">
        <is>
          <t>Midazolam Kalceks 5Mg/Ml  3 Ml X 10Amp(Il)</t>
        </is>
      </c>
      <c r="C1748" t="inlineStr">
        <is>
          <t>תרופות רשומות- מדי מרקט</t>
        </is>
      </c>
      <c r="D1748" t="inlineStr">
        <is>
          <t>236756</t>
        </is>
      </c>
      <c r="E1748" t="inlineStr">
        <is>
          <t>2026-06</t>
        </is>
      </c>
      <c r="F1748" t="n">
        <v>12.53</v>
      </c>
      <c r="G1748" t="n">
        <v>14.78</v>
      </c>
      <c r="H1748">
        <f>הגדרות!B7</f>
        <v/>
      </c>
      <c r="I1748">
        <f>F1748*(1-H1748/100)*1.18</f>
        <v/>
      </c>
      <c r="J1748">
        <f>הגדרות!C7</f>
        <v/>
      </c>
      <c r="K1748">
        <f>הגדרות!D7</f>
        <v/>
      </c>
      <c r="L1748">
        <f>I1748*(1+J1748/100)+K1748</f>
        <v/>
      </c>
    </row>
    <row r="1749">
      <c r="A1749" t="inlineStr">
        <is>
          <t>מדי-מרקט</t>
        </is>
      </c>
      <c r="B1749" t="inlineStr">
        <is>
          <t>Midazolam Kalceks 5Mg/Ml 1 Ml X 10Amp(Il)</t>
        </is>
      </c>
      <c r="C1749" t="inlineStr">
        <is>
          <t>תרופות רשומות- מדי מרקט</t>
        </is>
      </c>
      <c r="D1749" t="inlineStr">
        <is>
          <t>236754</t>
        </is>
      </c>
      <c r="E1749" t="inlineStr">
        <is>
          <t>2026-06</t>
        </is>
      </c>
      <c r="F1749" t="n">
        <v>19.49</v>
      </c>
      <c r="G1749" t="n">
        <v>23</v>
      </c>
      <c r="H1749">
        <f>הגדרות!B7</f>
        <v/>
      </c>
      <c r="I1749">
        <f>F1749*(1-H1749/100)*1.18</f>
        <v/>
      </c>
      <c r="J1749">
        <f>הגדרות!C7</f>
        <v/>
      </c>
      <c r="K1749">
        <f>הגדרות!D7</f>
        <v/>
      </c>
      <c r="L1749">
        <f>I1749*(1+J1749/100)+K1749</f>
        <v/>
      </c>
    </row>
    <row r="1750">
      <c r="A1750" t="inlineStr">
        <is>
          <t>מדי-מרקט</t>
        </is>
      </c>
      <c r="B1750" t="inlineStr">
        <is>
          <t>Midazolam Kalceks 5Mg/Ml 10 Ml X 10Amp(Il)</t>
        </is>
      </c>
      <c r="C1750" t="inlineStr">
        <is>
          <t>תרופות רשומות- מדי מרקט</t>
        </is>
      </c>
      <c r="D1750" t="inlineStr">
        <is>
          <t>236752</t>
        </is>
      </c>
      <c r="E1750" t="inlineStr">
        <is>
          <t>2026-06</t>
        </is>
      </c>
      <c r="F1750" t="n">
        <v>19.18</v>
      </c>
      <c r="G1750" t="n">
        <v>22.63</v>
      </c>
      <c r="H1750">
        <f>הגדרות!B7</f>
        <v/>
      </c>
      <c r="I1750">
        <f>F1750*(1-H1750/100)*1.18</f>
        <v/>
      </c>
      <c r="J1750">
        <f>הגדרות!C7</f>
        <v/>
      </c>
      <c r="K1750">
        <f>הגדרות!D7</f>
        <v/>
      </c>
      <c r="L1750">
        <f>I1750*(1+J1750/100)+K1750</f>
        <v/>
      </c>
    </row>
    <row r="1751">
      <c r="A1751" t="inlineStr">
        <is>
          <t>מדי-מרקט</t>
        </is>
      </c>
      <c r="B1751" t="inlineStr">
        <is>
          <t>Minoxidil 5% *2 - חומר לעידוד צמיחת השיער ומניעת התקרחות</t>
        </is>
      </c>
      <c r="C1751" t="inlineStr">
        <is>
          <t>תרופות</t>
        </is>
      </c>
      <c r="D1751" t="inlineStr">
        <is>
          <t>2508058A</t>
        </is>
      </c>
      <c r="E1751" t="inlineStr">
        <is>
          <t>2026-06</t>
        </is>
      </c>
      <c r="F1751" t="n">
        <v>168.64</v>
      </c>
      <c r="G1751" t="n">
        <v>199</v>
      </c>
      <c r="H1751">
        <f>הגדרות!B7</f>
        <v/>
      </c>
      <c r="I1751">
        <f>F1751*(1-H1751/100)*1.18</f>
        <v/>
      </c>
      <c r="J1751">
        <f>הגדרות!C7</f>
        <v/>
      </c>
      <c r="K1751">
        <f>הגדרות!D7</f>
        <v/>
      </c>
      <c r="L1751">
        <f>I1751*(1+J1751/100)+K1751</f>
        <v/>
      </c>
    </row>
    <row r="1752">
      <c r="A1752" t="inlineStr">
        <is>
          <t>מדי-מרקט</t>
        </is>
      </c>
      <c r="B1752" t="inlineStr">
        <is>
          <t>Miro(Remeron) 30Mg X 30Tab</t>
        </is>
      </c>
      <c r="C1752" t="inlineStr">
        <is>
          <t>תרופות</t>
        </is>
      </c>
      <c r="D1752" t="inlineStr">
        <is>
          <t>100411</t>
        </is>
      </c>
      <c r="E1752" t="inlineStr">
        <is>
          <t>2026-06</t>
        </is>
      </c>
      <c r="F1752" t="n">
        <v>28.49</v>
      </c>
      <c r="G1752" t="n">
        <v>33.62</v>
      </c>
      <c r="H1752">
        <f>הגדרות!B7</f>
        <v/>
      </c>
      <c r="I1752">
        <f>F1752*(1-H1752/100)*1.18</f>
        <v/>
      </c>
      <c r="J1752">
        <f>הגדרות!C7</f>
        <v/>
      </c>
      <c r="K1752">
        <f>הגדרות!D7</f>
        <v/>
      </c>
      <c r="L1752">
        <f>I1752*(1+J1752/100)+K1752</f>
        <v/>
      </c>
    </row>
    <row r="1753">
      <c r="A1753" t="inlineStr">
        <is>
          <t>מדי-מרקט</t>
        </is>
      </c>
      <c r="B1753" t="inlineStr">
        <is>
          <t>Miro(Remeron) 45Mg X 30Tab</t>
        </is>
      </c>
      <c r="C1753" t="inlineStr">
        <is>
          <t>תרופות</t>
        </is>
      </c>
      <c r="D1753" t="inlineStr">
        <is>
          <t>100412</t>
        </is>
      </c>
      <c r="E1753" t="inlineStr">
        <is>
          <t>2026-06</t>
        </is>
      </c>
      <c r="F1753" t="n">
        <v>44.07</v>
      </c>
      <c r="G1753" t="n">
        <v>52</v>
      </c>
      <c r="H1753">
        <f>הגדרות!B7</f>
        <v/>
      </c>
      <c r="I1753">
        <f>F1753*(1-H1753/100)*1.18</f>
        <v/>
      </c>
      <c r="J1753">
        <f>הגדרות!C7</f>
        <v/>
      </c>
      <c r="K1753">
        <f>הגדרות!D7</f>
        <v/>
      </c>
      <c r="L1753">
        <f>I1753*(1+J1753/100)+K1753</f>
        <v/>
      </c>
    </row>
    <row r="1754">
      <c r="A1754" t="inlineStr">
        <is>
          <t>מדי-מרקט</t>
        </is>
      </c>
      <c r="B1754" t="inlineStr">
        <is>
          <t>MIRTAZAPINE / REMERON 2.5MG 100 caps</t>
        </is>
      </c>
      <c r="C1754" t="inlineStr">
        <is>
          <t>הכנות בית מרקחת</t>
        </is>
      </c>
      <c r="D1754" t="inlineStr">
        <is>
          <t>12555</t>
        </is>
      </c>
      <c r="E1754" t="inlineStr">
        <is>
          <t>2026-06</t>
        </is>
      </c>
      <c r="F1754" t="n">
        <v>110.17</v>
      </c>
      <c r="G1754" t="n">
        <v>130</v>
      </c>
      <c r="H1754">
        <f>הגדרות!B7</f>
        <v/>
      </c>
      <c r="I1754">
        <f>F1754*(1-H1754/100)*1.18</f>
        <v/>
      </c>
      <c r="J1754">
        <f>הגדרות!C7</f>
        <v/>
      </c>
      <c r="K1754">
        <f>הגדרות!D7</f>
        <v/>
      </c>
      <c r="L1754">
        <f>I1754*(1+J1754/100)+K1754</f>
        <v/>
      </c>
    </row>
    <row r="1755">
      <c r="A1755" t="inlineStr">
        <is>
          <t>מדי-מרקט</t>
        </is>
      </c>
      <c r="B1755" t="inlineStr">
        <is>
          <t>Mirtazapine 3.75Mg 100 Tabs</t>
        </is>
      </c>
      <c r="C1755" t="inlineStr">
        <is>
          <t>הכנות בית מרקחת</t>
        </is>
      </c>
      <c r="D1755" t="inlineStr">
        <is>
          <t>133556</t>
        </is>
      </c>
      <c r="E1755" t="inlineStr">
        <is>
          <t>2026-06</t>
        </is>
      </c>
      <c r="F1755" t="n">
        <v>144.07</v>
      </c>
      <c r="G1755" t="n">
        <v>170</v>
      </c>
      <c r="H1755">
        <f>הגדרות!B7</f>
        <v/>
      </c>
      <c r="I1755">
        <f>F1755*(1-H1755/100)*1.18</f>
        <v/>
      </c>
      <c r="J1755">
        <f>הגדרות!C7</f>
        <v/>
      </c>
      <c r="K1755">
        <f>הגדרות!D7</f>
        <v/>
      </c>
      <c r="L1755">
        <f>I1755*(1+J1755/100)+K1755</f>
        <v/>
      </c>
    </row>
    <row r="1756">
      <c r="A1756" t="inlineStr">
        <is>
          <t>מדי-מרקט</t>
        </is>
      </c>
      <c r="B1756" t="inlineStr">
        <is>
          <t>Modal 50Mg X 30Caps</t>
        </is>
      </c>
      <c r="C1756" t="inlineStr">
        <is>
          <t>תרופות</t>
        </is>
      </c>
      <c r="D1756" t="inlineStr">
        <is>
          <t>98256</t>
        </is>
      </c>
      <c r="E1756" t="inlineStr">
        <is>
          <t>2026-06</t>
        </is>
      </c>
      <c r="F1756" t="n">
        <v>15.03</v>
      </c>
      <c r="G1756" t="n">
        <v>17.73</v>
      </c>
      <c r="H1756">
        <f>הגדרות!B7</f>
        <v/>
      </c>
      <c r="I1756">
        <f>F1756*(1-H1756/100)*1.18</f>
        <v/>
      </c>
      <c r="J1756">
        <f>הגדרות!C7</f>
        <v/>
      </c>
      <c r="K1756">
        <f>הגדרות!D7</f>
        <v/>
      </c>
      <c r="L1756">
        <f>I1756*(1+J1756/100)+K1756</f>
        <v/>
      </c>
    </row>
    <row r="1757">
      <c r="A1757" t="inlineStr">
        <is>
          <t>מדי-מרקט</t>
        </is>
      </c>
      <c r="B1757" t="inlineStr">
        <is>
          <t>MODULIS 100MG/ML FL 15ML</t>
        </is>
      </c>
      <c r="C1757" t="inlineStr">
        <is>
          <t>29ג' וטרינרי CEVA</t>
        </is>
      </c>
      <c r="D1757" t="inlineStr">
        <is>
          <t>F44020B</t>
        </is>
      </c>
      <c r="E1757" t="inlineStr">
        <is>
          <t>2026-06</t>
        </is>
      </c>
      <c r="F1757" t="n">
        <v>203.39</v>
      </c>
      <c r="G1757" t="n">
        <v>240</v>
      </c>
      <c r="H1757">
        <f>הגדרות!B7</f>
        <v/>
      </c>
      <c r="I1757">
        <f>F1757*(1-H1757/100)*1.18</f>
        <v/>
      </c>
      <c r="J1757">
        <f>הגדרות!C7</f>
        <v/>
      </c>
      <c r="K1757">
        <f>הגדרות!D7</f>
        <v/>
      </c>
      <c r="L1757">
        <f>I1757*(1+J1757/100)+K1757</f>
        <v/>
      </c>
    </row>
    <row r="1758">
      <c r="A1758" t="inlineStr">
        <is>
          <t>מדי-מרקט</t>
        </is>
      </c>
      <c r="B1758" t="inlineStr">
        <is>
          <t>MODULIS 100MG/ML FL 30ML</t>
        </is>
      </c>
      <c r="C1758" t="inlineStr">
        <is>
          <t>29ג' וטרינרי CEVA</t>
        </is>
      </c>
      <c r="D1758" t="inlineStr">
        <is>
          <t>F44030D</t>
        </is>
      </c>
      <c r="E1758" t="inlineStr">
        <is>
          <t>2026-06</t>
        </is>
      </c>
      <c r="F1758" t="n">
        <v>313.56</v>
      </c>
      <c r="G1758" t="n">
        <v>370</v>
      </c>
      <c r="H1758">
        <f>הגדרות!B7</f>
        <v/>
      </c>
      <c r="I1758">
        <f>F1758*(1-H1758/100)*1.18</f>
        <v/>
      </c>
      <c r="J1758">
        <f>הגדרות!C7</f>
        <v/>
      </c>
      <c r="K1758">
        <f>הגדרות!D7</f>
        <v/>
      </c>
      <c r="L1758">
        <f>I1758*(1+J1758/100)+K1758</f>
        <v/>
      </c>
    </row>
    <row r="1759">
      <c r="A1759" t="inlineStr">
        <is>
          <t>מדי-מרקט</t>
        </is>
      </c>
      <c r="B1759" t="inlineStr">
        <is>
          <t>Monocord 20Mg X 30Tabs</t>
        </is>
      </c>
      <c r="C1759" t="inlineStr">
        <is>
          <t>תרופות</t>
        </is>
      </c>
      <c r="D1759" t="inlineStr">
        <is>
          <t>136263</t>
        </is>
      </c>
      <c r="E1759" t="inlineStr">
        <is>
          <t>2026-06</t>
        </is>
      </c>
      <c r="F1759" t="n">
        <v>6.36</v>
      </c>
      <c r="G1759" t="n">
        <v>7.5</v>
      </c>
      <c r="H1759">
        <f>הגדרות!B7</f>
        <v/>
      </c>
      <c r="I1759">
        <f>F1759*(1-H1759/100)*1.18</f>
        <v/>
      </c>
      <c r="J1759">
        <f>הגדרות!C7</f>
        <v/>
      </c>
      <c r="K1759">
        <f>הגדרות!D7</f>
        <v/>
      </c>
      <c r="L1759">
        <f>I1759*(1+J1759/100)+K1759</f>
        <v/>
      </c>
    </row>
    <row r="1760">
      <c r="A1760" t="inlineStr">
        <is>
          <t>מדי-מרקט</t>
        </is>
      </c>
      <c r="B1760" t="inlineStr">
        <is>
          <t>Monurol - Fosfomycin Trometamo - 3 Gr' - Powder</t>
        </is>
      </c>
      <c r="C1760" t="inlineStr">
        <is>
          <t>תרופות</t>
        </is>
      </c>
      <c r="D1760" t="inlineStr">
        <is>
          <t>125369</t>
        </is>
      </c>
      <c r="E1760" t="inlineStr">
        <is>
          <t>2026-06</t>
        </is>
      </c>
      <c r="F1760" t="n">
        <v>15.71</v>
      </c>
      <c r="G1760" t="n">
        <v>18.54</v>
      </c>
      <c r="H1760">
        <f>הגדרות!B7</f>
        <v/>
      </c>
      <c r="I1760">
        <f>F1760*(1-H1760/100)*1.18</f>
        <v/>
      </c>
      <c r="J1760">
        <f>הגדרות!C7</f>
        <v/>
      </c>
      <c r="K1760">
        <f>הגדרות!D7</f>
        <v/>
      </c>
      <c r="L1760">
        <f>I1760*(1+J1760/100)+K1760</f>
        <v/>
      </c>
    </row>
    <row r="1761">
      <c r="A1761" t="inlineStr">
        <is>
          <t>מדי-מרקט</t>
        </is>
      </c>
      <c r="B1761" t="inlineStr">
        <is>
          <t>Morphine Kalceks 10 Mg/Ml X 10Amp(Il)</t>
        </is>
      </c>
      <c r="C1761" t="inlineStr">
        <is>
          <t>תרופות רשומות- מדי מרקט</t>
        </is>
      </c>
      <c r="D1761" t="inlineStr">
        <is>
          <t>253525</t>
        </is>
      </c>
      <c r="E1761" t="inlineStr">
        <is>
          <t>2026-06</t>
        </is>
      </c>
      <c r="F1761" t="n">
        <v>10.3</v>
      </c>
      <c r="G1761" t="n">
        <v>12.15</v>
      </c>
      <c r="H1761">
        <f>הגדרות!B7</f>
        <v/>
      </c>
      <c r="I1761">
        <f>F1761*(1-H1761/100)*1.18</f>
        <v/>
      </c>
      <c r="J1761">
        <f>הגדרות!C7</f>
        <v/>
      </c>
      <c r="K1761">
        <f>הגדרות!D7</f>
        <v/>
      </c>
      <c r="L1761">
        <f>I1761*(1+J1761/100)+K1761</f>
        <v/>
      </c>
    </row>
    <row r="1762">
      <c r="A1762" t="inlineStr">
        <is>
          <t>מדי-מרקט</t>
        </is>
      </c>
      <c r="B1762" t="inlineStr">
        <is>
          <t>Motilium 10 Mg 30 Tabs מוטיליום 10 מ"ג 30 טב'</t>
        </is>
      </c>
      <c r="C1762" t="inlineStr">
        <is>
          <t>תרופות</t>
        </is>
      </c>
      <c r="D1762" t="inlineStr">
        <is>
          <t>35695</t>
        </is>
      </c>
      <c r="E1762" t="inlineStr">
        <is>
          <t>2026-06</t>
        </is>
      </c>
      <c r="F1762" t="n">
        <v>12.29</v>
      </c>
      <c r="G1762" t="n">
        <v>14.5</v>
      </c>
      <c r="H1762">
        <f>הגדרות!B7</f>
        <v/>
      </c>
      <c r="I1762">
        <f>F1762*(1-H1762/100)*1.18</f>
        <v/>
      </c>
      <c r="J1762">
        <f>הגדרות!C7</f>
        <v/>
      </c>
      <c r="K1762">
        <f>הגדרות!D7</f>
        <v/>
      </c>
      <c r="L1762">
        <f>I1762*(1+J1762/100)+K1762</f>
        <v/>
      </c>
    </row>
    <row r="1763">
      <c r="A1763" t="inlineStr">
        <is>
          <t>מדי-מרקט</t>
        </is>
      </c>
      <c r="B1763" t="inlineStr">
        <is>
          <t>Movex 8Mg X 20Tab</t>
        </is>
      </c>
      <c r="C1763" t="inlineStr">
        <is>
          <t>תרופות</t>
        </is>
      </c>
      <c r="D1763" t="inlineStr">
        <is>
          <t>2456</t>
        </is>
      </c>
      <c r="E1763" t="inlineStr">
        <is>
          <t>2026-06</t>
        </is>
      </c>
      <c r="F1763" t="n">
        <v>15.25</v>
      </c>
      <c r="G1763" t="n">
        <v>18</v>
      </c>
      <c r="H1763">
        <f>הגדרות!B7</f>
        <v/>
      </c>
      <c r="I1763">
        <f>F1763*(1-H1763/100)*1.18</f>
        <v/>
      </c>
      <c r="J1763">
        <f>הגדרות!C7</f>
        <v/>
      </c>
      <c r="K1763">
        <f>הגדרות!D7</f>
        <v/>
      </c>
      <c r="L1763">
        <f>I1763*(1+J1763/100)+K1763</f>
        <v/>
      </c>
    </row>
    <row r="1764">
      <c r="A1764" t="inlineStr">
        <is>
          <t>מדי-מרקט</t>
        </is>
      </c>
      <c r="B1764" t="inlineStr">
        <is>
          <t>Movex Solution 50 Ml מווקס תמיסה 50 מ"ל</t>
        </is>
      </c>
      <c r="C1764" t="inlineStr">
        <is>
          <t>תרופות</t>
        </is>
      </c>
      <c r="D1764" t="inlineStr">
        <is>
          <t>9306</t>
        </is>
      </c>
      <c r="E1764" t="inlineStr">
        <is>
          <t>2026-06</t>
        </is>
      </c>
      <c r="F1764" t="n">
        <v>12.71</v>
      </c>
      <c r="G1764" t="n">
        <v>15</v>
      </c>
      <c r="H1764">
        <f>הגדרות!B7</f>
        <v/>
      </c>
      <c r="I1764">
        <f>F1764*(1-H1764/100)*1.18</f>
        <v/>
      </c>
      <c r="J1764">
        <f>הגדרות!C7</f>
        <v/>
      </c>
      <c r="K1764">
        <f>הגדרות!D7</f>
        <v/>
      </c>
      <c r="L1764">
        <f>I1764*(1+J1764/100)+K1764</f>
        <v/>
      </c>
    </row>
    <row r="1765">
      <c r="A1765" t="inlineStr">
        <is>
          <t>מדי-מרקט</t>
        </is>
      </c>
      <c r="B1765" t="inlineStr">
        <is>
          <t>Moxypen Forte 250Mg 100Ml Susp</t>
        </is>
      </c>
      <c r="C1765" t="inlineStr">
        <is>
          <t>תרופות</t>
        </is>
      </c>
      <c r="D1765" t="inlineStr">
        <is>
          <t>6256</t>
        </is>
      </c>
      <c r="E1765" t="inlineStr">
        <is>
          <t>2026-06</t>
        </is>
      </c>
      <c r="F1765" t="n">
        <v>16.1</v>
      </c>
      <c r="G1765" t="n">
        <v>19</v>
      </c>
      <c r="H1765">
        <f>הגדרות!B7</f>
        <v/>
      </c>
      <c r="I1765">
        <f>F1765*(1-H1765/100)*1.18</f>
        <v/>
      </c>
      <c r="J1765">
        <f>הגדרות!C7</f>
        <v/>
      </c>
      <c r="K1765">
        <f>הגדרות!D7</f>
        <v/>
      </c>
      <c r="L1765">
        <f>I1765*(1+J1765/100)+K1765</f>
        <v/>
      </c>
    </row>
    <row r="1766">
      <c r="A1766" t="inlineStr">
        <is>
          <t>מדי-מרקט</t>
        </is>
      </c>
      <c r="B1766" t="inlineStr">
        <is>
          <t>Mucolit Syr 110 Ml מוקוליט סירופ</t>
        </is>
      </c>
      <c r="C1766" t="inlineStr">
        <is>
          <t>תרופות</t>
        </is>
      </c>
      <c r="D1766" t="inlineStr">
        <is>
          <t>6239</t>
        </is>
      </c>
      <c r="E1766" t="inlineStr">
        <is>
          <t>2026-06</t>
        </is>
      </c>
      <c r="F1766" t="n">
        <v>16.78</v>
      </c>
      <c r="G1766" t="n">
        <v>19.8</v>
      </c>
      <c r="H1766">
        <f>הגדרות!B7</f>
        <v/>
      </c>
      <c r="I1766">
        <f>F1766*(1-H1766/100)*1.18</f>
        <v/>
      </c>
      <c r="J1766">
        <f>הגדרות!C7</f>
        <v/>
      </c>
      <c r="K1766">
        <f>הגדרות!D7</f>
        <v/>
      </c>
      <c r="L1766">
        <f>I1766*(1+J1766/100)+K1766</f>
        <v/>
      </c>
    </row>
    <row r="1767">
      <c r="A1767" t="inlineStr">
        <is>
          <t>מדי-מרקט</t>
        </is>
      </c>
      <c r="B1767" t="inlineStr">
        <is>
          <t>Mupirocin Teva מופירוסין 2% 15 ג' משחה</t>
        </is>
      </c>
      <c r="C1767" t="inlineStr">
        <is>
          <t>תרופות</t>
        </is>
      </c>
      <c r="D1767" t="inlineStr">
        <is>
          <t>456</t>
        </is>
      </c>
      <c r="E1767" t="inlineStr">
        <is>
          <t>2026-06</t>
        </is>
      </c>
      <c r="F1767" t="n">
        <v>18.22</v>
      </c>
      <c r="G1767" t="n">
        <v>21.5</v>
      </c>
      <c r="H1767">
        <f>הגדרות!B7</f>
        <v/>
      </c>
      <c r="I1767">
        <f>F1767*(1-H1767/100)*1.18</f>
        <v/>
      </c>
      <c r="J1767">
        <f>הגדרות!C7</f>
        <v/>
      </c>
      <c r="K1767">
        <f>הגדרות!D7</f>
        <v/>
      </c>
      <c r="L1767">
        <f>I1767*(1+J1767/100)+K1767</f>
        <v/>
      </c>
    </row>
    <row r="1768">
      <c r="A1768" t="inlineStr">
        <is>
          <t>מדי-מרקט</t>
        </is>
      </c>
      <c r="B1768" t="inlineStr">
        <is>
          <t>Muscol Tabs: 20 מוסקול 20 מ"ג טב'</t>
        </is>
      </c>
      <c r="C1768" t="inlineStr">
        <is>
          <t>תרופות</t>
        </is>
      </c>
      <c r="D1768" t="inlineStr">
        <is>
          <t>39674</t>
        </is>
      </c>
      <c r="E1768" t="inlineStr">
        <is>
          <t>2026-06</t>
        </is>
      </c>
      <c r="F1768" t="n">
        <v>30.51</v>
      </c>
      <c r="G1768" t="n">
        <v>36</v>
      </c>
      <c r="H1768">
        <f>הגדרות!B7</f>
        <v/>
      </c>
      <c r="I1768">
        <f>F1768*(1-H1768/100)*1.18</f>
        <v/>
      </c>
      <c r="J1768">
        <f>הגדרות!C7</f>
        <v/>
      </c>
      <c r="K1768">
        <f>הגדרות!D7</f>
        <v/>
      </c>
      <c r="L1768">
        <f>I1768*(1+J1768/100)+K1768</f>
        <v/>
      </c>
    </row>
    <row r="1769">
      <c r="A1769" t="inlineStr">
        <is>
          <t>מדי-מרקט</t>
        </is>
      </c>
      <c r="B1769" t="inlineStr">
        <is>
          <t>Mydramide Opht.Drop-מידרמיד 10 מ"ל טיפות עיניים</t>
        </is>
      </c>
      <c r="C1769" t="inlineStr">
        <is>
          <t>תרופות</t>
        </is>
      </c>
      <c r="D1769" t="inlineStr">
        <is>
          <t>6254</t>
        </is>
      </c>
      <c r="E1769" t="inlineStr">
        <is>
          <t>2026-06</t>
        </is>
      </c>
      <c r="F1769" t="n">
        <v>12.65</v>
      </c>
      <c r="G1769" t="n">
        <v>14.93</v>
      </c>
      <c r="H1769">
        <f>הגדרות!B7</f>
        <v/>
      </c>
      <c r="I1769">
        <f>F1769*(1-H1769/100)*1.18</f>
        <v/>
      </c>
      <c r="J1769">
        <f>הגדרות!C7</f>
        <v/>
      </c>
      <c r="K1769">
        <f>הגדרות!D7</f>
        <v/>
      </c>
      <c r="L1769">
        <f>I1769*(1+J1769/100)+K1769</f>
        <v/>
      </c>
    </row>
    <row r="1770">
      <c r="A1770" t="inlineStr">
        <is>
          <t>מדי-מרקט</t>
        </is>
      </c>
      <c r="B1770" t="inlineStr">
        <is>
          <t>MYSIMBA 8MG/90MG PR 112TAB</t>
        </is>
      </c>
      <c r="C1770" t="inlineStr">
        <is>
          <t>29 יבוא תרופות הומניות חו"ל</t>
        </is>
      </c>
      <c r="D1770" t="inlineStr">
        <is>
          <t>58645</t>
        </is>
      </c>
      <c r="E1770" t="inlineStr">
        <is>
          <t>2026-06</t>
        </is>
      </c>
      <c r="F1770" t="n">
        <v>627.6900000000001</v>
      </c>
      <c r="G1770" t="n">
        <v>740.6799999999999</v>
      </c>
      <c r="H1770">
        <f>הגדרות!B7</f>
        <v/>
      </c>
      <c r="I1770">
        <f>F1770*(1-H1770/100)*1.18</f>
        <v/>
      </c>
      <c r="J1770">
        <f>הגדרות!C7</f>
        <v/>
      </c>
      <c r="K1770">
        <f>הגדרות!D7</f>
        <v/>
      </c>
      <c r="L1770">
        <f>I1770*(1+J1770/100)+K1770</f>
        <v/>
      </c>
    </row>
    <row r="1771">
      <c r="A1771" t="inlineStr">
        <is>
          <t>מדי-מרקט</t>
        </is>
      </c>
      <c r="B1771" t="inlineStr">
        <is>
          <t>N.E.P Jar Cream 50Ml</t>
        </is>
      </c>
      <c r="C1771" t="inlineStr">
        <is>
          <t>הכנות בית מרקחת</t>
        </is>
      </c>
      <c r="D1771" t="inlineStr">
        <is>
          <t>100153</t>
        </is>
      </c>
      <c r="E1771" t="inlineStr">
        <is>
          <t>2026-06</t>
        </is>
      </c>
      <c r="F1771" t="n">
        <v>25.42</v>
      </c>
      <c r="G1771" t="n">
        <v>30</v>
      </c>
      <c r="H1771">
        <f>הגדרות!B7</f>
        <v/>
      </c>
      <c r="I1771">
        <f>F1771*(1-H1771/100)*1.18</f>
        <v/>
      </c>
      <c r="J1771">
        <f>הגדרות!C7</f>
        <v/>
      </c>
      <c r="K1771">
        <f>הגדרות!D7</f>
        <v/>
      </c>
      <c r="L1771">
        <f>I1771*(1+J1771/100)+K1771</f>
        <v/>
      </c>
    </row>
    <row r="1772">
      <c r="A1772" t="inlineStr">
        <is>
          <t>מדי-מרקט</t>
        </is>
      </c>
      <c r="B1772" t="inlineStr">
        <is>
          <t>N.E.P Tube Cream 20Ml</t>
        </is>
      </c>
      <c r="C1772" t="inlineStr">
        <is>
          <t>הכנות בית מרקחת</t>
        </is>
      </c>
      <c r="D1772" t="inlineStr">
        <is>
          <t>100156</t>
        </is>
      </c>
      <c r="E1772" t="inlineStr">
        <is>
          <t>2026-06</t>
        </is>
      </c>
      <c r="F1772" t="n">
        <v>16.95</v>
      </c>
      <c r="G1772" t="n">
        <v>20</v>
      </c>
      <c r="H1772">
        <f>הגדרות!B7</f>
        <v/>
      </c>
      <c r="I1772">
        <f>F1772*(1-H1772/100)*1.18</f>
        <v/>
      </c>
      <c r="J1772">
        <f>הגדרות!C7</f>
        <v/>
      </c>
      <c r="K1772">
        <f>הגדרות!D7</f>
        <v/>
      </c>
      <c r="L1772">
        <f>I1772*(1+J1772/100)+K1772</f>
        <v/>
      </c>
    </row>
    <row r="1773">
      <c r="A1773" t="inlineStr">
        <is>
          <t>מדי-מרקט</t>
        </is>
      </c>
      <c r="B1773" t="inlineStr">
        <is>
          <t>N.E.P Tube Cream 50Ml</t>
        </is>
      </c>
      <c r="C1773" t="inlineStr">
        <is>
          <t>הכנות בית מרקחת</t>
        </is>
      </c>
      <c r="D1773" t="inlineStr">
        <is>
          <t>1001534</t>
        </is>
      </c>
      <c r="E1773" t="inlineStr">
        <is>
          <t>2026-06</t>
        </is>
      </c>
      <c r="F1773" t="n">
        <v>25.42</v>
      </c>
      <c r="G1773" t="n">
        <v>30</v>
      </c>
      <c r="H1773">
        <f>הגדרות!B7</f>
        <v/>
      </c>
      <c r="I1773">
        <f>F1773*(1-H1773/100)*1.18</f>
        <v/>
      </c>
      <c r="J1773">
        <f>הגדרות!C7</f>
        <v/>
      </c>
      <c r="K1773">
        <f>הגדרות!D7</f>
        <v/>
      </c>
      <c r="L1773">
        <f>I1773*(1+J1773/100)+K1773</f>
        <v/>
      </c>
    </row>
    <row r="1774">
      <c r="A1774" t="inlineStr">
        <is>
          <t>מדי-מרקט</t>
        </is>
      </c>
      <c r="B1774" t="inlineStr">
        <is>
          <t>Nacl/ Kcl Powder</t>
        </is>
      </c>
      <c r="C1774" t="inlineStr">
        <is>
          <t>הכנות בית מרקחת</t>
        </is>
      </c>
      <c r="D1774" t="inlineStr">
        <is>
          <t>600-801</t>
        </is>
      </c>
      <c r="E1774" t="inlineStr">
        <is>
          <t>2026-06</t>
        </is>
      </c>
      <c r="F1774" t="n">
        <v>10.17</v>
      </c>
      <c r="G1774" t="n">
        <v>12</v>
      </c>
      <c r="H1774">
        <f>הגדרות!B7</f>
        <v/>
      </c>
      <c r="I1774">
        <f>F1774*(1-H1774/100)*1.18</f>
        <v/>
      </c>
      <c r="J1774">
        <f>הגדרות!C7</f>
        <v/>
      </c>
      <c r="K1774">
        <f>הגדרות!D7</f>
        <v/>
      </c>
      <c r="L1774">
        <f>I1774*(1+J1774/100)+K1774</f>
        <v/>
      </c>
    </row>
    <row r="1775">
      <c r="A1775" t="inlineStr">
        <is>
          <t>מדי-מרקט</t>
        </is>
      </c>
      <c r="B1775" t="inlineStr">
        <is>
          <t>NaCl/Sod. Chlor. 0.9% Irrigation bottle 1L</t>
        </is>
      </c>
      <c r="C1775" t="inlineStr">
        <is>
          <t>תמיסות לעירוי ושטיפה</t>
        </is>
      </c>
      <c r="D1775" t="inlineStr">
        <is>
          <t>3439-1</t>
        </is>
      </c>
      <c r="E1775" t="inlineStr">
        <is>
          <t>2026-06</t>
        </is>
      </c>
      <c r="F1775" t="n">
        <v>10.34</v>
      </c>
      <c r="G1775" t="n">
        <v>12.2</v>
      </c>
      <c r="H1775">
        <f>הגדרות!B7</f>
        <v/>
      </c>
      <c r="I1775">
        <f>F1775*(1-H1775/100)*1.18</f>
        <v/>
      </c>
      <c r="J1775">
        <f>הגדרות!C7</f>
        <v/>
      </c>
      <c r="K1775">
        <f>הגדרות!D7</f>
        <v/>
      </c>
      <c r="L1775">
        <f>I1775*(1+J1775/100)+K1775</f>
        <v/>
      </c>
    </row>
    <row r="1776">
      <c r="A1776" t="inlineStr">
        <is>
          <t>מדי-מרקט</t>
        </is>
      </c>
      <c r="B1776" t="inlineStr">
        <is>
          <t>Naloxone Medo 0.4 mg/ml 10 amp (IL)</t>
        </is>
      </c>
      <c r="C1776" t="inlineStr">
        <is>
          <t>תרופות רשומות- מדי מרקט</t>
        </is>
      </c>
      <c r="D1776" t="inlineStr">
        <is>
          <t>25679</t>
        </is>
      </c>
      <c r="E1776" t="inlineStr">
        <is>
          <t>2026-06</t>
        </is>
      </c>
      <c r="F1776" t="n">
        <v>50.85</v>
      </c>
      <c r="G1776" t="n">
        <v>60</v>
      </c>
      <c r="H1776">
        <f>הגדרות!B7</f>
        <v/>
      </c>
      <c r="I1776">
        <f>F1776*(1-H1776/100)*1.18</f>
        <v/>
      </c>
      <c r="J1776">
        <f>הגדרות!C7</f>
        <v/>
      </c>
      <c r="K1776">
        <f>הגדרות!D7</f>
        <v/>
      </c>
      <c r="L1776">
        <f>I1776*(1+J1776/100)+K1776</f>
        <v/>
      </c>
    </row>
    <row r="1777">
      <c r="A1777" t="inlineStr">
        <is>
          <t>מדי-מרקט</t>
        </is>
      </c>
      <c r="B1777" t="inlineStr">
        <is>
          <t>Narocin 275 Mg Tabs: 20 נרוסין 20 טב'</t>
        </is>
      </c>
      <c r="C1777" t="inlineStr">
        <is>
          <t>תרופות</t>
        </is>
      </c>
      <c r="D1777" t="inlineStr">
        <is>
          <t>6338</t>
        </is>
      </c>
      <c r="E1777" t="inlineStr">
        <is>
          <t>2026-06</t>
        </is>
      </c>
      <c r="F1777" t="n">
        <v>24.49</v>
      </c>
      <c r="G1777" t="n">
        <v>28.9</v>
      </c>
      <c r="H1777">
        <f>הגדרות!B7</f>
        <v/>
      </c>
      <c r="I1777">
        <f>F1777*(1-H1777/100)*1.18</f>
        <v/>
      </c>
      <c r="J1777">
        <f>הגדרות!C7</f>
        <v/>
      </c>
      <c r="K1777">
        <f>הגדרות!D7</f>
        <v/>
      </c>
      <c r="L1777">
        <f>I1777*(1+J1777/100)+K1777</f>
        <v/>
      </c>
    </row>
    <row r="1778">
      <c r="A1778" t="inlineStr">
        <is>
          <t>מדי-מרקט</t>
        </is>
      </c>
      <c r="B1778" t="inlineStr">
        <is>
          <t>Naxyn 500 Mg Tabs:30 נאקסין 500 מ"ג 30 טב'</t>
        </is>
      </c>
      <c r="C1778" t="inlineStr">
        <is>
          <t>תרופות</t>
        </is>
      </c>
      <c r="D1778" t="inlineStr">
        <is>
          <t>10279</t>
        </is>
      </c>
      <c r="E1778" t="inlineStr">
        <is>
          <t>2026-06</t>
        </is>
      </c>
      <c r="F1778" t="n">
        <v>19.07</v>
      </c>
      <c r="G1778" t="n">
        <v>22.5</v>
      </c>
      <c r="H1778">
        <f>הגדרות!B7</f>
        <v/>
      </c>
      <c r="I1778">
        <f>F1778*(1-H1778/100)*1.18</f>
        <v/>
      </c>
      <c r="J1778">
        <f>הגדרות!C7</f>
        <v/>
      </c>
      <c r="K1778">
        <f>הגדרות!D7</f>
        <v/>
      </c>
      <c r="L1778">
        <f>I1778*(1+J1778/100)+K1778</f>
        <v/>
      </c>
    </row>
    <row r="1779">
      <c r="A1779" t="inlineStr">
        <is>
          <t>מדי-מרקט</t>
        </is>
      </c>
      <c r="B1779" t="inlineStr">
        <is>
          <t>Neobloc 100Mg X 30Tab</t>
        </is>
      </c>
      <c r="C1779" t="inlineStr">
        <is>
          <t>תרופות</t>
        </is>
      </c>
      <c r="D1779" t="inlineStr">
        <is>
          <t>25454</t>
        </is>
      </c>
      <c r="E1779" t="inlineStr">
        <is>
          <t>2026-06</t>
        </is>
      </c>
      <c r="F1779" t="n">
        <v>10.17</v>
      </c>
      <c r="G1779" t="n">
        <v>12</v>
      </c>
      <c r="H1779">
        <f>הגדרות!B7</f>
        <v/>
      </c>
      <c r="I1779">
        <f>F1779*(1-H1779/100)*1.18</f>
        <v/>
      </c>
      <c r="J1779">
        <f>הגדרות!C7</f>
        <v/>
      </c>
      <c r="K1779">
        <f>הגדרות!D7</f>
        <v/>
      </c>
      <c r="L1779">
        <f>I1779*(1+J1779/100)+K1779</f>
        <v/>
      </c>
    </row>
    <row r="1780">
      <c r="A1780" t="inlineStr">
        <is>
          <t>מדי-מרקט</t>
        </is>
      </c>
      <c r="B1780" t="inlineStr">
        <is>
          <t>Neocort Ointment 50Ml Jar</t>
        </is>
      </c>
      <c r="C1780" t="inlineStr">
        <is>
          <t>הכנות בית מרקחת</t>
        </is>
      </c>
      <c r="D1780" t="inlineStr">
        <is>
          <t>1321</t>
        </is>
      </c>
      <c r="E1780" t="inlineStr">
        <is>
          <t>2026-06</t>
        </is>
      </c>
      <c r="F1780" t="n">
        <v>3.2</v>
      </c>
      <c r="G1780" t="n">
        <v>3.78</v>
      </c>
      <c r="H1780">
        <f>הגדרות!B7</f>
        <v/>
      </c>
      <c r="I1780">
        <f>F1780*(1-H1780/100)*1.18</f>
        <v/>
      </c>
      <c r="J1780">
        <f>הגדרות!C7</f>
        <v/>
      </c>
      <c r="K1780">
        <f>הגדרות!D7</f>
        <v/>
      </c>
      <c r="L1780">
        <f>I1780*(1+J1780/100)+K1780</f>
        <v/>
      </c>
    </row>
    <row r="1781">
      <c r="A1781" t="inlineStr">
        <is>
          <t>מדי-מרקט</t>
        </is>
      </c>
      <c r="B1781" t="inlineStr">
        <is>
          <t>Neosttigmine 2.5 Mg/Ml 1Amp *10 נאוסטיגמין</t>
        </is>
      </c>
      <c r="C1781" t="inlineStr">
        <is>
          <t>תרופות</t>
        </is>
      </c>
      <c r="D1781" t="inlineStr">
        <is>
          <t>23587</t>
        </is>
      </c>
      <c r="E1781" t="inlineStr">
        <is>
          <t>2026-06</t>
        </is>
      </c>
      <c r="F1781" t="n">
        <v>67.29000000000001</v>
      </c>
      <c r="G1781" t="n">
        <v>79.40000000000001</v>
      </c>
      <c r="H1781">
        <f>הגדרות!B7</f>
        <v/>
      </c>
      <c r="I1781">
        <f>F1781*(1-H1781/100)*1.18</f>
        <v/>
      </c>
      <c r="J1781">
        <f>הגדרות!C7</f>
        <v/>
      </c>
      <c r="K1781">
        <f>הגדרות!D7</f>
        <v/>
      </c>
      <c r="L1781">
        <f>I1781*(1+J1781/100)+K1781</f>
        <v/>
      </c>
    </row>
    <row r="1782">
      <c r="A1782" t="inlineStr">
        <is>
          <t>מדי-מרקט</t>
        </is>
      </c>
      <c r="B1782" t="inlineStr">
        <is>
          <t>Neriderm 30G Cream</t>
        </is>
      </c>
      <c r="C1782" t="inlineStr">
        <is>
          <t>תרופות</t>
        </is>
      </c>
      <c r="D1782" t="inlineStr">
        <is>
          <t>14014</t>
        </is>
      </c>
      <c r="E1782" t="inlineStr">
        <is>
          <t>2026-06</t>
        </is>
      </c>
      <c r="F1782" t="n">
        <v>17.31</v>
      </c>
      <c r="G1782" t="n">
        <v>20.43</v>
      </c>
      <c r="H1782">
        <f>הגדרות!B7</f>
        <v/>
      </c>
      <c r="I1782">
        <f>F1782*(1-H1782/100)*1.18</f>
        <v/>
      </c>
      <c r="J1782">
        <f>הגדרות!C7</f>
        <v/>
      </c>
      <c r="K1782">
        <f>הגדרות!D7</f>
        <v/>
      </c>
      <c r="L1782">
        <f>I1782*(1+J1782/100)+K1782</f>
        <v/>
      </c>
    </row>
    <row r="1783">
      <c r="A1783" t="inlineStr">
        <is>
          <t>מדי-מרקט</t>
        </is>
      </c>
      <c r="B1783" t="inlineStr">
        <is>
          <t>Nevanac 0.1_% Ophtalmic Susp5Ml</t>
        </is>
      </c>
      <c r="C1783" t="inlineStr">
        <is>
          <t>תרופות</t>
        </is>
      </c>
      <c r="D1783" t="inlineStr">
        <is>
          <t>14548</t>
        </is>
      </c>
      <c r="E1783" t="inlineStr">
        <is>
          <t>2026-06</t>
        </is>
      </c>
      <c r="F1783" t="n">
        <v>78.22</v>
      </c>
      <c r="G1783" t="n">
        <v>92.3</v>
      </c>
      <c r="H1783">
        <f>הגדרות!B7</f>
        <v/>
      </c>
      <c r="I1783">
        <f>F1783*(1-H1783/100)*1.18</f>
        <v/>
      </c>
      <c r="J1783">
        <f>הגדרות!C7</f>
        <v/>
      </c>
      <c r="K1783">
        <f>הגדרות!D7</f>
        <v/>
      </c>
      <c r="L1783">
        <f>I1783*(1+J1783/100)+K1783</f>
        <v/>
      </c>
    </row>
    <row r="1784">
      <c r="A1784" t="inlineStr">
        <is>
          <t>מדי-מרקט</t>
        </is>
      </c>
      <c r="B1784" t="inlineStr">
        <is>
          <t>Nexium 20Mg X 28Tab</t>
        </is>
      </c>
      <c r="C1784" t="inlineStr">
        <is>
          <t>תרופות</t>
        </is>
      </c>
      <c r="D1784" t="inlineStr">
        <is>
          <t>1023569</t>
        </is>
      </c>
      <c r="E1784" t="inlineStr">
        <is>
          <t>2026-06</t>
        </is>
      </c>
      <c r="F1784" t="n">
        <v>22.88</v>
      </c>
      <c r="G1784" t="n">
        <v>27</v>
      </c>
      <c r="H1784">
        <f>הגדרות!B7</f>
        <v/>
      </c>
      <c r="I1784">
        <f>F1784*(1-H1784/100)*1.18</f>
        <v/>
      </c>
      <c r="J1784">
        <f>הגדרות!C7</f>
        <v/>
      </c>
      <c r="K1784">
        <f>הגדרות!D7</f>
        <v/>
      </c>
      <c r="L1784">
        <f>I1784*(1+J1784/100)+K1784</f>
        <v/>
      </c>
    </row>
    <row r="1785">
      <c r="A1785" t="inlineStr">
        <is>
          <t>מדי-מרקט</t>
        </is>
      </c>
      <c r="B1785" t="inlineStr">
        <is>
          <t>Nexium 40Mg X 28Tab</t>
        </is>
      </c>
      <c r="C1785" t="inlineStr">
        <is>
          <t>תרופות</t>
        </is>
      </c>
      <c r="D1785" t="inlineStr">
        <is>
          <t>2924</t>
        </is>
      </c>
      <c r="E1785" t="inlineStr">
        <is>
          <t>2026-06</t>
        </is>
      </c>
      <c r="F1785" t="n">
        <v>27.71</v>
      </c>
      <c r="G1785" t="n">
        <v>32.7</v>
      </c>
      <c r="H1785">
        <f>הגדרות!B7</f>
        <v/>
      </c>
      <c r="I1785">
        <f>F1785*(1-H1785/100)*1.18</f>
        <v/>
      </c>
      <c r="J1785">
        <f>הגדרות!C7</f>
        <v/>
      </c>
      <c r="K1785">
        <f>הגדרות!D7</f>
        <v/>
      </c>
      <c r="L1785">
        <f>I1785*(1+J1785/100)+K1785</f>
        <v/>
      </c>
    </row>
    <row r="1786">
      <c r="A1786" t="inlineStr">
        <is>
          <t>מדי-מרקט</t>
        </is>
      </c>
      <c r="B1786" t="inlineStr">
        <is>
          <t>Nifedilong 30Mg 30Srtab</t>
        </is>
      </c>
      <c r="C1786" t="inlineStr">
        <is>
          <t>תרופות</t>
        </is>
      </c>
      <c r="D1786" t="inlineStr">
        <is>
          <t>1239262</t>
        </is>
      </c>
      <c r="E1786" t="inlineStr">
        <is>
          <t>2026-06</t>
        </is>
      </c>
      <c r="F1786" t="n">
        <v>25.41</v>
      </c>
      <c r="G1786" t="n">
        <v>29.98</v>
      </c>
      <c r="H1786">
        <f>הגדרות!B7</f>
        <v/>
      </c>
      <c r="I1786">
        <f>F1786*(1-H1786/100)*1.18</f>
        <v/>
      </c>
      <c r="J1786">
        <f>הגדרות!C7</f>
        <v/>
      </c>
      <c r="K1786">
        <f>הגדרות!D7</f>
        <v/>
      </c>
      <c r="L1786">
        <f>I1786*(1+J1786/100)+K1786</f>
        <v/>
      </c>
    </row>
    <row r="1787">
      <c r="A1787" t="inlineStr">
        <is>
          <t>מדי-מרקט</t>
        </is>
      </c>
      <c r="B1787" t="inlineStr">
        <is>
          <t>Nipruss® (Nitroprusside Sodium 52,75Mg) X 5 Amp(Il</t>
        </is>
      </c>
      <c r="C1787" t="inlineStr">
        <is>
          <t>תרופות רשומות- מדי מרקט</t>
        </is>
      </c>
      <c r="D1787" t="inlineStr">
        <is>
          <t>2589688</t>
        </is>
      </c>
      <c r="E1787" t="inlineStr">
        <is>
          <t>2026-06</t>
        </is>
      </c>
      <c r="F1787" t="n">
        <v>512.71</v>
      </c>
      <c r="G1787" t="n">
        <v>605</v>
      </c>
      <c r="H1787">
        <f>הגדרות!B7</f>
        <v/>
      </c>
      <c r="I1787">
        <f>F1787*(1-H1787/100)*1.18</f>
        <v/>
      </c>
      <c r="J1787">
        <f>הגדרות!C7</f>
        <v/>
      </c>
      <c r="K1787">
        <f>הגדרות!D7</f>
        <v/>
      </c>
      <c r="L1787">
        <f>I1787*(1+J1787/100)+K1787</f>
        <v/>
      </c>
    </row>
    <row r="1788">
      <c r="A1788" t="inlineStr">
        <is>
          <t>מדי-מרקט</t>
        </is>
      </c>
      <c r="B1788" t="inlineStr">
        <is>
          <t>Noradrenaline Kalceks 4Mg/4Mlx 10Amp (Il)</t>
        </is>
      </c>
      <c r="C1788" t="inlineStr">
        <is>
          <t>תרופות רשומות- מדי מרקט</t>
        </is>
      </c>
      <c r="D1788" t="inlineStr">
        <is>
          <t>254689</t>
        </is>
      </c>
      <c r="E1788" t="inlineStr">
        <is>
          <t>2026-06</t>
        </is>
      </c>
      <c r="F1788" t="n">
        <v>35.59</v>
      </c>
      <c r="G1788" t="n">
        <v>42</v>
      </c>
      <c r="H1788">
        <f>הגדרות!B7</f>
        <v/>
      </c>
      <c r="I1788">
        <f>F1788*(1-H1788/100)*1.18</f>
        <v/>
      </c>
      <c r="J1788">
        <f>הגדרות!C7</f>
        <v/>
      </c>
      <c r="K1788">
        <f>הגדרות!D7</f>
        <v/>
      </c>
      <c r="L1788">
        <f>I1788*(1+J1788/100)+K1788</f>
        <v/>
      </c>
    </row>
    <row r="1789">
      <c r="A1789" t="inlineStr">
        <is>
          <t>מדי-מרקט</t>
        </is>
      </c>
      <c r="B1789" t="inlineStr">
        <is>
          <t>Norit 125Mg 50 Tabs</t>
        </is>
      </c>
      <c r="C1789" t="inlineStr">
        <is>
          <t>תרופות</t>
        </is>
      </c>
      <c r="D1789" t="inlineStr">
        <is>
          <t>4898</t>
        </is>
      </c>
      <c r="E1789" t="inlineStr">
        <is>
          <t>2026-06</t>
        </is>
      </c>
      <c r="F1789" t="n">
        <v>20.51</v>
      </c>
      <c r="G1789" t="n">
        <v>24.2</v>
      </c>
      <c r="H1789">
        <f>הגדרות!B7</f>
        <v/>
      </c>
      <c r="I1789">
        <f>F1789*(1-H1789/100)*1.18</f>
        <v/>
      </c>
      <c r="J1789">
        <f>הגדרות!C7</f>
        <v/>
      </c>
      <c r="K1789">
        <f>הגדרות!D7</f>
        <v/>
      </c>
      <c r="L1789">
        <f>I1789*(1+J1789/100)+K1789</f>
        <v/>
      </c>
    </row>
    <row r="1790">
      <c r="A1790" t="inlineStr">
        <is>
          <t>מדי-מרקט</t>
        </is>
      </c>
      <c r="B1790" t="inlineStr">
        <is>
          <t>Normalax (Polyethylene Glycol) 240Gr</t>
        </is>
      </c>
      <c r="C1790" t="inlineStr">
        <is>
          <t>תרופות</t>
        </is>
      </c>
      <c r="D1790" t="inlineStr">
        <is>
          <t>36454</t>
        </is>
      </c>
      <c r="E1790" t="inlineStr">
        <is>
          <t>2026-06</t>
        </is>
      </c>
      <c r="F1790" t="n">
        <v>33.05</v>
      </c>
      <c r="G1790" t="n">
        <v>39</v>
      </c>
      <c r="H1790">
        <f>הגדרות!B7</f>
        <v/>
      </c>
      <c r="I1790">
        <f>F1790*(1-H1790/100)*1.18</f>
        <v/>
      </c>
      <c r="J1790">
        <f>הגדרות!C7</f>
        <v/>
      </c>
      <c r="K1790">
        <f>הגדרות!D7</f>
        <v/>
      </c>
      <c r="L1790">
        <f>I1790*(1+J1790/100)+K1790</f>
        <v/>
      </c>
    </row>
    <row r="1791">
      <c r="A1791" t="inlineStr">
        <is>
          <t>מדי-מרקט</t>
        </is>
      </c>
      <c r="B1791" t="inlineStr">
        <is>
          <t>NORMALOL 25 MG 30TABS</t>
        </is>
      </c>
      <c r="C1791" t="inlineStr">
        <is>
          <t>תרופות</t>
        </is>
      </c>
      <c r="D1791" t="inlineStr">
        <is>
          <t>265465</t>
        </is>
      </c>
      <c r="E1791" t="inlineStr">
        <is>
          <t>2026-06</t>
        </is>
      </c>
      <c r="F1791" t="n">
        <v>8.050000000000001</v>
      </c>
      <c r="G1791" t="n">
        <v>9.5</v>
      </c>
      <c r="H1791">
        <f>הגדרות!B7</f>
        <v/>
      </c>
      <c r="I1791">
        <f>F1791*(1-H1791/100)*1.18</f>
        <v/>
      </c>
      <c r="J1791">
        <f>הגדרות!C7</f>
        <v/>
      </c>
      <c r="K1791">
        <f>הגדרות!D7</f>
        <v/>
      </c>
      <c r="L1791">
        <f>I1791*(1+J1791/100)+K1791</f>
        <v/>
      </c>
    </row>
    <row r="1792">
      <c r="A1792" t="inlineStr">
        <is>
          <t>מדי-מרקט</t>
        </is>
      </c>
      <c r="B1792" t="inlineStr">
        <is>
          <t>Normalol 50Mg X 30Tabs</t>
        </is>
      </c>
      <c r="C1792" t="inlineStr">
        <is>
          <t>תרופות</t>
        </is>
      </c>
      <c r="D1792" t="inlineStr">
        <is>
          <t>31687</t>
        </is>
      </c>
      <c r="E1792" t="inlineStr">
        <is>
          <t>2026-06</t>
        </is>
      </c>
      <c r="F1792" t="n">
        <v>9.83</v>
      </c>
      <c r="G1792" t="n">
        <v>11.6</v>
      </c>
      <c r="H1792">
        <f>הגדרות!B7</f>
        <v/>
      </c>
      <c r="I1792">
        <f>F1792*(1-H1792/100)*1.18</f>
        <v/>
      </c>
      <c r="J1792">
        <f>הגדרות!C7</f>
        <v/>
      </c>
      <c r="K1792">
        <f>הגדרות!D7</f>
        <v/>
      </c>
      <c r="L1792">
        <f>I1792*(1+J1792/100)+K1792</f>
        <v/>
      </c>
    </row>
    <row r="1793">
      <c r="A1793" t="inlineStr">
        <is>
          <t>מדי-מרקט</t>
        </is>
      </c>
      <c r="B1793" t="inlineStr">
        <is>
          <t>Normopresan 0.150 Mg X 30Tab</t>
        </is>
      </c>
      <c r="C1793" t="inlineStr">
        <is>
          <t>תרופות</t>
        </is>
      </c>
      <c r="D1793" t="inlineStr">
        <is>
          <t>20552</t>
        </is>
      </c>
      <c r="E1793" t="inlineStr">
        <is>
          <t>2026-06</t>
        </is>
      </c>
      <c r="F1793" t="n">
        <v>12.85</v>
      </c>
      <c r="G1793" t="n">
        <v>15.16</v>
      </c>
      <c r="H1793">
        <f>הגדרות!B7</f>
        <v/>
      </c>
      <c r="I1793">
        <f>F1793*(1-H1793/100)*1.18</f>
        <v/>
      </c>
      <c r="J1793">
        <f>הגדרות!C7</f>
        <v/>
      </c>
      <c r="K1793">
        <f>הגדרות!D7</f>
        <v/>
      </c>
      <c r="L1793">
        <f>I1793*(1+J1793/100)+K1793</f>
        <v/>
      </c>
    </row>
    <row r="1794">
      <c r="A1794" t="inlineStr">
        <is>
          <t>מדי-מרקט</t>
        </is>
      </c>
      <c r="B1794" t="inlineStr">
        <is>
          <t>Nortylin 25Mg X 30Cap</t>
        </is>
      </c>
      <c r="C1794" t="inlineStr">
        <is>
          <t>תרופות</t>
        </is>
      </c>
      <c r="D1794" t="inlineStr">
        <is>
          <t>187596</t>
        </is>
      </c>
      <c r="E1794" t="inlineStr">
        <is>
          <t>2026-06</t>
        </is>
      </c>
      <c r="F1794" t="n">
        <v>15.17</v>
      </c>
      <c r="G1794" t="n">
        <v>17.9</v>
      </c>
      <c r="H1794">
        <f>הגדרות!B7</f>
        <v/>
      </c>
      <c r="I1794">
        <f>F1794*(1-H1794/100)*1.18</f>
        <v/>
      </c>
      <c r="J1794">
        <f>הגדרות!C7</f>
        <v/>
      </c>
      <c r="K1794">
        <f>הגדרות!D7</f>
        <v/>
      </c>
      <c r="L1794">
        <f>I1794*(1+J1794/100)+K1794</f>
        <v/>
      </c>
    </row>
    <row r="1795">
      <c r="A1795" t="inlineStr">
        <is>
          <t>מדי-מרקט</t>
        </is>
      </c>
      <c r="B1795" t="inlineStr">
        <is>
          <t>NovaVet Creatinine Xpress Test Strips (2&amp;#215;25)</t>
        </is>
      </c>
      <c r="C1795" t="inlineStr">
        <is>
          <t>WOODLEY</t>
        </is>
      </c>
      <c r="D1795" t="inlineStr">
        <is>
          <t>WD1612</t>
        </is>
      </c>
      <c r="E1795" t="inlineStr">
        <is>
          <t>2026-06</t>
        </is>
      </c>
      <c r="F1795" t="n">
        <v>940.6799999999999</v>
      </c>
      <c r="G1795" t="n">
        <v>1110</v>
      </c>
      <c r="H1795">
        <f>הגדרות!B7</f>
        <v/>
      </c>
      <c r="I1795">
        <f>F1795*(1-H1795/100)*1.18</f>
        <v/>
      </c>
      <c r="J1795">
        <f>הגדרות!C7</f>
        <v/>
      </c>
      <c r="K1795">
        <f>הגדרות!D7</f>
        <v/>
      </c>
      <c r="L1795">
        <f>I1795*(1+J1795/100)+K1795</f>
        <v/>
      </c>
    </row>
    <row r="1796">
      <c r="A1796" t="inlineStr">
        <is>
          <t>מדי-מרקט</t>
        </is>
      </c>
      <c r="B1796" t="inlineStr">
        <is>
          <t>NovaVet Ketone Xpress Test Strips (1&amp;#215;25)</t>
        </is>
      </c>
      <c r="C1796" t="inlineStr">
        <is>
          <t>WOODLEY</t>
        </is>
      </c>
      <c r="D1796" t="inlineStr">
        <is>
          <t>WD1622</t>
        </is>
      </c>
      <c r="E1796" t="inlineStr">
        <is>
          <t>2026-06</t>
        </is>
      </c>
      <c r="F1796" t="n">
        <v>313.56</v>
      </c>
      <c r="G1796" t="n">
        <v>370</v>
      </c>
      <c r="H1796">
        <f>הגדרות!B7</f>
        <v/>
      </c>
      <c r="I1796">
        <f>F1796*(1-H1796/100)*1.18</f>
        <v/>
      </c>
      <c r="J1796">
        <f>הגדרות!C7</f>
        <v/>
      </c>
      <c r="K1796">
        <f>הגדרות!D7</f>
        <v/>
      </c>
      <c r="L1796">
        <f>I1796*(1+J1796/100)+K1796</f>
        <v/>
      </c>
    </row>
    <row r="1797">
      <c r="A1797" t="inlineStr">
        <is>
          <t>מדי-מרקט</t>
        </is>
      </c>
      <c r="B1797" t="inlineStr">
        <is>
          <t>NovaVet Lactate Xpress Test Strips (2&amp;#215;25)</t>
        </is>
      </c>
      <c r="C1797" t="inlineStr">
        <is>
          <t>WOODLEY</t>
        </is>
      </c>
      <c r="D1797" t="inlineStr">
        <is>
          <t>WD1603</t>
        </is>
      </c>
      <c r="E1797" t="inlineStr">
        <is>
          <t>2026-06</t>
        </is>
      </c>
      <c r="F1797" t="n">
        <v>502.82</v>
      </c>
      <c r="G1797" t="n">
        <v>593.33</v>
      </c>
      <c r="H1797">
        <f>הגדרות!B7</f>
        <v/>
      </c>
      <c r="I1797">
        <f>F1797*(1-H1797/100)*1.18</f>
        <v/>
      </c>
      <c r="J1797">
        <f>הגדרות!C7</f>
        <v/>
      </c>
      <c r="K1797">
        <f>הגדרות!D7</f>
        <v/>
      </c>
      <c r="L1797">
        <f>I1797*(1+J1797/100)+K1797</f>
        <v/>
      </c>
    </row>
    <row r="1798">
      <c r="A1798" t="inlineStr">
        <is>
          <t>מדי-מרקט</t>
        </is>
      </c>
      <c r="B1798" t="inlineStr">
        <is>
          <t>Nurofen For Children 10 Supp 125Mg</t>
        </is>
      </c>
      <c r="C1798" t="inlineStr">
        <is>
          <t>תרופות</t>
        </is>
      </c>
      <c r="D1798" t="inlineStr">
        <is>
          <t>03143</t>
        </is>
      </c>
      <c r="E1798" t="inlineStr">
        <is>
          <t>2026-06</t>
        </is>
      </c>
      <c r="F1798" t="n">
        <v>14.83</v>
      </c>
      <c r="G1798" t="n">
        <v>17.5</v>
      </c>
      <c r="H1798">
        <f>הגדרות!B7</f>
        <v/>
      </c>
      <c r="I1798">
        <f>F1798*(1-H1798/100)*1.18</f>
        <v/>
      </c>
      <c r="J1798">
        <f>הגדרות!C7</f>
        <v/>
      </c>
      <c r="K1798">
        <f>הגדרות!D7</f>
        <v/>
      </c>
      <c r="L1798">
        <f>I1798*(1+J1798/100)+K1798</f>
        <v/>
      </c>
    </row>
    <row r="1799">
      <c r="A1799" t="inlineStr">
        <is>
          <t>מדי-מרקט</t>
        </is>
      </c>
      <c r="B1799" t="inlineStr">
        <is>
          <t>Nurofen For Children 10 Supp 60 Mg</t>
        </is>
      </c>
      <c r="C1799" t="inlineStr">
        <is>
          <t>תרופות</t>
        </is>
      </c>
      <c r="D1799" t="inlineStr">
        <is>
          <t>03142</t>
        </is>
      </c>
      <c r="E1799" t="inlineStr">
        <is>
          <t>2026-06</t>
        </is>
      </c>
      <c r="F1799" t="n">
        <v>13.73</v>
      </c>
      <c r="G1799" t="n">
        <v>16.2</v>
      </c>
      <c r="H1799">
        <f>הגדרות!B7</f>
        <v/>
      </c>
      <c r="I1799">
        <f>F1799*(1-H1799/100)*1.18</f>
        <v/>
      </c>
      <c r="J1799">
        <f>הגדרות!C7</f>
        <v/>
      </c>
      <c r="K1799">
        <f>הגדרות!D7</f>
        <v/>
      </c>
      <c r="L1799">
        <f>I1799*(1+J1799/100)+K1799</f>
        <v/>
      </c>
    </row>
    <row r="1800">
      <c r="A1800" t="inlineStr">
        <is>
          <t>מדי-מרקט</t>
        </is>
      </c>
      <c r="B1800" t="inlineStr">
        <is>
          <t>Nurofen Liquid 200Mg X 20Cap</t>
        </is>
      </c>
      <c r="C1800" t="inlineStr">
        <is>
          <t>תרופות</t>
        </is>
      </c>
      <c r="D1800" t="inlineStr">
        <is>
          <t>23648</t>
        </is>
      </c>
      <c r="E1800" t="inlineStr">
        <is>
          <t>2026-06</t>
        </is>
      </c>
      <c r="F1800" t="n">
        <v>15.51</v>
      </c>
      <c r="G1800" t="n">
        <v>18.3</v>
      </c>
      <c r="H1800">
        <f>הגדרות!B7</f>
        <v/>
      </c>
      <c r="I1800">
        <f>F1800*(1-H1800/100)*1.18</f>
        <v/>
      </c>
      <c r="J1800">
        <f>הגדרות!C7</f>
        <v/>
      </c>
      <c r="K1800">
        <f>הגדרות!D7</f>
        <v/>
      </c>
      <c r="L1800">
        <f>I1800*(1+J1800/100)+K1800</f>
        <v/>
      </c>
    </row>
    <row r="1801">
      <c r="A1801" t="inlineStr">
        <is>
          <t>מדי-מרקט</t>
        </is>
      </c>
      <c r="B1801" t="inlineStr">
        <is>
          <t>Nurofen Liquid 200Mg X 40Cap</t>
        </is>
      </c>
      <c r="C1801" t="inlineStr">
        <is>
          <t>תרופות</t>
        </is>
      </c>
      <c r="D1801" t="inlineStr">
        <is>
          <t>366654</t>
        </is>
      </c>
      <c r="E1801" t="inlineStr">
        <is>
          <t>2026-06</t>
        </is>
      </c>
      <c r="F1801" t="n">
        <v>25.42</v>
      </c>
      <c r="G1801" t="n">
        <v>30</v>
      </c>
      <c r="H1801">
        <f>הגדרות!B7</f>
        <v/>
      </c>
      <c r="I1801">
        <f>F1801*(1-H1801/100)*1.18</f>
        <v/>
      </c>
      <c r="J1801">
        <f>הגדרות!C7</f>
        <v/>
      </c>
      <c r="K1801">
        <f>הגדרות!D7</f>
        <v/>
      </c>
      <c r="L1801">
        <f>I1801*(1+J1801/100)+K1801</f>
        <v/>
      </c>
    </row>
    <row r="1802">
      <c r="A1802" t="inlineStr">
        <is>
          <t>מדי-מרקט</t>
        </is>
      </c>
      <c r="B1802" t="inlineStr">
        <is>
          <t>Nurofen Orange נורופן סירופ ילדים 200 מ"ל</t>
        </is>
      </c>
      <c r="C1802" t="inlineStr">
        <is>
          <t>תרופות</t>
        </is>
      </c>
      <c r="D1802" t="inlineStr">
        <is>
          <t>60110</t>
        </is>
      </c>
      <c r="E1802" t="inlineStr">
        <is>
          <t>2026-06</t>
        </is>
      </c>
      <c r="F1802" t="n">
        <v>25.92</v>
      </c>
      <c r="G1802" t="n">
        <v>30.58</v>
      </c>
      <c r="H1802">
        <f>הגדרות!B7</f>
        <v/>
      </c>
      <c r="I1802">
        <f>F1802*(1-H1802/100)*1.18</f>
        <v/>
      </c>
      <c r="J1802">
        <f>הגדרות!C7</f>
        <v/>
      </c>
      <c r="K1802">
        <f>הגדרות!D7</f>
        <v/>
      </c>
      <c r="L1802">
        <f>I1802*(1+J1802/100)+K1802</f>
        <v/>
      </c>
    </row>
    <row r="1803">
      <c r="A1803" t="inlineStr">
        <is>
          <t>מדי-מרקט</t>
        </is>
      </c>
      <c r="B1803" t="inlineStr">
        <is>
          <t>Nurofen Quick 256 Mg 24 Tablets</t>
        </is>
      </c>
      <c r="C1803" t="inlineStr">
        <is>
          <t>תרופות</t>
        </is>
      </c>
      <c r="D1803" t="inlineStr">
        <is>
          <t>29393</t>
        </is>
      </c>
      <c r="E1803" t="inlineStr">
        <is>
          <t>2026-06</t>
        </is>
      </c>
      <c r="F1803" t="n">
        <v>12.71</v>
      </c>
      <c r="G1803" t="n">
        <v>15</v>
      </c>
      <c r="H1803">
        <f>הגדרות!B7</f>
        <v/>
      </c>
      <c r="I1803">
        <f>F1803*(1-H1803/100)*1.18</f>
        <v/>
      </c>
      <c r="J1803">
        <f>הגדרות!C7</f>
        <v/>
      </c>
      <c r="K1803">
        <f>הגדרות!D7</f>
        <v/>
      </c>
      <c r="L1803">
        <f>I1803*(1+J1803/100)+K1803</f>
        <v/>
      </c>
    </row>
    <row r="1804">
      <c r="A1804" t="inlineStr">
        <is>
          <t>מדי-מרקט</t>
        </is>
      </c>
      <c r="B1804" t="inlineStr">
        <is>
          <t>Nurofen נורופן סירופ ילדים תפוז 100 מל</t>
        </is>
      </c>
      <c r="C1804" t="inlineStr">
        <is>
          <t>תרופות</t>
        </is>
      </c>
      <c r="D1804" t="inlineStr">
        <is>
          <t>6010</t>
        </is>
      </c>
      <c r="E1804" t="inlineStr">
        <is>
          <t>2026-06</t>
        </is>
      </c>
      <c r="F1804" t="n">
        <v>12.81</v>
      </c>
      <c r="G1804" t="n">
        <v>15.12</v>
      </c>
      <c r="H1804">
        <f>הגדרות!B7</f>
        <v/>
      </c>
      <c r="I1804">
        <f>F1804*(1-H1804/100)*1.18</f>
        <v/>
      </c>
      <c r="J1804">
        <f>הגדרות!C7</f>
        <v/>
      </c>
      <c r="K1804">
        <f>הגדרות!D7</f>
        <v/>
      </c>
      <c r="L1804">
        <f>I1804*(1+J1804/100)+K1804</f>
        <v/>
      </c>
    </row>
    <row r="1805">
      <c r="A1805" t="inlineStr">
        <is>
          <t>מדי-מרקט</t>
        </is>
      </c>
      <c r="B1805" t="inlineStr">
        <is>
          <t>Nutren 2.0 250M 1/24 -בטעם ניטרלי</t>
        </is>
      </c>
      <c r="C1805" t="inlineStr">
        <is>
          <t>תרופות</t>
        </is>
      </c>
      <c r="D1805" t="inlineStr">
        <is>
          <t>513267</t>
        </is>
      </c>
      <c r="E1805" t="inlineStr">
        <is>
          <t>2026-06</t>
        </is>
      </c>
      <c r="F1805" t="n">
        <v>171.19</v>
      </c>
      <c r="G1805" t="n">
        <v>202</v>
      </c>
      <c r="H1805">
        <f>הגדרות!B7</f>
        <v/>
      </c>
      <c r="I1805">
        <f>F1805*(1-H1805/100)*1.18</f>
        <v/>
      </c>
      <c r="J1805">
        <f>הגדרות!C7</f>
        <v/>
      </c>
      <c r="K1805">
        <f>הגדרות!D7</f>
        <v/>
      </c>
      <c r="L1805">
        <f>I1805*(1+J1805/100)+K1805</f>
        <v/>
      </c>
    </row>
    <row r="1806">
      <c r="A1806" t="inlineStr">
        <is>
          <t>מדי-מרקט</t>
        </is>
      </c>
      <c r="B1806" t="inlineStr">
        <is>
          <t>Nystatin 100000UnMl Ready Mix Susp</t>
        </is>
      </c>
      <c r="C1806" t="inlineStr">
        <is>
          <t>תרופות</t>
        </is>
      </c>
      <c r="D1806" t="inlineStr">
        <is>
          <t>1081202135</t>
        </is>
      </c>
      <c r="E1806" t="inlineStr">
        <is>
          <t>2026-06</t>
        </is>
      </c>
      <c r="F1806" t="n">
        <v>17.8</v>
      </c>
      <c r="G1806" t="n">
        <v>21</v>
      </c>
      <c r="H1806">
        <f>הגדרות!B7</f>
        <v/>
      </c>
      <c r="I1806">
        <f>F1806*(1-H1806/100)*1.18</f>
        <v/>
      </c>
      <c r="J1806">
        <f>הגדרות!C7</f>
        <v/>
      </c>
      <c r="K1806">
        <f>הגדרות!D7</f>
        <v/>
      </c>
      <c r="L1806">
        <f>I1806*(1+J1806/100)+K1806</f>
        <v/>
      </c>
    </row>
    <row r="1807">
      <c r="A1807" t="inlineStr">
        <is>
          <t>מדי-מרקט</t>
        </is>
      </c>
      <c r="B1807" t="inlineStr">
        <is>
          <t>O. Paste  Fenbendazole  15Gr 30Ml</t>
        </is>
      </c>
      <c r="C1807" t="inlineStr">
        <is>
          <t>הכנות בית מרקחת</t>
        </is>
      </c>
      <c r="D1807" t="inlineStr">
        <is>
          <t>33672</t>
        </is>
      </c>
      <c r="E1807" t="inlineStr">
        <is>
          <t>2026-06</t>
        </is>
      </c>
      <c r="F1807" t="n">
        <v>50.85</v>
      </c>
      <c r="G1807" t="n">
        <v>60</v>
      </c>
      <c r="H1807">
        <f>הגדרות!B7</f>
        <v/>
      </c>
      <c r="I1807">
        <f>F1807*(1-H1807/100)*1.18</f>
        <v/>
      </c>
      <c r="J1807">
        <f>הגדרות!C7</f>
        <v/>
      </c>
      <c r="K1807">
        <f>הגדרות!D7</f>
        <v/>
      </c>
      <c r="L1807">
        <f>I1807*(1+J1807/100)+K1807</f>
        <v/>
      </c>
    </row>
    <row r="1808">
      <c r="A1808" t="inlineStr">
        <is>
          <t>מדי-מרקט</t>
        </is>
      </c>
      <c r="B1808" t="inlineStr">
        <is>
          <t>O. Paste  Ivermectin 0.12Gr + Praziquantel 1.5Gr 15Ml</t>
        </is>
      </c>
      <c r="C1808" t="inlineStr">
        <is>
          <t>הכנות בית מרקחת</t>
        </is>
      </c>
      <c r="D1808" t="inlineStr">
        <is>
          <t>97774</t>
        </is>
      </c>
      <c r="E1808" t="inlineStr">
        <is>
          <t>2026-06</t>
        </is>
      </c>
      <c r="F1808" t="n">
        <v>9.15</v>
      </c>
      <c r="G1808" t="n">
        <v>10.8</v>
      </c>
      <c r="H1808">
        <f>הגדרות!B7</f>
        <v/>
      </c>
      <c r="I1808">
        <f>F1808*(1-H1808/100)*1.18</f>
        <v/>
      </c>
      <c r="J1808">
        <f>הגדרות!C7</f>
        <v/>
      </c>
      <c r="K1808">
        <f>הגדרות!D7</f>
        <v/>
      </c>
      <c r="L1808">
        <f>I1808*(1+J1808/100)+K1808</f>
        <v/>
      </c>
    </row>
    <row r="1809">
      <c r="A1809" t="inlineStr">
        <is>
          <t>מדי-מרקט</t>
        </is>
      </c>
      <c r="B1809" t="inlineStr">
        <is>
          <t>O. Paste Fenbendazole  30Gr 60Ml</t>
        </is>
      </c>
      <c r="C1809" t="inlineStr">
        <is>
          <t>הכנות בית מרקחת</t>
        </is>
      </c>
      <c r="D1809" t="inlineStr">
        <is>
          <t>33673</t>
        </is>
      </c>
      <c r="E1809" t="inlineStr">
        <is>
          <t>2026-06</t>
        </is>
      </c>
      <c r="F1809" t="n">
        <v>42.37</v>
      </c>
      <c r="G1809" t="n">
        <v>50</v>
      </c>
      <c r="H1809">
        <f>הגדרות!B7</f>
        <v/>
      </c>
      <c r="I1809">
        <f>F1809*(1-H1809/100)*1.18</f>
        <v/>
      </c>
      <c r="J1809">
        <f>הגדרות!C7</f>
        <v/>
      </c>
      <c r="K1809">
        <f>הגדרות!D7</f>
        <v/>
      </c>
      <c r="L1809">
        <f>I1809*(1+J1809/100)+K1809</f>
        <v/>
      </c>
    </row>
    <row r="1810">
      <c r="A1810" t="inlineStr">
        <is>
          <t>מדי-מרקט</t>
        </is>
      </c>
      <c r="B1810" t="inlineStr">
        <is>
          <t>O. Paste Ivermectin 0.008 gr/ml + Praziquantel 0.1 gr/ml 30</t>
        </is>
      </c>
      <c r="C1810" t="inlineStr">
        <is>
          <t>הכנות בית מרקחת</t>
        </is>
      </c>
      <c r="D1810" t="inlineStr">
        <is>
          <t>97774-1</t>
        </is>
      </c>
      <c r="E1810" t="inlineStr">
        <is>
          <t>2026-06</t>
        </is>
      </c>
      <c r="F1810" t="n">
        <v>44.07</v>
      </c>
      <c r="G1810" t="n">
        <v>52</v>
      </c>
      <c r="H1810">
        <f>הגדרות!B7</f>
        <v/>
      </c>
      <c r="I1810">
        <f>F1810*(1-H1810/100)*1.18</f>
        <v/>
      </c>
      <c r="J1810">
        <f>הגדרות!C7</f>
        <v/>
      </c>
      <c r="K1810">
        <f>הגדרות!D7</f>
        <v/>
      </c>
      <c r="L1810">
        <f>I1810*(1+J1810/100)+K1810</f>
        <v/>
      </c>
    </row>
    <row r="1811">
      <c r="A1811" t="inlineStr">
        <is>
          <t>מדי-מרקט</t>
        </is>
      </c>
      <c r="B1811" t="inlineStr">
        <is>
          <t>O. Paste Omeprazole 400Mg/Ml 30Ml</t>
        </is>
      </c>
      <c r="C1811" t="inlineStr">
        <is>
          <t>הכנות בית מרקחת</t>
        </is>
      </c>
      <c r="D1811" t="inlineStr">
        <is>
          <t>72020</t>
        </is>
      </c>
      <c r="E1811" t="inlineStr">
        <is>
          <t>2026-06</t>
        </is>
      </c>
      <c r="F1811" t="n">
        <v>76.27</v>
      </c>
      <c r="G1811" t="n">
        <v>90</v>
      </c>
      <c r="H1811">
        <f>הגדרות!B7</f>
        <v/>
      </c>
      <c r="I1811">
        <f>F1811*(1-H1811/100)*1.18</f>
        <v/>
      </c>
      <c r="J1811">
        <f>הגדרות!C7</f>
        <v/>
      </c>
      <c r="K1811">
        <f>הגדרות!D7</f>
        <v/>
      </c>
      <c r="L1811">
        <f>I1811*(1+J1811/100)+K1811</f>
        <v/>
      </c>
    </row>
    <row r="1812">
      <c r="A1812" t="inlineStr">
        <is>
          <t>מדי-מרקט</t>
        </is>
      </c>
      <c r="B1812" t="inlineStr">
        <is>
          <t>O. Paste Pyrantel 12Gr + Praziquantel 1.5Gr 30Ml</t>
        </is>
      </c>
      <c r="C1812" t="inlineStr">
        <is>
          <t>הכנות בית מרקחת</t>
        </is>
      </c>
      <c r="D1812" t="inlineStr">
        <is>
          <t>4770</t>
        </is>
      </c>
      <c r="E1812" t="inlineStr">
        <is>
          <t>2026-06</t>
        </is>
      </c>
      <c r="F1812" t="n">
        <v>35.59</v>
      </c>
      <c r="G1812" t="n">
        <v>42</v>
      </c>
      <c r="H1812">
        <f>הגדרות!B7</f>
        <v/>
      </c>
      <c r="I1812">
        <f>F1812*(1-H1812/100)*1.18</f>
        <v/>
      </c>
      <c r="J1812">
        <f>הגדרות!C7</f>
        <v/>
      </c>
      <c r="K1812">
        <f>הגדרות!D7</f>
        <v/>
      </c>
      <c r="L1812">
        <f>I1812*(1+J1812/100)+K1812</f>
        <v/>
      </c>
    </row>
    <row r="1813">
      <c r="A1813" t="inlineStr">
        <is>
          <t>מדי-מרקט</t>
        </is>
      </c>
      <c r="B1813" t="inlineStr">
        <is>
          <t>O. Paste Pyrantel 260mg/ml +Ivermectin 8mg/ml 15Ml</t>
        </is>
      </c>
      <c r="C1813" t="inlineStr">
        <is>
          <t>הכנות בית מרקחת</t>
        </is>
      </c>
      <c r="D1813" t="inlineStr">
        <is>
          <t>33668</t>
        </is>
      </c>
      <c r="E1813" t="inlineStr">
        <is>
          <t>2026-06</t>
        </is>
      </c>
      <c r="F1813" t="n">
        <v>29.66</v>
      </c>
      <c r="G1813" t="n">
        <v>35</v>
      </c>
      <c r="H1813">
        <f>הגדרות!B7</f>
        <v/>
      </c>
      <c r="I1813">
        <f>F1813*(1-H1813/100)*1.18</f>
        <v/>
      </c>
      <c r="J1813">
        <f>הגדרות!C7</f>
        <v/>
      </c>
      <c r="K1813">
        <f>הגדרות!D7</f>
        <v/>
      </c>
      <c r="L1813">
        <f>I1813*(1+J1813/100)+K1813</f>
        <v/>
      </c>
    </row>
    <row r="1814">
      <c r="A1814" t="inlineStr">
        <is>
          <t>מדי-מרקט</t>
        </is>
      </c>
      <c r="B1814" t="inlineStr">
        <is>
          <t>O. Paste Pyrantel 3.4Gr+Praziquantel 0.9 Gr 15Ml</t>
        </is>
      </c>
      <c r="C1814" t="inlineStr">
        <is>
          <t>הכנות בית מרקחת</t>
        </is>
      </c>
      <c r="D1814" t="inlineStr">
        <is>
          <t>477</t>
        </is>
      </c>
      <c r="E1814" t="inlineStr">
        <is>
          <t>2026-06</t>
        </is>
      </c>
      <c r="F1814" t="n">
        <v>11.44</v>
      </c>
      <c r="G1814" t="n">
        <v>13.5</v>
      </c>
      <c r="H1814">
        <f>הגדרות!B7</f>
        <v/>
      </c>
      <c r="I1814">
        <f>F1814*(1-H1814/100)*1.18</f>
        <v/>
      </c>
      <c r="J1814">
        <f>הגדרות!C7</f>
        <v/>
      </c>
      <c r="K1814">
        <f>הגדרות!D7</f>
        <v/>
      </c>
      <c r="L1814">
        <f>I1814*(1+J1814/100)+K1814</f>
        <v/>
      </c>
    </row>
    <row r="1815">
      <c r="A1815" t="inlineStr">
        <is>
          <t>מדי-מרקט</t>
        </is>
      </c>
      <c r="B1815" t="inlineStr">
        <is>
          <t>O. Paste Pyrantel 4G+ Fenbendazole 3G  15Ml</t>
        </is>
      </c>
      <c r="C1815" t="inlineStr">
        <is>
          <t>הכנות בית מרקחת</t>
        </is>
      </c>
      <c r="D1815" t="inlineStr">
        <is>
          <t>1466</t>
        </is>
      </c>
      <c r="E1815" t="inlineStr">
        <is>
          <t>2026-06</t>
        </is>
      </c>
      <c r="F1815" t="n">
        <v>38.14</v>
      </c>
      <c r="G1815" t="n">
        <v>45</v>
      </c>
      <c r="H1815">
        <f>הגדרות!B7</f>
        <v/>
      </c>
      <c r="I1815">
        <f>F1815*(1-H1815/100)*1.18</f>
        <v/>
      </c>
      <c r="J1815">
        <f>הגדרות!C7</f>
        <v/>
      </c>
      <c r="K1815">
        <f>הגדרות!D7</f>
        <v/>
      </c>
      <c r="L1815">
        <f>I1815*(1+J1815/100)+K1815</f>
        <v/>
      </c>
    </row>
    <row r="1816">
      <c r="A1816" t="inlineStr">
        <is>
          <t>מדי-מרקט</t>
        </is>
      </c>
      <c r="B1816" t="inlineStr">
        <is>
          <t>Ocil Eye Ointment Oxytetracicline 5 Mg/Gram 5Gr</t>
        </is>
      </c>
      <c r="C1816" t="inlineStr">
        <is>
          <t>29ג' וטרינרי</t>
        </is>
      </c>
      <c r="D1816" t="inlineStr">
        <is>
          <t>412369</t>
        </is>
      </c>
      <c r="E1816" t="inlineStr">
        <is>
          <t>2026-06</t>
        </is>
      </c>
      <c r="F1816" t="n">
        <v>11.54</v>
      </c>
      <c r="G1816" t="n">
        <v>13.62</v>
      </c>
      <c r="H1816">
        <f>הגדרות!B7</f>
        <v/>
      </c>
      <c r="I1816">
        <f>F1816*(1-H1816/100)*1.18</f>
        <v/>
      </c>
      <c r="J1816">
        <f>הגדרות!C7</f>
        <v/>
      </c>
      <c r="K1816">
        <f>הגדרות!D7</f>
        <v/>
      </c>
      <c r="L1816">
        <f>I1816*(1+J1816/100)+K1816</f>
        <v/>
      </c>
    </row>
    <row r="1817">
      <c r="A1817" t="inlineStr">
        <is>
          <t>מדי-מרקט</t>
        </is>
      </c>
      <c r="B1817" t="inlineStr">
        <is>
          <t>OFEV 150MG X 60cap</t>
        </is>
      </c>
      <c r="C1817" t="inlineStr">
        <is>
          <t>תרופות</t>
        </is>
      </c>
      <c r="D1817" t="inlineStr">
        <is>
          <t>15451</t>
        </is>
      </c>
      <c r="E1817" t="inlineStr">
        <is>
          <t>2026-06</t>
        </is>
      </c>
      <c r="F1817" t="n">
        <v>9239.75</v>
      </c>
      <c r="G1817" t="n">
        <v>10902.9</v>
      </c>
      <c r="H1817">
        <f>הגדרות!B7</f>
        <v/>
      </c>
      <c r="I1817">
        <f>F1817*(1-H1817/100)*1.18</f>
        <v/>
      </c>
      <c r="J1817">
        <f>הגדרות!C7</f>
        <v/>
      </c>
      <c r="K1817">
        <f>הגדרות!D7</f>
        <v/>
      </c>
      <c r="L1817">
        <f>I1817*(1+J1817/100)+K1817</f>
        <v/>
      </c>
    </row>
    <row r="1818">
      <c r="A1818" t="inlineStr">
        <is>
          <t>מדי-מרקט</t>
        </is>
      </c>
      <c r="B1818" t="inlineStr">
        <is>
          <t>Oflex Eye Drops 3Mg/Ml 10Ml Veterinary</t>
        </is>
      </c>
      <c r="C1818" t="inlineStr">
        <is>
          <t>29ג' וטרינרי</t>
        </is>
      </c>
      <c r="D1818" t="inlineStr">
        <is>
          <t>40401</t>
        </is>
      </c>
      <c r="E1818" t="inlineStr">
        <is>
          <t>2026-06</t>
        </is>
      </c>
      <c r="F1818" t="n">
        <v>9.880000000000001</v>
      </c>
      <c r="G1818" t="n">
        <v>11.66</v>
      </c>
      <c r="H1818">
        <f>הגדרות!B7</f>
        <v/>
      </c>
      <c r="I1818">
        <f>F1818*(1-H1818/100)*1.18</f>
        <v/>
      </c>
      <c r="J1818">
        <f>הגדרות!C7</f>
        <v/>
      </c>
      <c r="K1818">
        <f>הגדרות!D7</f>
        <v/>
      </c>
      <c r="L1818">
        <f>I1818*(1+J1818/100)+K1818</f>
        <v/>
      </c>
    </row>
    <row r="1819">
      <c r="A1819" t="inlineStr">
        <is>
          <t>מדי-מרקט</t>
        </is>
      </c>
      <c r="B1819" t="inlineStr">
        <is>
          <t>Oflex Eye Gel 3Mg/Ml 10Ml Veterinary</t>
        </is>
      </c>
      <c r="C1819" t="inlineStr">
        <is>
          <t>29ג' וטרינרי</t>
        </is>
      </c>
      <c r="D1819" t="inlineStr">
        <is>
          <t>40402</t>
        </is>
      </c>
      <c r="E1819" t="inlineStr">
        <is>
          <t>2026-06</t>
        </is>
      </c>
      <c r="F1819" t="n">
        <v>22.03</v>
      </c>
      <c r="G1819" t="n">
        <v>26</v>
      </c>
      <c r="H1819">
        <f>הגדרות!B7</f>
        <v/>
      </c>
      <c r="I1819">
        <f>F1819*(1-H1819/100)*1.18</f>
        <v/>
      </c>
      <c r="J1819">
        <f>הגדרות!C7</f>
        <v/>
      </c>
      <c r="K1819">
        <f>הגדרות!D7</f>
        <v/>
      </c>
      <c r="L1819">
        <f>I1819*(1+J1819/100)+K1819</f>
        <v/>
      </c>
    </row>
    <row r="1820">
      <c r="A1820" t="inlineStr">
        <is>
          <t>מדי-מרקט</t>
        </is>
      </c>
      <c r="B1820" t="inlineStr">
        <is>
          <t>Oflodex 200Mg X 20Tab</t>
        </is>
      </c>
      <c r="C1820" t="inlineStr">
        <is>
          <t>תרופות</t>
        </is>
      </c>
      <c r="D1820" t="inlineStr">
        <is>
          <t>5855</t>
        </is>
      </c>
      <c r="E1820" t="inlineStr">
        <is>
          <t>2026-06</t>
        </is>
      </c>
      <c r="F1820" t="n">
        <v>21.36</v>
      </c>
      <c r="G1820" t="n">
        <v>25.2</v>
      </c>
      <c r="H1820">
        <f>הגדרות!B7</f>
        <v/>
      </c>
      <c r="I1820">
        <f>F1820*(1-H1820/100)*1.18</f>
        <v/>
      </c>
      <c r="J1820">
        <f>הגדרות!C7</f>
        <v/>
      </c>
      <c r="K1820">
        <f>הגדרות!D7</f>
        <v/>
      </c>
      <c r="L1820">
        <f>I1820*(1+J1820/100)+K1820</f>
        <v/>
      </c>
    </row>
    <row r="1821">
      <c r="A1821" t="inlineStr">
        <is>
          <t>מדי-מרקט</t>
        </is>
      </c>
      <c r="B1821" t="inlineStr">
        <is>
          <t>OFLOXACIN EDOL 0.3 %EYE DROPS 10 ML (IL)</t>
        </is>
      </c>
      <c r="C1821" t="inlineStr">
        <is>
          <t>תרופות רשומות- מדי מרקט</t>
        </is>
      </c>
      <c r="D1821" t="inlineStr">
        <is>
          <t>52458</t>
        </is>
      </c>
      <c r="E1821" t="inlineStr">
        <is>
          <t>2026-06</t>
        </is>
      </c>
      <c r="F1821" t="n">
        <v>6.8</v>
      </c>
      <c r="G1821" t="n">
        <v>8.02</v>
      </c>
      <c r="H1821">
        <f>הגדרות!B7</f>
        <v/>
      </c>
      <c r="I1821">
        <f>F1821*(1-H1821/100)*1.18</f>
        <v/>
      </c>
      <c r="J1821">
        <f>הגדרות!C7</f>
        <v/>
      </c>
      <c r="K1821">
        <f>הגדרות!D7</f>
        <v/>
      </c>
      <c r="L1821">
        <f>I1821*(1+J1821/100)+K1821</f>
        <v/>
      </c>
    </row>
    <row r="1822">
      <c r="A1822" t="inlineStr">
        <is>
          <t>מדי-מרקט</t>
        </is>
      </c>
      <c r="B1822" t="inlineStr">
        <is>
          <t>Ofloxacin Teva 200 Mg 20 Tab</t>
        </is>
      </c>
      <c r="C1822" t="inlineStr">
        <is>
          <t>תרופות</t>
        </is>
      </c>
      <c r="D1822" t="inlineStr">
        <is>
          <t>7820</t>
        </is>
      </c>
      <c r="E1822" t="inlineStr">
        <is>
          <t>2026-06</t>
        </is>
      </c>
      <c r="F1822" t="n">
        <v>17.29</v>
      </c>
      <c r="G1822" t="n">
        <v>20.4</v>
      </c>
      <c r="H1822">
        <f>הגדרות!B7</f>
        <v/>
      </c>
      <c r="I1822">
        <f>F1822*(1-H1822/100)*1.18</f>
        <v/>
      </c>
      <c r="J1822">
        <f>הגדרות!C7</f>
        <v/>
      </c>
      <c r="K1822">
        <f>הגדרות!D7</f>
        <v/>
      </c>
      <c r="L1822">
        <f>I1822*(1+J1822/100)+K1822</f>
        <v/>
      </c>
    </row>
    <row r="1823">
      <c r="A1823" t="inlineStr">
        <is>
          <t>מדי-מרקט</t>
        </is>
      </c>
      <c r="B1823" t="inlineStr">
        <is>
          <t>Oil Susp. AmoxiClav 150mg/mL 30mL</t>
        </is>
      </c>
      <c r="C1823" t="inlineStr">
        <is>
          <t>הכנות בית מרקחת</t>
        </is>
      </c>
      <c r="D1823" t="inlineStr">
        <is>
          <t>30124</t>
        </is>
      </c>
      <c r="E1823" t="inlineStr">
        <is>
          <t>2026-06</t>
        </is>
      </c>
      <c r="F1823" t="n">
        <v>31.36</v>
      </c>
      <c r="G1823" t="n">
        <v>37</v>
      </c>
      <c r="H1823">
        <f>הגדרות!B7</f>
        <v/>
      </c>
      <c r="I1823">
        <f>F1823*(1-H1823/100)*1.18</f>
        <v/>
      </c>
      <c r="J1823">
        <f>הגדרות!C7</f>
        <v/>
      </c>
      <c r="K1823">
        <f>הגדרות!D7</f>
        <v/>
      </c>
      <c r="L1823">
        <f>I1823*(1+J1823/100)+K1823</f>
        <v/>
      </c>
    </row>
    <row r="1824">
      <c r="A1824" t="inlineStr">
        <is>
          <t>מדי-מרקט</t>
        </is>
      </c>
      <c r="B1824" t="inlineStr">
        <is>
          <t>Oil Susp. AmoxiClav 75mg/mL 15mL</t>
        </is>
      </c>
      <c r="C1824" t="inlineStr">
        <is>
          <t>הכנות בית מרקחת</t>
        </is>
      </c>
      <c r="D1824" t="inlineStr">
        <is>
          <t>30123</t>
        </is>
      </c>
      <c r="E1824" t="inlineStr">
        <is>
          <t>2026-06</t>
        </is>
      </c>
      <c r="F1824" t="n">
        <v>4.12</v>
      </c>
      <c r="G1824" t="n">
        <v>4.86</v>
      </c>
      <c r="H1824">
        <f>הגדרות!B7</f>
        <v/>
      </c>
      <c r="I1824">
        <f>F1824*(1-H1824/100)*1.18</f>
        <v/>
      </c>
      <c r="J1824">
        <f>הגדרות!C7</f>
        <v/>
      </c>
      <c r="K1824">
        <f>הגדרות!D7</f>
        <v/>
      </c>
      <c r="L1824">
        <f>I1824*(1+J1824/100)+K1824</f>
        <v/>
      </c>
    </row>
    <row r="1825">
      <c r="A1825" t="inlineStr">
        <is>
          <t>מדי-מרקט</t>
        </is>
      </c>
      <c r="B1825" t="inlineStr">
        <is>
          <t>Oil Susp. Amoxycillin 150mg/mL 30mL</t>
        </is>
      </c>
      <c r="C1825" t="inlineStr">
        <is>
          <t>הכנות בית מרקחת</t>
        </is>
      </c>
      <c r="D1825" t="inlineStr">
        <is>
          <t>48299</t>
        </is>
      </c>
      <c r="E1825" t="inlineStr">
        <is>
          <t>2026-06</t>
        </is>
      </c>
      <c r="F1825" t="n">
        <v>4.58</v>
      </c>
      <c r="G1825" t="n">
        <v>5.4</v>
      </c>
      <c r="H1825">
        <f>הגדרות!B7</f>
        <v/>
      </c>
      <c r="I1825">
        <f>F1825*(1-H1825/100)*1.18</f>
        <v/>
      </c>
      <c r="J1825">
        <f>הגדרות!C7</f>
        <v/>
      </c>
      <c r="K1825">
        <f>הגדרות!D7</f>
        <v/>
      </c>
      <c r="L1825">
        <f>I1825*(1+J1825/100)+K1825</f>
        <v/>
      </c>
    </row>
    <row r="1826">
      <c r="A1826" t="inlineStr">
        <is>
          <t>מדי-מרקט</t>
        </is>
      </c>
      <c r="B1826" t="inlineStr">
        <is>
          <t>Oil Susp. Azithromycin 50mg/mL 15mL</t>
        </is>
      </c>
      <c r="C1826" t="inlineStr">
        <is>
          <t>הכנות בית מרקחת</t>
        </is>
      </c>
      <c r="D1826" t="inlineStr">
        <is>
          <t>11010</t>
        </is>
      </c>
      <c r="E1826" t="inlineStr">
        <is>
          <t>2026-06</t>
        </is>
      </c>
      <c r="F1826" t="n">
        <v>30.51</v>
      </c>
      <c r="G1826" t="n">
        <v>36</v>
      </c>
      <c r="H1826">
        <f>הגדרות!B7</f>
        <v/>
      </c>
      <c r="I1826">
        <f>F1826*(1-H1826/100)*1.18</f>
        <v/>
      </c>
      <c r="J1826">
        <f>הגדרות!C7</f>
        <v/>
      </c>
      <c r="K1826">
        <f>הגדרות!D7</f>
        <v/>
      </c>
      <c r="L1826">
        <f>I1826*(1+J1826/100)+K1826</f>
        <v/>
      </c>
    </row>
    <row r="1827">
      <c r="A1827" t="inlineStr">
        <is>
          <t>מדי-מרקט</t>
        </is>
      </c>
      <c r="B1827" t="inlineStr">
        <is>
          <t>Oil Susp. Azithromycin 50mg/mL 30mL</t>
        </is>
      </c>
      <c r="C1827" t="inlineStr">
        <is>
          <t>הכנות בית מרקחת</t>
        </is>
      </c>
      <c r="D1827" t="inlineStr">
        <is>
          <t>11014</t>
        </is>
      </c>
      <c r="E1827" t="inlineStr">
        <is>
          <t>2026-06</t>
        </is>
      </c>
      <c r="F1827" t="n">
        <v>13.73</v>
      </c>
      <c r="G1827" t="n">
        <v>16.2</v>
      </c>
      <c r="H1827">
        <f>הגדרות!B7</f>
        <v/>
      </c>
      <c r="I1827">
        <f>F1827*(1-H1827/100)*1.18</f>
        <v/>
      </c>
      <c r="J1827">
        <f>הגדרות!C7</f>
        <v/>
      </c>
      <c r="K1827">
        <f>הגדרות!D7</f>
        <v/>
      </c>
      <c r="L1827">
        <f>I1827*(1+J1827/100)+K1827</f>
        <v/>
      </c>
    </row>
    <row r="1828">
      <c r="A1828" t="inlineStr">
        <is>
          <t>מדי-מרקט</t>
        </is>
      </c>
      <c r="B1828" t="inlineStr">
        <is>
          <t>Oil Susp. Buprenorphine 0.6mg/mL 20mL</t>
        </is>
      </c>
      <c r="C1828" t="inlineStr">
        <is>
          <t>הכנות בית מרקחת</t>
        </is>
      </c>
      <c r="D1828" t="inlineStr">
        <is>
          <t>29121</t>
        </is>
      </c>
      <c r="E1828" t="inlineStr">
        <is>
          <t>2026-06</t>
        </is>
      </c>
      <c r="F1828" t="n">
        <v>50.85</v>
      </c>
      <c r="G1828" t="n">
        <v>60</v>
      </c>
      <c r="H1828">
        <f>הגדרות!B7</f>
        <v/>
      </c>
      <c r="I1828">
        <f>F1828*(1-H1828/100)*1.18</f>
        <v/>
      </c>
      <c r="J1828">
        <f>הגדרות!C7</f>
        <v/>
      </c>
      <c r="K1828">
        <f>הגדרות!D7</f>
        <v/>
      </c>
      <c r="L1828">
        <f>I1828*(1+J1828/100)+K1828</f>
        <v/>
      </c>
    </row>
    <row r="1829">
      <c r="A1829" t="inlineStr">
        <is>
          <t>מדי-מרקט</t>
        </is>
      </c>
      <c r="B1829" t="inlineStr">
        <is>
          <t>Oil Susp. Cephalexin 150mg/mL 30mL</t>
        </is>
      </c>
      <c r="C1829" t="inlineStr">
        <is>
          <t>הכנות בית מרקחת</t>
        </is>
      </c>
      <c r="D1829" t="inlineStr">
        <is>
          <t>22891</t>
        </is>
      </c>
      <c r="E1829" t="inlineStr">
        <is>
          <t>2026-06</t>
        </is>
      </c>
      <c r="F1829" t="n">
        <v>3.83</v>
      </c>
      <c r="G1829" t="n">
        <v>4.52</v>
      </c>
      <c r="H1829">
        <f>הגדרות!B7</f>
        <v/>
      </c>
      <c r="I1829">
        <f>F1829*(1-H1829/100)*1.18</f>
        <v/>
      </c>
      <c r="J1829">
        <f>הגדרות!C7</f>
        <v/>
      </c>
      <c r="K1829">
        <f>הגדרות!D7</f>
        <v/>
      </c>
      <c r="L1829">
        <f>I1829*(1+J1829/100)+K1829</f>
        <v/>
      </c>
    </row>
    <row r="1830">
      <c r="A1830" t="inlineStr">
        <is>
          <t>מדי-מרקט</t>
        </is>
      </c>
      <c r="B1830" t="inlineStr">
        <is>
          <t>Oil Susp. Clindamycin 50mg/mL +Metronidazole 50mg/mL 30mL</t>
        </is>
      </c>
      <c r="C1830" t="inlineStr">
        <is>
          <t>הכנות בית מרקחת</t>
        </is>
      </c>
      <c r="D1830" t="inlineStr">
        <is>
          <t>621</t>
        </is>
      </c>
      <c r="E1830" t="inlineStr">
        <is>
          <t>2026-06</t>
        </is>
      </c>
      <c r="F1830" t="n">
        <v>38.14</v>
      </c>
      <c r="G1830" t="n">
        <v>45</v>
      </c>
      <c r="H1830">
        <f>הגדרות!B7</f>
        <v/>
      </c>
      <c r="I1830">
        <f>F1830*(1-H1830/100)*1.18</f>
        <v/>
      </c>
      <c r="J1830">
        <f>הגדרות!C7</f>
        <v/>
      </c>
      <c r="K1830">
        <f>הגדרות!D7</f>
        <v/>
      </c>
      <c r="L1830">
        <f>I1830*(1+J1830/100)+K1830</f>
        <v/>
      </c>
    </row>
    <row r="1831">
      <c r="A1831" t="inlineStr">
        <is>
          <t>מדי-מרקט</t>
        </is>
      </c>
      <c r="B1831" t="inlineStr">
        <is>
          <t>Oil Susp. Clindamycin 50mg/mL 30mL</t>
        </is>
      </c>
      <c r="C1831" t="inlineStr">
        <is>
          <t>הכנות בית מרקחת</t>
        </is>
      </c>
      <c r="D1831" t="inlineStr">
        <is>
          <t>487</t>
        </is>
      </c>
      <c r="E1831" t="inlineStr">
        <is>
          <t>2026-06</t>
        </is>
      </c>
      <c r="F1831" t="n">
        <v>30.51</v>
      </c>
      <c r="G1831" t="n">
        <v>36</v>
      </c>
      <c r="H1831">
        <f>הגדרות!B7</f>
        <v/>
      </c>
      <c r="I1831">
        <f>F1831*(1-H1831/100)*1.18</f>
        <v/>
      </c>
      <c r="J1831">
        <f>הגדרות!C7</f>
        <v/>
      </c>
      <c r="K1831">
        <f>הגדרות!D7</f>
        <v/>
      </c>
      <c r="L1831">
        <f>I1831*(1+J1831/100)+K1831</f>
        <v/>
      </c>
    </row>
    <row r="1832">
      <c r="A1832" t="inlineStr">
        <is>
          <t>מדי-מרקט</t>
        </is>
      </c>
      <c r="B1832" t="inlineStr">
        <is>
          <t>Oil Susp. Cyclosporin 100mg/mL 20mL</t>
        </is>
      </c>
      <c r="C1832" t="inlineStr">
        <is>
          <t>הכנות בית מרקחת</t>
        </is>
      </c>
      <c r="D1832" t="inlineStr">
        <is>
          <t>14001</t>
        </is>
      </c>
      <c r="E1832" t="inlineStr">
        <is>
          <t>2026-06</t>
        </is>
      </c>
      <c r="F1832" t="n">
        <v>177.97</v>
      </c>
      <c r="G1832" t="n">
        <v>210</v>
      </c>
      <c r="H1832">
        <f>הגדרות!B7</f>
        <v/>
      </c>
      <c r="I1832">
        <f>F1832*(1-H1832/100)*1.18</f>
        <v/>
      </c>
      <c r="J1832">
        <f>הגדרות!C7</f>
        <v/>
      </c>
      <c r="K1832">
        <f>הגדרות!D7</f>
        <v/>
      </c>
      <c r="L1832">
        <f>I1832*(1+J1832/100)+K1832</f>
        <v/>
      </c>
    </row>
    <row r="1833">
      <c r="A1833" t="inlineStr">
        <is>
          <t>מדי-מרקט</t>
        </is>
      </c>
      <c r="B1833" t="inlineStr">
        <is>
          <t>Oil Susp. Diphenhydramine 15mg/mL 30mL</t>
        </is>
      </c>
      <c r="C1833" t="inlineStr">
        <is>
          <t>הכנות בית מרקחת</t>
        </is>
      </c>
      <c r="D1833" t="inlineStr">
        <is>
          <t>5096</t>
        </is>
      </c>
      <c r="E1833" t="inlineStr">
        <is>
          <t>2026-06</t>
        </is>
      </c>
      <c r="F1833" t="n">
        <v>23.73</v>
      </c>
      <c r="G1833" t="n">
        <v>28</v>
      </c>
      <c r="H1833">
        <f>הגדרות!B7</f>
        <v/>
      </c>
      <c r="I1833">
        <f>F1833*(1-H1833/100)*1.18</f>
        <v/>
      </c>
      <c r="J1833">
        <f>הגדרות!C7</f>
        <v/>
      </c>
      <c r="K1833">
        <f>הגדרות!D7</f>
        <v/>
      </c>
      <c r="L1833">
        <f>I1833*(1+J1833/100)+K1833</f>
        <v/>
      </c>
    </row>
    <row r="1834">
      <c r="A1834" t="inlineStr">
        <is>
          <t>מדי-מרקט</t>
        </is>
      </c>
      <c r="B1834" t="inlineStr">
        <is>
          <t>Oil Susp. Doxycycline 50mg/mL 30mL</t>
        </is>
      </c>
      <c r="C1834" t="inlineStr">
        <is>
          <t>הכנות בית מרקחת</t>
        </is>
      </c>
      <c r="D1834" t="inlineStr">
        <is>
          <t>8562</t>
        </is>
      </c>
      <c r="E1834" t="inlineStr">
        <is>
          <t>2026-06</t>
        </is>
      </c>
      <c r="F1834" t="n">
        <v>22.03</v>
      </c>
      <c r="G1834" t="n">
        <v>26</v>
      </c>
      <c r="H1834">
        <f>הגדרות!B7</f>
        <v/>
      </c>
      <c r="I1834">
        <f>F1834*(1-H1834/100)*1.18</f>
        <v/>
      </c>
      <c r="J1834">
        <f>הגדרות!C7</f>
        <v/>
      </c>
      <c r="K1834">
        <f>הגדרות!D7</f>
        <v/>
      </c>
      <c r="L1834">
        <f>I1834*(1+J1834/100)+K1834</f>
        <v/>
      </c>
    </row>
    <row r="1835">
      <c r="A1835" t="inlineStr">
        <is>
          <t>מדי-מרקט</t>
        </is>
      </c>
      <c r="B1835" t="inlineStr">
        <is>
          <t>Oil Susp. Enrofloxacin 50mg/mL 30mL</t>
        </is>
      </c>
      <c r="C1835" t="inlineStr">
        <is>
          <t>הכנות בית מרקחת</t>
        </is>
      </c>
      <c r="D1835" t="inlineStr">
        <is>
          <t>88465</t>
        </is>
      </c>
      <c r="E1835" t="inlineStr">
        <is>
          <t>2026-06</t>
        </is>
      </c>
      <c r="F1835" t="n">
        <v>30.51</v>
      </c>
      <c r="G1835" t="n">
        <v>36</v>
      </c>
      <c r="H1835">
        <f>הגדרות!B7</f>
        <v/>
      </c>
      <c r="I1835">
        <f>F1835*(1-H1835/100)*1.18</f>
        <v/>
      </c>
      <c r="J1835">
        <f>הגדרות!C7</f>
        <v/>
      </c>
      <c r="K1835">
        <f>הגדרות!D7</f>
        <v/>
      </c>
      <c r="L1835">
        <f>I1835*(1+J1835/100)+K1835</f>
        <v/>
      </c>
    </row>
    <row r="1836">
      <c r="A1836" t="inlineStr">
        <is>
          <t>מדי-מרקט</t>
        </is>
      </c>
      <c r="B1836" t="inlineStr">
        <is>
          <t>Oil Susp. Famotidine 10mg/mL 30mL</t>
        </is>
      </c>
      <c r="C1836" t="inlineStr">
        <is>
          <t>הכנות בית מרקחת</t>
        </is>
      </c>
      <c r="D1836" t="inlineStr">
        <is>
          <t>11048</t>
        </is>
      </c>
      <c r="E1836" t="inlineStr">
        <is>
          <t>2026-06</t>
        </is>
      </c>
      <c r="F1836" t="n">
        <v>45.76</v>
      </c>
      <c r="G1836" t="n">
        <v>54</v>
      </c>
      <c r="H1836">
        <f>הגדרות!B7</f>
        <v/>
      </c>
      <c r="I1836">
        <f>F1836*(1-H1836/100)*1.18</f>
        <v/>
      </c>
      <c r="J1836">
        <f>הגדרות!C7</f>
        <v/>
      </c>
      <c r="K1836">
        <f>הגדרות!D7</f>
        <v/>
      </c>
      <c r="L1836">
        <f>I1836*(1+J1836/100)+K1836</f>
        <v/>
      </c>
    </row>
    <row r="1837">
      <c r="A1837" t="inlineStr">
        <is>
          <t>מדי-מרקט</t>
        </is>
      </c>
      <c r="B1837" t="inlineStr">
        <is>
          <t>Oil Susp. Famotidine 5mg/mL 30mL</t>
        </is>
      </c>
      <c r="C1837" t="inlineStr">
        <is>
          <t>הכנות בית מרקחת</t>
        </is>
      </c>
      <c r="D1837" t="inlineStr">
        <is>
          <t>11047</t>
        </is>
      </c>
      <c r="E1837" t="inlineStr">
        <is>
          <t>2026-06</t>
        </is>
      </c>
      <c r="F1837" t="n">
        <v>5.72</v>
      </c>
      <c r="G1837" t="n">
        <v>6.75</v>
      </c>
      <c r="H1837">
        <f>הגדרות!B7</f>
        <v/>
      </c>
      <c r="I1837">
        <f>F1837*(1-H1837/100)*1.18</f>
        <v/>
      </c>
      <c r="J1837">
        <f>הגדרות!C7</f>
        <v/>
      </c>
      <c r="K1837">
        <f>הגדרות!D7</f>
        <v/>
      </c>
      <c r="L1837">
        <f>I1837*(1+J1837/100)+K1837</f>
        <v/>
      </c>
    </row>
    <row r="1838">
      <c r="A1838" t="inlineStr">
        <is>
          <t>מדי-מרקט</t>
        </is>
      </c>
      <c r="B1838" t="inlineStr">
        <is>
          <t>Oil Susp. Fenbendazole 100mg/mL 100mL</t>
        </is>
      </c>
      <c r="C1838" t="inlineStr">
        <is>
          <t>הכנות בית מרקחת</t>
        </is>
      </c>
      <c r="D1838" t="inlineStr">
        <is>
          <t>8558</t>
        </is>
      </c>
      <c r="E1838" t="inlineStr">
        <is>
          <t>2026-06</t>
        </is>
      </c>
      <c r="F1838" t="n">
        <v>29.66</v>
      </c>
      <c r="G1838" t="n">
        <v>35</v>
      </c>
      <c r="H1838">
        <f>הגדרות!B7</f>
        <v/>
      </c>
      <c r="I1838">
        <f>F1838*(1-H1838/100)*1.18</f>
        <v/>
      </c>
      <c r="J1838">
        <f>הגדרות!C7</f>
        <v/>
      </c>
      <c r="K1838">
        <f>הגדרות!D7</f>
        <v/>
      </c>
      <c r="L1838">
        <f>I1838*(1+J1838/100)+K1838</f>
        <v/>
      </c>
    </row>
    <row r="1839">
      <c r="A1839" t="inlineStr">
        <is>
          <t>מדי-מרקט</t>
        </is>
      </c>
      <c r="B1839" t="inlineStr">
        <is>
          <t>Oil Susp. Fenbendazole 200mg/mL 1Lt.</t>
        </is>
      </c>
      <c r="C1839" t="inlineStr">
        <is>
          <t>הכנות בית מרקחת</t>
        </is>
      </c>
      <c r="D1839" t="inlineStr">
        <is>
          <t>90433</t>
        </is>
      </c>
      <c r="E1839" t="inlineStr">
        <is>
          <t>2026-06</t>
        </is>
      </c>
      <c r="F1839" t="n">
        <v>211.86</v>
      </c>
      <c r="G1839" t="n">
        <v>250</v>
      </c>
      <c r="H1839">
        <f>הגדרות!B7</f>
        <v/>
      </c>
      <c r="I1839">
        <f>F1839*(1-H1839/100)*1.18</f>
        <v/>
      </c>
      <c r="J1839">
        <f>הגדרות!C7</f>
        <v/>
      </c>
      <c r="K1839">
        <f>הגדרות!D7</f>
        <v/>
      </c>
      <c r="L1839">
        <f>I1839*(1+J1839/100)+K1839</f>
        <v/>
      </c>
    </row>
    <row r="1840">
      <c r="A1840" t="inlineStr">
        <is>
          <t>מדי-מרקט</t>
        </is>
      </c>
      <c r="B1840" t="inlineStr">
        <is>
          <t>Oil Susp. Furosemide 10mg/mL 30mL</t>
        </is>
      </c>
      <c r="C1840" t="inlineStr">
        <is>
          <t>הכנות בית מרקחת</t>
        </is>
      </c>
      <c r="D1840" t="inlineStr">
        <is>
          <t>31917</t>
        </is>
      </c>
      <c r="E1840" t="inlineStr">
        <is>
          <t>2026-06</t>
        </is>
      </c>
      <c r="F1840" t="n">
        <v>28.81</v>
      </c>
      <c r="G1840" t="n">
        <v>34</v>
      </c>
      <c r="H1840">
        <f>הגדרות!B7</f>
        <v/>
      </c>
      <c r="I1840">
        <f>F1840*(1-H1840/100)*1.18</f>
        <v/>
      </c>
      <c r="J1840">
        <f>הגדרות!C7</f>
        <v/>
      </c>
      <c r="K1840">
        <f>הגדרות!D7</f>
        <v/>
      </c>
      <c r="L1840">
        <f>I1840*(1+J1840/100)+K1840</f>
        <v/>
      </c>
    </row>
    <row r="1841">
      <c r="A1841" t="inlineStr">
        <is>
          <t>מדי-מרקט</t>
        </is>
      </c>
      <c r="B1841" t="inlineStr">
        <is>
          <t>Oil Susp. Furosemide 20mg/mL 20mL</t>
        </is>
      </c>
      <c r="C1841" t="inlineStr">
        <is>
          <t>הכנות בית מרקחת</t>
        </is>
      </c>
      <c r="D1841" t="inlineStr">
        <is>
          <t>31936</t>
        </is>
      </c>
      <c r="E1841" t="inlineStr">
        <is>
          <t>2026-06</t>
        </is>
      </c>
      <c r="F1841" t="n">
        <v>33.9</v>
      </c>
      <c r="G1841" t="n">
        <v>40</v>
      </c>
      <c r="H1841">
        <f>הגדרות!B7</f>
        <v/>
      </c>
      <c r="I1841">
        <f>F1841*(1-H1841/100)*1.18</f>
        <v/>
      </c>
      <c r="J1841">
        <f>הגדרות!C7</f>
        <v/>
      </c>
      <c r="K1841">
        <f>הגדרות!D7</f>
        <v/>
      </c>
      <c r="L1841">
        <f>I1841*(1+J1841/100)+K1841</f>
        <v/>
      </c>
    </row>
    <row r="1842">
      <c r="A1842" t="inlineStr">
        <is>
          <t>מדי-מרקט</t>
        </is>
      </c>
      <c r="B1842" t="inlineStr">
        <is>
          <t>Oil Susp. Griseofulvin 150mg/mL 30mL</t>
        </is>
      </c>
      <c r="C1842" t="inlineStr">
        <is>
          <t>הכנות בית מרקחת</t>
        </is>
      </c>
      <c r="D1842" t="inlineStr">
        <is>
          <t>1330</t>
        </is>
      </c>
      <c r="E1842" t="inlineStr">
        <is>
          <t>2026-06</t>
        </is>
      </c>
      <c r="F1842" t="n">
        <v>41.53</v>
      </c>
      <c r="G1842" t="n">
        <v>49</v>
      </c>
      <c r="H1842">
        <f>הגדרות!B7</f>
        <v/>
      </c>
      <c r="I1842">
        <f>F1842*(1-H1842/100)*1.18</f>
        <v/>
      </c>
      <c r="J1842">
        <f>הגדרות!C7</f>
        <v/>
      </c>
      <c r="K1842">
        <f>הגדרות!D7</f>
        <v/>
      </c>
      <c r="L1842">
        <f>I1842*(1+J1842/100)+K1842</f>
        <v/>
      </c>
    </row>
    <row r="1843">
      <c r="A1843" t="inlineStr">
        <is>
          <t>מדי-מרקט</t>
        </is>
      </c>
      <c r="B1843" t="inlineStr">
        <is>
          <t>Oil Susp. Itraconazole 20mg/mL 30mL</t>
        </is>
      </c>
      <c r="C1843" t="inlineStr">
        <is>
          <t>הכנות בית מרקחת</t>
        </is>
      </c>
      <c r="D1843" t="inlineStr">
        <is>
          <t>1460</t>
        </is>
      </c>
      <c r="E1843" t="inlineStr">
        <is>
          <t>2026-06</t>
        </is>
      </c>
      <c r="F1843" t="n">
        <v>43.22</v>
      </c>
      <c r="G1843" t="n">
        <v>51</v>
      </c>
      <c r="H1843">
        <f>הגדרות!B7</f>
        <v/>
      </c>
      <c r="I1843">
        <f>F1843*(1-H1843/100)*1.18</f>
        <v/>
      </c>
      <c r="J1843">
        <f>הגדרות!C7</f>
        <v/>
      </c>
      <c r="K1843">
        <f>הגדרות!D7</f>
        <v/>
      </c>
      <c r="L1843">
        <f>I1843*(1+J1843/100)+K1843</f>
        <v/>
      </c>
    </row>
    <row r="1844">
      <c r="A1844" t="inlineStr">
        <is>
          <t>מדי-מרקט</t>
        </is>
      </c>
      <c r="B1844" t="inlineStr">
        <is>
          <t>Oil Susp. Itraconazole 50mg/mL 30mL</t>
        </is>
      </c>
      <c r="C1844" t="inlineStr">
        <is>
          <t>הכנות בית מרקחת</t>
        </is>
      </c>
      <c r="D1844" t="inlineStr">
        <is>
          <t>1459</t>
        </is>
      </c>
      <c r="E1844" t="inlineStr">
        <is>
          <t>2026-06</t>
        </is>
      </c>
      <c r="F1844" t="n">
        <v>6.64</v>
      </c>
      <c r="G1844" t="n">
        <v>7.83</v>
      </c>
      <c r="H1844">
        <f>הגדרות!B7</f>
        <v/>
      </c>
      <c r="I1844">
        <f>F1844*(1-H1844/100)*1.18</f>
        <v/>
      </c>
      <c r="J1844">
        <f>הגדרות!C7</f>
        <v/>
      </c>
      <c r="K1844">
        <f>הגדרות!D7</f>
        <v/>
      </c>
      <c r="L1844">
        <f>I1844*(1+J1844/100)+K1844</f>
        <v/>
      </c>
    </row>
    <row r="1845">
      <c r="A1845" t="inlineStr">
        <is>
          <t>מדי-מרקט</t>
        </is>
      </c>
      <c r="B1845" t="inlineStr">
        <is>
          <t>Oil Susp. Maropitant 8mg/mL 10mL</t>
        </is>
      </c>
      <c r="C1845" t="inlineStr">
        <is>
          <t>הכנות בית מרקחת</t>
        </is>
      </c>
      <c r="D1845" t="inlineStr">
        <is>
          <t>836402</t>
        </is>
      </c>
      <c r="E1845" t="inlineStr">
        <is>
          <t>2026-06</t>
        </is>
      </c>
      <c r="F1845" t="n">
        <v>73.73</v>
      </c>
      <c r="G1845" t="n">
        <v>87</v>
      </c>
      <c r="H1845">
        <f>הגדרות!B7</f>
        <v/>
      </c>
      <c r="I1845">
        <f>F1845*(1-H1845/100)*1.18</f>
        <v/>
      </c>
      <c r="J1845">
        <f>הגדרות!C7</f>
        <v/>
      </c>
      <c r="K1845">
        <f>הגדרות!D7</f>
        <v/>
      </c>
      <c r="L1845">
        <f>I1845*(1+J1845/100)+K1845</f>
        <v/>
      </c>
    </row>
    <row r="1846">
      <c r="A1846" t="inlineStr">
        <is>
          <t>מדי-מרקט</t>
        </is>
      </c>
      <c r="B1846" t="inlineStr">
        <is>
          <t>Oil Susp. Metoclopramide 5mg/mL 30mL</t>
        </is>
      </c>
      <c r="C1846" t="inlineStr">
        <is>
          <t>הכנות בית מרקחת</t>
        </is>
      </c>
      <c r="D1846" t="inlineStr">
        <is>
          <t>97003</t>
        </is>
      </c>
      <c r="E1846" t="inlineStr">
        <is>
          <t>2026-06</t>
        </is>
      </c>
      <c r="F1846" t="n">
        <v>29.66</v>
      </c>
      <c r="G1846" t="n">
        <v>35</v>
      </c>
      <c r="H1846">
        <f>הגדרות!B7</f>
        <v/>
      </c>
      <c r="I1846">
        <f>F1846*(1-H1846/100)*1.18</f>
        <v/>
      </c>
      <c r="J1846">
        <f>הגדרות!C7</f>
        <v/>
      </c>
      <c r="K1846">
        <f>הגדרות!D7</f>
        <v/>
      </c>
      <c r="L1846">
        <f>I1846*(1+J1846/100)+K1846</f>
        <v/>
      </c>
    </row>
    <row r="1847">
      <c r="A1847" t="inlineStr">
        <is>
          <t>מדי-מרקט</t>
        </is>
      </c>
      <c r="B1847" t="inlineStr">
        <is>
          <t>Oil Susp. Metronidazole 125mg/mL 30mL</t>
        </is>
      </c>
      <c r="C1847" t="inlineStr">
        <is>
          <t>הכנות בית מרקחת</t>
        </is>
      </c>
      <c r="D1847" t="inlineStr">
        <is>
          <t>66</t>
        </is>
      </c>
      <c r="E1847" t="inlineStr">
        <is>
          <t>2026-06</t>
        </is>
      </c>
      <c r="F1847" t="n">
        <v>6.86</v>
      </c>
      <c r="G1847" t="n">
        <v>8.1</v>
      </c>
      <c r="H1847">
        <f>הגדרות!B7</f>
        <v/>
      </c>
      <c r="I1847">
        <f>F1847*(1-H1847/100)*1.18</f>
        <v/>
      </c>
      <c r="J1847">
        <f>הגדרות!C7</f>
        <v/>
      </c>
      <c r="K1847">
        <f>הגדרות!D7</f>
        <v/>
      </c>
      <c r="L1847">
        <f>I1847*(1+J1847/100)+K1847</f>
        <v/>
      </c>
    </row>
    <row r="1848">
      <c r="A1848" t="inlineStr">
        <is>
          <t>מדי-מרקט</t>
        </is>
      </c>
      <c r="B1848" t="inlineStr">
        <is>
          <t>Oil Susp. Metronidazole 200mg/mL 30mL</t>
        </is>
      </c>
      <c r="C1848" t="inlineStr">
        <is>
          <t>הכנות בית מרקחת</t>
        </is>
      </c>
      <c r="D1848" t="inlineStr">
        <is>
          <t>4693</t>
        </is>
      </c>
      <c r="E1848" t="inlineStr">
        <is>
          <t>2026-06</t>
        </is>
      </c>
      <c r="F1848" t="n">
        <v>40.68</v>
      </c>
      <c r="G1848" t="n">
        <v>48</v>
      </c>
      <c r="H1848">
        <f>הגדרות!B7</f>
        <v/>
      </c>
      <c r="I1848">
        <f>F1848*(1-H1848/100)*1.18</f>
        <v/>
      </c>
      <c r="J1848">
        <f>הגדרות!C7</f>
        <v/>
      </c>
      <c r="K1848">
        <f>הגדרות!D7</f>
        <v/>
      </c>
      <c r="L1848">
        <f>I1848*(1+J1848/100)+K1848</f>
        <v/>
      </c>
    </row>
    <row r="1849">
      <c r="A1849" t="inlineStr">
        <is>
          <t>מדי-מרקט</t>
        </is>
      </c>
      <c r="B1849" t="inlineStr">
        <is>
          <t>Oil Susp. Metronidazole 50mg/mL 30mL</t>
        </is>
      </c>
      <c r="C1849" t="inlineStr">
        <is>
          <t>הכנות בית מרקחת</t>
        </is>
      </c>
      <c r="D1849" t="inlineStr">
        <is>
          <t>8336</t>
        </is>
      </c>
      <c r="E1849" t="inlineStr">
        <is>
          <t>2026-06</t>
        </is>
      </c>
      <c r="F1849" t="n">
        <v>4.58</v>
      </c>
      <c r="G1849" t="n">
        <v>5.4</v>
      </c>
      <c r="H1849">
        <f>הגדרות!B7</f>
        <v/>
      </c>
      <c r="I1849">
        <f>F1849*(1-H1849/100)*1.18</f>
        <v/>
      </c>
      <c r="J1849">
        <f>הגדרות!C7</f>
        <v/>
      </c>
      <c r="K1849">
        <f>הגדרות!D7</f>
        <v/>
      </c>
      <c r="L1849">
        <f>I1849*(1+J1849/100)+K1849</f>
        <v/>
      </c>
    </row>
    <row r="1850">
      <c r="A1850" t="inlineStr">
        <is>
          <t>מדי-מרקט</t>
        </is>
      </c>
      <c r="B1850" t="inlineStr">
        <is>
          <t>Oil Susp. P.P Cat 15mL</t>
        </is>
      </c>
      <c r="C1850" t="inlineStr">
        <is>
          <t>הכנות בית מרקחת</t>
        </is>
      </c>
      <c r="D1850" t="inlineStr">
        <is>
          <t>4670</t>
        </is>
      </c>
      <c r="E1850" t="inlineStr">
        <is>
          <t>2026-06</t>
        </is>
      </c>
      <c r="F1850" t="n">
        <v>63.56</v>
      </c>
      <c r="G1850" t="n">
        <v>75</v>
      </c>
      <c r="H1850">
        <f>הגדרות!B7</f>
        <v/>
      </c>
      <c r="I1850">
        <f>F1850*(1-H1850/100)*1.18</f>
        <v/>
      </c>
      <c r="J1850">
        <f>הגדרות!C7</f>
        <v/>
      </c>
      <c r="K1850">
        <f>הגדרות!D7</f>
        <v/>
      </c>
      <c r="L1850">
        <f>I1850*(1+J1850/100)+K1850</f>
        <v/>
      </c>
    </row>
    <row r="1851">
      <c r="A1851" t="inlineStr">
        <is>
          <t>מדי-מרקט</t>
        </is>
      </c>
      <c r="B1851" t="inlineStr">
        <is>
          <t>Oil Susp. Prednisolone 20mg/mL 30mL</t>
        </is>
      </c>
      <c r="C1851" t="inlineStr">
        <is>
          <t>הכנות בית מרקחת</t>
        </is>
      </c>
      <c r="D1851" t="inlineStr">
        <is>
          <t>9887</t>
        </is>
      </c>
      <c r="E1851" t="inlineStr">
        <is>
          <t>2026-06</t>
        </is>
      </c>
      <c r="F1851" t="n">
        <v>28.81</v>
      </c>
      <c r="G1851" t="n">
        <v>34</v>
      </c>
      <c r="H1851">
        <f>הגדרות!B7</f>
        <v/>
      </c>
      <c r="I1851">
        <f>F1851*(1-H1851/100)*1.18</f>
        <v/>
      </c>
      <c r="J1851">
        <f>הגדרות!C7</f>
        <v/>
      </c>
      <c r="K1851">
        <f>הגדרות!D7</f>
        <v/>
      </c>
      <c r="L1851">
        <f>I1851*(1+J1851/100)+K1851</f>
        <v/>
      </c>
    </row>
    <row r="1852">
      <c r="A1852" t="inlineStr">
        <is>
          <t>מדי-מרקט</t>
        </is>
      </c>
      <c r="B1852" t="inlineStr">
        <is>
          <t>Oil Susp. Prednisolone 5mg/mL 30mL</t>
        </is>
      </c>
      <c r="C1852" t="inlineStr">
        <is>
          <t>הכנות בית מרקחת</t>
        </is>
      </c>
      <c r="D1852" t="inlineStr">
        <is>
          <t>9714</t>
        </is>
      </c>
      <c r="E1852" t="inlineStr">
        <is>
          <t>2026-06</t>
        </is>
      </c>
      <c r="F1852" t="n">
        <v>22.03</v>
      </c>
      <c r="G1852" t="n">
        <v>26</v>
      </c>
      <c r="H1852">
        <f>הגדרות!B7</f>
        <v/>
      </c>
      <c r="I1852">
        <f>F1852*(1-H1852/100)*1.18</f>
        <v/>
      </c>
      <c r="J1852">
        <f>הגדרות!C7</f>
        <v/>
      </c>
      <c r="K1852">
        <f>הגדרות!D7</f>
        <v/>
      </c>
      <c r="L1852">
        <f>I1852*(1+J1852/100)+K1852</f>
        <v/>
      </c>
    </row>
    <row r="1853">
      <c r="A1853" t="inlineStr">
        <is>
          <t>מדי-מרקט</t>
        </is>
      </c>
      <c r="B1853" t="inlineStr">
        <is>
          <t>Oil Susp. Pyrantel 50mg/mL 15mL</t>
        </is>
      </c>
      <c r="C1853" t="inlineStr">
        <is>
          <t>הכנות בית מרקחת</t>
        </is>
      </c>
      <c r="D1853" t="inlineStr">
        <is>
          <t>658</t>
        </is>
      </c>
      <c r="E1853" t="inlineStr">
        <is>
          <t>2026-06</t>
        </is>
      </c>
      <c r="F1853" t="n">
        <v>4.58</v>
      </c>
      <c r="G1853" t="n">
        <v>5.4</v>
      </c>
      <c r="H1853">
        <f>הגדרות!B7</f>
        <v/>
      </c>
      <c r="I1853">
        <f>F1853*(1-H1853/100)*1.18</f>
        <v/>
      </c>
      <c r="J1853">
        <f>הגדרות!C7</f>
        <v/>
      </c>
      <c r="K1853">
        <f>הגדרות!D7</f>
        <v/>
      </c>
      <c r="L1853">
        <f>I1853*(1+J1853/100)+K1853</f>
        <v/>
      </c>
    </row>
    <row r="1854">
      <c r="A1854" t="inlineStr">
        <is>
          <t>מדי-מרקט</t>
        </is>
      </c>
      <c r="B1854" t="inlineStr">
        <is>
          <t>Oil Susp. Spiramycin 150kUI/mL+Metronidazole 25mg/mL 30mL</t>
        </is>
      </c>
      <c r="C1854" t="inlineStr">
        <is>
          <t>הכנות בית מרקחת</t>
        </is>
      </c>
      <c r="D1854" t="inlineStr">
        <is>
          <t>3741</t>
        </is>
      </c>
      <c r="E1854" t="inlineStr">
        <is>
          <t>2026-06</t>
        </is>
      </c>
      <c r="F1854" t="n">
        <v>33.05</v>
      </c>
      <c r="G1854" t="n">
        <v>39</v>
      </c>
      <c r="H1854">
        <f>הגדרות!B7</f>
        <v/>
      </c>
      <c r="I1854">
        <f>F1854*(1-H1854/100)*1.18</f>
        <v/>
      </c>
      <c r="J1854">
        <f>הגדרות!C7</f>
        <v/>
      </c>
      <c r="K1854">
        <f>הגדרות!D7</f>
        <v/>
      </c>
      <c r="L1854">
        <f>I1854*(1+J1854/100)+K1854</f>
        <v/>
      </c>
    </row>
    <row r="1855">
      <c r="A1855" t="inlineStr">
        <is>
          <t>מדי-מרקט</t>
        </is>
      </c>
      <c r="B1855" t="inlineStr">
        <is>
          <t>Oil Susp. Sulfadiazine 40mg/mL +Trimethoprim 8mg/mL 30mL</t>
        </is>
      </c>
      <c r="C1855" t="inlineStr">
        <is>
          <t>הכנות בית מרקחת</t>
        </is>
      </c>
      <c r="D1855" t="inlineStr">
        <is>
          <t>31777</t>
        </is>
      </c>
      <c r="E1855" t="inlineStr">
        <is>
          <t>2026-06</t>
        </is>
      </c>
      <c r="F1855" t="n">
        <v>28.81</v>
      </c>
      <c r="G1855" t="n">
        <v>34</v>
      </c>
      <c r="H1855">
        <f>הגדרות!B7</f>
        <v/>
      </c>
      <c r="I1855">
        <f>F1855*(1-H1855/100)*1.18</f>
        <v/>
      </c>
      <c r="J1855">
        <f>הגדרות!C7</f>
        <v/>
      </c>
      <c r="K1855">
        <f>הגדרות!D7</f>
        <v/>
      </c>
      <c r="L1855">
        <f>I1855*(1+J1855/100)+K1855</f>
        <v/>
      </c>
    </row>
    <row r="1856">
      <c r="A1856" t="inlineStr">
        <is>
          <t>מדי-מרקט</t>
        </is>
      </c>
      <c r="B1856" t="inlineStr">
        <is>
          <t>Oil Susp. Tylosin 100mg/mL 30mL</t>
        </is>
      </c>
      <c r="C1856" t="inlineStr">
        <is>
          <t>הכנות בית מרקחת</t>
        </is>
      </c>
      <c r="D1856" t="inlineStr">
        <is>
          <t>54</t>
        </is>
      </c>
      <c r="E1856" t="inlineStr">
        <is>
          <t>2026-06</t>
        </is>
      </c>
      <c r="F1856" t="n">
        <v>23.73</v>
      </c>
      <c r="G1856" t="n">
        <v>28</v>
      </c>
      <c r="H1856">
        <f>הגדרות!B7</f>
        <v/>
      </c>
      <c r="I1856">
        <f>F1856*(1-H1856/100)*1.18</f>
        <v/>
      </c>
      <c r="J1856">
        <f>הגדרות!C7</f>
        <v/>
      </c>
      <c r="K1856">
        <f>הגדרות!D7</f>
        <v/>
      </c>
      <c r="L1856">
        <f>I1856*(1+J1856/100)+K1856</f>
        <v/>
      </c>
    </row>
    <row r="1857">
      <c r="A1857" t="inlineStr">
        <is>
          <t>מדי-מרקט</t>
        </is>
      </c>
      <c r="B1857" t="inlineStr">
        <is>
          <t>Olanzapine  10 Mg 28 Tabs</t>
        </is>
      </c>
      <c r="C1857" t="inlineStr">
        <is>
          <t>תרופות</t>
        </is>
      </c>
      <c r="D1857" t="inlineStr">
        <is>
          <t>KU000003</t>
        </is>
      </c>
      <c r="E1857" t="inlineStr">
        <is>
          <t>2026-06</t>
        </is>
      </c>
      <c r="F1857" t="n">
        <v>77.12</v>
      </c>
      <c r="G1857" t="n">
        <v>91</v>
      </c>
      <c r="H1857">
        <f>הגדרות!B7</f>
        <v/>
      </c>
      <c r="I1857">
        <f>F1857*(1-H1857/100)*1.18</f>
        <v/>
      </c>
      <c r="J1857">
        <f>הגדרות!C7</f>
        <v/>
      </c>
      <c r="K1857">
        <f>הגדרות!D7</f>
        <v/>
      </c>
      <c r="L1857">
        <f>I1857*(1+J1857/100)+K1857</f>
        <v/>
      </c>
    </row>
    <row r="1858">
      <c r="A1858" t="inlineStr">
        <is>
          <t>מדי-מרקט</t>
        </is>
      </c>
      <c r="B1858" t="inlineStr">
        <is>
          <t>Olanzapine 5 Mg 28 Tabs</t>
        </is>
      </c>
      <c r="C1858" t="inlineStr">
        <is>
          <t>תרופות</t>
        </is>
      </c>
      <c r="D1858" t="inlineStr">
        <is>
          <t>KU000001</t>
        </is>
      </c>
      <c r="E1858" t="inlineStr">
        <is>
          <t>2026-06</t>
        </is>
      </c>
      <c r="F1858" t="n">
        <v>43.25</v>
      </c>
      <c r="G1858" t="n">
        <v>51.03</v>
      </c>
      <c r="H1858">
        <f>הגדרות!B7</f>
        <v/>
      </c>
      <c r="I1858">
        <f>F1858*(1-H1858/100)*1.18</f>
        <v/>
      </c>
      <c r="J1858">
        <f>הגדרות!C7</f>
        <v/>
      </c>
      <c r="K1858">
        <f>הגדרות!D7</f>
        <v/>
      </c>
      <c r="L1858">
        <f>I1858*(1+J1858/100)+K1858</f>
        <v/>
      </c>
    </row>
    <row r="1859">
      <c r="A1859" t="inlineStr">
        <is>
          <t>מדי-מרקט</t>
        </is>
      </c>
      <c r="B1859" t="inlineStr">
        <is>
          <t>Olanzapine Teva 5Mg 28 Odt</t>
        </is>
      </c>
      <c r="C1859" t="inlineStr">
        <is>
          <t>תרופות</t>
        </is>
      </c>
      <c r="D1859" t="inlineStr">
        <is>
          <t>KU000005</t>
        </is>
      </c>
      <c r="E1859" t="inlineStr">
        <is>
          <t>2026-06</t>
        </is>
      </c>
      <c r="F1859" t="n">
        <v>51.48</v>
      </c>
      <c r="G1859" t="n">
        <v>60.75</v>
      </c>
      <c r="H1859">
        <f>הגדרות!B7</f>
        <v/>
      </c>
      <c r="I1859">
        <f>F1859*(1-H1859/100)*1.18</f>
        <v/>
      </c>
      <c r="J1859">
        <f>הגדרות!C7</f>
        <v/>
      </c>
      <c r="K1859">
        <f>הגדרות!D7</f>
        <v/>
      </c>
      <c r="L1859">
        <f>I1859*(1+J1859/100)+K1859</f>
        <v/>
      </c>
    </row>
    <row r="1860">
      <c r="A1860" t="inlineStr">
        <is>
          <t>מדי-מרקט</t>
        </is>
      </c>
      <c r="B1860" t="inlineStr">
        <is>
          <t>Omepra 20Mg 28Caps</t>
        </is>
      </c>
      <c r="C1860" t="inlineStr">
        <is>
          <t>תרופות</t>
        </is>
      </c>
      <c r="D1860" t="inlineStr">
        <is>
          <t>25456</t>
        </is>
      </c>
      <c r="E1860" t="inlineStr">
        <is>
          <t>2026-06</t>
        </is>
      </c>
      <c r="F1860" t="n">
        <v>15.68</v>
      </c>
      <c r="G1860" t="n">
        <v>18.5</v>
      </c>
      <c r="H1860">
        <f>הגדרות!B7</f>
        <v/>
      </c>
      <c r="I1860">
        <f>F1860*(1-H1860/100)*1.18</f>
        <v/>
      </c>
      <c r="J1860">
        <f>הגדרות!C7</f>
        <v/>
      </c>
      <c r="K1860">
        <f>הגדרות!D7</f>
        <v/>
      </c>
      <c r="L1860">
        <f>I1860*(1+J1860/100)+K1860</f>
        <v/>
      </c>
    </row>
    <row r="1861">
      <c r="A1861" t="inlineStr">
        <is>
          <t>מדי-מרקט</t>
        </is>
      </c>
      <c r="B1861" t="inlineStr">
        <is>
          <t>OMEPRA 40MG 28 CAP</t>
        </is>
      </c>
      <c r="C1861" t="inlineStr">
        <is>
          <t>תרופות</t>
        </is>
      </c>
      <c r="D1861" t="inlineStr">
        <is>
          <t>15342</t>
        </is>
      </c>
      <c r="E1861" t="inlineStr">
        <is>
          <t>2026-06</t>
        </is>
      </c>
      <c r="F1861" t="n">
        <v>37.29</v>
      </c>
      <c r="G1861" t="n">
        <v>44</v>
      </c>
      <c r="H1861">
        <f>הגדרות!B7</f>
        <v/>
      </c>
      <c r="I1861">
        <f>F1861*(1-H1861/100)*1.18</f>
        <v/>
      </c>
      <c r="J1861">
        <f>הגדרות!C7</f>
        <v/>
      </c>
      <c r="K1861">
        <f>הגדרות!D7</f>
        <v/>
      </c>
      <c r="L1861">
        <f>I1861*(1+J1861/100)+K1861</f>
        <v/>
      </c>
    </row>
    <row r="1862">
      <c r="A1862" t="inlineStr">
        <is>
          <t>מדי-מרקט</t>
        </is>
      </c>
      <c r="B1862" t="inlineStr">
        <is>
          <t>Omepradex 10Mg X 30Capl</t>
        </is>
      </c>
      <c r="C1862" t="inlineStr">
        <is>
          <t>תרופות</t>
        </is>
      </c>
      <c r="D1862" t="inlineStr">
        <is>
          <t>322214</t>
        </is>
      </c>
      <c r="E1862" t="inlineStr">
        <is>
          <t>2026-06</t>
        </is>
      </c>
      <c r="F1862" t="n">
        <v>18.9</v>
      </c>
      <c r="G1862" t="n">
        <v>22.3</v>
      </c>
      <c r="H1862">
        <f>הגדרות!B7</f>
        <v/>
      </c>
      <c r="I1862">
        <f>F1862*(1-H1862/100)*1.18</f>
        <v/>
      </c>
      <c r="J1862">
        <f>הגדרות!C7</f>
        <v/>
      </c>
      <c r="K1862">
        <f>הגדרות!D7</f>
        <v/>
      </c>
      <c r="L1862">
        <f>I1862*(1+J1862/100)+K1862</f>
        <v/>
      </c>
    </row>
    <row r="1863">
      <c r="A1863" t="inlineStr">
        <is>
          <t>מדי-מרקט</t>
        </is>
      </c>
      <c r="B1863" t="inlineStr">
        <is>
          <t>Omepradex 20Mg X 30Capl</t>
        </is>
      </c>
      <c r="C1863" t="inlineStr">
        <is>
          <t>תרופות</t>
        </is>
      </c>
      <c r="D1863" t="inlineStr">
        <is>
          <t>1774</t>
        </is>
      </c>
      <c r="E1863" t="inlineStr">
        <is>
          <t>2026-06</t>
        </is>
      </c>
      <c r="F1863" t="n">
        <v>31.27</v>
      </c>
      <c r="G1863" t="n">
        <v>36.9</v>
      </c>
      <c r="H1863">
        <f>הגדרות!B7</f>
        <v/>
      </c>
      <c r="I1863">
        <f>F1863*(1-H1863/100)*1.18</f>
        <v/>
      </c>
      <c r="J1863">
        <f>הגדרות!C7</f>
        <v/>
      </c>
      <c r="K1863">
        <f>הגדרות!D7</f>
        <v/>
      </c>
      <c r="L1863">
        <f>I1863*(1+J1863/100)+K1863</f>
        <v/>
      </c>
    </row>
    <row r="1864">
      <c r="A1864" t="inlineStr">
        <is>
          <t>מדי-מרקט</t>
        </is>
      </c>
      <c r="B1864" t="inlineStr">
        <is>
          <t>Omepradex 40Mg X 30Capl</t>
        </is>
      </c>
      <c r="C1864" t="inlineStr">
        <is>
          <t>תרופות</t>
        </is>
      </c>
      <c r="D1864" t="inlineStr">
        <is>
          <t>2361</t>
        </is>
      </c>
      <c r="E1864" t="inlineStr">
        <is>
          <t>2026-06</t>
        </is>
      </c>
      <c r="F1864" t="n">
        <v>44.92</v>
      </c>
      <c r="G1864" t="n">
        <v>53</v>
      </c>
      <c r="H1864">
        <f>הגדרות!B7</f>
        <v/>
      </c>
      <c r="I1864">
        <f>F1864*(1-H1864/100)*1.18</f>
        <v/>
      </c>
      <c r="J1864">
        <f>הגדרות!C7</f>
        <v/>
      </c>
      <c r="K1864">
        <f>הגדרות!D7</f>
        <v/>
      </c>
      <c r="L1864">
        <f>I1864*(1+J1864/100)+K1864</f>
        <v/>
      </c>
    </row>
    <row r="1865">
      <c r="A1865" t="inlineStr">
        <is>
          <t>מדי-מרקט</t>
        </is>
      </c>
      <c r="B1865" t="inlineStr">
        <is>
          <t>OMEPRADEX-Z 20 MG 14 CAPS</t>
        </is>
      </c>
      <c r="C1865" t="inlineStr">
        <is>
          <t>תרופות</t>
        </is>
      </c>
      <c r="D1865" t="inlineStr">
        <is>
          <t>6974</t>
        </is>
      </c>
      <c r="E1865" t="inlineStr">
        <is>
          <t>2026-06</t>
        </is>
      </c>
      <c r="F1865" t="n">
        <v>20.76</v>
      </c>
      <c r="G1865" t="n">
        <v>24.5</v>
      </c>
      <c r="H1865">
        <f>הגדרות!B7</f>
        <v/>
      </c>
      <c r="I1865">
        <f>F1865*(1-H1865/100)*1.18</f>
        <v/>
      </c>
      <c r="J1865">
        <f>הגדרות!C7</f>
        <v/>
      </c>
      <c r="K1865">
        <f>הגדרות!D7</f>
        <v/>
      </c>
      <c r="L1865">
        <f>I1865*(1+J1865/100)+K1865</f>
        <v/>
      </c>
    </row>
    <row r="1866">
      <c r="A1866" t="inlineStr">
        <is>
          <t>מדי-מרקט</t>
        </is>
      </c>
      <c r="B1866" t="inlineStr">
        <is>
          <t>OMRIGAM 5% 10GR/200ML</t>
        </is>
      </c>
      <c r="C1866" t="inlineStr">
        <is>
          <t>תרופות</t>
        </is>
      </c>
      <c r="D1866" t="inlineStr">
        <is>
          <t>1800400465</t>
        </is>
      </c>
      <c r="E1866" t="inlineStr">
        <is>
          <t>2026-06</t>
        </is>
      </c>
      <c r="F1866" t="n">
        <v>2610.17</v>
      </c>
      <c r="G1866" t="n">
        <v>3080</v>
      </c>
      <c r="H1866">
        <f>הגדרות!B7</f>
        <v/>
      </c>
      <c r="I1866">
        <f>F1866*(1-H1866/100)*1.18</f>
        <v/>
      </c>
      <c r="J1866">
        <f>הגדרות!C7</f>
        <v/>
      </c>
      <c r="K1866">
        <f>הגדרות!D7</f>
        <v/>
      </c>
      <c r="L1866">
        <f>I1866*(1+J1866/100)+K1866</f>
        <v/>
      </c>
    </row>
    <row r="1867">
      <c r="A1867" t="inlineStr">
        <is>
          <t>מדי-מרקט</t>
        </is>
      </c>
      <c r="B1867" t="inlineStr">
        <is>
          <t>Ondansetron Kalceks 2 mg/ml 2 ml *10 amp(IL)</t>
        </is>
      </c>
      <c r="C1867" t="inlineStr">
        <is>
          <t>תרופות רשומות- מדי מרקט</t>
        </is>
      </c>
      <c r="D1867" t="inlineStr">
        <is>
          <t>254623</t>
        </is>
      </c>
      <c r="E1867" t="inlineStr">
        <is>
          <t>2026-06</t>
        </is>
      </c>
      <c r="F1867" t="n">
        <v>125.63</v>
      </c>
      <c r="G1867" t="n">
        <v>148.24</v>
      </c>
      <c r="H1867">
        <f>הגדרות!B7</f>
        <v/>
      </c>
      <c r="I1867">
        <f>F1867*(1-H1867/100)*1.18</f>
        <v/>
      </c>
      <c r="J1867">
        <f>הגדרות!C7</f>
        <v/>
      </c>
      <c r="K1867">
        <f>הגדרות!D7</f>
        <v/>
      </c>
      <c r="L1867">
        <f>I1867*(1+J1867/100)+K1867</f>
        <v/>
      </c>
    </row>
    <row r="1868">
      <c r="A1868" t="inlineStr">
        <is>
          <t>מדי-מרקט</t>
        </is>
      </c>
      <c r="B1868" t="inlineStr">
        <is>
          <t>Ondansetron Kalceks 2 mg/ml 4 ml *10 amp(IL)</t>
        </is>
      </c>
      <c r="C1868" t="inlineStr">
        <is>
          <t>תרופות רשומות- מדי מרקט</t>
        </is>
      </c>
      <c r="D1868" t="inlineStr">
        <is>
          <t>254624</t>
        </is>
      </c>
      <c r="E1868" t="inlineStr">
        <is>
          <t>2026-06</t>
        </is>
      </c>
      <c r="F1868" t="n">
        <v>156.25</v>
      </c>
      <c r="G1868" t="n">
        <v>184.37</v>
      </c>
      <c r="H1868">
        <f>הגדרות!B7</f>
        <v/>
      </c>
      <c r="I1868">
        <f>F1868*(1-H1868/100)*1.18</f>
        <v/>
      </c>
      <c r="J1868">
        <f>הגדרות!C7</f>
        <v/>
      </c>
      <c r="K1868">
        <f>הגדרות!D7</f>
        <v/>
      </c>
      <c r="L1868">
        <f>I1868*(1+J1868/100)+K1868</f>
        <v/>
      </c>
    </row>
    <row r="1869">
      <c r="A1869" t="inlineStr">
        <is>
          <t>מדי-מרקט</t>
        </is>
      </c>
      <c r="B1869" t="inlineStr">
        <is>
          <t>OPDIVO SINJ 100MG 1VLX10ML</t>
        </is>
      </c>
      <c r="C1869" t="inlineStr">
        <is>
          <t>תרופות</t>
        </is>
      </c>
      <c r="D1869" t="inlineStr">
        <is>
          <t>25320</t>
        </is>
      </c>
      <c r="E1869" t="inlineStr">
        <is>
          <t>2026-06</t>
        </is>
      </c>
      <c r="F1869" t="n">
        <v>5500</v>
      </c>
      <c r="G1869" t="n">
        <v>6490</v>
      </c>
      <c r="H1869">
        <f>הגדרות!B7</f>
        <v/>
      </c>
      <c r="I1869">
        <f>F1869*(1-H1869/100)*1.18</f>
        <v/>
      </c>
      <c r="J1869">
        <f>הגדרות!C7</f>
        <v/>
      </c>
      <c r="K1869">
        <f>הגדרות!D7</f>
        <v/>
      </c>
      <c r="L1869">
        <f>I1869*(1+J1869/100)+K1869</f>
        <v/>
      </c>
    </row>
    <row r="1870">
      <c r="A1870" t="inlineStr">
        <is>
          <t>מדי-מרקט</t>
        </is>
      </c>
      <c r="B1870" t="inlineStr">
        <is>
          <t>OPDIVO SINJ 40MG 1VLX4ML</t>
        </is>
      </c>
      <c r="C1870" t="inlineStr">
        <is>
          <t>תרופות</t>
        </is>
      </c>
      <c r="D1870" t="inlineStr">
        <is>
          <t>25321</t>
        </is>
      </c>
      <c r="E1870" t="inlineStr">
        <is>
          <t>2026-06</t>
        </is>
      </c>
      <c r="F1870" t="n">
        <v>2199.15</v>
      </c>
      <c r="G1870" t="n">
        <v>2595</v>
      </c>
      <c r="H1870">
        <f>הגדרות!B7</f>
        <v/>
      </c>
      <c r="I1870">
        <f>F1870*(1-H1870/100)*1.18</f>
        <v/>
      </c>
      <c r="J1870">
        <f>הגדרות!C7</f>
        <v/>
      </c>
      <c r="K1870">
        <f>הגדרות!D7</f>
        <v/>
      </c>
      <c r="L1870">
        <f>I1870*(1+J1870/100)+K1870</f>
        <v/>
      </c>
    </row>
    <row r="1871">
      <c r="A1871" t="inlineStr">
        <is>
          <t>מדי-מרקט</t>
        </is>
      </c>
      <c r="B1871" t="inlineStr">
        <is>
          <t>Optalgin 500Mg 20 Tabs</t>
        </is>
      </c>
      <c r="C1871" t="inlineStr">
        <is>
          <t>תרופות</t>
        </is>
      </c>
      <c r="D1871" t="inlineStr">
        <is>
          <t>6461</t>
        </is>
      </c>
      <c r="E1871" t="inlineStr">
        <is>
          <t>2026-06</t>
        </is>
      </c>
      <c r="F1871" t="n">
        <v>9.32</v>
      </c>
      <c r="G1871" t="n">
        <v>11</v>
      </c>
      <c r="H1871">
        <f>הגדרות!B7</f>
        <v/>
      </c>
      <c r="I1871">
        <f>F1871*(1-H1871/100)*1.18</f>
        <v/>
      </c>
      <c r="J1871">
        <f>הגדרות!C7</f>
        <v/>
      </c>
      <c r="K1871">
        <f>הגדרות!D7</f>
        <v/>
      </c>
      <c r="L1871">
        <f>I1871*(1+J1871/100)+K1871</f>
        <v/>
      </c>
    </row>
    <row r="1872">
      <c r="A1872" t="inlineStr">
        <is>
          <t>מדי-מרקט</t>
        </is>
      </c>
      <c r="B1872" t="inlineStr">
        <is>
          <t>Optalgin 500Mg 28 Caplets</t>
        </is>
      </c>
      <c r="C1872" t="inlineStr">
        <is>
          <t>תרופות</t>
        </is>
      </c>
      <c r="D1872" t="inlineStr">
        <is>
          <t>6462-1</t>
        </is>
      </c>
      <c r="E1872" t="inlineStr">
        <is>
          <t>2026-06</t>
        </is>
      </c>
      <c r="F1872" t="n">
        <v>19.49</v>
      </c>
      <c r="G1872" t="n">
        <v>23</v>
      </c>
      <c r="H1872">
        <f>הגדרות!B7</f>
        <v/>
      </c>
      <c r="I1872">
        <f>F1872*(1-H1872/100)*1.18</f>
        <v/>
      </c>
      <c r="J1872">
        <f>הגדרות!C7</f>
        <v/>
      </c>
      <c r="K1872">
        <f>הגדרות!D7</f>
        <v/>
      </c>
      <c r="L1872">
        <f>I1872*(1+J1872/100)+K1872</f>
        <v/>
      </c>
    </row>
    <row r="1873">
      <c r="A1873" t="inlineStr">
        <is>
          <t>מדי-מרקט</t>
        </is>
      </c>
      <c r="B1873" t="inlineStr">
        <is>
          <t>Optalgin 500Mg 50 Caplets</t>
        </is>
      </c>
      <c r="C1873" t="inlineStr">
        <is>
          <t>תרופות</t>
        </is>
      </c>
      <c r="D1873" t="inlineStr">
        <is>
          <t>42577</t>
        </is>
      </c>
      <c r="E1873" t="inlineStr">
        <is>
          <t>2026-06</t>
        </is>
      </c>
      <c r="F1873" t="n">
        <v>29.07</v>
      </c>
      <c r="G1873" t="n">
        <v>34.3</v>
      </c>
      <c r="H1873">
        <f>הגדרות!B7</f>
        <v/>
      </c>
      <c r="I1873">
        <f>F1873*(1-H1873/100)*1.18</f>
        <v/>
      </c>
      <c r="J1873">
        <f>הגדרות!C7</f>
        <v/>
      </c>
      <c r="K1873">
        <f>הגדרות!D7</f>
        <v/>
      </c>
      <c r="L1873">
        <f>I1873*(1+J1873/100)+K1873</f>
        <v/>
      </c>
    </row>
    <row r="1874">
      <c r="A1874" t="inlineStr">
        <is>
          <t>מדי-מרקט</t>
        </is>
      </c>
      <c r="B1874" t="inlineStr">
        <is>
          <t>Optilast Eye Drops 0.05% 6 Ml</t>
        </is>
      </c>
      <c r="C1874" t="inlineStr">
        <is>
          <t>תרופות</t>
        </is>
      </c>
      <c r="D1874" t="inlineStr">
        <is>
          <t>M023452</t>
        </is>
      </c>
      <c r="E1874" t="inlineStr">
        <is>
          <t>2026-06</t>
        </is>
      </c>
      <c r="F1874" t="n">
        <v>22.03</v>
      </c>
      <c r="G1874" t="n">
        <v>26</v>
      </c>
      <c r="H1874">
        <f>הגדרות!B7</f>
        <v/>
      </c>
      <c r="I1874">
        <f>F1874*(1-H1874/100)*1.18</f>
        <v/>
      </c>
      <c r="J1874">
        <f>הגדרות!C7</f>
        <v/>
      </c>
      <c r="K1874">
        <f>הגדרות!D7</f>
        <v/>
      </c>
      <c r="L1874">
        <f>I1874*(1+J1874/100)+K1874</f>
        <v/>
      </c>
    </row>
    <row r="1875">
      <c r="A1875" t="inlineStr">
        <is>
          <t>מדי-מרקט</t>
        </is>
      </c>
      <c r="B1875" t="inlineStr">
        <is>
          <t>Optilube Lubricating Jelly 5G Sachets X 150</t>
        </is>
      </c>
      <c r="C1875" t="inlineStr">
        <is>
          <t>ציוד ומכשור רפואי</t>
        </is>
      </c>
      <c r="D1875" t="inlineStr">
        <is>
          <t>635236</t>
        </is>
      </c>
      <c r="E1875" t="inlineStr">
        <is>
          <t>2026-06</t>
        </is>
      </c>
      <c r="F1875" t="n">
        <v>71.19</v>
      </c>
      <c r="G1875" t="n">
        <v>84</v>
      </c>
      <c r="H1875">
        <f>הגדרות!B7</f>
        <v/>
      </c>
      <c r="I1875">
        <f>F1875*(1-H1875/100)*1.18</f>
        <v/>
      </c>
      <c r="J1875">
        <f>הגדרות!C7</f>
        <v/>
      </c>
      <c r="K1875">
        <f>הגדרות!D7</f>
        <v/>
      </c>
      <c r="L1875">
        <f>I1875*(1+J1875/100)+K1875</f>
        <v/>
      </c>
    </row>
    <row r="1876">
      <c r="A1876" t="inlineStr">
        <is>
          <t>מדי-מרקט</t>
        </is>
      </c>
      <c r="B1876" t="inlineStr">
        <is>
          <t>Ora-Cream 90G</t>
        </is>
      </c>
      <c r="C1876" t="inlineStr">
        <is>
          <t>תרופות</t>
        </is>
      </c>
      <c r="D1876" t="inlineStr">
        <is>
          <t>18480732</t>
        </is>
      </c>
      <c r="E1876" t="inlineStr">
        <is>
          <t>2026-06</t>
        </is>
      </c>
      <c r="F1876" t="n">
        <v>12.12</v>
      </c>
      <c r="G1876" t="n">
        <v>14.3</v>
      </c>
      <c r="H1876">
        <f>הגדרות!B7</f>
        <v/>
      </c>
      <c r="I1876">
        <f>F1876*(1-H1876/100)*1.18</f>
        <v/>
      </c>
      <c r="J1876">
        <f>הגדרות!C7</f>
        <v/>
      </c>
      <c r="K1876">
        <f>הגדרות!D7</f>
        <v/>
      </c>
      <c r="L1876">
        <f>I1876*(1+J1876/100)+K1876</f>
        <v/>
      </c>
    </row>
    <row r="1877">
      <c r="A1877" t="inlineStr">
        <is>
          <t>מדי-מרקט</t>
        </is>
      </c>
      <c r="B1877" t="inlineStr">
        <is>
          <t>Oracort E Paste 5G</t>
        </is>
      </c>
      <c r="C1877" t="inlineStr">
        <is>
          <t>תרופות</t>
        </is>
      </c>
      <c r="D1877" t="inlineStr">
        <is>
          <t>1322</t>
        </is>
      </c>
      <c r="E1877" t="inlineStr">
        <is>
          <t>2026-06</t>
        </is>
      </c>
      <c r="F1877" t="n">
        <v>16.1</v>
      </c>
      <c r="G1877" t="n">
        <v>19</v>
      </c>
      <c r="H1877">
        <f>הגדרות!B7</f>
        <v/>
      </c>
      <c r="I1877">
        <f>F1877*(1-H1877/100)*1.18</f>
        <v/>
      </c>
      <c r="J1877">
        <f>הגדרות!C7</f>
        <v/>
      </c>
      <c r="K1877">
        <f>הגדרות!D7</f>
        <v/>
      </c>
      <c r="L1877">
        <f>I1877*(1+J1877/100)+K1877</f>
        <v/>
      </c>
    </row>
    <row r="1878">
      <c r="A1878" t="inlineStr">
        <is>
          <t>מדי-מרקט</t>
        </is>
      </c>
      <c r="B1878" t="inlineStr">
        <is>
          <t>ORGOVYX 120mg 1x 30tabs bottle</t>
        </is>
      </c>
      <c r="C1878" t="inlineStr">
        <is>
          <t>29 יבוא תרופות הומניות חו"ל</t>
        </is>
      </c>
      <c r="D1878" t="inlineStr">
        <is>
          <t>72974-120-01</t>
        </is>
      </c>
      <c r="E1878" t="inlineStr">
        <is>
          <t>2026-06</t>
        </is>
      </c>
      <c r="F1878" t="n">
        <v>3306.36</v>
      </c>
      <c r="G1878" t="n">
        <v>3901.5</v>
      </c>
      <c r="H1878">
        <f>הגדרות!B7</f>
        <v/>
      </c>
      <c r="I1878">
        <f>F1878*(1-H1878/100)*1.18</f>
        <v/>
      </c>
      <c r="J1878">
        <f>הגדרות!C7</f>
        <v/>
      </c>
      <c r="K1878">
        <f>הגדרות!D7</f>
        <v/>
      </c>
      <c r="L1878">
        <f>I1878*(1+J1878/100)+K1878</f>
        <v/>
      </c>
    </row>
    <row r="1879">
      <c r="A1879" t="inlineStr">
        <is>
          <t>מדי-מרקט</t>
        </is>
      </c>
      <c r="B1879" t="inlineStr">
        <is>
          <t>Orozyme gel ג'ל שיניים אורדנטלי אנזימטי- אורוזים</t>
        </is>
      </c>
      <c r="C1879" t="inlineStr">
        <is>
          <t>מוצרים לטיפוח ונשיאת בע"ח</t>
        </is>
      </c>
      <c r="D1879" t="inlineStr">
        <is>
          <t>5551496</t>
        </is>
      </c>
      <c r="E1879" t="inlineStr">
        <is>
          <t>2026-06</t>
        </is>
      </c>
      <c r="F1879" t="n">
        <v>51.53</v>
      </c>
      <c r="G1879" t="n">
        <v>60.8</v>
      </c>
      <c r="H1879">
        <f>הגדרות!B7</f>
        <v/>
      </c>
      <c r="I1879">
        <f>F1879*(1-H1879/100)*1.18</f>
        <v/>
      </c>
      <c r="J1879">
        <f>הגדרות!C7</f>
        <v/>
      </c>
      <c r="K1879">
        <f>הגדרות!D7</f>
        <v/>
      </c>
      <c r="L1879">
        <f>I1879*(1+J1879/100)+K1879</f>
        <v/>
      </c>
    </row>
    <row r="1880">
      <c r="A1880" t="inlineStr">
        <is>
          <t>מדי-מרקט</t>
        </is>
      </c>
      <c r="B1880" t="inlineStr">
        <is>
          <t>OSMOLITE HN RTH 1L</t>
        </is>
      </c>
      <c r="C1880" t="inlineStr">
        <is>
          <t>מוצרים משלימים הומני</t>
        </is>
      </c>
      <c r="D1880" t="inlineStr">
        <is>
          <t>300030</t>
        </is>
      </c>
      <c r="E1880" t="inlineStr">
        <is>
          <t>2026-06</t>
        </is>
      </c>
      <c r="F1880" t="n">
        <v>22.88</v>
      </c>
      <c r="G1880" t="n">
        <v>27</v>
      </c>
      <c r="H1880">
        <f>הגדרות!B7</f>
        <v/>
      </c>
      <c r="I1880">
        <f>F1880*(1-H1880/100)*1.18</f>
        <v/>
      </c>
      <c r="J1880">
        <f>הגדרות!C7</f>
        <v/>
      </c>
      <c r="K1880">
        <f>הגדרות!D7</f>
        <v/>
      </c>
      <c r="L1880">
        <f>I1880*(1+J1880/100)+K1880</f>
        <v/>
      </c>
    </row>
    <row r="1881">
      <c r="A1881" t="inlineStr">
        <is>
          <t>מדי-מרקט</t>
        </is>
      </c>
      <c r="B1881" t="inlineStr">
        <is>
          <t>OSTEOPEN 100mg/ml solution for inj 10 ml Pentosan</t>
        </is>
      </c>
      <c r="C1881" t="inlineStr">
        <is>
          <t>29ג' וטרינרי</t>
        </is>
      </c>
      <c r="D1881" t="inlineStr">
        <is>
          <t>90128</t>
        </is>
      </c>
      <c r="E1881" t="inlineStr">
        <is>
          <t>2026-06</t>
        </is>
      </c>
      <c r="F1881" t="n">
        <v>228.81</v>
      </c>
      <c r="G1881" t="n">
        <v>270</v>
      </c>
      <c r="H1881">
        <f>הגדרות!B7</f>
        <v/>
      </c>
      <c r="I1881">
        <f>F1881*(1-H1881/100)*1.18</f>
        <v/>
      </c>
      <c r="J1881">
        <f>הגדרות!C7</f>
        <v/>
      </c>
      <c r="K1881">
        <f>הגדרות!D7</f>
        <v/>
      </c>
      <c r="L1881">
        <f>I1881*(1+J1881/100)+K1881</f>
        <v/>
      </c>
    </row>
    <row r="1882">
      <c r="A1882" t="inlineStr">
        <is>
          <t>מדי-מרקט</t>
        </is>
      </c>
      <c r="B1882" t="inlineStr">
        <is>
          <t>OTIC C.E.T Medi-Ceru, 1ml gel</t>
        </is>
      </c>
      <c r="C1882" t="inlineStr">
        <is>
          <t>הכנות טיפות וג'ל לאוזניים</t>
        </is>
      </c>
      <c r="D1882" t="inlineStr">
        <is>
          <t>50052</t>
        </is>
      </c>
      <c r="E1882" t="inlineStr">
        <is>
          <t>2026-06</t>
        </is>
      </c>
      <c r="F1882" t="n">
        <v>66.09999999999999</v>
      </c>
      <c r="G1882" t="n">
        <v>78</v>
      </c>
      <c r="H1882">
        <f>הגדרות!B7</f>
        <v/>
      </c>
      <c r="I1882">
        <f>F1882*(1-H1882/100)*1.18</f>
        <v/>
      </c>
      <c r="J1882">
        <f>הגדרות!C7</f>
        <v/>
      </c>
      <c r="K1882">
        <f>הגדרות!D7</f>
        <v/>
      </c>
      <c r="L1882">
        <f>I1882*(1+J1882/100)+K1882</f>
        <v/>
      </c>
    </row>
    <row r="1883">
      <c r="A1883" t="inlineStr">
        <is>
          <t>מדי-מרקט</t>
        </is>
      </c>
      <c r="B1883" t="inlineStr">
        <is>
          <t>OTIC K.G.T Medi-Ceru, 1ml gel</t>
        </is>
      </c>
      <c r="C1883" t="inlineStr">
        <is>
          <t>הכנות טיפות וג'ל לאוזניים</t>
        </is>
      </c>
      <c r="D1883" t="inlineStr">
        <is>
          <t>50051</t>
        </is>
      </c>
      <c r="E1883" t="inlineStr">
        <is>
          <t>2026-06</t>
        </is>
      </c>
      <c r="F1883" t="n">
        <v>66.09999999999999</v>
      </c>
      <c r="G1883" t="n">
        <v>78</v>
      </c>
      <c r="H1883">
        <f>הגדרות!B7</f>
        <v/>
      </c>
      <c r="I1883">
        <f>F1883*(1-H1883/100)*1.18</f>
        <v/>
      </c>
      <c r="J1883">
        <f>הגדרות!C7</f>
        <v/>
      </c>
      <c r="K1883">
        <f>הגדרות!D7</f>
        <v/>
      </c>
      <c r="L1883">
        <f>I1883*(1+J1883/100)+K1883</f>
        <v/>
      </c>
    </row>
    <row r="1884">
      <c r="A1884" t="inlineStr">
        <is>
          <t>מדי-מרקט</t>
        </is>
      </c>
      <c r="B1884" t="inlineStr">
        <is>
          <t>OTIC T.E.T Medi-Ceru,1ml gel</t>
        </is>
      </c>
      <c r="C1884" t="inlineStr">
        <is>
          <t>הכנות טיפות וג'ל לאוזניים</t>
        </is>
      </c>
      <c r="D1884" t="inlineStr">
        <is>
          <t>50050</t>
        </is>
      </c>
      <c r="E1884" t="inlineStr">
        <is>
          <t>2026-06</t>
        </is>
      </c>
      <c r="F1884" t="n">
        <v>66.09999999999999</v>
      </c>
      <c r="G1884" t="n">
        <v>78</v>
      </c>
      <c r="H1884">
        <f>הגדרות!B7</f>
        <v/>
      </c>
      <c r="I1884">
        <f>F1884*(1-H1884/100)*1.18</f>
        <v/>
      </c>
      <c r="J1884">
        <f>הגדרות!C7</f>
        <v/>
      </c>
      <c r="K1884">
        <f>הגדרות!D7</f>
        <v/>
      </c>
      <c r="L1884">
        <f>I1884*(1+J1884/100)+K1884</f>
        <v/>
      </c>
    </row>
    <row r="1885">
      <c r="A1885" t="inlineStr">
        <is>
          <t>מדי-מרקט</t>
        </is>
      </c>
      <c r="B1885" t="inlineStr">
        <is>
          <t>Otidin Drops 10Ml</t>
        </is>
      </c>
      <c r="C1885" t="inlineStr">
        <is>
          <t>תרופות</t>
        </is>
      </c>
      <c r="D1885" t="inlineStr">
        <is>
          <t>24059</t>
        </is>
      </c>
      <c r="E1885" t="inlineStr">
        <is>
          <t>2026-06</t>
        </is>
      </c>
      <c r="F1885" t="n">
        <v>8.98</v>
      </c>
      <c r="G1885" t="n">
        <v>10.6</v>
      </c>
      <c r="H1885">
        <f>הגדרות!B7</f>
        <v/>
      </c>
      <c r="I1885">
        <f>F1885*(1-H1885/100)*1.18</f>
        <v/>
      </c>
      <c r="J1885">
        <f>הגדרות!C7</f>
        <v/>
      </c>
      <c r="K1885">
        <f>הגדרות!D7</f>
        <v/>
      </c>
      <c r="L1885">
        <f>I1885*(1+J1885/100)+K1885</f>
        <v/>
      </c>
    </row>
    <row r="1886">
      <c r="A1886" t="inlineStr">
        <is>
          <t>מדי-מרקט</t>
        </is>
      </c>
      <c r="B1886" t="inlineStr">
        <is>
          <t>OTIKON 15ML SPRAY EAR</t>
        </is>
      </c>
      <c r="C1886" t="inlineStr">
        <is>
          <t>תרופות</t>
        </is>
      </c>
      <c r="D1886" t="inlineStr">
        <is>
          <t>15545</t>
        </is>
      </c>
      <c r="E1886" t="inlineStr">
        <is>
          <t>2026-06</t>
        </is>
      </c>
      <c r="F1886" t="n">
        <v>16.78</v>
      </c>
      <c r="G1886" t="n">
        <v>19.8</v>
      </c>
      <c r="H1886">
        <f>הגדרות!B7</f>
        <v/>
      </c>
      <c r="I1886">
        <f>F1886*(1-H1886/100)*1.18</f>
        <v/>
      </c>
      <c r="J1886">
        <f>הגדרות!C7</f>
        <v/>
      </c>
      <c r="K1886">
        <f>הגדרות!D7</f>
        <v/>
      </c>
      <c r="L1886">
        <f>I1886*(1+J1886/100)+K1886</f>
        <v/>
      </c>
    </row>
    <row r="1887">
      <c r="A1887" t="inlineStr">
        <is>
          <t>מדי-מרקט</t>
        </is>
      </c>
      <c r="B1887" t="inlineStr">
        <is>
          <t>Otrivin 0.1% 10Ml Nasal Drops</t>
        </is>
      </c>
      <c r="C1887" t="inlineStr">
        <is>
          <t>תרופות</t>
        </is>
      </c>
      <c r="D1887" t="inlineStr">
        <is>
          <t>60070</t>
        </is>
      </c>
      <c r="E1887" t="inlineStr">
        <is>
          <t>2026-06</t>
        </is>
      </c>
      <c r="F1887" t="n">
        <v>9.24</v>
      </c>
      <c r="G1887" t="n">
        <v>10.9</v>
      </c>
      <c r="H1887">
        <f>הגדרות!B7</f>
        <v/>
      </c>
      <c r="I1887">
        <f>F1887*(1-H1887/100)*1.18</f>
        <v/>
      </c>
      <c r="J1887">
        <f>הגדרות!C7</f>
        <v/>
      </c>
      <c r="K1887">
        <f>הגדרות!D7</f>
        <v/>
      </c>
      <c r="L1887">
        <f>I1887*(1+J1887/100)+K1887</f>
        <v/>
      </c>
    </row>
    <row r="1888">
      <c r="A1888" t="inlineStr">
        <is>
          <t>מדי-מרקט</t>
        </is>
      </c>
      <c r="B1888" t="inlineStr">
        <is>
          <t>Oxsoralen G.L Pharma 20 Mcg/Ml 5Ml 50 Amp (Il)</t>
        </is>
      </c>
      <c r="C1888" t="inlineStr">
        <is>
          <t>תרופות רשומות- מדי מרקט</t>
        </is>
      </c>
      <c r="D1888" t="inlineStr">
        <is>
          <t>25987</t>
        </is>
      </c>
      <c r="E1888" t="inlineStr">
        <is>
          <t>2026-06</t>
        </is>
      </c>
      <c r="F1888" t="n">
        <v>8694.92</v>
      </c>
      <c r="G1888" t="n">
        <v>10260</v>
      </c>
      <c r="H1888">
        <f>הגדרות!B7</f>
        <v/>
      </c>
      <c r="I1888">
        <f>F1888*(1-H1888/100)*1.18</f>
        <v/>
      </c>
      <c r="J1888">
        <f>הגדרות!C7</f>
        <v/>
      </c>
      <c r="K1888">
        <f>הגדרות!D7</f>
        <v/>
      </c>
      <c r="L1888">
        <f>I1888*(1+J1888/100)+K1888</f>
        <v/>
      </c>
    </row>
    <row r="1889">
      <c r="A1889" t="inlineStr">
        <is>
          <t>מדי-מרקט</t>
        </is>
      </c>
      <c r="B1889" t="inlineStr">
        <is>
          <t>Oxycod Forte 10Mg/Ml 30Ml Syrup</t>
        </is>
      </c>
      <c r="C1889" t="inlineStr">
        <is>
          <t>תרופות</t>
        </is>
      </c>
      <c r="D1889" t="inlineStr">
        <is>
          <t>15415</t>
        </is>
      </c>
      <c r="E1889" t="inlineStr">
        <is>
          <t>2026-06</t>
        </is>
      </c>
      <c r="F1889" t="n">
        <v>49.7</v>
      </c>
      <c r="G1889" t="n">
        <v>58.65</v>
      </c>
      <c r="H1889">
        <f>הגדרות!B7</f>
        <v/>
      </c>
      <c r="I1889">
        <f>F1889*(1-H1889/100)*1.18</f>
        <v/>
      </c>
      <c r="J1889">
        <f>הגדרות!C7</f>
        <v/>
      </c>
      <c r="K1889">
        <f>הגדרות!D7</f>
        <v/>
      </c>
      <c r="L1889">
        <f>I1889*(1+J1889/100)+K1889</f>
        <v/>
      </c>
    </row>
    <row r="1890">
      <c r="A1890" t="inlineStr">
        <is>
          <t>מדי-מרקט</t>
        </is>
      </c>
      <c r="B1890" t="inlineStr">
        <is>
          <t>Oxygen Concentrator install kits(NIST) for VETA 5</t>
        </is>
      </c>
      <c r="C1890" t="inlineStr">
        <is>
          <t>Mindray</t>
        </is>
      </c>
      <c r="D1890" t="inlineStr">
        <is>
          <t>115-076053-00</t>
        </is>
      </c>
      <c r="E1890" t="inlineStr">
        <is>
          <t>2026-06</t>
        </is>
      </c>
      <c r="F1890" t="n">
        <v>512.71</v>
      </c>
      <c r="G1890" t="n">
        <v>605</v>
      </c>
      <c r="H1890">
        <f>הגדרות!B7</f>
        <v/>
      </c>
      <c r="I1890">
        <f>F1890*(1-H1890/100)*1.18</f>
        <v/>
      </c>
      <c r="J1890">
        <f>הגדרות!C7</f>
        <v/>
      </c>
      <c r="K1890">
        <f>הגדרות!D7</f>
        <v/>
      </c>
      <c r="L1890">
        <f>I1890*(1+J1890/100)+K1890</f>
        <v/>
      </c>
    </row>
    <row r="1891">
      <c r="A1891" t="inlineStr">
        <is>
          <t>מדי-מרקט</t>
        </is>
      </c>
      <c r="B1891" t="inlineStr">
        <is>
          <t>Oxytetracycline 2Gr Lactose3Gr 42Pc large capsule 42Pc</t>
        </is>
      </c>
      <c r="C1891" t="inlineStr">
        <is>
          <t>הכנות אבקות</t>
        </is>
      </c>
      <c r="D1891" t="inlineStr">
        <is>
          <t>31799</t>
        </is>
      </c>
      <c r="E1891" t="inlineStr">
        <is>
          <t>2026-06</t>
        </is>
      </c>
      <c r="F1891" t="n">
        <v>161.02</v>
      </c>
      <c r="G1891" t="n">
        <v>190</v>
      </c>
      <c r="H1891">
        <f>הגדרות!B7</f>
        <v/>
      </c>
      <c r="I1891">
        <f>F1891*(1-H1891/100)*1.18</f>
        <v/>
      </c>
      <c r="J1891">
        <f>הגדרות!C7</f>
        <v/>
      </c>
      <c r="K1891">
        <f>הגדרות!D7</f>
        <v/>
      </c>
      <c r="L1891">
        <f>I1891*(1+J1891/100)+K1891</f>
        <v/>
      </c>
    </row>
    <row r="1892">
      <c r="A1892" t="inlineStr">
        <is>
          <t>מדי-מרקט</t>
        </is>
      </c>
      <c r="B1892" t="inlineStr">
        <is>
          <t>Oxytocin Grindeks 10Iu 1Ml 10 Amp- No Preservative (Il)</t>
        </is>
      </c>
      <c r="C1892" t="inlineStr">
        <is>
          <t>תרופות רשומות- מדי מרקט</t>
        </is>
      </c>
      <c r="D1892" t="inlineStr">
        <is>
          <t>235856</t>
        </is>
      </c>
      <c r="E1892" t="inlineStr">
        <is>
          <t>2026-06</t>
        </is>
      </c>
      <c r="F1892" t="n">
        <v>9.029999999999999</v>
      </c>
      <c r="G1892" t="n">
        <v>10.65</v>
      </c>
      <c r="H1892">
        <f>הגדרות!B7</f>
        <v/>
      </c>
      <c r="I1892">
        <f>F1892*(1-H1892/100)*1.18</f>
        <v/>
      </c>
      <c r="J1892">
        <f>הגדרות!C7</f>
        <v/>
      </c>
      <c r="K1892">
        <f>הגדרות!D7</f>
        <v/>
      </c>
      <c r="L1892">
        <f>I1892*(1+J1892/100)+K1892</f>
        <v/>
      </c>
    </row>
    <row r="1893">
      <c r="A1893" t="inlineStr">
        <is>
          <t>מדי-מרקט</t>
        </is>
      </c>
      <c r="B1893" t="inlineStr">
        <is>
          <t>Ozempic 0.5mg/1.5mL 1 pen</t>
        </is>
      </c>
      <c r="C1893" t="inlineStr">
        <is>
          <t>תרופות</t>
        </is>
      </c>
      <c r="D1893" t="inlineStr">
        <is>
          <t>15498</t>
        </is>
      </c>
      <c r="E1893" t="inlineStr">
        <is>
          <t>2026-06</t>
        </is>
      </c>
      <c r="F1893" t="n">
        <v>337.29</v>
      </c>
      <c r="G1893" t="n">
        <v>398</v>
      </c>
      <c r="H1893">
        <f>הגדרות!B7</f>
        <v/>
      </c>
      <c r="I1893">
        <f>F1893*(1-H1893/100)*1.18</f>
        <v/>
      </c>
      <c r="J1893">
        <f>הגדרות!C7</f>
        <v/>
      </c>
      <c r="K1893">
        <f>הגדרות!D7</f>
        <v/>
      </c>
      <c r="L1893">
        <f>I1893*(1+J1893/100)+K1893</f>
        <v/>
      </c>
    </row>
    <row r="1894">
      <c r="A1894" t="inlineStr">
        <is>
          <t>מדי-מרקט</t>
        </is>
      </c>
      <c r="B1894" t="inlineStr">
        <is>
          <t>Ozempic 1mg 1Pen</t>
        </is>
      </c>
      <c r="C1894" t="inlineStr">
        <is>
          <t>תרופות</t>
        </is>
      </c>
      <c r="D1894" t="inlineStr">
        <is>
          <t>35433</t>
        </is>
      </c>
      <c r="E1894" t="inlineStr">
        <is>
          <t>2026-06</t>
        </is>
      </c>
      <c r="F1894" t="n">
        <v>403.39</v>
      </c>
      <c r="G1894" t="n">
        <v>476</v>
      </c>
      <c r="H1894">
        <f>הגדרות!B7</f>
        <v/>
      </c>
      <c r="I1894">
        <f>F1894*(1-H1894/100)*1.18</f>
        <v/>
      </c>
      <c r="J1894">
        <f>הגדרות!C7</f>
        <v/>
      </c>
      <c r="K1894">
        <f>הגדרות!D7</f>
        <v/>
      </c>
      <c r="L1894">
        <f>I1894*(1+J1894/100)+K1894</f>
        <v/>
      </c>
    </row>
    <row r="1895">
      <c r="A1895" t="inlineStr">
        <is>
          <t>מדי-מרקט</t>
        </is>
      </c>
      <c r="B1895" t="inlineStr">
        <is>
          <t>P - Alphagan P 1.5MgMl 5Ml Coll אלפאגן</t>
        </is>
      </c>
      <c r="C1895" t="inlineStr">
        <is>
          <t>תרופות</t>
        </is>
      </c>
      <c r="D1895" t="inlineStr">
        <is>
          <t>89541</t>
        </is>
      </c>
      <c r="E1895" t="inlineStr">
        <is>
          <t>2026-06</t>
        </is>
      </c>
      <c r="F1895" t="n">
        <v>32.68</v>
      </c>
      <c r="G1895" t="n">
        <v>38.56</v>
      </c>
      <c r="H1895">
        <f>הגדרות!B7</f>
        <v/>
      </c>
      <c r="I1895">
        <f>F1895*(1-H1895/100)*1.18</f>
        <v/>
      </c>
      <c r="J1895">
        <f>הגדרות!C7</f>
        <v/>
      </c>
      <c r="K1895">
        <f>הגדרות!D7</f>
        <v/>
      </c>
      <c r="L1895">
        <f>I1895*(1+J1895/100)+K1895</f>
        <v/>
      </c>
    </row>
    <row r="1896">
      <c r="A1896" t="inlineStr">
        <is>
          <t>מדי-מרקט</t>
        </is>
      </c>
      <c r="B1896" t="inlineStr">
        <is>
          <t>PAD PAK-03 ערכת לדפיברילטור סוללה + מדבקות למבוגר</t>
        </is>
      </c>
      <c r="C1896" t="inlineStr">
        <is>
          <t>ציוד ומכשור רפואי</t>
        </is>
      </c>
      <c r="D1896" t="inlineStr">
        <is>
          <t>5002185</t>
        </is>
      </c>
      <c r="E1896" t="inlineStr">
        <is>
          <t>2026-06</t>
        </is>
      </c>
      <c r="F1896" t="n">
        <v>1059.32</v>
      </c>
      <c r="G1896" t="n">
        <v>1250</v>
      </c>
      <c r="H1896">
        <f>הגדרות!B7</f>
        <v/>
      </c>
      <c r="I1896">
        <f>F1896*(1-H1896/100)*1.18</f>
        <v/>
      </c>
      <c r="J1896">
        <f>הגדרות!C7</f>
        <v/>
      </c>
      <c r="K1896">
        <f>הגדרות!D7</f>
        <v/>
      </c>
      <c r="L1896">
        <f>I1896*(1+J1896/100)+K1896</f>
        <v/>
      </c>
    </row>
    <row r="1897">
      <c r="A1897" t="inlineStr">
        <is>
          <t>מדי-מרקט</t>
        </is>
      </c>
      <c r="B1897" t="inlineStr">
        <is>
          <t>PADCEV 30 mg single-dose v</t>
        </is>
      </c>
      <c r="C1897" t="inlineStr">
        <is>
          <t>תרופות</t>
        </is>
      </c>
      <c r="D1897" t="inlineStr">
        <is>
          <t>51144-030-01</t>
        </is>
      </c>
      <c r="E1897" t="inlineStr">
        <is>
          <t>2026-06</t>
        </is>
      </c>
      <c r="F1897" t="n">
        <v>4169.49</v>
      </c>
      <c r="G1897" t="n">
        <v>4920</v>
      </c>
      <c r="H1897">
        <f>הגדרות!B7</f>
        <v/>
      </c>
      <c r="I1897">
        <f>F1897*(1-H1897/100)*1.18</f>
        <v/>
      </c>
      <c r="J1897">
        <f>הגדרות!C7</f>
        <v/>
      </c>
      <c r="K1897">
        <f>הגדרות!D7</f>
        <v/>
      </c>
      <c r="L1897">
        <f>I1897*(1+J1897/100)+K1897</f>
        <v/>
      </c>
    </row>
    <row r="1898">
      <c r="A1898" t="inlineStr">
        <is>
          <t>מדי-מרקט</t>
        </is>
      </c>
      <c r="B1898" t="inlineStr">
        <is>
          <t>Palonosetron Kalceks 0.25MG/5 ml vial sol. for inj. (IL)</t>
        </is>
      </c>
      <c r="C1898" t="inlineStr">
        <is>
          <t>תרופות רשומות- מדי מרקט</t>
        </is>
      </c>
      <c r="D1898" t="inlineStr">
        <is>
          <t>54721</t>
        </is>
      </c>
      <c r="E1898" t="inlineStr">
        <is>
          <t>2026-06</t>
        </is>
      </c>
      <c r="F1898" t="n">
        <v>144.13</v>
      </c>
      <c r="G1898" t="n">
        <v>170.07</v>
      </c>
      <c r="H1898">
        <f>הגדרות!B7</f>
        <v/>
      </c>
      <c r="I1898">
        <f>F1898*(1-H1898/100)*1.18</f>
        <v/>
      </c>
      <c r="J1898">
        <f>הגדרות!C7</f>
        <v/>
      </c>
      <c r="K1898">
        <f>הגדרות!D7</f>
        <v/>
      </c>
      <c r="L1898">
        <f>I1898*(1+J1898/100)+K1898</f>
        <v/>
      </c>
    </row>
    <row r="1899">
      <c r="A1899" t="inlineStr">
        <is>
          <t>מדי-מרקט</t>
        </is>
      </c>
      <c r="B1899" t="inlineStr">
        <is>
          <t>PANTOPRAZOLE KALCEKS 40 MG 10 VIALS (IL)</t>
        </is>
      </c>
      <c r="C1899" t="inlineStr">
        <is>
          <t>תרופות רשומות- מדי מרקט</t>
        </is>
      </c>
      <c r="D1899" t="inlineStr">
        <is>
          <t>25462</t>
        </is>
      </c>
      <c r="E1899" t="inlineStr">
        <is>
          <t>2026-06</t>
        </is>
      </c>
      <c r="F1899" t="n">
        <v>163.17</v>
      </c>
      <c r="G1899" t="n">
        <v>192.54</v>
      </c>
      <c r="H1899">
        <f>הגדרות!B7</f>
        <v/>
      </c>
      <c r="I1899">
        <f>F1899*(1-H1899/100)*1.18</f>
        <v/>
      </c>
      <c r="J1899">
        <f>הגדרות!C7</f>
        <v/>
      </c>
      <c r="K1899">
        <f>הגדרות!D7</f>
        <v/>
      </c>
      <c r="L1899">
        <f>I1899*(1+J1899/100)+K1899</f>
        <v/>
      </c>
    </row>
    <row r="1900">
      <c r="A1900" t="inlineStr">
        <is>
          <t>מדי-מרקט</t>
        </is>
      </c>
      <c r="B1900" t="inlineStr">
        <is>
          <t>PANTOPRAZOLE MEDI-MARKET 40 MG 10 VIALS ( IL)</t>
        </is>
      </c>
      <c r="C1900" t="inlineStr">
        <is>
          <t>תרופות רשומות- מדי מרקט</t>
        </is>
      </c>
      <c r="D1900" t="inlineStr">
        <is>
          <t>258963</t>
        </is>
      </c>
      <c r="E1900" t="inlineStr">
        <is>
          <t>2026-06</t>
        </is>
      </c>
      <c r="F1900" t="n">
        <v>163.17</v>
      </c>
      <c r="G1900" t="n">
        <v>192.54</v>
      </c>
      <c r="H1900">
        <f>הגדרות!B7</f>
        <v/>
      </c>
      <c r="I1900">
        <f>F1900*(1-H1900/100)*1.18</f>
        <v/>
      </c>
      <c r="J1900">
        <f>הגדרות!C7</f>
        <v/>
      </c>
      <c r="K1900">
        <f>הגדרות!D7</f>
        <v/>
      </c>
      <c r="L1900">
        <f>I1900*(1+J1900/100)+K1900</f>
        <v/>
      </c>
    </row>
    <row r="1901">
      <c r="A1901" t="inlineStr">
        <is>
          <t>מדי-מרקט</t>
        </is>
      </c>
      <c r="B1901" t="inlineStr">
        <is>
          <t>Papaverine 40Mg X 30Tab</t>
        </is>
      </c>
      <c r="C1901" t="inlineStr">
        <is>
          <t>תרופות</t>
        </is>
      </c>
      <c r="D1901" t="inlineStr">
        <is>
          <t>1400071</t>
        </is>
      </c>
      <c r="E1901" t="inlineStr">
        <is>
          <t>2026-06</t>
        </is>
      </c>
      <c r="F1901" t="n">
        <v>45.31</v>
      </c>
      <c r="G1901" t="n">
        <v>53.46</v>
      </c>
      <c r="H1901">
        <f>הגדרות!B7</f>
        <v/>
      </c>
      <c r="I1901">
        <f>F1901*(1-H1901/100)*1.18</f>
        <v/>
      </c>
      <c r="J1901">
        <f>הגדרות!C7</f>
        <v/>
      </c>
      <c r="K1901">
        <f>הגדרות!D7</f>
        <v/>
      </c>
      <c r="L1901">
        <f>I1901*(1+J1901/100)+K1901</f>
        <v/>
      </c>
    </row>
    <row r="1902">
      <c r="A1902" t="inlineStr">
        <is>
          <t>מדי-מרקט</t>
        </is>
      </c>
      <c r="B1902" t="inlineStr">
        <is>
          <t>Papaverine 40Mg/2Ml 10Amp פאפוורין 40 מ"ג/2מ"ל 10 אמפ'</t>
        </is>
      </c>
      <c r="C1902" t="inlineStr">
        <is>
          <t>תרופות</t>
        </is>
      </c>
      <c r="D1902" t="inlineStr">
        <is>
          <t>7416-1</t>
        </is>
      </c>
      <c r="E1902" t="inlineStr">
        <is>
          <t>2026-06</t>
        </is>
      </c>
      <c r="F1902" t="n">
        <v>27.12</v>
      </c>
      <c r="G1902" t="n">
        <v>32</v>
      </c>
      <c r="H1902">
        <f>הגדרות!B7</f>
        <v/>
      </c>
      <c r="I1902">
        <f>F1902*(1-H1902/100)*1.18</f>
        <v/>
      </c>
      <c r="J1902">
        <f>הגדרות!C7</f>
        <v/>
      </c>
      <c r="K1902">
        <f>הגדרות!D7</f>
        <v/>
      </c>
      <c r="L1902">
        <f>I1902*(1+J1902/100)+K1902</f>
        <v/>
      </c>
    </row>
    <row r="1903">
      <c r="A1903" t="inlineStr">
        <is>
          <t>מדי-מרקט</t>
        </is>
      </c>
      <c r="B1903" t="inlineStr">
        <is>
          <t>Papaverine 80Mg X 30Tab</t>
        </is>
      </c>
      <c r="C1903" t="inlineStr">
        <is>
          <t>תרופות</t>
        </is>
      </c>
      <c r="D1903" t="inlineStr">
        <is>
          <t>317</t>
        </is>
      </c>
      <c r="E1903" t="inlineStr">
        <is>
          <t>2026-06</t>
        </is>
      </c>
      <c r="F1903" t="n">
        <v>55.08</v>
      </c>
      <c r="G1903" t="n">
        <v>65</v>
      </c>
      <c r="H1903">
        <f>הגדרות!B7</f>
        <v/>
      </c>
      <c r="I1903">
        <f>F1903*(1-H1903/100)*1.18</f>
        <v/>
      </c>
      <c r="J1903">
        <f>הגדרות!C7</f>
        <v/>
      </c>
      <c r="K1903">
        <f>הגדרות!D7</f>
        <v/>
      </c>
      <c r="L1903">
        <f>I1903*(1+J1903/100)+K1903</f>
        <v/>
      </c>
    </row>
    <row r="1904">
      <c r="A1904" t="inlineStr">
        <is>
          <t>מדי-מרקט</t>
        </is>
      </c>
      <c r="B1904" t="inlineStr">
        <is>
          <t>PARACETAMOL S.A.L.F 10 MG/ML X 30</t>
        </is>
      </c>
      <c r="C1904" t="inlineStr">
        <is>
          <t>תרופות</t>
        </is>
      </c>
      <c r="D1904" t="inlineStr">
        <is>
          <t>130256-1</t>
        </is>
      </c>
      <c r="E1904" t="inlineStr">
        <is>
          <t>2026-06</t>
        </is>
      </c>
      <c r="F1904" t="n">
        <v>128.81</v>
      </c>
      <c r="G1904" t="n">
        <v>152</v>
      </c>
      <c r="H1904">
        <f>הגדרות!B7</f>
        <v/>
      </c>
      <c r="I1904">
        <f>F1904*(1-H1904/100)*1.18</f>
        <v/>
      </c>
      <c r="J1904">
        <f>הגדרות!C7</f>
        <v/>
      </c>
      <c r="K1904">
        <f>הגדרות!D7</f>
        <v/>
      </c>
      <c r="L1904">
        <f>I1904*(1+J1904/100)+K1904</f>
        <v/>
      </c>
    </row>
    <row r="1905">
      <c r="A1905" t="inlineStr">
        <is>
          <t>מדי-מרקט</t>
        </is>
      </c>
      <c r="B1905" t="inlineStr">
        <is>
          <t>Paraffine 40Ml Oint וזלין</t>
        </is>
      </c>
      <c r="C1905" t="inlineStr">
        <is>
          <t>תרופות</t>
        </is>
      </c>
      <c r="D1905" t="inlineStr">
        <is>
          <t>110706</t>
        </is>
      </c>
      <c r="E1905" t="inlineStr">
        <is>
          <t>2026-06</t>
        </is>
      </c>
      <c r="F1905" t="n">
        <v>4.75</v>
      </c>
      <c r="G1905" t="n">
        <v>5.6</v>
      </c>
      <c r="H1905">
        <f>הגדרות!B7</f>
        <v/>
      </c>
      <c r="I1905">
        <f>F1905*(1-H1905/100)*1.18</f>
        <v/>
      </c>
      <c r="J1905">
        <f>הגדרות!C7</f>
        <v/>
      </c>
      <c r="K1905">
        <f>הגדרות!D7</f>
        <v/>
      </c>
      <c r="L1905">
        <f>I1905*(1+J1905/100)+K1905</f>
        <v/>
      </c>
    </row>
    <row r="1906">
      <c r="A1906" t="inlineStr">
        <is>
          <t>מדי-מרקט</t>
        </is>
      </c>
      <c r="B1906" t="inlineStr">
        <is>
          <t>Partovet- Oxytocin 50Ml</t>
        </is>
      </c>
      <c r="C1906" t="inlineStr">
        <is>
          <t>תרופות</t>
        </is>
      </c>
      <c r="D1906" t="inlineStr">
        <is>
          <t>M0090</t>
        </is>
      </c>
      <c r="E1906" t="inlineStr">
        <is>
          <t>2026-06</t>
        </is>
      </c>
      <c r="F1906" t="n">
        <v>67.8</v>
      </c>
      <c r="G1906" t="n">
        <v>80</v>
      </c>
      <c r="H1906">
        <f>הגדרות!B7</f>
        <v/>
      </c>
      <c r="I1906">
        <f>F1906*(1-H1906/100)*1.18</f>
        <v/>
      </c>
      <c r="J1906">
        <f>הגדרות!C7</f>
        <v/>
      </c>
      <c r="K1906">
        <f>הגדרות!D7</f>
        <v/>
      </c>
      <c r="L1906">
        <f>I1906*(1+J1906/100)+K1906</f>
        <v/>
      </c>
    </row>
    <row r="1907">
      <c r="A1907" t="inlineStr">
        <is>
          <t>מדי-מרקט</t>
        </is>
      </c>
      <c r="B1907" t="inlineStr">
        <is>
          <t>PEEP מבוגר</t>
        </is>
      </c>
      <c r="C1907" t="inlineStr">
        <is>
          <t>ציוד ומכשור רפואי</t>
        </is>
      </c>
      <c r="D1907" t="inlineStr">
        <is>
          <t>310703</t>
        </is>
      </c>
      <c r="E1907" t="inlineStr">
        <is>
          <t>2026-06</t>
        </is>
      </c>
      <c r="F1907" t="n">
        <v>32.03</v>
      </c>
      <c r="G1907" t="n">
        <v>37.8</v>
      </c>
      <c r="H1907">
        <f>הגדרות!B7</f>
        <v/>
      </c>
      <c r="I1907">
        <f>F1907*(1-H1907/100)*1.18</f>
        <v/>
      </c>
      <c r="J1907">
        <f>הגדרות!C7</f>
        <v/>
      </c>
      <c r="K1907">
        <f>הגדרות!D7</f>
        <v/>
      </c>
      <c r="L1907">
        <f>I1907*(1+J1907/100)+K1907</f>
        <v/>
      </c>
    </row>
    <row r="1908">
      <c r="A1908" t="inlineStr">
        <is>
          <t>מדי-מרקט</t>
        </is>
      </c>
      <c r="B1908" t="inlineStr">
        <is>
          <t>Pen G Sodium 10 M * 10 פניצלין סודיום 10 מיליון</t>
        </is>
      </c>
      <c r="C1908" t="inlineStr">
        <is>
          <t>תרופות</t>
        </is>
      </c>
      <c r="D1908" t="inlineStr">
        <is>
          <t>1612</t>
        </is>
      </c>
      <c r="E1908" t="inlineStr">
        <is>
          <t>2026-06</t>
        </is>
      </c>
      <c r="F1908" t="n">
        <v>308.05</v>
      </c>
      <c r="G1908" t="n">
        <v>363.5</v>
      </c>
      <c r="H1908">
        <f>הגדרות!B7</f>
        <v/>
      </c>
      <c r="I1908">
        <f>F1908*(1-H1908/100)*1.18</f>
        <v/>
      </c>
      <c r="J1908">
        <f>הגדרות!C7</f>
        <v/>
      </c>
      <c r="K1908">
        <f>הגדרות!D7</f>
        <v/>
      </c>
      <c r="L1908">
        <f>I1908*(1+J1908/100)+K1908</f>
        <v/>
      </c>
    </row>
    <row r="1909">
      <c r="A1909" t="inlineStr">
        <is>
          <t>מדי-מרקט</t>
        </is>
      </c>
      <c r="B1909" t="inlineStr">
        <is>
          <t>Pen-Rafa 500Mg 40 Tabs פן רפא 500 מ"ג 40 כד</t>
        </is>
      </c>
      <c r="C1909" t="inlineStr">
        <is>
          <t>תרופות</t>
        </is>
      </c>
      <c r="D1909" t="inlineStr">
        <is>
          <t>88078</t>
        </is>
      </c>
      <c r="E1909" t="inlineStr">
        <is>
          <t>2026-06</t>
        </is>
      </c>
      <c r="F1909" t="n">
        <v>17.88</v>
      </c>
      <c r="G1909" t="n">
        <v>21.1</v>
      </c>
      <c r="H1909">
        <f>הגדרות!B7</f>
        <v/>
      </c>
      <c r="I1909">
        <f>F1909*(1-H1909/100)*1.18</f>
        <v/>
      </c>
      <c r="J1909">
        <f>הגדרות!C7</f>
        <v/>
      </c>
      <c r="K1909">
        <f>הגדרות!D7</f>
        <v/>
      </c>
      <c r="L1909">
        <f>I1909*(1+J1909/100)+K1909</f>
        <v/>
      </c>
    </row>
    <row r="1910">
      <c r="A1910" t="inlineStr">
        <is>
          <t>מדי-מרקט</t>
        </is>
      </c>
      <c r="B1910" t="inlineStr">
        <is>
          <t>Pen-Strep 100 Ml פנ - סטרפ</t>
        </is>
      </c>
      <c r="C1910" t="inlineStr">
        <is>
          <t>תרופות</t>
        </is>
      </c>
      <c r="D1910" t="inlineStr">
        <is>
          <t>1590</t>
        </is>
      </c>
      <c r="E1910" t="inlineStr">
        <is>
          <t>2026-06</t>
        </is>
      </c>
      <c r="F1910" t="n">
        <v>54.32</v>
      </c>
      <c r="G1910" t="n">
        <v>64.09999999999999</v>
      </c>
      <c r="H1910">
        <f>הגדרות!B7</f>
        <v/>
      </c>
      <c r="I1910">
        <f>F1910*(1-H1910/100)*1.18</f>
        <v/>
      </c>
      <c r="J1910">
        <f>הגדרות!C7</f>
        <v/>
      </c>
      <c r="K1910">
        <f>הגדרות!D7</f>
        <v/>
      </c>
      <c r="L1910">
        <f>I1910*(1+J1910/100)+K1910</f>
        <v/>
      </c>
    </row>
    <row r="1911">
      <c r="A1911" t="inlineStr">
        <is>
          <t>מדי-מרקט</t>
        </is>
      </c>
      <c r="B1911" t="inlineStr">
        <is>
          <t>Penibrin 1Gm X 10 Vials</t>
        </is>
      </c>
      <c r="C1911" t="inlineStr">
        <is>
          <t>תרופות</t>
        </is>
      </c>
      <c r="D1911" t="inlineStr">
        <is>
          <t>1582-2</t>
        </is>
      </c>
      <c r="E1911" t="inlineStr">
        <is>
          <t>2026-06</t>
        </is>
      </c>
      <c r="F1911" t="n">
        <v>68.64</v>
      </c>
      <c r="G1911" t="n">
        <v>81</v>
      </c>
      <c r="H1911">
        <f>הגדרות!B7</f>
        <v/>
      </c>
      <c r="I1911">
        <f>F1911*(1-H1911/100)*1.18</f>
        <v/>
      </c>
      <c r="J1911">
        <f>הגדרות!C7</f>
        <v/>
      </c>
      <c r="K1911">
        <f>הגדרות!D7</f>
        <v/>
      </c>
      <c r="L1911">
        <f>I1911*(1+J1911/100)+K1911</f>
        <v/>
      </c>
    </row>
    <row r="1912">
      <c r="A1912" t="inlineStr">
        <is>
          <t>מדי-מרקט</t>
        </is>
      </c>
      <c r="B1912" t="inlineStr">
        <is>
          <t>Penibrin 2Gm 10 Vial X 10</t>
        </is>
      </c>
      <c r="C1912" t="inlineStr">
        <is>
          <t>תרופות</t>
        </is>
      </c>
      <c r="D1912" t="inlineStr">
        <is>
          <t>1584</t>
        </is>
      </c>
      <c r="E1912" t="inlineStr">
        <is>
          <t>2026-06</t>
        </is>
      </c>
      <c r="F1912" t="n">
        <v>186.44</v>
      </c>
      <c r="G1912" t="n">
        <v>220</v>
      </c>
      <c r="H1912">
        <f>הגדרות!B7</f>
        <v/>
      </c>
      <c r="I1912">
        <f>F1912*(1-H1912/100)*1.18</f>
        <v/>
      </c>
      <c r="J1912">
        <f>הגדרות!C7</f>
        <v/>
      </c>
      <c r="K1912">
        <f>הגדרות!D7</f>
        <v/>
      </c>
      <c r="L1912">
        <f>I1912*(1+J1912/100)+K1912</f>
        <v/>
      </c>
    </row>
    <row r="1913">
      <c r="A1913" t="inlineStr">
        <is>
          <t>מדי-מרקט</t>
        </is>
      </c>
      <c r="B1913" t="inlineStr">
        <is>
          <t>PENTAL VET INJ Non-Sterile 100ml 200mg/ml</t>
        </is>
      </c>
      <c r="C1913" t="inlineStr">
        <is>
          <t>תרופות</t>
        </is>
      </c>
      <c r="D1913" t="inlineStr">
        <is>
          <t>6518</t>
        </is>
      </c>
      <c r="E1913" t="inlineStr">
        <is>
          <t>2026-06</t>
        </is>
      </c>
      <c r="F1913" t="n">
        <v>114.41</v>
      </c>
      <c r="G1913" t="n">
        <v>135</v>
      </c>
      <c r="H1913">
        <f>הגדרות!B7</f>
        <v/>
      </c>
      <c r="I1913">
        <f>F1913*(1-H1913/100)*1.18</f>
        <v/>
      </c>
      <c r="J1913">
        <f>הגדרות!C7</f>
        <v/>
      </c>
      <c r="K1913">
        <f>הגדרות!D7</f>
        <v/>
      </c>
      <c r="L1913">
        <f>I1913*(1+J1913/100)+K1913</f>
        <v/>
      </c>
    </row>
    <row r="1914">
      <c r="A1914" t="inlineStr">
        <is>
          <t>מדי-מרקט</t>
        </is>
      </c>
      <c r="B1914" t="inlineStr">
        <is>
          <t>PERJETA 420MG/14ML VIAL 1</t>
        </is>
      </c>
      <c r="C1914" t="inlineStr">
        <is>
          <t>תרופות</t>
        </is>
      </c>
      <c r="D1914" t="inlineStr">
        <is>
          <t>29635</t>
        </is>
      </c>
      <c r="E1914" t="inlineStr">
        <is>
          <t>2026-06</t>
        </is>
      </c>
      <c r="F1914" t="n">
        <v>9441.33</v>
      </c>
      <c r="G1914" t="n">
        <v>11140.77</v>
      </c>
      <c r="H1914">
        <f>הגדרות!B7</f>
        <v/>
      </c>
      <c r="I1914">
        <f>F1914*(1-H1914/100)*1.18</f>
        <v/>
      </c>
      <c r="J1914">
        <f>הגדרות!C7</f>
        <v/>
      </c>
      <c r="K1914">
        <f>הגדרות!D7</f>
        <v/>
      </c>
      <c r="L1914">
        <f>I1914*(1+J1914/100)+K1914</f>
        <v/>
      </c>
    </row>
    <row r="1915">
      <c r="A1915" t="inlineStr">
        <is>
          <t>מדי-מרקט</t>
        </is>
      </c>
      <c r="B1915" t="inlineStr">
        <is>
          <t>Perphenan 4 Mg Tabs: 30</t>
        </is>
      </c>
      <c r="C1915" t="inlineStr">
        <is>
          <t>תרופות</t>
        </is>
      </c>
      <c r="D1915" t="inlineStr">
        <is>
          <t>600245</t>
        </is>
      </c>
      <c r="E1915" t="inlineStr">
        <is>
          <t>2026-06</t>
        </is>
      </c>
      <c r="F1915" t="n">
        <v>43.94</v>
      </c>
      <c r="G1915" t="n">
        <v>51.85</v>
      </c>
      <c r="H1915">
        <f>הגדרות!B7</f>
        <v/>
      </c>
      <c r="I1915">
        <f>F1915*(1-H1915/100)*1.18</f>
        <v/>
      </c>
      <c r="J1915">
        <f>הגדרות!C7</f>
        <v/>
      </c>
      <c r="K1915">
        <f>הגדרות!D7</f>
        <v/>
      </c>
      <c r="L1915">
        <f>I1915*(1+J1915/100)+K1915</f>
        <v/>
      </c>
    </row>
    <row r="1916">
      <c r="A1916" t="inlineStr">
        <is>
          <t>מדי-מרקט</t>
        </is>
      </c>
      <c r="B1916" t="inlineStr">
        <is>
          <t>Perphenan 8 Mg Tabs: 20</t>
        </is>
      </c>
      <c r="C1916" t="inlineStr">
        <is>
          <t>תרופות</t>
        </is>
      </c>
      <c r="D1916" t="inlineStr">
        <is>
          <t>600237</t>
        </is>
      </c>
      <c r="E1916" t="inlineStr">
        <is>
          <t>2026-06</t>
        </is>
      </c>
      <c r="F1916" t="n">
        <v>17.3</v>
      </c>
      <c r="G1916" t="n">
        <v>20.41</v>
      </c>
      <c r="H1916">
        <f>הגדרות!B7</f>
        <v/>
      </c>
      <c r="I1916">
        <f>F1916*(1-H1916/100)*1.18</f>
        <v/>
      </c>
      <c r="J1916">
        <f>הגדרות!C7</f>
        <v/>
      </c>
      <c r="K1916">
        <f>הגדרות!D7</f>
        <v/>
      </c>
      <c r="L1916">
        <f>I1916*(1+J1916/100)+K1916</f>
        <v/>
      </c>
    </row>
    <row r="1917">
      <c r="A1917" t="inlineStr">
        <is>
          <t>מדי-מרקט</t>
        </is>
      </c>
      <c r="B1917" t="inlineStr">
        <is>
          <t>Petinimid G.L 250 mg x 100 cap</t>
        </is>
      </c>
      <c r="C1917" t="inlineStr">
        <is>
          <t>29 יבוא תרופות הומניות חו"ל</t>
        </is>
      </c>
      <c r="D1917" t="inlineStr">
        <is>
          <t>5867854</t>
        </is>
      </c>
      <c r="E1917" t="inlineStr">
        <is>
          <t>2026-06</t>
        </is>
      </c>
      <c r="F1917" t="n">
        <v>42.56</v>
      </c>
      <c r="G1917" t="n">
        <v>50.22</v>
      </c>
      <c r="H1917">
        <f>הגדרות!B7</f>
        <v/>
      </c>
      <c r="I1917">
        <f>F1917*(1-H1917/100)*1.18</f>
        <v/>
      </c>
      <c r="J1917">
        <f>הגדרות!C7</f>
        <v/>
      </c>
      <c r="K1917">
        <f>הגדרות!D7</f>
        <v/>
      </c>
      <c r="L1917">
        <f>I1917*(1+J1917/100)+K1917</f>
        <v/>
      </c>
    </row>
    <row r="1918">
      <c r="A1918" t="inlineStr">
        <is>
          <t>מדי-מרקט</t>
        </is>
      </c>
      <c r="B1918" t="inlineStr">
        <is>
          <t>Phenergan 50 Mg/2 Ml 5 Amp</t>
        </is>
      </c>
      <c r="C1918" t="inlineStr">
        <is>
          <t>תרופות</t>
        </is>
      </c>
      <c r="D1918" t="inlineStr">
        <is>
          <t>300356</t>
        </is>
      </c>
      <c r="E1918" t="inlineStr">
        <is>
          <t>2026-06</t>
        </is>
      </c>
      <c r="F1918" t="n">
        <v>41.53</v>
      </c>
      <c r="G1918" t="n">
        <v>49</v>
      </c>
      <c r="H1918">
        <f>הגדרות!B7</f>
        <v/>
      </c>
      <c r="I1918">
        <f>F1918*(1-H1918/100)*1.18</f>
        <v/>
      </c>
      <c r="J1918">
        <f>הגדרות!C7</f>
        <v/>
      </c>
      <c r="K1918">
        <f>הגדרות!D7</f>
        <v/>
      </c>
      <c r="L1918">
        <f>I1918*(1+J1918/100)+K1918</f>
        <v/>
      </c>
    </row>
    <row r="1919">
      <c r="A1919" t="inlineStr">
        <is>
          <t>מדי-מרקט</t>
        </is>
      </c>
      <c r="B1919" t="inlineStr">
        <is>
          <t>Phenimixin 10 Ml Eye Drops פנימיקסין</t>
        </is>
      </c>
      <c r="C1919" t="inlineStr">
        <is>
          <t>תרופות</t>
        </is>
      </c>
      <c r="D1919" t="inlineStr">
        <is>
          <t>5665</t>
        </is>
      </c>
      <c r="E1919" t="inlineStr">
        <is>
          <t>2026-06</t>
        </is>
      </c>
      <c r="F1919" t="n">
        <v>16.86</v>
      </c>
      <c r="G1919" t="n">
        <v>19.9</v>
      </c>
      <c r="H1919">
        <f>הגדרות!B7</f>
        <v/>
      </c>
      <c r="I1919">
        <f>F1919*(1-H1919/100)*1.18</f>
        <v/>
      </c>
      <c r="J1919">
        <f>הגדרות!C7</f>
        <v/>
      </c>
      <c r="K1919">
        <f>הגדרות!D7</f>
        <v/>
      </c>
      <c r="L1919">
        <f>I1919*(1+J1919/100)+K1919</f>
        <v/>
      </c>
    </row>
    <row r="1920">
      <c r="A1920" t="inlineStr">
        <is>
          <t>מדי-מרקט</t>
        </is>
      </c>
      <c r="B1920" t="inlineStr">
        <is>
          <t>Phenimy Med Chloramphenicol &amp; Polymixin-B Eye Drops 10Ml</t>
        </is>
      </c>
      <c r="C1920" t="inlineStr">
        <is>
          <t>הכנות בית מרקחת</t>
        </is>
      </c>
      <c r="D1920" t="inlineStr">
        <is>
          <t>439061</t>
        </is>
      </c>
      <c r="E1920" t="inlineStr">
        <is>
          <t>2026-06</t>
        </is>
      </c>
      <c r="F1920" t="n">
        <v>32.2</v>
      </c>
      <c r="G1920" t="n">
        <v>38</v>
      </c>
      <c r="H1920">
        <f>הגדרות!B7</f>
        <v/>
      </c>
      <c r="I1920">
        <f>F1920*(1-H1920/100)*1.18</f>
        <v/>
      </c>
      <c r="J1920">
        <f>הגדרות!C7</f>
        <v/>
      </c>
      <c r="K1920">
        <f>הגדרות!D7</f>
        <v/>
      </c>
      <c r="L1920">
        <f>I1920*(1+J1920/100)+K1920</f>
        <v/>
      </c>
    </row>
    <row r="1921">
      <c r="A1921" t="inlineStr">
        <is>
          <t>מדי-מרקט</t>
        </is>
      </c>
      <c r="B1921" t="inlineStr">
        <is>
          <t>Phenobarbital 100Mg 60Tabs פנוברביטל/BIALMINAL</t>
        </is>
      </c>
      <c r="C1921" t="inlineStr">
        <is>
          <t>29 יבוא תרופות הומניות חו"ל</t>
        </is>
      </c>
      <c r="D1921" t="inlineStr">
        <is>
          <t>978841</t>
        </is>
      </c>
      <c r="E1921" t="inlineStr">
        <is>
          <t>2026-06</t>
        </is>
      </c>
      <c r="F1921" t="n">
        <v>27.97</v>
      </c>
      <c r="G1921" t="n">
        <v>33</v>
      </c>
      <c r="H1921">
        <f>הגדרות!B7</f>
        <v/>
      </c>
      <c r="I1921">
        <f>F1921*(1-H1921/100)*1.18</f>
        <v/>
      </c>
      <c r="J1921">
        <f>הגדרות!C7</f>
        <v/>
      </c>
      <c r="K1921">
        <f>הגדרות!D7</f>
        <v/>
      </c>
      <c r="L1921">
        <f>I1921*(1+J1921/100)+K1921</f>
        <v/>
      </c>
    </row>
    <row r="1922">
      <c r="A1922" t="inlineStr">
        <is>
          <t>מדי-מרקט</t>
        </is>
      </c>
      <c r="B1922" t="inlineStr">
        <is>
          <t>Phenobarbital 15 Mg 30 Tabs פנוברביטל</t>
        </is>
      </c>
      <c r="C1922" t="inlineStr">
        <is>
          <t>תרופות</t>
        </is>
      </c>
      <c r="D1922" t="inlineStr">
        <is>
          <t>8741</t>
        </is>
      </c>
      <c r="E1922" t="inlineStr">
        <is>
          <t>2026-06</t>
        </is>
      </c>
      <c r="F1922" t="n">
        <v>41.53</v>
      </c>
      <c r="G1922" t="n">
        <v>49</v>
      </c>
      <c r="H1922">
        <f>הגדרות!B7</f>
        <v/>
      </c>
      <c r="I1922">
        <f>F1922*(1-H1922/100)*1.18</f>
        <v/>
      </c>
      <c r="J1922">
        <f>הגדרות!C7</f>
        <v/>
      </c>
      <c r="K1922">
        <f>הגדרות!D7</f>
        <v/>
      </c>
      <c r="L1922">
        <f>I1922*(1+J1922/100)+K1922</f>
        <v/>
      </c>
    </row>
    <row r="1923">
      <c r="A1923" t="inlineStr">
        <is>
          <t>מדי-מרקט</t>
        </is>
      </c>
      <c r="B1923" t="inlineStr">
        <is>
          <t>Phenylephrine Sintetica 10 Mg/Ml 10 Amp</t>
        </is>
      </c>
      <c r="C1923" t="inlineStr">
        <is>
          <t>תרופות</t>
        </is>
      </c>
      <c r="D1923" t="inlineStr">
        <is>
          <t>2248002</t>
        </is>
      </c>
      <c r="E1923" t="inlineStr">
        <is>
          <t>2026-06</t>
        </is>
      </c>
      <c r="F1923" t="n">
        <v>103.69</v>
      </c>
      <c r="G1923" t="n">
        <v>122.36</v>
      </c>
      <c r="H1923">
        <f>הגדרות!B7</f>
        <v/>
      </c>
      <c r="I1923">
        <f>F1923*(1-H1923/100)*1.18</f>
        <v/>
      </c>
      <c r="J1923">
        <f>הגדרות!C7</f>
        <v/>
      </c>
      <c r="K1923">
        <f>הגדרות!D7</f>
        <v/>
      </c>
      <c r="L1923">
        <f>I1923*(1+J1923/100)+K1923</f>
        <v/>
      </c>
    </row>
    <row r="1924">
      <c r="A1924" t="inlineStr">
        <is>
          <t>מדי-מרקט</t>
        </is>
      </c>
      <c r="B1924" t="inlineStr">
        <is>
          <t>Phenylpropanolamine 50Mg 100 Tabs</t>
        </is>
      </c>
      <c r="C1924" t="inlineStr">
        <is>
          <t>הכנות בית מרקחת</t>
        </is>
      </c>
      <c r="D1924" t="inlineStr">
        <is>
          <t>133558</t>
        </is>
      </c>
      <c r="E1924" t="inlineStr">
        <is>
          <t>2026-06</t>
        </is>
      </c>
      <c r="F1924" t="n">
        <v>93.22</v>
      </c>
      <c r="G1924" t="n">
        <v>110</v>
      </c>
      <c r="H1924">
        <f>הגדרות!B7</f>
        <v/>
      </c>
      <c r="I1924">
        <f>F1924*(1-H1924/100)*1.18</f>
        <v/>
      </c>
      <c r="J1924">
        <f>הגדרות!C7</f>
        <v/>
      </c>
      <c r="K1924">
        <f>הגדרות!D7</f>
        <v/>
      </c>
      <c r="L1924">
        <f>I1924*(1+J1924/100)+K1924</f>
        <v/>
      </c>
    </row>
    <row r="1925">
      <c r="A1925" t="inlineStr">
        <is>
          <t>מדי-מרקט</t>
        </is>
      </c>
      <c r="B1925" t="inlineStr">
        <is>
          <t>Phenytoin 250mg/5ml 10ml X 10amp</t>
        </is>
      </c>
      <c r="C1925" t="inlineStr">
        <is>
          <t>תרופות</t>
        </is>
      </c>
      <c r="D1925" t="inlineStr">
        <is>
          <t>2368598</t>
        </is>
      </c>
      <c r="E1925" t="inlineStr">
        <is>
          <t>2026-06</t>
        </is>
      </c>
      <c r="F1925" t="n">
        <v>46.91</v>
      </c>
      <c r="G1925" t="n">
        <v>55.35</v>
      </c>
      <c r="H1925">
        <f>הגדרות!B7</f>
        <v/>
      </c>
      <c r="I1925">
        <f>F1925*(1-H1925/100)*1.18</f>
        <v/>
      </c>
      <c r="J1925">
        <f>הגדרות!C7</f>
        <v/>
      </c>
      <c r="K1925">
        <f>הגדרות!D7</f>
        <v/>
      </c>
      <c r="L1925">
        <f>I1925*(1+J1925/100)+K1925</f>
        <v/>
      </c>
    </row>
    <row r="1926">
      <c r="A1926" t="inlineStr">
        <is>
          <t>מדי-מרקט</t>
        </is>
      </c>
      <c r="B1926" t="inlineStr">
        <is>
          <t>Pico-Salax Orange Powder For Sol Sachet 2X16.1G</t>
        </is>
      </c>
      <c r="C1926" t="inlineStr">
        <is>
          <t>תרופות</t>
        </is>
      </c>
      <c r="D1926" t="inlineStr">
        <is>
          <t>15612004355</t>
        </is>
      </c>
      <c r="E1926" t="inlineStr">
        <is>
          <t>2026-06</t>
        </is>
      </c>
      <c r="F1926" t="n">
        <v>32.72</v>
      </c>
      <c r="G1926" t="n">
        <v>38.61</v>
      </c>
      <c r="H1926">
        <f>הגדרות!B7</f>
        <v/>
      </c>
      <c r="I1926">
        <f>F1926*(1-H1926/100)*1.18</f>
        <v/>
      </c>
      <c r="J1926">
        <f>הגדרות!C7</f>
        <v/>
      </c>
      <c r="K1926">
        <f>הגדרות!D7</f>
        <v/>
      </c>
      <c r="L1926">
        <f>I1926*(1+J1926/100)+K1926</f>
        <v/>
      </c>
    </row>
    <row r="1927">
      <c r="A1927" t="inlineStr">
        <is>
          <t>מדי-מרקט</t>
        </is>
      </c>
      <c r="B1927" t="inlineStr">
        <is>
          <t>Pilocarpine 2% 10Ml Eye Drops פילוקרפין</t>
        </is>
      </c>
      <c r="C1927" t="inlineStr">
        <is>
          <t>תרופות</t>
        </is>
      </c>
      <c r="D1927" t="inlineStr">
        <is>
          <t>9378</t>
        </is>
      </c>
      <c r="E1927" t="inlineStr">
        <is>
          <t>2026-06</t>
        </is>
      </c>
      <c r="F1927" t="n">
        <v>10.25</v>
      </c>
      <c r="G1927" t="n">
        <v>12.1</v>
      </c>
      <c r="H1927">
        <f>הגדרות!B7</f>
        <v/>
      </c>
      <c r="I1927">
        <f>F1927*(1-H1927/100)*1.18</f>
        <v/>
      </c>
      <c r="J1927">
        <f>הגדרות!C7</f>
        <v/>
      </c>
      <c r="K1927">
        <f>הגדרות!D7</f>
        <v/>
      </c>
      <c r="L1927">
        <f>I1927*(1+J1927/100)+K1927</f>
        <v/>
      </c>
    </row>
    <row r="1928">
      <c r="A1928" t="inlineStr">
        <is>
          <t>מדי-מרקט</t>
        </is>
      </c>
      <c r="B1928" t="inlineStr">
        <is>
          <t>PIMARICIN OPHTHALMIC SUSPENSION 5% "SENJU"5 ML</t>
        </is>
      </c>
      <c r="C1928" t="inlineStr">
        <is>
          <t>29 יבוא תרופות הומניות חו"ל</t>
        </is>
      </c>
      <c r="D1928" t="inlineStr">
        <is>
          <t>3595</t>
        </is>
      </c>
      <c r="E1928" t="inlineStr">
        <is>
          <t>2026-06</t>
        </is>
      </c>
      <c r="F1928" t="n">
        <v>213.94</v>
      </c>
      <c r="G1928" t="n">
        <v>252.45</v>
      </c>
      <c r="H1928">
        <f>הגדרות!B7</f>
        <v/>
      </c>
      <c r="I1928">
        <f>F1928*(1-H1928/100)*1.18</f>
        <v/>
      </c>
      <c r="J1928">
        <f>הגדרות!C7</f>
        <v/>
      </c>
      <c r="K1928">
        <f>הגדרות!D7</f>
        <v/>
      </c>
      <c r="L1928">
        <f>I1928*(1+J1928/100)+K1928</f>
        <v/>
      </c>
    </row>
    <row r="1929">
      <c r="A1929" t="inlineStr">
        <is>
          <t>מדי-מרקט</t>
        </is>
      </c>
      <c r="B1929" t="inlineStr">
        <is>
          <t>Pimobendan 1.25mg/0.1ml Transdermal Gel 1ML X 1 Syringe</t>
        </is>
      </c>
      <c r="C1929" t="inlineStr">
        <is>
          <t>הכנות בית מרקחת</t>
        </is>
      </c>
      <c r="D1929" t="inlineStr">
        <is>
          <t>346506</t>
        </is>
      </c>
      <c r="E1929" t="inlineStr">
        <is>
          <t>2026-06</t>
        </is>
      </c>
      <c r="F1929" t="n">
        <v>30.51</v>
      </c>
      <c r="G1929" t="n">
        <v>36</v>
      </c>
      <c r="H1929">
        <f>הגדרות!B7</f>
        <v/>
      </c>
      <c r="I1929">
        <f>F1929*(1-H1929/100)*1.18</f>
        <v/>
      </c>
      <c r="J1929">
        <f>הגדרות!C7</f>
        <v/>
      </c>
      <c r="K1929">
        <f>הגדרות!D7</f>
        <v/>
      </c>
      <c r="L1929">
        <f>I1929*(1+J1929/100)+K1929</f>
        <v/>
      </c>
    </row>
    <row r="1930">
      <c r="A1930" t="inlineStr">
        <is>
          <t>מדי-מרקט</t>
        </is>
      </c>
      <c r="B1930" t="inlineStr">
        <is>
          <t>Pimobendan 1.5Mg 100Caps</t>
        </is>
      </c>
      <c r="C1930" t="inlineStr">
        <is>
          <t>הכנות בית מרקחת</t>
        </is>
      </c>
      <c r="D1930" t="inlineStr">
        <is>
          <t>2410-1</t>
        </is>
      </c>
      <c r="E1930" t="inlineStr">
        <is>
          <t>2026-06</t>
        </is>
      </c>
      <c r="F1930" t="n">
        <v>199.15</v>
      </c>
      <c r="G1930" t="n">
        <v>235</v>
      </c>
      <c r="H1930">
        <f>הגדרות!B7</f>
        <v/>
      </c>
      <c r="I1930">
        <f>F1930*(1-H1930/100)*1.18</f>
        <v/>
      </c>
      <c r="J1930">
        <f>הגדרות!C7</f>
        <v/>
      </c>
      <c r="K1930">
        <f>הגדרות!D7</f>
        <v/>
      </c>
      <c r="L1930">
        <f>I1930*(1+J1930/100)+K1930</f>
        <v/>
      </c>
    </row>
    <row r="1931">
      <c r="A1931" t="inlineStr">
        <is>
          <t>מדי-מרקט</t>
        </is>
      </c>
      <c r="B1931" t="inlineStr">
        <is>
          <t>Pimobendan 2.25Mg 100Caps</t>
        </is>
      </c>
      <c r="C1931" t="inlineStr">
        <is>
          <t>הכנות בית מרקחת</t>
        </is>
      </c>
      <c r="D1931" t="inlineStr">
        <is>
          <t>2411</t>
        </is>
      </c>
      <c r="E1931" t="inlineStr">
        <is>
          <t>2026-06</t>
        </is>
      </c>
      <c r="F1931" t="n">
        <v>127.12</v>
      </c>
      <c r="G1931" t="n">
        <v>150</v>
      </c>
      <c r="H1931">
        <f>הגדרות!B7</f>
        <v/>
      </c>
      <c r="I1931">
        <f>F1931*(1-H1931/100)*1.18</f>
        <v/>
      </c>
      <c r="J1931">
        <f>הגדרות!C7</f>
        <v/>
      </c>
      <c r="K1931">
        <f>הגדרות!D7</f>
        <v/>
      </c>
      <c r="L1931">
        <f>I1931*(1+J1931/100)+K1931</f>
        <v/>
      </c>
    </row>
    <row r="1932">
      <c r="A1932" t="inlineStr">
        <is>
          <t>מדי-מרקט</t>
        </is>
      </c>
      <c r="B1932" t="inlineStr">
        <is>
          <t>Pimobendan 2Mg 100Caps</t>
        </is>
      </c>
      <c r="C1932" t="inlineStr">
        <is>
          <t>הכנות בית מרקחת</t>
        </is>
      </c>
      <c r="D1932" t="inlineStr">
        <is>
          <t>24136</t>
        </is>
      </c>
      <c r="E1932" t="inlineStr">
        <is>
          <t>2026-06</t>
        </is>
      </c>
      <c r="F1932" t="n">
        <v>169.49</v>
      </c>
      <c r="G1932" t="n">
        <v>200</v>
      </c>
      <c r="H1932">
        <f>הגדרות!B7</f>
        <v/>
      </c>
      <c r="I1932">
        <f>F1932*(1-H1932/100)*1.18</f>
        <v/>
      </c>
      <c r="J1932">
        <f>הגדרות!C7</f>
        <v/>
      </c>
      <c r="K1932">
        <f>הגדרות!D7</f>
        <v/>
      </c>
      <c r="L1932">
        <f>I1932*(1+J1932/100)+K1932</f>
        <v/>
      </c>
    </row>
    <row r="1933">
      <c r="A1933" t="inlineStr">
        <is>
          <t>מדי-מרקט</t>
        </is>
      </c>
      <c r="B1933" t="inlineStr">
        <is>
          <t>Piperacillin/ Tazobactam Panpharma 4G/500Mg X 10</t>
        </is>
      </c>
      <c r="C1933" t="inlineStr">
        <is>
          <t>תרופות</t>
        </is>
      </c>
      <c r="D1933" t="inlineStr">
        <is>
          <t>1081203406-1</t>
        </is>
      </c>
      <c r="E1933" t="inlineStr">
        <is>
          <t>2026-06</t>
        </is>
      </c>
      <c r="F1933" t="n">
        <v>156.78</v>
      </c>
      <c r="G1933" t="n">
        <v>185</v>
      </c>
      <c r="H1933">
        <f>הגדרות!B7</f>
        <v/>
      </c>
      <c r="I1933">
        <f>F1933*(1-H1933/100)*1.18</f>
        <v/>
      </c>
      <c r="J1933">
        <f>הגדרות!C7</f>
        <v/>
      </c>
      <c r="K1933">
        <f>הגדרות!D7</f>
        <v/>
      </c>
      <c r="L1933">
        <f>I1933*(1+J1933/100)+K1933</f>
        <v/>
      </c>
    </row>
    <row r="1934">
      <c r="A1934" t="inlineStr">
        <is>
          <t>מדי-מרקט</t>
        </is>
      </c>
      <c r="B1934" t="inlineStr">
        <is>
          <t>Pitrex 1% 15 G Crearm</t>
        </is>
      </c>
      <c r="C1934" t="inlineStr">
        <is>
          <t>תרופות</t>
        </is>
      </c>
      <c r="D1934" t="inlineStr">
        <is>
          <t>71050</t>
        </is>
      </c>
      <c r="E1934" t="inlineStr">
        <is>
          <t>2026-06</t>
        </is>
      </c>
      <c r="F1934" t="n">
        <v>10.17</v>
      </c>
      <c r="G1934" t="n">
        <v>12</v>
      </c>
      <c r="H1934">
        <f>הגדרות!B7</f>
        <v/>
      </c>
      <c r="I1934">
        <f>F1934*(1-H1934/100)*1.18</f>
        <v/>
      </c>
      <c r="J1934">
        <f>הגדרות!C7</f>
        <v/>
      </c>
      <c r="K1934">
        <f>הגדרות!D7</f>
        <v/>
      </c>
      <c r="L1934">
        <f>I1934*(1+J1934/100)+K1934</f>
        <v/>
      </c>
    </row>
    <row r="1935">
      <c r="A1935" t="inlineStr">
        <is>
          <t>מדי-מרקט</t>
        </is>
      </c>
      <c r="B1935" t="inlineStr">
        <is>
          <t>Pitrion 2% 15G Cream</t>
        </is>
      </c>
      <c r="C1935" t="inlineStr">
        <is>
          <t>תרופות</t>
        </is>
      </c>
      <c r="D1935" t="inlineStr">
        <is>
          <t>12956</t>
        </is>
      </c>
      <c r="E1935" t="inlineStr">
        <is>
          <t>2026-06</t>
        </is>
      </c>
      <c r="F1935" t="n">
        <v>18.22</v>
      </c>
      <c r="G1935" t="n">
        <v>21.5</v>
      </c>
      <c r="H1935">
        <f>הגדרות!B7</f>
        <v/>
      </c>
      <c r="I1935">
        <f>F1935*(1-H1935/100)*1.18</f>
        <v/>
      </c>
      <c r="J1935">
        <f>הגדרות!C7</f>
        <v/>
      </c>
      <c r="K1935">
        <f>הגדרות!D7</f>
        <v/>
      </c>
      <c r="L1935">
        <f>I1935*(1+J1935/100)+K1935</f>
        <v/>
      </c>
    </row>
    <row r="1936">
      <c r="A1936" t="inlineStr">
        <is>
          <t>מדי-מרקט</t>
        </is>
      </c>
      <c r="B1936" t="inlineStr">
        <is>
          <t>Plavix 75 Mg 30 Tab פלוויקס 30 טב'</t>
        </is>
      </c>
      <c r="C1936" t="inlineStr">
        <is>
          <t>תרופות</t>
        </is>
      </c>
      <c r="D1936" t="inlineStr">
        <is>
          <t>1567</t>
        </is>
      </c>
      <c r="E1936" t="inlineStr">
        <is>
          <t>2026-06</t>
        </is>
      </c>
      <c r="F1936" t="n">
        <v>13.21</v>
      </c>
      <c r="G1936" t="n">
        <v>15.59</v>
      </c>
      <c r="H1936">
        <f>הגדרות!B7</f>
        <v/>
      </c>
      <c r="I1936">
        <f>F1936*(1-H1936/100)*1.18</f>
        <v/>
      </c>
      <c r="J1936">
        <f>הגדרות!C7</f>
        <v/>
      </c>
      <c r="K1936">
        <f>הגדרות!D7</f>
        <v/>
      </c>
      <c r="L1936">
        <f>I1936*(1+J1936/100)+K1936</f>
        <v/>
      </c>
    </row>
    <row r="1937">
      <c r="A1937" t="inlineStr">
        <is>
          <t>מדי-מרקט</t>
        </is>
      </c>
      <c r="B1937" t="inlineStr">
        <is>
          <t>Point 275Mg  X 20abs</t>
        </is>
      </c>
      <c r="C1937" t="inlineStr">
        <is>
          <t>תרופות</t>
        </is>
      </c>
      <c r="D1937" t="inlineStr">
        <is>
          <t>16197</t>
        </is>
      </c>
      <c r="E1937" t="inlineStr">
        <is>
          <t>2026-06</t>
        </is>
      </c>
      <c r="F1937" t="n">
        <v>21.14</v>
      </c>
      <c r="G1937" t="n">
        <v>24.95</v>
      </c>
      <c r="H1937">
        <f>הגדרות!B7</f>
        <v/>
      </c>
      <c r="I1937">
        <f>F1937*(1-H1937/100)*1.18</f>
        <v/>
      </c>
      <c r="J1937">
        <f>הגדרות!C7</f>
        <v/>
      </c>
      <c r="K1937">
        <f>הגדרות!D7</f>
        <v/>
      </c>
      <c r="L1937">
        <f>I1937*(1+J1937/100)+K1937</f>
        <v/>
      </c>
    </row>
    <row r="1938">
      <c r="A1938" t="inlineStr">
        <is>
          <t>מדי-מרקט</t>
        </is>
      </c>
      <c r="B1938" t="inlineStr">
        <is>
          <t>Polycutan 15G Cream</t>
        </is>
      </c>
      <c r="C1938" t="inlineStr">
        <is>
          <t>תרופות</t>
        </is>
      </c>
      <c r="D1938" t="inlineStr">
        <is>
          <t>6557</t>
        </is>
      </c>
      <c r="E1938" t="inlineStr">
        <is>
          <t>2026-06</t>
        </is>
      </c>
      <c r="F1938" t="n">
        <v>24.15</v>
      </c>
      <c r="G1938" t="n">
        <v>28.5</v>
      </c>
      <c r="H1938">
        <f>הגדרות!B7</f>
        <v/>
      </c>
      <c r="I1938">
        <f>F1938*(1-H1938/100)*1.18</f>
        <v/>
      </c>
      <c r="J1938">
        <f>הגדרות!C7</f>
        <v/>
      </c>
      <c r="K1938">
        <f>הגדרות!D7</f>
        <v/>
      </c>
      <c r="L1938">
        <f>I1938*(1+J1938/100)+K1938</f>
        <v/>
      </c>
    </row>
    <row r="1939">
      <c r="A1939" t="inlineStr">
        <is>
          <t>מדי-מרקט</t>
        </is>
      </c>
      <c r="B1939" t="inlineStr">
        <is>
          <t>Potassium Bromide K.B.R 50% 100 Ml Solution</t>
        </is>
      </c>
      <c r="C1939" t="inlineStr">
        <is>
          <t>הכנות בית מרקחת</t>
        </is>
      </c>
      <c r="D1939" t="inlineStr">
        <is>
          <t>64047</t>
        </is>
      </c>
      <c r="E1939" t="inlineStr">
        <is>
          <t>2026-06</t>
        </is>
      </c>
      <c r="F1939" t="n">
        <v>66.09999999999999</v>
      </c>
      <c r="G1939" t="n">
        <v>78</v>
      </c>
      <c r="H1939">
        <f>הגדרות!B7</f>
        <v/>
      </c>
      <c r="I1939">
        <f>F1939*(1-H1939/100)*1.18</f>
        <v/>
      </c>
      <c r="J1939">
        <f>הגדרות!C7</f>
        <v/>
      </c>
      <c r="K1939">
        <f>הגדרות!D7</f>
        <v/>
      </c>
      <c r="L1939">
        <f>I1939*(1+J1939/100)+K1939</f>
        <v/>
      </c>
    </row>
    <row r="1940">
      <c r="A1940" t="inlineStr">
        <is>
          <t>מדי-מרקט</t>
        </is>
      </c>
      <c r="B1940" t="inlineStr">
        <is>
          <t>Potassium Chlor. 14.9% 10Ml Inj פוטסיום כלוריד</t>
        </is>
      </c>
      <c r="C1940" t="inlineStr">
        <is>
          <t>תרופות</t>
        </is>
      </c>
      <c r="D1940" t="inlineStr">
        <is>
          <t>1450</t>
        </is>
      </c>
      <c r="E1940" t="inlineStr">
        <is>
          <t>2026-06</t>
        </is>
      </c>
      <c r="F1940" t="n">
        <v>1.36</v>
      </c>
      <c r="G1940" t="n">
        <v>1.6</v>
      </c>
      <c r="H1940">
        <f>הגדרות!B7</f>
        <v/>
      </c>
      <c r="I1940">
        <f>F1940*(1-H1940/100)*1.18</f>
        <v/>
      </c>
      <c r="J1940">
        <f>הגדרות!C7</f>
        <v/>
      </c>
      <c r="K1940">
        <f>הגדרות!D7</f>
        <v/>
      </c>
      <c r="L1940">
        <f>I1940*(1+J1940/100)+K1940</f>
        <v/>
      </c>
    </row>
    <row r="1941">
      <c r="A1941" t="inlineStr">
        <is>
          <t>מדי-מרקט</t>
        </is>
      </c>
      <c r="B1941" t="inlineStr">
        <is>
          <t>Povidone-Iodine 4% 100Ml Solution</t>
        </is>
      </c>
      <c r="C1941" t="inlineStr">
        <is>
          <t>הכנות בית מרקחת</t>
        </is>
      </c>
      <c r="D1941" t="inlineStr">
        <is>
          <t>652512</t>
        </is>
      </c>
      <c r="E1941" t="inlineStr">
        <is>
          <t>2026-06</t>
        </is>
      </c>
      <c r="F1941" t="n">
        <v>5.72</v>
      </c>
      <c r="G1941" t="n">
        <v>6.75</v>
      </c>
      <c r="H1941">
        <f>הגדרות!B7</f>
        <v/>
      </c>
      <c r="I1941">
        <f>F1941*(1-H1941/100)*1.18</f>
        <v/>
      </c>
      <c r="J1941">
        <f>הגדרות!C7</f>
        <v/>
      </c>
      <c r="K1941">
        <f>הגדרות!D7</f>
        <v/>
      </c>
      <c r="L1941">
        <f>I1941*(1+J1941/100)+K1941</f>
        <v/>
      </c>
    </row>
    <row r="1942">
      <c r="A1942" t="inlineStr">
        <is>
          <t>מדי-מרקט</t>
        </is>
      </c>
      <c r="B1942" t="inlineStr">
        <is>
          <t>Povidone-Iodine 4% 10Ml Sterile Solution</t>
        </is>
      </c>
      <c r="C1942" t="inlineStr">
        <is>
          <t>הכנות בית מרקחת</t>
        </is>
      </c>
      <c r="D1942" t="inlineStr">
        <is>
          <t>652513</t>
        </is>
      </c>
      <c r="E1942" t="inlineStr">
        <is>
          <t>2026-06</t>
        </is>
      </c>
      <c r="F1942" t="n">
        <v>12.84</v>
      </c>
      <c r="G1942" t="n">
        <v>15.15</v>
      </c>
      <c r="H1942">
        <f>הגדרות!B7</f>
        <v/>
      </c>
      <c r="I1942">
        <f>F1942*(1-H1942/100)*1.18</f>
        <v/>
      </c>
      <c r="J1942">
        <f>הגדרות!C7</f>
        <v/>
      </c>
      <c r="K1942">
        <f>הגדרות!D7</f>
        <v/>
      </c>
      <c r="L1942">
        <f>I1942*(1+J1942/100)+K1942</f>
        <v/>
      </c>
    </row>
    <row r="1943">
      <c r="A1943" t="inlineStr">
        <is>
          <t>מדי-מרקט</t>
        </is>
      </c>
      <c r="B1943" t="inlineStr">
        <is>
          <t>Pramin 10Mg 30 Tabs פרמין 30 טב' 10 מ"ג</t>
        </is>
      </c>
      <c r="C1943" t="inlineStr">
        <is>
          <t>תרופות</t>
        </is>
      </c>
      <c r="D1943" t="inlineStr">
        <is>
          <t>1675</t>
        </is>
      </c>
      <c r="E1943" t="inlineStr">
        <is>
          <t>2026-06</t>
        </is>
      </c>
      <c r="F1943" t="n">
        <v>9.970000000000001</v>
      </c>
      <c r="G1943" t="n">
        <v>11.77</v>
      </c>
      <c r="H1943">
        <f>הגדרות!B7</f>
        <v/>
      </c>
      <c r="I1943">
        <f>F1943*(1-H1943/100)*1.18</f>
        <v/>
      </c>
      <c r="J1943">
        <f>הגדרות!C7</f>
        <v/>
      </c>
      <c r="K1943">
        <f>הגדרות!D7</f>
        <v/>
      </c>
      <c r="L1943">
        <f>I1943*(1+J1943/100)+K1943</f>
        <v/>
      </c>
    </row>
    <row r="1944">
      <c r="A1944" t="inlineStr">
        <is>
          <t>מדי-מרקט</t>
        </is>
      </c>
      <c r="B1944" t="inlineStr">
        <is>
          <t>Prazitel Cat Veterinary 104 Tablets פרזיטל קט</t>
        </is>
      </c>
      <c r="C1944" t="inlineStr">
        <is>
          <t>תרופות</t>
        </is>
      </c>
      <c r="D1944" t="inlineStr">
        <is>
          <t>M003746</t>
        </is>
      </c>
      <c r="E1944" t="inlineStr">
        <is>
          <t>2026-06</t>
        </is>
      </c>
      <c r="F1944" t="n">
        <v>584.75</v>
      </c>
      <c r="G1944" t="n">
        <v>690</v>
      </c>
      <c r="H1944">
        <f>הגדרות!B7</f>
        <v/>
      </c>
      <c r="I1944">
        <f>F1944*(1-H1944/100)*1.18</f>
        <v/>
      </c>
      <c r="J1944">
        <f>הגדרות!C7</f>
        <v/>
      </c>
      <c r="K1944">
        <f>הגדרות!D7</f>
        <v/>
      </c>
      <c r="L1944">
        <f>I1944*(1+J1944/100)+K1944</f>
        <v/>
      </c>
    </row>
    <row r="1945">
      <c r="A1945" t="inlineStr">
        <is>
          <t>מדי-מרקט</t>
        </is>
      </c>
      <c r="B1945" t="inlineStr">
        <is>
          <t>Prazitel Plus Veterinary 200 Tablets פרזיטל פלוס</t>
        </is>
      </c>
      <c r="C1945" t="inlineStr">
        <is>
          <t>תרופות</t>
        </is>
      </c>
      <c r="D1945" t="inlineStr">
        <is>
          <t>M003744</t>
        </is>
      </c>
      <c r="E1945" t="inlineStr">
        <is>
          <t>2026-06</t>
        </is>
      </c>
      <c r="F1945" t="n">
        <v>754.24</v>
      </c>
      <c r="G1945" t="n">
        <v>890</v>
      </c>
      <c r="H1945">
        <f>הגדרות!B7</f>
        <v/>
      </c>
      <c r="I1945">
        <f>F1945*(1-H1945/100)*1.18</f>
        <v/>
      </c>
      <c r="J1945">
        <f>הגדרות!C7</f>
        <v/>
      </c>
      <c r="K1945">
        <f>הגדרות!D7</f>
        <v/>
      </c>
      <c r="L1945">
        <f>I1945*(1+J1945/100)+K1945</f>
        <v/>
      </c>
    </row>
    <row r="1946">
      <c r="A1946" t="inlineStr">
        <is>
          <t>מדי-מרקט</t>
        </is>
      </c>
      <c r="B1946" t="inlineStr">
        <is>
          <t>Pred 0.5% + Calendula + Citronela Cream 500Ml</t>
        </is>
      </c>
      <c r="C1946" t="inlineStr">
        <is>
          <t>הכנות בית מרקחת</t>
        </is>
      </c>
      <c r="D1946" t="inlineStr">
        <is>
          <t>M02039</t>
        </is>
      </c>
      <c r="E1946" t="inlineStr">
        <is>
          <t>2026-06</t>
        </is>
      </c>
      <c r="F1946" t="n">
        <v>54.24</v>
      </c>
      <c r="G1946" t="n">
        <v>64</v>
      </c>
      <c r="H1946">
        <f>הגדרות!B7</f>
        <v/>
      </c>
      <c r="I1946">
        <f>F1946*(1-H1946/100)*1.18</f>
        <v/>
      </c>
      <c r="J1946">
        <f>הגדרות!C7</f>
        <v/>
      </c>
      <c r="K1946">
        <f>הגדרות!D7</f>
        <v/>
      </c>
      <c r="L1946">
        <f>I1946*(1+J1946/100)+K1946</f>
        <v/>
      </c>
    </row>
    <row r="1947">
      <c r="A1947" t="inlineStr">
        <is>
          <t>מדי-מרקט</t>
        </is>
      </c>
      <c r="B1947" t="inlineStr">
        <is>
          <t>Pred Forte 1% Eye Drops</t>
        </is>
      </c>
      <c r="C1947" t="inlineStr">
        <is>
          <t>תרופות</t>
        </is>
      </c>
      <c r="D1947" t="inlineStr">
        <is>
          <t>163532</t>
        </is>
      </c>
      <c r="E1947" t="inlineStr">
        <is>
          <t>2026-06</t>
        </is>
      </c>
      <c r="F1947" t="n">
        <v>10.93</v>
      </c>
      <c r="G1947" t="n">
        <v>12.9</v>
      </c>
      <c r="H1947">
        <f>הגדרות!B7</f>
        <v/>
      </c>
      <c r="I1947">
        <f>F1947*(1-H1947/100)*1.18</f>
        <v/>
      </c>
      <c r="J1947">
        <f>הגדרות!C7</f>
        <v/>
      </c>
      <c r="K1947">
        <f>הגדרות!D7</f>
        <v/>
      </c>
      <c r="L1947">
        <f>I1947*(1+J1947/100)+K1947</f>
        <v/>
      </c>
    </row>
    <row r="1948">
      <c r="A1948" t="inlineStr">
        <is>
          <t>מדי-מרקט</t>
        </is>
      </c>
      <c r="B1948" t="inlineStr">
        <is>
          <t>Prednicare 5Mg 1,000 Tablets</t>
        </is>
      </c>
      <c r="C1948" t="inlineStr">
        <is>
          <t>29ג' וטרינרי</t>
        </is>
      </c>
      <c r="D1948" t="inlineStr">
        <is>
          <t>40373</t>
        </is>
      </c>
      <c r="E1948" t="inlineStr">
        <is>
          <t>2026-06</t>
        </is>
      </c>
      <c r="F1948" t="n">
        <v>237.29</v>
      </c>
      <c r="G1948" t="n">
        <v>280</v>
      </c>
      <c r="H1948">
        <f>הגדרות!B7</f>
        <v/>
      </c>
      <c r="I1948">
        <f>F1948*(1-H1948/100)*1.18</f>
        <v/>
      </c>
      <c r="J1948">
        <f>הגדרות!C7</f>
        <v/>
      </c>
      <c r="K1948">
        <f>הגדרות!D7</f>
        <v/>
      </c>
      <c r="L1948">
        <f>I1948*(1+J1948/100)+K1948</f>
        <v/>
      </c>
    </row>
    <row r="1949">
      <c r="A1949" t="inlineStr">
        <is>
          <t>מדי-מרקט</t>
        </is>
      </c>
      <c r="B1949" t="inlineStr">
        <is>
          <t>Prednisolone 0.5% + Calendula Cream 500Ml</t>
        </is>
      </c>
      <c r="C1949" t="inlineStr">
        <is>
          <t>הכנות בית מרקחת</t>
        </is>
      </c>
      <c r="D1949" t="inlineStr">
        <is>
          <t>M02034</t>
        </is>
      </c>
      <c r="E1949" t="inlineStr">
        <is>
          <t>2026-06</t>
        </is>
      </c>
      <c r="F1949" t="n">
        <v>47.46</v>
      </c>
      <c r="G1949" t="n">
        <v>56</v>
      </c>
      <c r="H1949">
        <f>הגדרות!B7</f>
        <v/>
      </c>
      <c r="I1949">
        <f>F1949*(1-H1949/100)*1.18</f>
        <v/>
      </c>
      <c r="J1949">
        <f>הגדרות!C7</f>
        <v/>
      </c>
      <c r="K1949">
        <f>הגדרות!D7</f>
        <v/>
      </c>
      <c r="L1949">
        <f>I1949*(1+J1949/100)+K1949</f>
        <v/>
      </c>
    </row>
    <row r="1950">
      <c r="A1950" t="inlineStr">
        <is>
          <t>מדי-מרקט</t>
        </is>
      </c>
      <c r="B1950" t="inlineStr">
        <is>
          <t>Prednisolone 10Mg + Hydroxyzine 20Mg 100Tab Vetaraxoid</t>
        </is>
      </c>
      <c r="C1950" t="inlineStr">
        <is>
          <t>הכנות בית מרקחת</t>
        </is>
      </c>
      <c r="D1950" t="inlineStr">
        <is>
          <t>133559</t>
        </is>
      </c>
      <c r="E1950" t="inlineStr">
        <is>
          <t>2026-06</t>
        </is>
      </c>
      <c r="F1950" t="n">
        <v>237.29</v>
      </c>
      <c r="G1950" t="n">
        <v>280</v>
      </c>
      <c r="H1950">
        <f>הגדרות!B7</f>
        <v/>
      </c>
      <c r="I1950">
        <f>F1950*(1-H1950/100)*1.18</f>
        <v/>
      </c>
      <c r="J1950">
        <f>הגדרות!C7</f>
        <v/>
      </c>
      <c r="K1950">
        <f>הגדרות!D7</f>
        <v/>
      </c>
      <c r="L1950">
        <f>I1950*(1+J1950/100)+K1950</f>
        <v/>
      </c>
    </row>
    <row r="1951">
      <c r="A1951" t="inlineStr">
        <is>
          <t>מדי-מרקט</t>
        </is>
      </c>
      <c r="B1951" t="inlineStr">
        <is>
          <t>Prednisolone 2.5Mg + Hydroxyzine 5Mg 100Tab Vetaraxoid</t>
        </is>
      </c>
      <c r="C1951" t="inlineStr">
        <is>
          <t>הכנות בית מרקחת</t>
        </is>
      </c>
      <c r="D1951" t="inlineStr">
        <is>
          <t>68891</t>
        </is>
      </c>
      <c r="E1951" t="inlineStr">
        <is>
          <t>2026-06</t>
        </is>
      </c>
      <c r="F1951" t="n">
        <v>127.12</v>
      </c>
      <c r="G1951" t="n">
        <v>150</v>
      </c>
      <c r="H1951">
        <f>הגדרות!B7</f>
        <v/>
      </c>
      <c r="I1951">
        <f>F1951*(1-H1951/100)*1.18</f>
        <v/>
      </c>
      <c r="J1951">
        <f>הגדרות!C7</f>
        <v/>
      </c>
      <c r="K1951">
        <f>הגדרות!D7</f>
        <v/>
      </c>
      <c r="L1951">
        <f>I1951*(1+J1951/100)+K1951</f>
        <v/>
      </c>
    </row>
    <row r="1952">
      <c r="A1952" t="inlineStr">
        <is>
          <t>מדי-מרקט</t>
        </is>
      </c>
      <c r="B1952" t="inlineStr">
        <is>
          <t>Prednisolone 20Mg + Hydroxyzine 40Mg 100Tab Vetaraxoid</t>
        </is>
      </c>
      <c r="C1952" t="inlineStr">
        <is>
          <t>הכנות בית מרקחת</t>
        </is>
      </c>
      <c r="D1952" t="inlineStr">
        <is>
          <t>13356</t>
        </is>
      </c>
      <c r="E1952" t="inlineStr">
        <is>
          <t>2026-06</t>
        </is>
      </c>
      <c r="F1952" t="n">
        <v>322.03</v>
      </c>
      <c r="G1952" t="n">
        <v>380</v>
      </c>
      <c r="H1952">
        <f>הגדרות!B7</f>
        <v/>
      </c>
      <c r="I1952">
        <f>F1952*(1-H1952/100)*1.18</f>
        <v/>
      </c>
      <c r="J1952">
        <f>הגדרות!C7</f>
        <v/>
      </c>
      <c r="K1952">
        <f>הגדרות!D7</f>
        <v/>
      </c>
      <c r="L1952">
        <f>I1952*(1+J1952/100)+K1952</f>
        <v/>
      </c>
    </row>
    <row r="1953">
      <c r="A1953" t="inlineStr">
        <is>
          <t>מדי-מרקט</t>
        </is>
      </c>
      <c r="B1953" t="inlineStr">
        <is>
          <t>Prednisolone 5Mg + Hydroxyzine 10Mg 100Tab  Vetaraxoid</t>
        </is>
      </c>
      <c r="C1953" t="inlineStr">
        <is>
          <t>הכנות בית מרקחת</t>
        </is>
      </c>
      <c r="D1953" t="inlineStr">
        <is>
          <t>513306</t>
        </is>
      </c>
      <c r="E1953" t="inlineStr">
        <is>
          <t>2026-06</t>
        </is>
      </c>
      <c r="F1953" t="n">
        <v>161.02</v>
      </c>
      <c r="G1953" t="n">
        <v>190</v>
      </c>
      <c r="H1953">
        <f>הגדרות!B7</f>
        <v/>
      </c>
      <c r="I1953">
        <f>F1953*(1-H1953/100)*1.18</f>
        <v/>
      </c>
      <c r="J1953">
        <f>הגדרות!C7</f>
        <v/>
      </c>
      <c r="K1953">
        <f>הגדרות!D7</f>
        <v/>
      </c>
      <c r="L1953">
        <f>I1953*(1+J1953/100)+K1953</f>
        <v/>
      </c>
    </row>
    <row r="1954">
      <c r="A1954" t="inlineStr">
        <is>
          <t>מדי-מרקט</t>
        </is>
      </c>
      <c r="B1954" t="inlineStr">
        <is>
          <t>prednisolone 5mg/0.1ml 1 ml transdermal gel X 2 Syringes</t>
        </is>
      </c>
      <c r="C1954" t="inlineStr">
        <is>
          <t>הכנות בית מרקחת</t>
        </is>
      </c>
      <c r="D1954" t="inlineStr">
        <is>
          <t>346504</t>
        </is>
      </c>
      <c r="E1954" t="inlineStr">
        <is>
          <t>2026-06</t>
        </is>
      </c>
      <c r="F1954" t="n">
        <v>46.61</v>
      </c>
      <c r="G1954" t="n">
        <v>55</v>
      </c>
      <c r="H1954">
        <f>הגדרות!B7</f>
        <v/>
      </c>
      <c r="I1954">
        <f>F1954*(1-H1954/100)*1.18</f>
        <v/>
      </c>
      <c r="J1954">
        <f>הגדרות!C7</f>
        <v/>
      </c>
      <c r="K1954">
        <f>הגדרות!D7</f>
        <v/>
      </c>
      <c r="L1954">
        <f>I1954*(1+J1954/100)+K1954</f>
        <v/>
      </c>
    </row>
    <row r="1955">
      <c r="A1955" t="inlineStr">
        <is>
          <t>מדי-מרקט</t>
        </is>
      </c>
      <c r="B1955" t="inlineStr">
        <is>
          <t>Prednisolone 9.09% 180Gr Powder</t>
        </is>
      </c>
      <c r="C1955" t="inlineStr">
        <is>
          <t>הכנות אבקות</t>
        </is>
      </c>
      <c r="D1955" t="inlineStr">
        <is>
          <t>85013</t>
        </is>
      </c>
      <c r="E1955" t="inlineStr">
        <is>
          <t>2026-06</t>
        </is>
      </c>
      <c r="F1955" t="n">
        <v>152.54</v>
      </c>
      <c r="G1955" t="n">
        <v>180</v>
      </c>
      <c r="H1955">
        <f>הגדרות!B7</f>
        <v/>
      </c>
      <c r="I1955">
        <f>F1955*(1-H1955/100)*1.18</f>
        <v/>
      </c>
      <c r="J1955">
        <f>הגדרות!C7</f>
        <v/>
      </c>
      <c r="K1955">
        <f>הגדרות!D7</f>
        <v/>
      </c>
      <c r="L1955">
        <f>I1955*(1+J1955/100)+K1955</f>
        <v/>
      </c>
    </row>
    <row r="1956">
      <c r="A1956" t="inlineStr">
        <is>
          <t>מדי-מרקט</t>
        </is>
      </c>
      <c r="B1956" t="inlineStr">
        <is>
          <t>Prednisone 1Mg X 100Tablets</t>
        </is>
      </c>
      <c r="C1956" t="inlineStr">
        <is>
          <t>תרופות</t>
        </is>
      </c>
      <c r="D1956" t="inlineStr">
        <is>
          <t>40966</t>
        </is>
      </c>
      <c r="E1956" t="inlineStr">
        <is>
          <t>2026-06</t>
        </is>
      </c>
      <c r="F1956" t="n">
        <v>16.53</v>
      </c>
      <c r="G1956" t="n">
        <v>19.5</v>
      </c>
      <c r="H1956">
        <f>הגדרות!B7</f>
        <v/>
      </c>
      <c r="I1956">
        <f>F1956*(1-H1956/100)*1.18</f>
        <v/>
      </c>
      <c r="J1956">
        <f>הגדרות!C7</f>
        <v/>
      </c>
      <c r="K1956">
        <f>הגדרות!D7</f>
        <v/>
      </c>
      <c r="L1956">
        <f>I1956*(1+J1956/100)+K1956</f>
        <v/>
      </c>
    </row>
    <row r="1957">
      <c r="A1957" t="inlineStr">
        <is>
          <t>מדי-מרקט</t>
        </is>
      </c>
      <c r="B1957" t="inlineStr">
        <is>
          <t>Prednisone 20Mg 30Tab פרדניזון 20 מ"ג 30 טב'</t>
        </is>
      </c>
      <c r="C1957" t="inlineStr">
        <is>
          <t>תרופות</t>
        </is>
      </c>
      <c r="D1957" t="inlineStr">
        <is>
          <t>4096</t>
        </is>
      </c>
      <c r="E1957" t="inlineStr">
        <is>
          <t>2026-06</t>
        </is>
      </c>
      <c r="F1957" t="n">
        <v>22.88</v>
      </c>
      <c r="G1957" t="n">
        <v>27</v>
      </c>
      <c r="H1957">
        <f>הגדרות!B7</f>
        <v/>
      </c>
      <c r="I1957">
        <f>F1957*(1-H1957/100)*1.18</f>
        <v/>
      </c>
      <c r="J1957">
        <f>הגדרות!C7</f>
        <v/>
      </c>
      <c r="K1957">
        <f>הגדרות!D7</f>
        <v/>
      </c>
      <c r="L1957">
        <f>I1957*(1+J1957/100)+K1957</f>
        <v/>
      </c>
    </row>
    <row r="1958">
      <c r="A1958" t="inlineStr">
        <is>
          <t>מדי-מרקט</t>
        </is>
      </c>
      <c r="B1958" t="inlineStr">
        <is>
          <t>Prednisone 5Mg 30Tab פרדניזון 5 מ"ג 30 טב'</t>
        </is>
      </c>
      <c r="C1958" t="inlineStr">
        <is>
          <t>תרופות</t>
        </is>
      </c>
      <c r="D1958" t="inlineStr">
        <is>
          <t>7769</t>
        </is>
      </c>
      <c r="E1958" t="inlineStr">
        <is>
          <t>2026-06</t>
        </is>
      </c>
      <c r="F1958" t="n">
        <v>9.49</v>
      </c>
      <c r="G1958" t="n">
        <v>11.2</v>
      </c>
      <c r="H1958">
        <f>הגדרות!B7</f>
        <v/>
      </c>
      <c r="I1958">
        <f>F1958*(1-H1958/100)*1.18</f>
        <v/>
      </c>
      <c r="J1958">
        <f>הגדרות!C7</f>
        <v/>
      </c>
      <c r="K1958">
        <f>הגדרות!D7</f>
        <v/>
      </c>
      <c r="L1958">
        <f>I1958*(1+J1958/100)+K1958</f>
        <v/>
      </c>
    </row>
    <row r="1959">
      <c r="A1959" t="inlineStr">
        <is>
          <t>מדי-מרקט</t>
        </is>
      </c>
      <c r="B1959" t="inlineStr">
        <is>
          <t>Pregabalin Teva 150Mg 56 Caps</t>
        </is>
      </c>
      <c r="C1959" t="inlineStr">
        <is>
          <t>תרופות</t>
        </is>
      </c>
      <c r="D1959" t="inlineStr">
        <is>
          <t>10025346</t>
        </is>
      </c>
      <c r="E1959" t="inlineStr">
        <is>
          <t>2026-06</t>
        </is>
      </c>
      <c r="F1959" t="n">
        <v>100.85</v>
      </c>
      <c r="G1959" t="n">
        <v>119</v>
      </c>
      <c r="H1959">
        <f>הגדרות!B7</f>
        <v/>
      </c>
      <c r="I1959">
        <f>F1959*(1-H1959/100)*1.18</f>
        <v/>
      </c>
      <c r="J1959">
        <f>הגדרות!C7</f>
        <v/>
      </c>
      <c r="K1959">
        <f>הגדרות!D7</f>
        <v/>
      </c>
      <c r="L1959">
        <f>I1959*(1+J1959/100)+K1959</f>
        <v/>
      </c>
    </row>
    <row r="1960">
      <c r="A1960" t="inlineStr">
        <is>
          <t>מדי-מרקט</t>
        </is>
      </c>
      <c r="B1960" t="inlineStr">
        <is>
          <t>Pregabalin Teva 50Mg 56 Caps</t>
        </is>
      </c>
      <c r="C1960" t="inlineStr">
        <is>
          <t>תרופות</t>
        </is>
      </c>
      <c r="D1960" t="inlineStr">
        <is>
          <t>10025344</t>
        </is>
      </c>
      <c r="E1960" t="inlineStr">
        <is>
          <t>2026-06</t>
        </is>
      </c>
      <c r="F1960" t="n">
        <v>41.53</v>
      </c>
      <c r="G1960" t="n">
        <v>49</v>
      </c>
      <c r="H1960">
        <f>הגדרות!B7</f>
        <v/>
      </c>
      <c r="I1960">
        <f>F1960*(1-H1960/100)*1.18</f>
        <v/>
      </c>
      <c r="J1960">
        <f>הגדרות!C7</f>
        <v/>
      </c>
      <c r="K1960">
        <f>הגדרות!D7</f>
        <v/>
      </c>
      <c r="L1960">
        <f>I1960*(1+J1960/100)+K1960</f>
        <v/>
      </c>
    </row>
    <row r="1961">
      <c r="A1961" t="inlineStr">
        <is>
          <t>מדי-מרקט</t>
        </is>
      </c>
      <c r="B1961" t="inlineStr">
        <is>
          <t>Pregnancy Test Cassette After 10 X 25 -בדיקת הריון</t>
        </is>
      </c>
      <c r="C1961" t="inlineStr">
        <is>
          <t>תרופות</t>
        </is>
      </c>
      <c r="D1961" t="inlineStr">
        <is>
          <t>2020105025</t>
        </is>
      </c>
      <c r="E1961" t="inlineStr">
        <is>
          <t>2026-06</t>
        </is>
      </c>
      <c r="F1961" t="n">
        <v>33.47</v>
      </c>
      <c r="G1961" t="n">
        <v>39.5</v>
      </c>
      <c r="H1961">
        <f>הגדרות!B7</f>
        <v/>
      </c>
      <c r="I1961">
        <f>F1961*(1-H1961/100)*1.18</f>
        <v/>
      </c>
      <c r="J1961">
        <f>הגדרות!C7</f>
        <v/>
      </c>
      <c r="K1961">
        <f>הגדרות!D7</f>
        <v/>
      </c>
      <c r="L1961">
        <f>I1961*(1+J1961/100)+K1961</f>
        <v/>
      </c>
    </row>
    <row r="1962">
      <c r="A1962" t="inlineStr">
        <is>
          <t>מדי-מרקט</t>
        </is>
      </c>
      <c r="B1962" t="inlineStr">
        <is>
          <t>PREMISUT Atlas PGA DS12 5/0 45CM 12PCS 3/8RC</t>
        </is>
      </c>
      <c r="C1962" t="inlineStr">
        <is>
          <t>חוטי תפירה ATLAS</t>
        </is>
      </c>
      <c r="D1962" t="inlineStr">
        <is>
          <t>P111DS1250</t>
        </is>
      </c>
      <c r="E1962" t="inlineStr">
        <is>
          <t>2026-06</t>
        </is>
      </c>
      <c r="F1962" t="n">
        <v>74.69</v>
      </c>
      <c r="G1962" t="n">
        <v>88.14</v>
      </c>
      <c r="H1962">
        <f>הגדרות!B7</f>
        <v/>
      </c>
      <c r="I1962">
        <f>F1962*(1-H1962/100)*1.18</f>
        <v/>
      </c>
      <c r="J1962">
        <f>הגדרות!C7</f>
        <v/>
      </c>
      <c r="K1962">
        <f>הגדרות!D7</f>
        <v/>
      </c>
      <c r="L1962">
        <f>I1962*(1+J1962/100)+K1962</f>
        <v/>
      </c>
    </row>
    <row r="1963">
      <c r="A1963" t="inlineStr">
        <is>
          <t>מדי-מרקט</t>
        </is>
      </c>
      <c r="B1963" t="inlineStr">
        <is>
          <t>PREMISUT Atlas PGA DS19 4/0 75CM  12PCS</t>
        </is>
      </c>
      <c r="C1963" t="inlineStr">
        <is>
          <t>חוטי תפירה ATLAS</t>
        </is>
      </c>
      <c r="D1963" t="inlineStr">
        <is>
          <t>112DS1940-1</t>
        </is>
      </c>
      <c r="E1963" t="inlineStr">
        <is>
          <t>2026-06</t>
        </is>
      </c>
      <c r="F1963" t="n">
        <v>36.65</v>
      </c>
      <c r="G1963" t="n">
        <v>43.25</v>
      </c>
      <c r="H1963">
        <f>הגדרות!B7</f>
        <v/>
      </c>
      <c r="I1963">
        <f>F1963*(1-H1963/100)*1.18</f>
        <v/>
      </c>
      <c r="J1963">
        <f>הגדרות!C7</f>
        <v/>
      </c>
      <c r="K1963">
        <f>הגדרות!D7</f>
        <v/>
      </c>
      <c r="L1963">
        <f>I1963*(1+J1963/100)+K1963</f>
        <v/>
      </c>
    </row>
    <row r="1964">
      <c r="A1964" t="inlineStr">
        <is>
          <t>מדי-מרקט</t>
        </is>
      </c>
      <c r="B1964" t="inlineStr">
        <is>
          <t>PREMISUT Atlas PGA DS26 2/0 75CM 12PCS</t>
        </is>
      </c>
      <c r="C1964" t="inlineStr">
        <is>
          <t>חוטי תפירה ATLAS</t>
        </is>
      </c>
      <c r="D1964" t="inlineStr">
        <is>
          <t>112DS2620-1</t>
        </is>
      </c>
      <c r="E1964" t="inlineStr">
        <is>
          <t>2026-06</t>
        </is>
      </c>
      <c r="F1964" t="n">
        <v>43.06</v>
      </c>
      <c r="G1964" t="n">
        <v>50.81</v>
      </c>
      <c r="H1964">
        <f>הגדרות!B7</f>
        <v/>
      </c>
      <c r="I1964">
        <f>F1964*(1-H1964/100)*1.18</f>
        <v/>
      </c>
      <c r="J1964">
        <f>הגדרות!C7</f>
        <v/>
      </c>
      <c r="K1964">
        <f>הגדרות!D7</f>
        <v/>
      </c>
      <c r="L1964">
        <f>I1964*(1+J1964/100)+K1964</f>
        <v/>
      </c>
    </row>
    <row r="1965">
      <c r="A1965" t="inlineStr">
        <is>
          <t>מדי-מרקט</t>
        </is>
      </c>
      <c r="B1965" t="inlineStr">
        <is>
          <t>PREMISUT Atlas PGA DS26 3/0 75CM 12PCS</t>
        </is>
      </c>
      <c r="C1965" t="inlineStr">
        <is>
          <t>חוטי תפירה ATLAS</t>
        </is>
      </c>
      <c r="D1965" t="inlineStr">
        <is>
          <t>112DS2630-1</t>
        </is>
      </c>
      <c r="E1965" t="inlineStr">
        <is>
          <t>2026-06</t>
        </is>
      </c>
      <c r="F1965" t="n">
        <v>39.53</v>
      </c>
      <c r="G1965" t="n">
        <v>46.64</v>
      </c>
      <c r="H1965">
        <f>הגדרות!B7</f>
        <v/>
      </c>
      <c r="I1965">
        <f>F1965*(1-H1965/100)*1.18</f>
        <v/>
      </c>
      <c r="J1965">
        <f>הגדרות!C7</f>
        <v/>
      </c>
      <c r="K1965">
        <f>הגדרות!D7</f>
        <v/>
      </c>
      <c r="L1965">
        <f>I1965*(1+J1965/100)+K1965</f>
        <v/>
      </c>
    </row>
    <row r="1966">
      <c r="A1966" t="inlineStr">
        <is>
          <t>מדי-מרקט</t>
        </is>
      </c>
      <c r="B1966" t="inlineStr">
        <is>
          <t>PREMISUT Atlas PGA DS36 1 75CM 12PCS</t>
        </is>
      </c>
      <c r="C1966" t="inlineStr">
        <is>
          <t>חוטי תפירה ATLAS</t>
        </is>
      </c>
      <c r="D1966" t="inlineStr">
        <is>
          <t>112DS3601-1</t>
        </is>
      </c>
      <c r="E1966" t="inlineStr">
        <is>
          <t>2026-06</t>
        </is>
      </c>
      <c r="F1966" t="n">
        <v>78.81</v>
      </c>
      <c r="G1966" t="n">
        <v>93</v>
      </c>
      <c r="H1966">
        <f>הגדרות!B7</f>
        <v/>
      </c>
      <c r="I1966">
        <f>F1966*(1-H1966/100)*1.18</f>
        <v/>
      </c>
      <c r="J1966">
        <f>הגדרות!C7</f>
        <v/>
      </c>
      <c r="K1966">
        <f>הגדרות!D7</f>
        <v/>
      </c>
      <c r="L1966">
        <f>I1966*(1+J1966/100)+K1966</f>
        <v/>
      </c>
    </row>
    <row r="1967">
      <c r="A1967" t="inlineStr">
        <is>
          <t>מדי-מרקט</t>
        </is>
      </c>
      <c r="B1967" t="inlineStr">
        <is>
          <t>PREMISUT Atlas PGA HS26 2/0 75CM 12PCS</t>
        </is>
      </c>
      <c r="C1967" t="inlineStr">
        <is>
          <t>חוטי תפירה ATLAS</t>
        </is>
      </c>
      <c r="D1967" t="inlineStr">
        <is>
          <t>112HS2620-1</t>
        </is>
      </c>
      <c r="E1967" t="inlineStr">
        <is>
          <t>2026-06</t>
        </is>
      </c>
      <c r="F1967" t="n">
        <v>78.81</v>
      </c>
      <c r="G1967" t="n">
        <v>93</v>
      </c>
      <c r="H1967">
        <f>הגדרות!B7</f>
        <v/>
      </c>
      <c r="I1967">
        <f>F1967*(1-H1967/100)*1.18</f>
        <v/>
      </c>
      <c r="J1967">
        <f>הגדרות!C7</f>
        <v/>
      </c>
      <c r="K1967">
        <f>הגדרות!D7</f>
        <v/>
      </c>
      <c r="L1967">
        <f>I1967*(1+J1967/100)+K1967</f>
        <v/>
      </c>
    </row>
    <row r="1968">
      <c r="A1968" t="inlineStr">
        <is>
          <t>מדי-מרקט</t>
        </is>
      </c>
      <c r="B1968" t="inlineStr">
        <is>
          <t>PREMISUT Atlas PGA HS30 0 75CM 12PCS</t>
        </is>
      </c>
      <c r="C1968" t="inlineStr">
        <is>
          <t>חוטי תפירה ATLAS</t>
        </is>
      </c>
      <c r="D1968" t="inlineStr">
        <is>
          <t>112HS3010-1</t>
        </is>
      </c>
      <c r="E1968" t="inlineStr">
        <is>
          <t>2026-06</t>
        </is>
      </c>
      <c r="F1968" t="n">
        <v>78.81</v>
      </c>
      <c r="G1968" t="n">
        <v>93</v>
      </c>
      <c r="H1968">
        <f>הגדרות!B7</f>
        <v/>
      </c>
      <c r="I1968">
        <f>F1968*(1-H1968/100)*1.18</f>
        <v/>
      </c>
      <c r="J1968">
        <f>הגדרות!C7</f>
        <v/>
      </c>
      <c r="K1968">
        <f>הגדרות!D7</f>
        <v/>
      </c>
      <c r="L1968">
        <f>I1968*(1+J1968/100)+K1968</f>
        <v/>
      </c>
    </row>
    <row r="1969">
      <c r="A1969" t="inlineStr">
        <is>
          <t>מדי-מרקט</t>
        </is>
      </c>
      <c r="B1969" t="inlineStr">
        <is>
          <t>PREMISUT Atlas POLYAMIDE DS22 4/0 75CM 12PCS</t>
        </is>
      </c>
      <c r="C1969" t="inlineStr">
        <is>
          <t>חוטי תפירה ATLAS</t>
        </is>
      </c>
      <c r="D1969" t="inlineStr">
        <is>
          <t>642DS2240</t>
        </is>
      </c>
      <c r="E1969" t="inlineStr">
        <is>
          <t>2026-06</t>
        </is>
      </c>
      <c r="F1969" t="n">
        <v>10.95</v>
      </c>
      <c r="G1969" t="n">
        <v>12.92</v>
      </c>
      <c r="H1969">
        <f>הגדרות!B7</f>
        <v/>
      </c>
      <c r="I1969">
        <f>F1969*(1-H1969/100)*1.18</f>
        <v/>
      </c>
      <c r="J1969">
        <f>הגדרות!C7</f>
        <v/>
      </c>
      <c r="K1969">
        <f>הגדרות!D7</f>
        <v/>
      </c>
      <c r="L1969">
        <f>I1969*(1+J1969/100)+K1969</f>
        <v/>
      </c>
    </row>
    <row r="1970">
      <c r="A1970" t="inlineStr">
        <is>
          <t>מדי-מרקט</t>
        </is>
      </c>
      <c r="B1970" t="inlineStr">
        <is>
          <t>PREMISUT Atlas POLYAMIDE DS24 0 75CM 3/8 12PCS</t>
        </is>
      </c>
      <c r="C1970" t="inlineStr">
        <is>
          <t>חוטי תפירה ATLAS</t>
        </is>
      </c>
      <c r="D1970" t="inlineStr">
        <is>
          <t>642DS2410</t>
        </is>
      </c>
      <c r="E1970" t="inlineStr">
        <is>
          <t>2026-06</t>
        </is>
      </c>
      <c r="F1970" t="n">
        <v>12.02</v>
      </c>
      <c r="G1970" t="n">
        <v>14.18</v>
      </c>
      <c r="H1970">
        <f>הגדרות!B7</f>
        <v/>
      </c>
      <c r="I1970">
        <f>F1970*(1-H1970/100)*1.18</f>
        <v/>
      </c>
      <c r="J1970">
        <f>הגדרות!C7</f>
        <v/>
      </c>
      <c r="K1970">
        <f>הגדרות!D7</f>
        <v/>
      </c>
      <c r="L1970">
        <f>I1970*(1+J1970/100)+K1970</f>
        <v/>
      </c>
    </row>
    <row r="1971">
      <c r="A1971" t="inlineStr">
        <is>
          <t>מדי-מרקט</t>
        </is>
      </c>
      <c r="B1971" t="inlineStr">
        <is>
          <t>PREMISUT Atlas POLYAMIDE DS26 2/0 75CM 12PCS</t>
        </is>
      </c>
      <c r="C1971" t="inlineStr">
        <is>
          <t>חוטי תפירה ATLAS</t>
        </is>
      </c>
      <c r="D1971" t="inlineStr">
        <is>
          <t>642DS2620</t>
        </is>
      </c>
      <c r="E1971" t="inlineStr">
        <is>
          <t>2026-06</t>
        </is>
      </c>
      <c r="F1971" t="n">
        <v>11.02</v>
      </c>
      <c r="G1971" t="n">
        <v>13</v>
      </c>
      <c r="H1971">
        <f>הגדרות!B7</f>
        <v/>
      </c>
      <c r="I1971">
        <f>F1971*(1-H1971/100)*1.18</f>
        <v/>
      </c>
      <c r="J1971">
        <f>הגדרות!C7</f>
        <v/>
      </c>
      <c r="K1971">
        <f>הגדרות!D7</f>
        <v/>
      </c>
      <c r="L1971">
        <f>I1971*(1+J1971/100)+K1971</f>
        <v/>
      </c>
    </row>
    <row r="1972">
      <c r="A1972" t="inlineStr">
        <is>
          <t>מדי-מרקט</t>
        </is>
      </c>
      <c r="B1972" t="inlineStr">
        <is>
          <t>PREMISUT Atlas POLYAMIDE DS40 2/0 90CM 12PCS</t>
        </is>
      </c>
      <c r="C1972" t="inlineStr">
        <is>
          <t>חוטי תפירה ATLAS</t>
        </is>
      </c>
      <c r="D1972" t="inlineStr">
        <is>
          <t>643DS4020</t>
        </is>
      </c>
      <c r="E1972" t="inlineStr">
        <is>
          <t>2026-06</t>
        </is>
      </c>
      <c r="F1972" t="n">
        <v>44.92</v>
      </c>
      <c r="G1972" t="n">
        <v>53</v>
      </c>
      <c r="H1972">
        <f>הגדרות!B7</f>
        <v/>
      </c>
      <c r="I1972">
        <f>F1972*(1-H1972/100)*1.18</f>
        <v/>
      </c>
      <c r="J1972">
        <f>הגדרות!C7</f>
        <v/>
      </c>
      <c r="K1972">
        <f>הגדרות!D7</f>
        <v/>
      </c>
      <c r="L1972">
        <f>I1972*(1+J1972/100)+K1972</f>
        <v/>
      </c>
    </row>
    <row r="1973">
      <c r="A1973" t="inlineStr">
        <is>
          <t>מדי-מרקט</t>
        </is>
      </c>
      <c r="B1973" t="inlineStr">
        <is>
          <t>PREMISUT Atlas POLYAMIDE HS40 1 100CM 12PCS</t>
        </is>
      </c>
      <c r="C1973" t="inlineStr">
        <is>
          <t>חוטי תפירה ATLAS</t>
        </is>
      </c>
      <c r="D1973" t="inlineStr">
        <is>
          <t>647HS4001</t>
        </is>
      </c>
      <c r="E1973" t="inlineStr">
        <is>
          <t>2026-06</t>
        </is>
      </c>
      <c r="F1973" t="n">
        <v>15.07</v>
      </c>
      <c r="G1973" t="n">
        <v>17.78</v>
      </c>
      <c r="H1973">
        <f>הגדרות!B7</f>
        <v/>
      </c>
      <c r="I1973">
        <f>F1973*(1-H1973/100)*1.18</f>
        <v/>
      </c>
      <c r="J1973">
        <f>הגדרות!C7</f>
        <v/>
      </c>
      <c r="K1973">
        <f>הגדרות!D7</f>
        <v/>
      </c>
      <c r="L1973">
        <f>I1973*(1+J1973/100)+K1973</f>
        <v/>
      </c>
    </row>
    <row r="1974">
      <c r="A1974" t="inlineStr">
        <is>
          <t>מדי-מרקט</t>
        </is>
      </c>
      <c r="B1974" t="inlineStr">
        <is>
          <t>PREMISUT Atlas POLYDIOXANONE DR17 3/0 75CM 12PCS עגולה</t>
        </is>
      </c>
      <c r="C1974" t="inlineStr">
        <is>
          <t>חוטי תפירה ATLAS</t>
        </is>
      </c>
      <c r="D1974" t="inlineStr">
        <is>
          <t>P412DR1730</t>
        </is>
      </c>
      <c r="E1974" t="inlineStr">
        <is>
          <t>2026-06</t>
        </is>
      </c>
      <c r="F1974" t="n">
        <v>81.36</v>
      </c>
      <c r="G1974" t="n">
        <v>96</v>
      </c>
      <c r="H1974">
        <f>הגדרות!B7</f>
        <v/>
      </c>
      <c r="I1974">
        <f>F1974*(1-H1974/100)*1.18</f>
        <v/>
      </c>
      <c r="J1974">
        <f>הגדרות!C7</f>
        <v/>
      </c>
      <c r="K1974">
        <f>הגדרות!D7</f>
        <v/>
      </c>
      <c r="L1974">
        <f>I1974*(1+J1974/100)+K1974</f>
        <v/>
      </c>
    </row>
    <row r="1975">
      <c r="A1975" t="inlineStr">
        <is>
          <t>מדי-מרקט</t>
        </is>
      </c>
      <c r="B1975" t="inlineStr">
        <is>
          <t>PREMISUT Atlas POLYDIOXANONE DS12 5/0 75CM 12PCS</t>
        </is>
      </c>
      <c r="C1975" t="inlineStr">
        <is>
          <t>חוטי תפירה ATLAS</t>
        </is>
      </c>
      <c r="D1975" t="inlineStr">
        <is>
          <t>P412DS1250</t>
        </is>
      </c>
      <c r="E1975" t="inlineStr">
        <is>
          <t>2026-06</t>
        </is>
      </c>
      <c r="F1975" t="n">
        <v>87.53</v>
      </c>
      <c r="G1975" t="n">
        <v>103.28</v>
      </c>
      <c r="H1975">
        <f>הגדרות!B7</f>
        <v/>
      </c>
      <c r="I1975">
        <f>F1975*(1-H1975/100)*1.18</f>
        <v/>
      </c>
      <c r="J1975">
        <f>הגדרות!C7</f>
        <v/>
      </c>
      <c r="K1975">
        <f>הגדרות!D7</f>
        <v/>
      </c>
      <c r="L1975">
        <f>I1975*(1+J1975/100)+K1975</f>
        <v/>
      </c>
    </row>
    <row r="1976">
      <c r="A1976" t="inlineStr">
        <is>
          <t>מדי-מרקט</t>
        </is>
      </c>
      <c r="B1976" t="inlineStr">
        <is>
          <t>PREMISUT Atlas POLYDIOXANONE DS19 5/0 45CM 12PC</t>
        </is>
      </c>
      <c r="C1976" t="inlineStr">
        <is>
          <t>חוטי תפירה ATLAS</t>
        </is>
      </c>
      <c r="D1976" t="inlineStr">
        <is>
          <t>411DS1950-1</t>
        </is>
      </c>
      <c r="E1976" t="inlineStr">
        <is>
          <t>2026-06</t>
        </is>
      </c>
      <c r="F1976" t="n">
        <v>54.82</v>
      </c>
      <c r="G1976" t="n">
        <v>64.69</v>
      </c>
      <c r="H1976">
        <f>הגדרות!B7</f>
        <v/>
      </c>
      <c r="I1976">
        <f>F1976*(1-H1976/100)*1.18</f>
        <v/>
      </c>
      <c r="J1976">
        <f>הגדרות!C7</f>
        <v/>
      </c>
      <c r="K1976">
        <f>הגדרות!D7</f>
        <v/>
      </c>
      <c r="L1976">
        <f>I1976*(1+J1976/100)+K1976</f>
        <v/>
      </c>
    </row>
    <row r="1977">
      <c r="A1977" t="inlineStr">
        <is>
          <t>מדי-מרקט</t>
        </is>
      </c>
      <c r="B1977" t="inlineStr">
        <is>
          <t>PREMISUT Atlas POLYDIOXANONE DS22 2/0 75CM 12PCS</t>
        </is>
      </c>
      <c r="C1977" t="inlineStr">
        <is>
          <t>חוטי תפירה ATLAS</t>
        </is>
      </c>
      <c r="D1977" t="inlineStr">
        <is>
          <t>412DS2220-1</t>
        </is>
      </c>
      <c r="E1977" t="inlineStr">
        <is>
          <t>2026-06</t>
        </is>
      </c>
      <c r="F1977" t="n">
        <v>50.02</v>
      </c>
      <c r="G1977" t="n">
        <v>59.02</v>
      </c>
      <c r="H1977">
        <f>הגדרות!B7</f>
        <v/>
      </c>
      <c r="I1977">
        <f>F1977*(1-H1977/100)*1.18</f>
        <v/>
      </c>
      <c r="J1977">
        <f>הגדרות!C7</f>
        <v/>
      </c>
      <c r="K1977">
        <f>הגדרות!D7</f>
        <v/>
      </c>
      <c r="L1977">
        <f>I1977*(1+J1977/100)+K1977</f>
        <v/>
      </c>
    </row>
    <row r="1978">
      <c r="A1978" t="inlineStr">
        <is>
          <t>מדי-מרקט</t>
        </is>
      </c>
      <c r="B1978" t="inlineStr">
        <is>
          <t>PREMISUT Atlas POLYDIOXANONE DS40 1 75CM 12PCS</t>
        </is>
      </c>
      <c r="C1978" t="inlineStr">
        <is>
          <t>חוטי תפירה ATLAS</t>
        </is>
      </c>
      <c r="D1978" t="inlineStr">
        <is>
          <t>412DS4001-1</t>
        </is>
      </c>
      <c r="E1978" t="inlineStr">
        <is>
          <t>2026-06</t>
        </is>
      </c>
      <c r="F1978" t="n">
        <v>76.27</v>
      </c>
      <c r="G1978" t="n">
        <v>90</v>
      </c>
      <c r="H1978">
        <f>הגדרות!B7</f>
        <v/>
      </c>
      <c r="I1978">
        <f>F1978*(1-H1978/100)*1.18</f>
        <v/>
      </c>
      <c r="J1978">
        <f>הגדרות!C7</f>
        <v/>
      </c>
      <c r="K1978">
        <f>הגדרות!D7</f>
        <v/>
      </c>
      <c r="L1978">
        <f>I1978*(1+J1978/100)+K1978</f>
        <v/>
      </c>
    </row>
    <row r="1979">
      <c r="A1979" t="inlineStr">
        <is>
          <t>מדי-מרקט</t>
        </is>
      </c>
      <c r="B1979" t="inlineStr">
        <is>
          <t>PREMISUT Atlas POLYDIOXANONE HR22 4/0 75CM 12PCS עגולה</t>
        </is>
      </c>
      <c r="C1979" t="inlineStr">
        <is>
          <t>חוטי תפירה ATLAS</t>
        </is>
      </c>
      <c r="D1979" t="inlineStr">
        <is>
          <t>412HR2240</t>
        </is>
      </c>
      <c r="E1979" t="inlineStr">
        <is>
          <t>2026-06</t>
        </is>
      </c>
      <c r="F1979" t="n">
        <v>52.32</v>
      </c>
      <c r="G1979" t="n">
        <v>61.74</v>
      </c>
      <c r="H1979">
        <f>הגדרות!B7</f>
        <v/>
      </c>
      <c r="I1979">
        <f>F1979*(1-H1979/100)*1.18</f>
        <v/>
      </c>
      <c r="J1979">
        <f>הגדרות!C7</f>
        <v/>
      </c>
      <c r="K1979">
        <f>הגדרות!D7</f>
        <v/>
      </c>
      <c r="L1979">
        <f>I1979*(1+J1979/100)+K1979</f>
        <v/>
      </c>
    </row>
    <row r="1980">
      <c r="A1980" t="inlineStr">
        <is>
          <t>מדי-מרקט</t>
        </is>
      </c>
      <c r="B1980" t="inlineStr">
        <is>
          <t>PREMISUT Atlas POLYDIOXANONE HR26 2/0 75CM 12PCS</t>
        </is>
      </c>
      <c r="C1980" t="inlineStr">
        <is>
          <t>חוטי תפירה ATLAS</t>
        </is>
      </c>
      <c r="D1980" t="inlineStr">
        <is>
          <t>412HR2620</t>
        </is>
      </c>
      <c r="E1980" t="inlineStr">
        <is>
          <t>2026-06</t>
        </is>
      </c>
      <c r="F1980" t="n">
        <v>76.27</v>
      </c>
      <c r="G1980" t="n">
        <v>90</v>
      </c>
      <c r="H1980">
        <f>הגדרות!B7</f>
        <v/>
      </c>
      <c r="I1980">
        <f>F1980*(1-H1980/100)*1.18</f>
        <v/>
      </c>
      <c r="J1980">
        <f>הגדרות!C7</f>
        <v/>
      </c>
      <c r="K1980">
        <f>הגדרות!D7</f>
        <v/>
      </c>
      <c r="L1980">
        <f>I1980*(1+J1980/100)+K1980</f>
        <v/>
      </c>
    </row>
    <row r="1981">
      <c r="A1981" t="inlineStr">
        <is>
          <t>מדי-מרקט</t>
        </is>
      </c>
      <c r="B1981" t="inlineStr">
        <is>
          <t>PREMISUT Atlas POLYDIOXANONE HS40 0 90CM 12PCS</t>
        </is>
      </c>
      <c r="C1981" t="inlineStr">
        <is>
          <t>חוטי תפירה ATLAS</t>
        </is>
      </c>
      <c r="D1981" t="inlineStr">
        <is>
          <t>413HS4010</t>
        </is>
      </c>
      <c r="E1981" t="inlineStr">
        <is>
          <t>2026-06</t>
        </is>
      </c>
      <c r="F1981" t="n">
        <v>76.27</v>
      </c>
      <c r="G1981" t="n">
        <v>90</v>
      </c>
      <c r="H1981">
        <f>הגדרות!B7</f>
        <v/>
      </c>
      <c r="I1981">
        <f>F1981*(1-H1981/100)*1.18</f>
        <v/>
      </c>
      <c r="J1981">
        <f>הגדרות!C7</f>
        <v/>
      </c>
      <c r="K1981">
        <f>הגדרות!D7</f>
        <v/>
      </c>
      <c r="L1981">
        <f>I1981*(1+J1981/100)+K1981</f>
        <v/>
      </c>
    </row>
    <row r="1982">
      <c r="A1982" t="inlineStr">
        <is>
          <t>מדי-מרקט</t>
        </is>
      </c>
      <c r="B1982" t="inlineStr">
        <is>
          <t>Prizma 20Mg X 30Tab</t>
        </is>
      </c>
      <c r="C1982" t="inlineStr">
        <is>
          <t>תרופות</t>
        </is>
      </c>
      <c r="D1982" t="inlineStr">
        <is>
          <t>16009-2</t>
        </is>
      </c>
      <c r="E1982" t="inlineStr">
        <is>
          <t>2026-06</t>
        </is>
      </c>
      <c r="F1982" t="n">
        <v>26.51</v>
      </c>
      <c r="G1982" t="n">
        <v>31.28</v>
      </c>
      <c r="H1982">
        <f>הגדרות!B7</f>
        <v/>
      </c>
      <c r="I1982">
        <f>F1982*(1-H1982/100)*1.18</f>
        <v/>
      </c>
      <c r="J1982">
        <f>הגדרות!C7</f>
        <v/>
      </c>
      <c r="K1982">
        <f>הגדרות!D7</f>
        <v/>
      </c>
      <c r="L1982">
        <f>I1982*(1+J1982/100)+K1982</f>
        <v/>
      </c>
    </row>
    <row r="1983">
      <c r="A1983" t="inlineStr">
        <is>
          <t>מדי-מרקט</t>
        </is>
      </c>
      <c r="B1983" t="inlineStr">
        <is>
          <t>Probe cleanser 25ml למעבדת מינדריי V-P BC-30/28</t>
        </is>
      </c>
      <c r="C1983" t="inlineStr">
        <is>
          <t>Mindray</t>
        </is>
      </c>
      <c r="D1983" t="inlineStr">
        <is>
          <t>68913-1</t>
        </is>
      </c>
      <c r="E1983" t="inlineStr">
        <is>
          <t>2026-06</t>
        </is>
      </c>
      <c r="F1983" t="n">
        <v>27.97</v>
      </c>
      <c r="G1983" t="n">
        <v>33</v>
      </c>
      <c r="H1983">
        <f>הגדרות!B7</f>
        <v/>
      </c>
      <c r="I1983">
        <f>F1983*(1-H1983/100)*1.18</f>
        <v/>
      </c>
      <c r="J1983">
        <f>הגדרות!C7</f>
        <v/>
      </c>
      <c r="K1983">
        <f>הגדרות!D7</f>
        <v/>
      </c>
      <c r="L1983">
        <f>I1983*(1+J1983/100)+K1983</f>
        <v/>
      </c>
    </row>
    <row r="1984">
      <c r="A1984" t="inlineStr">
        <is>
          <t>מדי-מרקט</t>
        </is>
      </c>
      <c r="B1984" t="inlineStr">
        <is>
          <t>Procor 200Mg X 30Tabs</t>
        </is>
      </c>
      <c r="C1984" t="inlineStr">
        <is>
          <t>תרופות</t>
        </is>
      </c>
      <c r="D1984" t="inlineStr">
        <is>
          <t>1260</t>
        </is>
      </c>
      <c r="E1984" t="inlineStr">
        <is>
          <t>2026-06</t>
        </is>
      </c>
      <c r="F1984" t="n">
        <v>19.8</v>
      </c>
      <c r="G1984" t="n">
        <v>23.36</v>
      </c>
      <c r="H1984">
        <f>הגדרות!B7</f>
        <v/>
      </c>
      <c r="I1984">
        <f>F1984*(1-H1984/100)*1.18</f>
        <v/>
      </c>
      <c r="J1984">
        <f>הגדרות!C7</f>
        <v/>
      </c>
      <c r="K1984">
        <f>הגדרות!D7</f>
        <v/>
      </c>
      <c r="L1984">
        <f>I1984*(1+J1984/100)+K1984</f>
        <v/>
      </c>
    </row>
    <row r="1985">
      <c r="A1985" t="inlineStr">
        <is>
          <t>מדי-מרקט</t>
        </is>
      </c>
      <c r="B1985" t="inlineStr">
        <is>
          <t>Procto Glyvenol Cream 30G פרוקטו גליבנול קרם</t>
        </is>
      </c>
      <c r="C1985" t="inlineStr">
        <is>
          <t>תרופות</t>
        </is>
      </c>
      <c r="D1985" t="inlineStr">
        <is>
          <t>5841</t>
        </is>
      </c>
      <c r="E1985" t="inlineStr">
        <is>
          <t>2026-06</t>
        </is>
      </c>
      <c r="F1985" t="n">
        <v>26.27</v>
      </c>
      <c r="G1985" t="n">
        <v>31</v>
      </c>
      <c r="H1985">
        <f>הגדרות!B7</f>
        <v/>
      </c>
      <c r="I1985">
        <f>F1985*(1-H1985/100)*1.18</f>
        <v/>
      </c>
      <c r="J1985">
        <f>הגדרות!C7</f>
        <v/>
      </c>
      <c r="K1985">
        <f>הגדרות!D7</f>
        <v/>
      </c>
      <c r="L1985">
        <f>I1985*(1+J1985/100)+K1985</f>
        <v/>
      </c>
    </row>
    <row r="1986">
      <c r="A1986" t="inlineStr">
        <is>
          <t>מדי-מרקט</t>
        </is>
      </c>
      <c r="B1986" t="inlineStr">
        <is>
          <t>Procto Glyvenol Supp פרוקטו גליבנול 10 נרות</t>
        </is>
      </c>
      <c r="C1986" t="inlineStr">
        <is>
          <t>תרופות</t>
        </is>
      </c>
      <c r="D1986" t="inlineStr">
        <is>
          <t>6703</t>
        </is>
      </c>
      <c r="E1986" t="inlineStr">
        <is>
          <t>2026-06</t>
        </is>
      </c>
      <c r="F1986" t="n">
        <v>38.14</v>
      </c>
      <c r="G1986" t="n">
        <v>45</v>
      </c>
      <c r="H1986">
        <f>הגדרות!B7</f>
        <v/>
      </c>
      <c r="I1986">
        <f>F1986*(1-H1986/100)*1.18</f>
        <v/>
      </c>
      <c r="J1986">
        <f>הגדרות!C7</f>
        <v/>
      </c>
      <c r="K1986">
        <f>הגדרות!D7</f>
        <v/>
      </c>
      <c r="L1986">
        <f>I1986*(1+J1986/100)+K1986</f>
        <v/>
      </c>
    </row>
    <row r="1987">
      <c r="A1987" t="inlineStr">
        <is>
          <t>מדי-מרקט</t>
        </is>
      </c>
      <c r="B1987" t="inlineStr">
        <is>
          <t>Prolol 10Mg X 50Tabs</t>
        </is>
      </c>
      <c r="C1987" t="inlineStr">
        <is>
          <t>תרופות</t>
        </is>
      </c>
      <c r="D1987" t="inlineStr">
        <is>
          <t>702956</t>
        </is>
      </c>
      <c r="E1987" t="inlineStr">
        <is>
          <t>2026-06</t>
        </is>
      </c>
      <c r="F1987" t="n">
        <v>9.15</v>
      </c>
      <c r="G1987" t="n">
        <v>10.8</v>
      </c>
      <c r="H1987">
        <f>הגדרות!B7</f>
        <v/>
      </c>
      <c r="I1987">
        <f>F1987*(1-H1987/100)*1.18</f>
        <v/>
      </c>
      <c r="J1987">
        <f>הגדרות!C7</f>
        <v/>
      </c>
      <c r="K1987">
        <f>הגדרות!D7</f>
        <v/>
      </c>
      <c r="L1987">
        <f>I1987*(1+J1987/100)+K1987</f>
        <v/>
      </c>
    </row>
    <row r="1988">
      <c r="A1988" t="inlineStr">
        <is>
          <t>מדי-מרקט</t>
        </is>
      </c>
      <c r="B1988" t="inlineStr">
        <is>
          <t>Prolol 40Mg X 50Tabs</t>
        </is>
      </c>
      <c r="C1988" t="inlineStr">
        <is>
          <t>תרופות</t>
        </is>
      </c>
      <c r="D1988" t="inlineStr">
        <is>
          <t>16539</t>
        </is>
      </c>
      <c r="E1988" t="inlineStr">
        <is>
          <t>2026-06</t>
        </is>
      </c>
      <c r="F1988" t="n">
        <v>9.66</v>
      </c>
      <c r="G1988" t="n">
        <v>11.4</v>
      </c>
      <c r="H1988">
        <f>הגדרות!B7</f>
        <v/>
      </c>
      <c r="I1988">
        <f>F1988*(1-H1988/100)*1.18</f>
        <v/>
      </c>
      <c r="J1988">
        <f>הגדרות!C7</f>
        <v/>
      </c>
      <c r="K1988">
        <f>הגדרות!D7</f>
        <v/>
      </c>
      <c r="L1988">
        <f>I1988*(1+J1988/100)+K1988</f>
        <v/>
      </c>
    </row>
    <row r="1989">
      <c r="A1989" t="inlineStr">
        <is>
          <t>מדי-מרקט</t>
        </is>
      </c>
      <c r="B1989" t="inlineStr">
        <is>
          <t>Proplat 150*120 mm P9552F</t>
        </is>
      </c>
      <c r="C1989" t="inlineStr">
        <is>
          <t>ציוד ומכשור רפואי</t>
        </is>
      </c>
      <c r="D1989" t="inlineStr">
        <is>
          <t>45362</t>
        </is>
      </c>
      <c r="E1989" t="inlineStr">
        <is>
          <t>2026-06</t>
        </is>
      </c>
      <c r="F1989" t="n">
        <v>8.58</v>
      </c>
      <c r="G1989" t="n">
        <v>10.13</v>
      </c>
      <c r="H1989">
        <f>הגדרות!B7</f>
        <v/>
      </c>
      <c r="I1989">
        <f>F1989*(1-H1989/100)*1.18</f>
        <v/>
      </c>
      <c r="J1989">
        <f>הגדרות!C7</f>
        <v/>
      </c>
      <c r="K1989">
        <f>הגדרות!D7</f>
        <v/>
      </c>
      <c r="L1989">
        <f>I1989*(1+J1989/100)+K1989</f>
        <v/>
      </c>
    </row>
    <row r="1990">
      <c r="A1990" t="inlineStr">
        <is>
          <t>מדי-מרקט</t>
        </is>
      </c>
      <c r="B1990" t="inlineStr">
        <is>
          <t>Propofol 1% 20 Ml 5 Amp פרופופול</t>
        </is>
      </c>
      <c r="C1990" t="inlineStr">
        <is>
          <t>תרופות</t>
        </is>
      </c>
      <c r="D1990" t="inlineStr">
        <is>
          <t>687</t>
        </is>
      </c>
      <c r="E1990" t="inlineStr">
        <is>
          <t>2026-06</t>
        </is>
      </c>
      <c r="F1990" t="n">
        <v>25.13</v>
      </c>
      <c r="G1990" t="n">
        <v>29.65</v>
      </c>
      <c r="H1990">
        <f>הגדרות!B7</f>
        <v/>
      </c>
      <c r="I1990">
        <f>F1990*(1-H1990/100)*1.18</f>
        <v/>
      </c>
      <c r="J1990">
        <f>הגדרות!C7</f>
        <v/>
      </c>
      <c r="K1990">
        <f>הגדרות!D7</f>
        <v/>
      </c>
      <c r="L1990">
        <f>I1990*(1+J1990/100)+K1990</f>
        <v/>
      </c>
    </row>
    <row r="1991">
      <c r="A1991" t="inlineStr">
        <is>
          <t>מדי-מרקט</t>
        </is>
      </c>
      <c r="B1991" t="inlineStr">
        <is>
          <t>Propofol Lipuro /RIPOL 20 L 2% 50ML</t>
        </is>
      </c>
      <c r="C1991" t="inlineStr">
        <is>
          <t>תרופות</t>
        </is>
      </c>
      <c r="D1991" t="inlineStr">
        <is>
          <t>7804</t>
        </is>
      </c>
      <c r="E1991" t="inlineStr">
        <is>
          <t>2026-06</t>
        </is>
      </c>
      <c r="F1991" t="n">
        <v>25.42</v>
      </c>
      <c r="G1991" t="n">
        <v>30</v>
      </c>
      <c r="H1991">
        <f>הגדרות!B7</f>
        <v/>
      </c>
      <c r="I1991">
        <f>F1991*(1-H1991/100)*1.18</f>
        <v/>
      </c>
      <c r="J1991">
        <f>הגדרות!C7</f>
        <v/>
      </c>
      <c r="K1991">
        <f>הגדרות!D7</f>
        <v/>
      </c>
      <c r="L1991">
        <f>I1991*(1+J1991/100)+K1991</f>
        <v/>
      </c>
    </row>
    <row r="1992">
      <c r="A1992" t="inlineStr">
        <is>
          <t>מדי-מרקט</t>
        </is>
      </c>
      <c r="B1992" t="inlineStr">
        <is>
          <t>Propofol Lipuro 2% 50Ml X 10</t>
        </is>
      </c>
      <c r="C1992" t="inlineStr">
        <is>
          <t>תרופות</t>
        </is>
      </c>
      <c r="D1992" t="inlineStr">
        <is>
          <t>7804-1</t>
        </is>
      </c>
      <c r="E1992" t="inlineStr">
        <is>
          <t>2026-06</t>
        </is>
      </c>
      <c r="F1992" t="n">
        <v>363.56</v>
      </c>
      <c r="G1992" t="n">
        <v>429</v>
      </c>
      <c r="H1992">
        <f>הגדרות!B7</f>
        <v/>
      </c>
      <c r="I1992">
        <f>F1992*(1-H1992/100)*1.18</f>
        <v/>
      </c>
      <c r="J1992">
        <f>הגדרות!C7</f>
        <v/>
      </c>
      <c r="K1992">
        <f>הגדרות!D7</f>
        <v/>
      </c>
      <c r="L1992">
        <f>I1992*(1+J1992/100)+K1992</f>
        <v/>
      </c>
    </row>
    <row r="1993">
      <c r="A1993" t="inlineStr">
        <is>
          <t>מדי-מרקט</t>
        </is>
      </c>
      <c r="B1993" t="inlineStr">
        <is>
          <t>Prysolin 250Mg 30Tab</t>
        </is>
      </c>
      <c r="C1993" t="inlineStr">
        <is>
          <t>תרופות</t>
        </is>
      </c>
      <c r="D1993" t="inlineStr">
        <is>
          <t>635963</t>
        </is>
      </c>
      <c r="E1993" t="inlineStr">
        <is>
          <t>2026-06</t>
        </is>
      </c>
      <c r="F1993" t="n">
        <v>20.34</v>
      </c>
      <c r="G1993" t="n">
        <v>24</v>
      </c>
      <c r="H1993">
        <f>הגדרות!B7</f>
        <v/>
      </c>
      <c r="I1993">
        <f>F1993*(1-H1993/100)*1.18</f>
        <v/>
      </c>
      <c r="J1993">
        <f>הגדרות!C7</f>
        <v/>
      </c>
      <c r="K1993">
        <f>הגדרות!D7</f>
        <v/>
      </c>
      <c r="L1993">
        <f>I1993*(1+J1993/100)+K1993</f>
        <v/>
      </c>
    </row>
    <row r="1994">
      <c r="A1994" t="inlineStr">
        <is>
          <t>מדי-מרקט</t>
        </is>
      </c>
      <c r="B1994" t="inlineStr">
        <is>
          <t>PureHub single cap 300/BX - פקק נגד זיהום</t>
        </is>
      </c>
      <c r="C1994" t="inlineStr">
        <is>
          <t>ציוד ומכשור רפואי</t>
        </is>
      </c>
      <c r="D1994" t="inlineStr">
        <is>
          <t>BD306598</t>
        </is>
      </c>
      <c r="E1994" t="inlineStr">
        <is>
          <t>2026-06</t>
        </is>
      </c>
      <c r="F1994" t="n">
        <v>508.47</v>
      </c>
      <c r="G1994" t="n">
        <v>600</v>
      </c>
      <c r="H1994">
        <f>הגדרות!B7</f>
        <v/>
      </c>
      <c r="I1994">
        <f>F1994*(1-H1994/100)*1.18</f>
        <v/>
      </c>
      <c r="J1994">
        <f>הגדרות!C7</f>
        <v/>
      </c>
      <c r="K1994">
        <f>הגדרות!D7</f>
        <v/>
      </c>
      <c r="L1994">
        <f>I1994*(1+J1994/100)+K1994</f>
        <v/>
      </c>
    </row>
    <row r="1995">
      <c r="A1995" t="inlineStr">
        <is>
          <t>מדי-מרקט</t>
        </is>
      </c>
      <c r="B1995" t="inlineStr">
        <is>
          <t>Quetiapine 400Mg X 30Tab</t>
        </is>
      </c>
      <c r="C1995" t="inlineStr">
        <is>
          <t>תרופות</t>
        </is>
      </c>
      <c r="D1995" t="inlineStr">
        <is>
          <t>253500</t>
        </is>
      </c>
      <c r="E1995" t="inlineStr">
        <is>
          <t>2026-06</t>
        </is>
      </c>
      <c r="F1995" t="n">
        <v>101.69</v>
      </c>
      <c r="G1995" t="n">
        <v>120</v>
      </c>
      <c r="H1995">
        <f>הגדרות!B7</f>
        <v/>
      </c>
      <c r="I1995">
        <f>F1995*(1-H1995/100)*1.18</f>
        <v/>
      </c>
      <c r="J1995">
        <f>הגדרות!C7</f>
        <v/>
      </c>
      <c r="K1995">
        <f>הגדרות!D7</f>
        <v/>
      </c>
      <c r="L1995">
        <f>I1995*(1+J1995/100)+K1995</f>
        <v/>
      </c>
    </row>
    <row r="1996">
      <c r="A1996" t="inlineStr">
        <is>
          <t>מדי-מרקט</t>
        </is>
      </c>
      <c r="B1996" t="inlineStr">
        <is>
          <t>Quetiapine Sandoz 150Mg Prt X 30Tab</t>
        </is>
      </c>
      <c r="C1996" t="inlineStr">
        <is>
          <t>תרופות</t>
        </is>
      </c>
      <c r="D1996" t="inlineStr">
        <is>
          <t>17030</t>
        </is>
      </c>
      <c r="E1996" t="inlineStr">
        <is>
          <t>2026-06</t>
        </is>
      </c>
      <c r="F1996" t="n">
        <v>63.56</v>
      </c>
      <c r="G1996" t="n">
        <v>75</v>
      </c>
      <c r="H1996">
        <f>הגדרות!B7</f>
        <v/>
      </c>
      <c r="I1996">
        <f>F1996*(1-H1996/100)*1.18</f>
        <v/>
      </c>
      <c r="J1996">
        <f>הגדרות!C7</f>
        <v/>
      </c>
      <c r="K1996">
        <f>הגדרות!D7</f>
        <v/>
      </c>
      <c r="L1996">
        <f>I1996*(1+J1996/100)+K1996</f>
        <v/>
      </c>
    </row>
    <row r="1997">
      <c r="A1997" t="inlineStr">
        <is>
          <t>מדי-מרקט</t>
        </is>
      </c>
      <c r="B1997" t="inlineStr">
        <is>
          <t>QUICKTRACH I 2.0MM CHILD</t>
        </is>
      </c>
      <c r="C1997" t="inlineStr">
        <is>
          <t>ציוד ומכשור רפואי</t>
        </is>
      </c>
      <c r="D1997" t="inlineStr">
        <is>
          <t>311137</t>
        </is>
      </c>
      <c r="E1997" t="inlineStr">
        <is>
          <t>2026-06</t>
        </is>
      </c>
      <c r="F1997" t="n">
        <v>635.59</v>
      </c>
      <c r="G1997" t="n">
        <v>750</v>
      </c>
      <c r="H1997">
        <f>הגדרות!B7</f>
        <v/>
      </c>
      <c r="I1997">
        <f>F1997*(1-H1997/100)*1.18</f>
        <v/>
      </c>
      <c r="J1997">
        <f>הגדרות!C7</f>
        <v/>
      </c>
      <c r="K1997">
        <f>הגדרות!D7</f>
        <v/>
      </c>
      <c r="L1997">
        <f>I1997*(1+J1997/100)+K1997</f>
        <v/>
      </c>
    </row>
    <row r="1998">
      <c r="A1998" t="inlineStr">
        <is>
          <t>מדי-מרקט</t>
        </is>
      </c>
      <c r="B1998" t="inlineStr">
        <is>
          <t>QUICKTRACH I 4.0MM ADULT</t>
        </is>
      </c>
      <c r="C1998" t="inlineStr">
        <is>
          <t>ציוד ומכשור רפואי</t>
        </is>
      </c>
      <c r="D1998" t="inlineStr">
        <is>
          <t>311136</t>
        </is>
      </c>
      <c r="E1998" t="inlineStr">
        <is>
          <t>2026-06</t>
        </is>
      </c>
      <c r="F1998" t="n">
        <v>635.59</v>
      </c>
      <c r="G1998" t="n">
        <v>750</v>
      </c>
      <c r="H1998">
        <f>הגדרות!B7</f>
        <v/>
      </c>
      <c r="I1998">
        <f>F1998*(1-H1998/100)*1.18</f>
        <v/>
      </c>
      <c r="J1998">
        <f>הגדרות!C7</f>
        <v/>
      </c>
      <c r="K1998">
        <f>הגדרות!D7</f>
        <v/>
      </c>
      <c r="L1998">
        <f>I1998*(1+J1998/100)+K1998</f>
        <v/>
      </c>
    </row>
    <row r="1999">
      <c r="A1999" t="inlineStr">
        <is>
          <t>מדי-מרקט</t>
        </is>
      </c>
      <c r="B1999" t="inlineStr">
        <is>
          <t>Razamol 500 Mg Suppositories*10</t>
        </is>
      </c>
      <c r="C1999" t="inlineStr">
        <is>
          <t>תרופות</t>
        </is>
      </c>
      <c r="D1999" t="inlineStr">
        <is>
          <t>6973-1</t>
        </is>
      </c>
      <c r="E1999" t="inlineStr">
        <is>
          <t>2026-06</t>
        </is>
      </c>
      <c r="F1999" t="n">
        <v>6.69</v>
      </c>
      <c r="G1999" t="n">
        <v>7.9</v>
      </c>
      <c r="H1999">
        <f>הגדרות!B7</f>
        <v/>
      </c>
      <c r="I1999">
        <f>F1999*(1-H1999/100)*1.18</f>
        <v/>
      </c>
      <c r="J1999">
        <f>הגדרות!C7</f>
        <v/>
      </c>
      <c r="K1999">
        <f>הגדרות!D7</f>
        <v/>
      </c>
      <c r="L1999">
        <f>I1999*(1+J1999/100)+K1999</f>
        <v/>
      </c>
    </row>
    <row r="2000">
      <c r="A2000" t="inlineStr">
        <is>
          <t>מדי-מרקט</t>
        </is>
      </c>
      <c r="B2000" t="inlineStr">
        <is>
          <t>RAZIN 15MG 30CAPSULES</t>
        </is>
      </c>
      <c r="C2000" t="inlineStr">
        <is>
          <t>תרופות</t>
        </is>
      </c>
      <c r="D2000" t="inlineStr">
        <is>
          <t>3014852</t>
        </is>
      </c>
      <c r="E2000" t="inlineStr">
        <is>
          <t>2026-06</t>
        </is>
      </c>
      <c r="F2000" t="n">
        <v>262.71</v>
      </c>
      <c r="G2000" t="n">
        <v>310</v>
      </c>
      <c r="H2000">
        <f>הגדרות!B7</f>
        <v/>
      </c>
      <c r="I2000">
        <f>F2000*(1-H2000/100)*1.18</f>
        <v/>
      </c>
      <c r="J2000">
        <f>הגדרות!C7</f>
        <v/>
      </c>
      <c r="K2000">
        <f>הגדרות!D7</f>
        <v/>
      </c>
      <c r="L2000">
        <f>I2000*(1+J2000/100)+K2000</f>
        <v/>
      </c>
    </row>
    <row r="2001">
      <c r="A2001" t="inlineStr">
        <is>
          <t>מדי-מרקט</t>
        </is>
      </c>
      <c r="B2001" t="inlineStr">
        <is>
          <t>Recital 20Mg X 30Tabs</t>
        </is>
      </c>
      <c r="C2001" t="inlineStr">
        <is>
          <t>תרופות</t>
        </is>
      </c>
      <c r="D2001" t="inlineStr">
        <is>
          <t>602050</t>
        </is>
      </c>
      <c r="E2001" t="inlineStr">
        <is>
          <t>2026-06</t>
        </is>
      </c>
      <c r="F2001" t="n">
        <v>21.71</v>
      </c>
      <c r="G2001" t="n">
        <v>25.62</v>
      </c>
      <c r="H2001">
        <f>הגדרות!B7</f>
        <v/>
      </c>
      <c r="I2001">
        <f>F2001*(1-H2001/100)*1.18</f>
        <v/>
      </c>
      <c r="J2001">
        <f>הגדרות!C7</f>
        <v/>
      </c>
      <c r="K2001">
        <f>הגדרות!D7</f>
        <v/>
      </c>
      <c r="L2001">
        <f>I2001*(1+J2001/100)+K2001</f>
        <v/>
      </c>
    </row>
    <row r="2002">
      <c r="A2002" t="inlineStr">
        <is>
          <t>מדי-מרקט</t>
        </is>
      </c>
      <c r="B2002" t="inlineStr">
        <is>
          <t>Rectozorin Oint 50Gm רכטוזורין משחה 50 מ"ג</t>
        </is>
      </c>
      <c r="C2002" t="inlineStr">
        <is>
          <t>תרופות</t>
        </is>
      </c>
      <c r="D2002" t="inlineStr">
        <is>
          <t>35004</t>
        </is>
      </c>
      <c r="E2002" t="inlineStr">
        <is>
          <t>2026-06</t>
        </is>
      </c>
      <c r="F2002" t="n">
        <v>19.33</v>
      </c>
      <c r="G2002" t="n">
        <v>22.81</v>
      </c>
      <c r="H2002">
        <f>הגדרות!B7</f>
        <v/>
      </c>
      <c r="I2002">
        <f>F2002*(1-H2002/100)*1.18</f>
        <v/>
      </c>
      <c r="J2002">
        <f>הגדרות!C7</f>
        <v/>
      </c>
      <c r="K2002">
        <f>הגדרות!D7</f>
        <v/>
      </c>
      <c r="L2002">
        <f>I2002*(1+J2002/100)+K2002</f>
        <v/>
      </c>
    </row>
    <row r="2003">
      <c r="A2003" t="inlineStr">
        <is>
          <t>מדי-מרקט</t>
        </is>
      </c>
      <c r="B2003" t="inlineStr">
        <is>
          <t>Rekamid 2MG 10Tab</t>
        </is>
      </c>
      <c r="C2003" t="inlineStr">
        <is>
          <t>תרופות</t>
        </is>
      </c>
      <c r="D2003" t="inlineStr">
        <is>
          <t>2727</t>
        </is>
      </c>
      <c r="E2003" t="inlineStr">
        <is>
          <t>2026-06</t>
        </is>
      </c>
      <c r="F2003" t="n">
        <v>8.460000000000001</v>
      </c>
      <c r="G2003" t="n">
        <v>9.98</v>
      </c>
      <c r="H2003">
        <f>הגדרות!B7</f>
        <v/>
      </c>
      <c r="I2003">
        <f>F2003*(1-H2003/100)*1.18</f>
        <v/>
      </c>
      <c r="J2003">
        <f>הגדרות!C7</f>
        <v/>
      </c>
      <c r="K2003">
        <f>הגדרות!D7</f>
        <v/>
      </c>
      <c r="L2003">
        <f>I2003*(1+J2003/100)+K2003</f>
        <v/>
      </c>
    </row>
    <row r="2004">
      <c r="A2004" t="inlineStr">
        <is>
          <t>מדי-מרקט</t>
        </is>
      </c>
      <c r="B2004" t="inlineStr">
        <is>
          <t>Remifentanil  Bioavenir 2Mg/5ml X5 Inj</t>
        </is>
      </c>
      <c r="C2004" t="inlineStr">
        <is>
          <t>תרופות</t>
        </is>
      </c>
      <c r="D2004" t="inlineStr">
        <is>
          <t>18523</t>
        </is>
      </c>
      <c r="E2004" t="inlineStr">
        <is>
          <t>2026-06</t>
        </is>
      </c>
      <c r="F2004" t="n">
        <v>95.81</v>
      </c>
      <c r="G2004" t="n">
        <v>113.06</v>
      </c>
      <c r="H2004">
        <f>הגדרות!B7</f>
        <v/>
      </c>
      <c r="I2004">
        <f>F2004*(1-H2004/100)*1.18</f>
        <v/>
      </c>
      <c r="J2004">
        <f>הגדרות!C7</f>
        <v/>
      </c>
      <c r="K2004">
        <f>הגדרות!D7</f>
        <v/>
      </c>
      <c r="L2004">
        <f>I2004*(1+J2004/100)+K2004</f>
        <v/>
      </c>
    </row>
    <row r="2005">
      <c r="A2005" t="inlineStr">
        <is>
          <t>מדי-מרקט</t>
        </is>
      </c>
      <c r="B2005" t="inlineStr">
        <is>
          <t>Remifentanil  Bioavenir 5Mg/10ml X 5 Inj</t>
        </is>
      </c>
      <c r="C2005" t="inlineStr">
        <is>
          <t>תרופות</t>
        </is>
      </c>
      <c r="D2005" t="inlineStr">
        <is>
          <t>18524</t>
        </is>
      </c>
      <c r="E2005" t="inlineStr">
        <is>
          <t>2026-06</t>
        </is>
      </c>
      <c r="F2005" t="n">
        <v>101.69</v>
      </c>
      <c r="G2005" t="n">
        <v>120</v>
      </c>
      <c r="H2005">
        <f>הגדרות!B7</f>
        <v/>
      </c>
      <c r="I2005">
        <f>F2005*(1-H2005/100)*1.18</f>
        <v/>
      </c>
      <c r="J2005">
        <f>הגדרות!C7</f>
        <v/>
      </c>
      <c r="K2005">
        <f>הגדרות!D7</f>
        <v/>
      </c>
      <c r="L2005">
        <f>I2005*(1+J2005/100)+K2005</f>
        <v/>
      </c>
    </row>
    <row r="2006">
      <c r="A2006" t="inlineStr">
        <is>
          <t>מדי-מרקט</t>
        </is>
      </c>
      <c r="B2006" t="inlineStr">
        <is>
          <t>Remifentanil Biovenir 1mg/3Ml X5 Inj</t>
        </is>
      </c>
      <c r="C2006" t="inlineStr">
        <is>
          <t>תרופות</t>
        </is>
      </c>
      <c r="D2006" t="inlineStr">
        <is>
          <t>18522-1</t>
        </is>
      </c>
      <c r="E2006" t="inlineStr">
        <is>
          <t>2026-06</t>
        </is>
      </c>
      <c r="F2006" t="n">
        <v>49.58</v>
      </c>
      <c r="G2006" t="n">
        <v>58.5</v>
      </c>
      <c r="H2006">
        <f>הגדרות!B7</f>
        <v/>
      </c>
      <c r="I2006">
        <f>F2006*(1-H2006/100)*1.18</f>
        <v/>
      </c>
      <c r="J2006">
        <f>הגדרות!C7</f>
        <v/>
      </c>
      <c r="K2006">
        <f>הגדרות!D7</f>
        <v/>
      </c>
      <c r="L2006">
        <f>I2006*(1+J2006/100)+K2006</f>
        <v/>
      </c>
    </row>
    <row r="2007">
      <c r="A2007" t="inlineStr">
        <is>
          <t>מדי-מרקט</t>
        </is>
      </c>
      <c r="B2007" t="inlineStr">
        <is>
          <t>Reolin 200Mg 30 Tabs ראולין טבליות תוססות</t>
        </is>
      </c>
      <c r="C2007" t="inlineStr">
        <is>
          <t>תרופות</t>
        </is>
      </c>
      <c r="D2007" t="inlineStr">
        <is>
          <t>23556</t>
        </is>
      </c>
      <c r="E2007" t="inlineStr">
        <is>
          <t>2026-06</t>
        </is>
      </c>
      <c r="F2007" t="n">
        <v>11.94</v>
      </c>
      <c r="G2007" t="n">
        <v>14.09</v>
      </c>
      <c r="H2007">
        <f>הגדרות!B7</f>
        <v/>
      </c>
      <c r="I2007">
        <f>F2007*(1-H2007/100)*1.18</f>
        <v/>
      </c>
      <c r="J2007">
        <f>הגדרות!C7</f>
        <v/>
      </c>
      <c r="K2007">
        <f>הגדרות!D7</f>
        <v/>
      </c>
      <c r="L2007">
        <f>I2007*(1+J2007/100)+K2007</f>
        <v/>
      </c>
    </row>
    <row r="2008">
      <c r="A2008" t="inlineStr">
        <is>
          <t>מדי-מרקט</t>
        </is>
      </c>
      <c r="B2008" t="inlineStr">
        <is>
          <t>REPAGLINIDE 0.5MG 90 TAB</t>
        </is>
      </c>
      <c r="C2008" t="inlineStr">
        <is>
          <t>תרופות</t>
        </is>
      </c>
      <c r="D2008" t="inlineStr">
        <is>
          <t>5533</t>
        </is>
      </c>
      <c r="E2008" t="inlineStr">
        <is>
          <t>2026-06</t>
        </is>
      </c>
      <c r="F2008" t="n">
        <v>18.31</v>
      </c>
      <c r="G2008" t="n">
        <v>21.6</v>
      </c>
      <c r="H2008">
        <f>הגדרות!B7</f>
        <v/>
      </c>
      <c r="I2008">
        <f>F2008*(1-H2008/100)*1.18</f>
        <v/>
      </c>
      <c r="J2008">
        <f>הגדרות!C7</f>
        <v/>
      </c>
      <c r="K2008">
        <f>הגדרות!D7</f>
        <v/>
      </c>
      <c r="L2008">
        <f>I2008*(1+J2008/100)+K2008</f>
        <v/>
      </c>
    </row>
    <row r="2009">
      <c r="A2009" t="inlineStr">
        <is>
          <t>מדי-מרקט</t>
        </is>
      </c>
      <c r="B2009" t="inlineStr">
        <is>
          <t>Repatha 140 mg inj</t>
        </is>
      </c>
      <c r="C2009" t="inlineStr">
        <is>
          <t>תרופות</t>
        </is>
      </c>
      <c r="D2009" t="inlineStr">
        <is>
          <t>85265</t>
        </is>
      </c>
      <c r="E2009" t="inlineStr">
        <is>
          <t>2026-06</t>
        </is>
      </c>
      <c r="F2009" t="n">
        <v>2028.1</v>
      </c>
      <c r="G2009" t="n">
        <v>2393.16</v>
      </c>
      <c r="H2009">
        <f>הגדרות!B7</f>
        <v/>
      </c>
      <c r="I2009">
        <f>F2009*(1-H2009/100)*1.18</f>
        <v/>
      </c>
      <c r="J2009">
        <f>הגדרות!C7</f>
        <v/>
      </c>
      <c r="K2009">
        <f>הגדרות!D7</f>
        <v/>
      </c>
      <c r="L2009">
        <f>I2009*(1+J2009/100)+K2009</f>
        <v/>
      </c>
    </row>
    <row r="2010">
      <c r="A2010" t="inlineStr">
        <is>
          <t>מדי-מרקט</t>
        </is>
      </c>
      <c r="B2010" t="inlineStr">
        <is>
          <t>RESPICHAMBER AUTOCALVABLE WITH MOUTHPIECE-מיכל</t>
        </is>
      </c>
      <c r="C2010" t="inlineStr">
        <is>
          <t>ציוד ומכשור רפואי</t>
        </is>
      </c>
      <c r="D2010" t="inlineStr">
        <is>
          <t>3069917213</t>
        </is>
      </c>
      <c r="E2010" t="inlineStr">
        <is>
          <t>2026-06</t>
        </is>
      </c>
      <c r="F2010" t="n">
        <v>236.94</v>
      </c>
      <c r="G2010" t="n">
        <v>279.59</v>
      </c>
      <c r="H2010">
        <f>הגדרות!B7</f>
        <v/>
      </c>
      <c r="I2010">
        <f>F2010*(1-H2010/100)*1.18</f>
        <v/>
      </c>
      <c r="J2010">
        <f>הגדרות!C7</f>
        <v/>
      </c>
      <c r="K2010">
        <f>הגדרות!D7</f>
        <v/>
      </c>
      <c r="L2010">
        <f>I2010*(1+J2010/100)+K2010</f>
        <v/>
      </c>
    </row>
    <row r="2011">
      <c r="A2011" t="inlineStr">
        <is>
          <t>מדי-מרקט</t>
        </is>
      </c>
      <c r="B2011" t="inlineStr">
        <is>
          <t>Rheumocam Inj 5Mg/Ml 20Ml For Dog&amp;Cat</t>
        </is>
      </c>
      <c r="C2011" t="inlineStr">
        <is>
          <t>תרופות</t>
        </is>
      </c>
      <c r="D2011" t="inlineStr">
        <is>
          <t>M003748</t>
        </is>
      </c>
      <c r="E2011" t="inlineStr">
        <is>
          <t>2026-06</t>
        </is>
      </c>
      <c r="F2011" t="n">
        <v>139.83</v>
      </c>
      <c r="G2011" t="n">
        <v>165</v>
      </c>
      <c r="H2011">
        <f>הגדרות!B7</f>
        <v/>
      </c>
      <c r="I2011">
        <f>F2011*(1-H2011/100)*1.18</f>
        <v/>
      </c>
      <c r="J2011">
        <f>הגדרות!C7</f>
        <v/>
      </c>
      <c r="K2011">
        <f>הגדרות!D7</f>
        <v/>
      </c>
      <c r="L2011">
        <f>I2011*(1+J2011/100)+K2011</f>
        <v/>
      </c>
    </row>
    <row r="2012">
      <c r="A2012" t="inlineStr">
        <is>
          <t>מדי-מרקט</t>
        </is>
      </c>
      <c r="B2012" t="inlineStr">
        <is>
          <t>Rheumocam Oral Suspen' 1.5 Mg/Ml 15Ml</t>
        </is>
      </c>
      <c r="C2012" t="inlineStr">
        <is>
          <t>תרופות</t>
        </is>
      </c>
      <c r="D2012" t="inlineStr">
        <is>
          <t>M003759</t>
        </is>
      </c>
      <c r="E2012" t="inlineStr">
        <is>
          <t>2026-06</t>
        </is>
      </c>
      <c r="F2012" t="n">
        <v>38.14</v>
      </c>
      <c r="G2012" t="n">
        <v>45</v>
      </c>
      <c r="H2012">
        <f>הגדרות!B7</f>
        <v/>
      </c>
      <c r="I2012">
        <f>F2012*(1-H2012/100)*1.18</f>
        <v/>
      </c>
      <c r="J2012">
        <f>הגדרות!C7</f>
        <v/>
      </c>
      <c r="K2012">
        <f>הגדרות!D7</f>
        <v/>
      </c>
      <c r="L2012">
        <f>I2012*(1+J2012/100)+K2012</f>
        <v/>
      </c>
    </row>
    <row r="2013">
      <c r="A2013" t="inlineStr">
        <is>
          <t>מדי-מרקט</t>
        </is>
      </c>
      <c r="B2013" t="inlineStr">
        <is>
          <t>RIFASYNT (RIFAMPICIN)300mg 100  cap</t>
        </is>
      </c>
      <c r="C2013" t="inlineStr">
        <is>
          <t>29 יבוא תרופות הומניות חו"ל</t>
        </is>
      </c>
      <c r="D2013" t="inlineStr">
        <is>
          <t>12462</t>
        </is>
      </c>
      <c r="E2013" t="inlineStr">
        <is>
          <t>2026-06</t>
        </is>
      </c>
      <c r="F2013" t="n">
        <v>56.97</v>
      </c>
      <c r="G2013" t="n">
        <v>67.23</v>
      </c>
      <c r="H2013">
        <f>הגדרות!B7</f>
        <v/>
      </c>
      <c r="I2013">
        <f>F2013*(1-H2013/100)*1.18</f>
        <v/>
      </c>
      <c r="J2013">
        <f>הגדרות!C7</f>
        <v/>
      </c>
      <c r="K2013">
        <f>הגדרות!D7</f>
        <v/>
      </c>
      <c r="L2013">
        <f>I2013*(1+J2013/100)+K2013</f>
        <v/>
      </c>
    </row>
    <row r="2014">
      <c r="A2014" t="inlineStr">
        <is>
          <t>מדי-מרקט</t>
        </is>
      </c>
      <c r="B2014" t="inlineStr">
        <is>
          <t>RIMADYL Cattle 50MG/ML 50ML INJ VETERINARY</t>
        </is>
      </c>
      <c r="C2014" t="inlineStr">
        <is>
          <t>תרופות</t>
        </is>
      </c>
      <c r="D2014" t="inlineStr">
        <is>
          <t>695632-1</t>
        </is>
      </c>
      <c r="E2014" t="inlineStr">
        <is>
          <t>2026-06</t>
        </is>
      </c>
      <c r="F2014" t="n">
        <v>101.69</v>
      </c>
      <c r="G2014" t="n">
        <v>120</v>
      </c>
      <c r="H2014">
        <f>הגדרות!B7</f>
        <v/>
      </c>
      <c r="I2014">
        <f>F2014*(1-H2014/100)*1.18</f>
        <v/>
      </c>
      <c r="J2014">
        <f>הגדרות!C7</f>
        <v/>
      </c>
      <c r="K2014">
        <f>הגדרות!D7</f>
        <v/>
      </c>
      <c r="L2014">
        <f>I2014*(1+J2014/100)+K2014</f>
        <v/>
      </c>
    </row>
    <row r="2015">
      <c r="A2015" t="inlineStr">
        <is>
          <t>מדי-מרקט</t>
        </is>
      </c>
      <c r="B2015" t="inlineStr">
        <is>
          <t>Rinse 2.3 liter למעבדת 2800VET מינדריי V-28R</t>
        </is>
      </c>
      <c r="C2015" t="inlineStr">
        <is>
          <t>Mindray</t>
        </is>
      </c>
      <c r="D2015" t="inlineStr">
        <is>
          <t>68911</t>
        </is>
      </c>
      <c r="E2015" t="inlineStr">
        <is>
          <t>2026-06</t>
        </is>
      </c>
      <c r="F2015" t="n">
        <v>24.71</v>
      </c>
      <c r="G2015" t="n">
        <v>29.16</v>
      </c>
      <c r="H2015">
        <f>הגדרות!B7</f>
        <v/>
      </c>
      <c r="I2015">
        <f>F2015*(1-H2015/100)*1.18</f>
        <v/>
      </c>
      <c r="J2015">
        <f>הגדרות!C7</f>
        <v/>
      </c>
      <c r="K2015">
        <f>הגדרות!D7</f>
        <v/>
      </c>
      <c r="L2015">
        <f>I2015*(1+J2015/100)+K2015</f>
        <v/>
      </c>
    </row>
    <row r="2016">
      <c r="A2016" t="inlineStr">
        <is>
          <t>מדי-מרקט</t>
        </is>
      </c>
      <c r="B2016" t="inlineStr">
        <is>
          <t>Risperdal 1Mg X 20Tab</t>
        </is>
      </c>
      <c r="C2016" t="inlineStr">
        <is>
          <t>תרופות</t>
        </is>
      </c>
      <c r="D2016" t="inlineStr">
        <is>
          <t>4338</t>
        </is>
      </c>
      <c r="E2016" t="inlineStr">
        <is>
          <t>2026-06</t>
        </is>
      </c>
      <c r="F2016" t="n">
        <v>16.02</v>
      </c>
      <c r="G2016" t="n">
        <v>18.9</v>
      </c>
      <c r="H2016">
        <f>הגדרות!B7</f>
        <v/>
      </c>
      <c r="I2016">
        <f>F2016*(1-H2016/100)*1.18</f>
        <v/>
      </c>
      <c r="J2016">
        <f>הגדרות!C7</f>
        <v/>
      </c>
      <c r="K2016">
        <f>הגדרות!D7</f>
        <v/>
      </c>
      <c r="L2016">
        <f>I2016*(1+J2016/100)+K2016</f>
        <v/>
      </c>
    </row>
    <row r="2017">
      <c r="A2017" t="inlineStr">
        <is>
          <t>מדי-מרקט</t>
        </is>
      </c>
      <c r="B2017" t="inlineStr">
        <is>
          <t>Risperdal 2Mg X 20 Tabs</t>
        </is>
      </c>
      <c r="C2017" t="inlineStr">
        <is>
          <t>תרופות</t>
        </is>
      </c>
      <c r="D2017" t="inlineStr">
        <is>
          <t>18073</t>
        </is>
      </c>
      <c r="E2017" t="inlineStr">
        <is>
          <t>2026-06</t>
        </is>
      </c>
      <c r="F2017" t="n">
        <v>27.12</v>
      </c>
      <c r="G2017" t="n">
        <v>32</v>
      </c>
      <c r="H2017">
        <f>הגדרות!B7</f>
        <v/>
      </c>
      <c r="I2017">
        <f>F2017*(1-H2017/100)*1.18</f>
        <v/>
      </c>
      <c r="J2017">
        <f>הגדרות!C7</f>
        <v/>
      </c>
      <c r="K2017">
        <f>הגדרות!D7</f>
        <v/>
      </c>
      <c r="L2017">
        <f>I2017*(1+J2017/100)+K2017</f>
        <v/>
      </c>
    </row>
    <row r="2018">
      <c r="A2018" t="inlineStr">
        <is>
          <t>מדי-מרקט</t>
        </is>
      </c>
      <c r="B2018" t="inlineStr">
        <is>
          <t>Risperdal Oral Sol 30Ml</t>
        </is>
      </c>
      <c r="C2018" t="inlineStr">
        <is>
          <t>תרופות</t>
        </is>
      </c>
      <c r="D2018" t="inlineStr">
        <is>
          <t>21565</t>
        </is>
      </c>
      <c r="E2018" t="inlineStr">
        <is>
          <t>2026-06</t>
        </is>
      </c>
      <c r="F2018" t="n">
        <v>25.88</v>
      </c>
      <c r="G2018" t="n">
        <v>30.54</v>
      </c>
      <c r="H2018">
        <f>הגדרות!B7</f>
        <v/>
      </c>
      <c r="I2018">
        <f>F2018*(1-H2018/100)*1.18</f>
        <v/>
      </c>
      <c r="J2018">
        <f>הגדרות!C7</f>
        <v/>
      </c>
      <c r="K2018">
        <f>הגדרות!D7</f>
        <v/>
      </c>
      <c r="L2018">
        <f>I2018*(1+J2018/100)+K2018</f>
        <v/>
      </c>
    </row>
    <row r="2019">
      <c r="A2019" t="inlineStr">
        <is>
          <t>מדי-מרקט</t>
        </is>
      </c>
      <c r="B2019" t="inlineStr">
        <is>
          <t>Risperidex 1Mg X 30Tab</t>
        </is>
      </c>
      <c r="C2019" t="inlineStr">
        <is>
          <t>תרופות</t>
        </is>
      </c>
      <c r="D2019" t="inlineStr">
        <is>
          <t>165122</t>
        </is>
      </c>
      <c r="E2019" t="inlineStr">
        <is>
          <t>2026-06</t>
        </is>
      </c>
      <c r="F2019" t="n">
        <v>21.36</v>
      </c>
      <c r="G2019" t="n">
        <v>25.2</v>
      </c>
      <c r="H2019">
        <f>הגדרות!B7</f>
        <v/>
      </c>
      <c r="I2019">
        <f>F2019*(1-H2019/100)*1.18</f>
        <v/>
      </c>
      <c r="J2019">
        <f>הגדרות!C7</f>
        <v/>
      </c>
      <c r="K2019">
        <f>הגדרות!D7</f>
        <v/>
      </c>
      <c r="L2019">
        <f>I2019*(1+J2019/100)+K2019</f>
        <v/>
      </c>
    </row>
    <row r="2020">
      <c r="A2020" t="inlineStr">
        <is>
          <t>מדי-מרקט</t>
        </is>
      </c>
      <c r="B2020" t="inlineStr">
        <is>
          <t>Risperidex 3Mg X 30Tab</t>
        </is>
      </c>
      <c r="C2020" t="inlineStr">
        <is>
          <t>תרופות</t>
        </is>
      </c>
      <c r="D2020" t="inlineStr">
        <is>
          <t>931453</t>
        </is>
      </c>
      <c r="E2020" t="inlineStr">
        <is>
          <t>2026-06</t>
        </is>
      </c>
      <c r="F2020" t="n">
        <v>50</v>
      </c>
      <c r="G2020" t="n">
        <v>59</v>
      </c>
      <c r="H2020">
        <f>הגדרות!B7</f>
        <v/>
      </c>
      <c r="I2020">
        <f>F2020*(1-H2020/100)*1.18</f>
        <v/>
      </c>
      <c r="J2020">
        <f>הגדרות!C7</f>
        <v/>
      </c>
      <c r="K2020">
        <f>הגדרות!D7</f>
        <v/>
      </c>
      <c r="L2020">
        <f>I2020*(1+J2020/100)+K2020</f>
        <v/>
      </c>
    </row>
    <row r="2021">
      <c r="A2021" t="inlineStr">
        <is>
          <t>מדי-מרקט</t>
        </is>
      </c>
      <c r="B2021" t="inlineStr">
        <is>
          <t>Rivotril 2.5 Mg Ml Dr: 10 Ml</t>
        </is>
      </c>
      <c r="C2021" t="inlineStr">
        <is>
          <t>תרופות</t>
        </is>
      </c>
      <c r="D2021" t="inlineStr">
        <is>
          <t>18075</t>
        </is>
      </c>
      <c r="E2021" t="inlineStr">
        <is>
          <t>2026-06</t>
        </is>
      </c>
      <c r="F2021" t="n">
        <v>12.63</v>
      </c>
      <c r="G2021" t="n">
        <v>14.9</v>
      </c>
      <c r="H2021">
        <f>הגדרות!B7</f>
        <v/>
      </c>
      <c r="I2021">
        <f>F2021*(1-H2021/100)*1.18</f>
        <v/>
      </c>
      <c r="J2021">
        <f>הגדרות!C7</f>
        <v/>
      </c>
      <c r="K2021">
        <f>הגדרות!D7</f>
        <v/>
      </c>
      <c r="L2021">
        <f>I2021*(1+J2021/100)+K2021</f>
        <v/>
      </c>
    </row>
    <row r="2022">
      <c r="A2022" t="inlineStr">
        <is>
          <t>מדי-מרקט</t>
        </is>
      </c>
      <c r="B2022" t="inlineStr">
        <is>
          <t>Rodenal 2Mg X 30Tab</t>
        </is>
      </c>
      <c r="C2022" t="inlineStr">
        <is>
          <t>תרופות</t>
        </is>
      </c>
      <c r="D2022" t="inlineStr">
        <is>
          <t>18105</t>
        </is>
      </c>
      <c r="E2022" t="inlineStr">
        <is>
          <t>2026-06</t>
        </is>
      </c>
      <c r="F2022" t="n">
        <v>11.36</v>
      </c>
      <c r="G2022" t="n">
        <v>13.4</v>
      </c>
      <c r="H2022">
        <f>הגדרות!B7</f>
        <v/>
      </c>
      <c r="I2022">
        <f>F2022*(1-H2022/100)*1.18</f>
        <v/>
      </c>
      <c r="J2022">
        <f>הגדרות!C7</f>
        <v/>
      </c>
      <c r="K2022">
        <f>הגדרות!D7</f>
        <v/>
      </c>
      <c r="L2022">
        <f>I2022*(1+J2022/100)+K2022</f>
        <v/>
      </c>
    </row>
    <row r="2023">
      <c r="A2023" t="inlineStr">
        <is>
          <t>מדי-מרקט</t>
        </is>
      </c>
      <c r="B2023" t="inlineStr">
        <is>
          <t>Rodenal 5Mg X 30Tab</t>
        </is>
      </c>
      <c r="C2023" t="inlineStr">
        <is>
          <t>תרופות</t>
        </is>
      </c>
      <c r="D2023" t="inlineStr">
        <is>
          <t>18424</t>
        </is>
      </c>
      <c r="E2023" t="inlineStr">
        <is>
          <t>2026-06</t>
        </is>
      </c>
      <c r="F2023" t="n">
        <v>12.97</v>
      </c>
      <c r="G2023" t="n">
        <v>15.3</v>
      </c>
      <c r="H2023">
        <f>הגדרות!B7</f>
        <v/>
      </c>
      <c r="I2023">
        <f>F2023*(1-H2023/100)*1.18</f>
        <v/>
      </c>
      <c r="J2023">
        <f>הגדרות!C7</f>
        <v/>
      </c>
      <c r="K2023">
        <f>הגדרות!D7</f>
        <v/>
      </c>
      <c r="L2023">
        <f>I2023*(1+J2023/100)+K2023</f>
        <v/>
      </c>
    </row>
    <row r="2024">
      <c r="A2024" t="inlineStr">
        <is>
          <t>מדי-מרקט</t>
        </is>
      </c>
      <c r="B2024" t="inlineStr">
        <is>
          <t>Rokacet 20 Caplets</t>
        </is>
      </c>
      <c r="C2024" t="inlineStr">
        <is>
          <t>תרופות</t>
        </is>
      </c>
      <c r="D2024" t="inlineStr">
        <is>
          <t>18232</t>
        </is>
      </c>
      <c r="E2024" t="inlineStr">
        <is>
          <t>2026-06</t>
        </is>
      </c>
      <c r="F2024" t="n">
        <v>20.34</v>
      </c>
      <c r="G2024" t="n">
        <v>24</v>
      </c>
      <c r="H2024">
        <f>הגדרות!B7</f>
        <v/>
      </c>
      <c r="I2024">
        <f>F2024*(1-H2024/100)*1.18</f>
        <v/>
      </c>
      <c r="J2024">
        <f>הגדרות!C7</f>
        <v/>
      </c>
      <c r="K2024">
        <f>הגדרות!D7</f>
        <v/>
      </c>
      <c r="L2024">
        <f>I2024*(1+J2024/100)+K2024</f>
        <v/>
      </c>
    </row>
    <row r="2025">
      <c r="A2025" t="inlineStr">
        <is>
          <t>מדי-מרקט</t>
        </is>
      </c>
      <c r="B2025" t="inlineStr">
        <is>
          <t>Rokacet Plus 24 Caplets</t>
        </is>
      </c>
      <c r="C2025" t="inlineStr">
        <is>
          <t>תרופות</t>
        </is>
      </c>
      <c r="D2025" t="inlineStr">
        <is>
          <t>18370</t>
        </is>
      </c>
      <c r="E2025" t="inlineStr">
        <is>
          <t>2026-06</t>
        </is>
      </c>
      <c r="F2025" t="n">
        <v>32.2</v>
      </c>
      <c r="G2025" t="n">
        <v>38</v>
      </c>
      <c r="H2025">
        <f>הגדרות!B7</f>
        <v/>
      </c>
      <c r="I2025">
        <f>F2025*(1-H2025/100)*1.18</f>
        <v/>
      </c>
      <c r="J2025">
        <f>הגדרות!C7</f>
        <v/>
      </c>
      <c r="K2025">
        <f>הגדרות!D7</f>
        <v/>
      </c>
      <c r="L2025">
        <f>I2025*(1+J2025/100)+K2025</f>
        <v/>
      </c>
    </row>
    <row r="2026">
      <c r="A2026" t="inlineStr">
        <is>
          <t>מדי-מרקט</t>
        </is>
      </c>
      <c r="B2026" t="inlineStr">
        <is>
          <t>Ronexin 100Mg X 30Tab</t>
        </is>
      </c>
      <c r="C2026" t="inlineStr">
        <is>
          <t>תרופות</t>
        </is>
      </c>
      <c r="D2026" t="inlineStr">
        <is>
          <t>18379</t>
        </is>
      </c>
      <c r="E2026" t="inlineStr">
        <is>
          <t>2026-06</t>
        </is>
      </c>
      <c r="F2026" t="n">
        <v>30.93</v>
      </c>
      <c r="G2026" t="n">
        <v>36.5</v>
      </c>
      <c r="H2026">
        <f>הגדרות!B7</f>
        <v/>
      </c>
      <c r="I2026">
        <f>F2026*(1-H2026/100)*1.18</f>
        <v/>
      </c>
      <c r="J2026">
        <f>הגדרות!C7</f>
        <v/>
      </c>
      <c r="K2026">
        <f>הגדרות!D7</f>
        <v/>
      </c>
      <c r="L2026">
        <f>I2026*(1+J2026/100)+K2026</f>
        <v/>
      </c>
    </row>
    <row r="2027">
      <c r="A2027" t="inlineStr">
        <is>
          <t>מדי-מרקט</t>
        </is>
      </c>
      <c r="B2027" t="inlineStr">
        <is>
          <t>Ronexin 25Mg X 30Tab</t>
        </is>
      </c>
      <c r="C2027" t="inlineStr">
        <is>
          <t>תרופות</t>
        </is>
      </c>
      <c r="D2027" t="inlineStr">
        <is>
          <t>18378</t>
        </is>
      </c>
      <c r="E2027" t="inlineStr">
        <is>
          <t>2026-06</t>
        </is>
      </c>
      <c r="F2027" t="n">
        <v>13.34</v>
      </c>
      <c r="G2027" t="n">
        <v>15.74</v>
      </c>
      <c r="H2027">
        <f>הגדרות!B7</f>
        <v/>
      </c>
      <c r="I2027">
        <f>F2027*(1-H2027/100)*1.18</f>
        <v/>
      </c>
      <c r="J2027">
        <f>הגדרות!C7</f>
        <v/>
      </c>
      <c r="K2027">
        <f>הגדרות!D7</f>
        <v/>
      </c>
      <c r="L2027">
        <f>I2027*(1+J2027/100)+K2027</f>
        <v/>
      </c>
    </row>
    <row r="2028">
      <c r="A2028" t="inlineStr">
        <is>
          <t>מדי-מרקט</t>
        </is>
      </c>
      <c r="B2028" t="inlineStr">
        <is>
          <t>Ronip Ear Drops 15Ml</t>
        </is>
      </c>
      <c r="C2028" t="inlineStr">
        <is>
          <t>הכנות טיפות וג'ל לאוזניים</t>
        </is>
      </c>
      <c r="D2028" t="inlineStr">
        <is>
          <t>100150</t>
        </is>
      </c>
      <c r="E2028" t="inlineStr">
        <is>
          <t>2026-06</t>
        </is>
      </c>
      <c r="F2028" t="n">
        <v>3.72</v>
      </c>
      <c r="G2028" t="n">
        <v>4.39</v>
      </c>
      <c r="H2028">
        <f>הגדרות!B7</f>
        <v/>
      </c>
      <c r="I2028">
        <f>F2028*(1-H2028/100)*1.18</f>
        <v/>
      </c>
      <c r="J2028">
        <f>הגדרות!C7</f>
        <v/>
      </c>
      <c r="K2028">
        <f>הגדרות!D7</f>
        <v/>
      </c>
      <c r="L2028">
        <f>I2028*(1+J2028/100)+K2028</f>
        <v/>
      </c>
    </row>
    <row r="2029">
      <c r="A2029" t="inlineStr">
        <is>
          <t>מדי-מרקט</t>
        </is>
      </c>
      <c r="B2029" t="inlineStr">
        <is>
          <t>Rosuvastatin Medo 10 Mg 30 Film-Coated Tablets(Il)</t>
        </is>
      </c>
      <c r="C2029" t="inlineStr">
        <is>
          <t>תרופות רשומות- מדי מרקט</t>
        </is>
      </c>
      <c r="D2029" t="inlineStr">
        <is>
          <t>568548</t>
        </is>
      </c>
      <c r="E2029" t="inlineStr">
        <is>
          <t>2026-06</t>
        </is>
      </c>
      <c r="F2029" t="n">
        <v>7.54</v>
      </c>
      <c r="G2029" t="n">
        <v>8.9</v>
      </c>
      <c r="H2029">
        <f>הגדרות!B7</f>
        <v/>
      </c>
      <c r="I2029">
        <f>F2029*(1-H2029/100)*1.18</f>
        <v/>
      </c>
      <c r="J2029">
        <f>הגדרות!C7</f>
        <v/>
      </c>
      <c r="K2029">
        <f>הגדרות!D7</f>
        <v/>
      </c>
      <c r="L2029">
        <f>I2029*(1+J2029/100)+K2029</f>
        <v/>
      </c>
    </row>
    <row r="2030">
      <c r="A2030" t="inlineStr">
        <is>
          <t>מדי-מרקט</t>
        </is>
      </c>
      <c r="B2030" t="inlineStr">
        <is>
          <t>Rosuvastatin Medo 20 Mg 30 Film-Coated Tablets(Il)</t>
        </is>
      </c>
      <c r="C2030" t="inlineStr">
        <is>
          <t>תרופות רשומות- מדי מרקט</t>
        </is>
      </c>
      <c r="D2030" t="inlineStr">
        <is>
          <t>568549</t>
        </is>
      </c>
      <c r="E2030" t="inlineStr">
        <is>
          <t>2026-06</t>
        </is>
      </c>
      <c r="F2030" t="n">
        <v>7.42</v>
      </c>
      <c r="G2030" t="n">
        <v>8.75</v>
      </c>
      <c r="H2030">
        <f>הגדרות!B7</f>
        <v/>
      </c>
      <c r="I2030">
        <f>F2030*(1-H2030/100)*1.18</f>
        <v/>
      </c>
      <c r="J2030">
        <f>הגדרות!C7</f>
        <v/>
      </c>
      <c r="K2030">
        <f>הגדרות!D7</f>
        <v/>
      </c>
      <c r="L2030">
        <f>I2030*(1+J2030/100)+K2030</f>
        <v/>
      </c>
    </row>
    <row r="2031">
      <c r="A2031" t="inlineStr">
        <is>
          <t>מדי-מרקט</t>
        </is>
      </c>
      <c r="B2031" t="inlineStr">
        <is>
          <t>Rosuvastatin Medo 40 Mg 30 Film-Coated Tablets(Il)</t>
        </is>
      </c>
      <c r="C2031" t="inlineStr">
        <is>
          <t>תרופות רשומות- מדי מרקט</t>
        </is>
      </c>
      <c r="D2031" t="inlineStr">
        <is>
          <t>568550</t>
        </is>
      </c>
      <c r="E2031" t="inlineStr">
        <is>
          <t>2026-06</t>
        </is>
      </c>
      <c r="F2031" t="n">
        <v>16.1</v>
      </c>
      <c r="G2031" t="n">
        <v>19</v>
      </c>
      <c r="H2031">
        <f>הגדרות!B7</f>
        <v/>
      </c>
      <c r="I2031">
        <f>F2031*(1-H2031/100)*1.18</f>
        <v/>
      </c>
      <c r="J2031">
        <f>הגדרות!C7</f>
        <v/>
      </c>
      <c r="K2031">
        <f>הגדרות!D7</f>
        <v/>
      </c>
      <c r="L2031">
        <f>I2031*(1+J2031/100)+K2031</f>
        <v/>
      </c>
    </row>
    <row r="2032">
      <c r="A2032" t="inlineStr">
        <is>
          <t>מדי-מרקט</t>
        </is>
      </c>
      <c r="B2032" t="inlineStr">
        <is>
          <t>Rosuvastatin Medo 5 Mg 30 Film-Coated Tablets(Il)</t>
        </is>
      </c>
      <c r="C2032" t="inlineStr">
        <is>
          <t>תרופות רשומות- מדי מרקט</t>
        </is>
      </c>
      <c r="D2032" t="inlineStr">
        <is>
          <t>568547</t>
        </is>
      </c>
      <c r="E2032" t="inlineStr">
        <is>
          <t>2026-06</t>
        </is>
      </c>
      <c r="F2032" t="n">
        <v>6.64</v>
      </c>
      <c r="G2032" t="n">
        <v>7.83</v>
      </c>
      <c r="H2032">
        <f>הגדרות!B7</f>
        <v/>
      </c>
      <c r="I2032">
        <f>F2032*(1-H2032/100)*1.18</f>
        <v/>
      </c>
      <c r="J2032">
        <f>הגדרות!C7</f>
        <v/>
      </c>
      <c r="K2032">
        <f>הגדרות!D7</f>
        <v/>
      </c>
      <c r="L2032">
        <f>I2032*(1+J2032/100)+K2032</f>
        <v/>
      </c>
    </row>
    <row r="2033">
      <c r="A2033" t="inlineStr">
        <is>
          <t>מדי-מרקט</t>
        </is>
      </c>
      <c r="B2033" t="inlineStr">
        <is>
          <t>Rotor 10 Pre-operation Test Parameters 10/BOX  SMT-120</t>
        </is>
      </c>
      <c r="C2033" t="inlineStr">
        <is>
          <t>ביוכימיה</t>
        </is>
      </c>
      <c r="D2033" t="inlineStr">
        <is>
          <t>AW01982</t>
        </is>
      </c>
      <c r="E2033" t="inlineStr">
        <is>
          <t>2026-06</t>
        </is>
      </c>
      <c r="F2033" t="n">
        <v>1059.32</v>
      </c>
      <c r="G2033" t="n">
        <v>1250</v>
      </c>
      <c r="H2033">
        <f>הגדרות!B7</f>
        <v/>
      </c>
      <c r="I2033">
        <f>F2033*(1-H2033/100)*1.18</f>
        <v/>
      </c>
      <c r="J2033">
        <f>הגדרות!C7</f>
        <v/>
      </c>
      <c r="K2033">
        <f>הגדרות!D7</f>
        <v/>
      </c>
      <c r="L2033">
        <f>I2033*(1+J2033/100)+K2033</f>
        <v/>
      </c>
    </row>
    <row r="2034">
      <c r="A2034" t="inlineStr">
        <is>
          <t>מדי-מרקט</t>
        </is>
      </c>
      <c r="B2034" t="inlineStr">
        <is>
          <t>Rotor 13 Electrolyte plus Parameters 10/BOX  SMT-120</t>
        </is>
      </c>
      <c r="C2034" t="inlineStr">
        <is>
          <t>ביוכימיה</t>
        </is>
      </c>
      <c r="D2034" t="inlineStr">
        <is>
          <t>AW01985</t>
        </is>
      </c>
      <c r="E2034" t="inlineStr">
        <is>
          <t>2026-06</t>
        </is>
      </c>
      <c r="F2034" t="n">
        <v>1101.69</v>
      </c>
      <c r="G2034" t="n">
        <v>1300</v>
      </c>
      <c r="H2034">
        <f>הגדרות!B7</f>
        <v/>
      </c>
      <c r="I2034">
        <f>F2034*(1-H2034/100)*1.18</f>
        <v/>
      </c>
      <c r="J2034">
        <f>הגדרות!C7</f>
        <v/>
      </c>
      <c r="K2034">
        <f>הגדרות!D7</f>
        <v/>
      </c>
      <c r="L2034">
        <f>I2034*(1+J2034/100)+K2034</f>
        <v/>
      </c>
    </row>
    <row r="2035">
      <c r="A2035" t="inlineStr">
        <is>
          <t>מדי-מרקט</t>
        </is>
      </c>
      <c r="B2035" t="inlineStr">
        <is>
          <t>Rotor 24 Parameters Inc. Electrolyte 10/BOX  SMT-120</t>
        </is>
      </c>
      <c r="C2035" t="inlineStr">
        <is>
          <t>ביוכימיה</t>
        </is>
      </c>
      <c r="D2035" t="inlineStr">
        <is>
          <t>AW03913</t>
        </is>
      </c>
      <c r="E2035" t="inlineStr">
        <is>
          <t>2026-06</t>
        </is>
      </c>
      <c r="F2035" t="n">
        <v>1525.42</v>
      </c>
      <c r="G2035" t="n">
        <v>1800</v>
      </c>
      <c r="H2035">
        <f>הגדרות!B7</f>
        <v/>
      </c>
      <c r="I2035">
        <f>F2035*(1-H2035/100)*1.18</f>
        <v/>
      </c>
      <c r="J2035">
        <f>הגדרות!C7</f>
        <v/>
      </c>
      <c r="K2035">
        <f>הגדרות!D7</f>
        <v/>
      </c>
      <c r="L2035">
        <f>I2035*(1+J2035/100)+K2035</f>
        <v/>
      </c>
    </row>
    <row r="2036">
      <c r="A2036" t="inlineStr">
        <is>
          <t>מדי-מרקט</t>
        </is>
      </c>
      <c r="B2036" t="inlineStr">
        <is>
          <t>Rotor 4 Coagulation Parameters 10/BOX  SMT-120</t>
        </is>
      </c>
      <c r="C2036" t="inlineStr">
        <is>
          <t>ביוכימיה</t>
        </is>
      </c>
      <c r="D2036" t="inlineStr">
        <is>
          <t>AW00650</t>
        </is>
      </c>
      <c r="E2036" t="inlineStr">
        <is>
          <t>2026-06</t>
        </is>
      </c>
      <c r="F2036" t="n">
        <v>1016.95</v>
      </c>
      <c r="G2036" t="n">
        <v>1200</v>
      </c>
      <c r="H2036">
        <f>הגדרות!B7</f>
        <v/>
      </c>
      <c r="I2036">
        <f>F2036*(1-H2036/100)*1.18</f>
        <v/>
      </c>
      <c r="J2036">
        <f>הגדרות!C7</f>
        <v/>
      </c>
      <c r="K2036">
        <f>הגדרות!D7</f>
        <v/>
      </c>
      <c r="L2036">
        <f>I2036*(1+J2036/100)+K2036</f>
        <v/>
      </c>
    </row>
    <row r="2037">
      <c r="A2037" t="inlineStr">
        <is>
          <t>מדי-מרקט</t>
        </is>
      </c>
      <c r="B2037" t="inlineStr">
        <is>
          <t>Roxo 150Mg X 20Tab</t>
        </is>
      </c>
      <c r="C2037" t="inlineStr">
        <is>
          <t>תרופות</t>
        </is>
      </c>
      <c r="D2037" t="inlineStr">
        <is>
          <t>5042</t>
        </is>
      </c>
      <c r="E2037" t="inlineStr">
        <is>
          <t>2026-06</t>
        </is>
      </c>
      <c r="F2037" t="n">
        <v>34.32</v>
      </c>
      <c r="G2037" t="n">
        <v>40.5</v>
      </c>
      <c r="H2037">
        <f>הגדרות!B7</f>
        <v/>
      </c>
      <c r="I2037">
        <f>F2037*(1-H2037/100)*1.18</f>
        <v/>
      </c>
      <c r="J2037">
        <f>הגדרות!C7</f>
        <v/>
      </c>
      <c r="K2037">
        <f>הגדרות!D7</f>
        <v/>
      </c>
      <c r="L2037">
        <f>I2037*(1+J2037/100)+K2037</f>
        <v/>
      </c>
    </row>
    <row r="2038">
      <c r="A2038" t="inlineStr">
        <is>
          <t>מדי-מרקט</t>
        </is>
      </c>
      <c r="B2038" t="inlineStr">
        <is>
          <t>Salbutec Respiratory Solution 20 (ונטולין)</t>
        </is>
      </c>
      <c r="C2038" t="inlineStr">
        <is>
          <t>תרופות</t>
        </is>
      </c>
      <c r="D2038" t="inlineStr">
        <is>
          <t>1400371-1</t>
        </is>
      </c>
      <c r="E2038" t="inlineStr">
        <is>
          <t>2026-06</t>
        </is>
      </c>
      <c r="F2038" t="n">
        <v>14.41</v>
      </c>
      <c r="G2038" t="n">
        <v>17</v>
      </c>
      <c r="H2038">
        <f>הגדרות!B7</f>
        <v/>
      </c>
      <c r="I2038">
        <f>F2038*(1-H2038/100)*1.18</f>
        <v/>
      </c>
      <c r="J2038">
        <f>הגדרות!C7</f>
        <v/>
      </c>
      <c r="K2038">
        <f>הגדרות!D7</f>
        <v/>
      </c>
      <c r="L2038">
        <f>I2038*(1+J2038/100)+K2038</f>
        <v/>
      </c>
    </row>
    <row r="2039">
      <c r="A2039" t="inlineStr">
        <is>
          <t>מדי-מרקט</t>
        </is>
      </c>
      <c r="B2039" t="inlineStr">
        <is>
          <t>Sampling line Neo 2.5m umec12 vet צינורית לקפנו ילד</t>
        </is>
      </c>
      <c r="C2039" t="inlineStr">
        <is>
          <t>Mindray</t>
        </is>
      </c>
      <c r="D2039" t="inlineStr">
        <is>
          <t>115-043018-00</t>
        </is>
      </c>
      <c r="E2039" t="inlineStr">
        <is>
          <t>2026-06</t>
        </is>
      </c>
      <c r="F2039" t="n">
        <v>50.85</v>
      </c>
      <c r="G2039" t="n">
        <v>60</v>
      </c>
      <c r="H2039">
        <f>הגדרות!B7</f>
        <v/>
      </c>
      <c r="I2039">
        <f>F2039*(1-H2039/100)*1.18</f>
        <v/>
      </c>
      <c r="J2039">
        <f>הגדרות!C7</f>
        <v/>
      </c>
      <c r="K2039">
        <f>הגדרות!D7</f>
        <v/>
      </c>
      <c r="L2039">
        <f>I2039*(1+J2039/100)+K2039</f>
        <v/>
      </c>
    </row>
    <row r="2040">
      <c r="A2040" t="inlineStr">
        <is>
          <t>מדי-מרקט</t>
        </is>
      </c>
      <c r="B2040" t="inlineStr">
        <is>
          <t>Sebosel Shamp 2.5% W 100M</t>
        </is>
      </c>
      <c r="C2040" t="inlineStr">
        <is>
          <t>תרופות</t>
        </is>
      </c>
      <c r="D2040" t="inlineStr">
        <is>
          <t>4000048</t>
        </is>
      </c>
      <c r="E2040" t="inlineStr">
        <is>
          <t>2026-06</t>
        </is>
      </c>
      <c r="F2040" t="n">
        <v>19.03</v>
      </c>
      <c r="G2040" t="n">
        <v>22.46</v>
      </c>
      <c r="H2040">
        <f>הגדרות!B7</f>
        <v/>
      </c>
      <c r="I2040">
        <f>F2040*(1-H2040/100)*1.18</f>
        <v/>
      </c>
      <c r="J2040">
        <f>הגדרות!C7</f>
        <v/>
      </c>
      <c r="K2040">
        <f>הגדרות!D7</f>
        <v/>
      </c>
      <c r="L2040">
        <f>I2040*(1+J2040/100)+K2040</f>
        <v/>
      </c>
    </row>
    <row r="2041">
      <c r="A2041" t="inlineStr">
        <is>
          <t>מדי-מרקט</t>
        </is>
      </c>
      <c r="B2041" t="inlineStr">
        <is>
          <t>SEDAM ACEPROMAZINE MALEAT 10MG 20TAB</t>
        </is>
      </c>
      <c r="C2041" t="inlineStr">
        <is>
          <t>29ג' וטרינרי</t>
        </is>
      </c>
      <c r="D2041" t="inlineStr">
        <is>
          <t>404003</t>
        </is>
      </c>
      <c r="E2041" t="inlineStr">
        <is>
          <t>2026-06</t>
        </is>
      </c>
      <c r="F2041" t="n">
        <v>30.51</v>
      </c>
      <c r="G2041" t="n">
        <v>36</v>
      </c>
      <c r="H2041">
        <f>הגדרות!B7</f>
        <v/>
      </c>
      <c r="I2041">
        <f>F2041*(1-H2041/100)*1.18</f>
        <v/>
      </c>
      <c r="J2041">
        <f>הגדרות!C7</f>
        <v/>
      </c>
      <c r="K2041">
        <f>הגדרות!D7</f>
        <v/>
      </c>
      <c r="L2041">
        <f>I2041*(1+J2041/100)+K2041</f>
        <v/>
      </c>
    </row>
    <row r="2042">
      <c r="A2042" t="inlineStr">
        <is>
          <t>מדי-מרקט</t>
        </is>
      </c>
      <c r="B2042" t="inlineStr">
        <is>
          <t>SEDAXYLAN Vet- Xylazine  2% 20MG/ML 25ML קסילזין</t>
        </is>
      </c>
      <c r="C2042" t="inlineStr">
        <is>
          <t>תרופות</t>
        </is>
      </c>
      <c r="D2042" t="inlineStr">
        <is>
          <t>1823</t>
        </is>
      </c>
      <c r="E2042" t="inlineStr">
        <is>
          <t>2026-06</t>
        </is>
      </c>
      <c r="F2042" t="n">
        <v>100</v>
      </c>
      <c r="G2042" t="n">
        <v>118</v>
      </c>
      <c r="H2042">
        <f>הגדרות!B7</f>
        <v/>
      </c>
      <c r="I2042">
        <f>F2042*(1-H2042/100)*1.18</f>
        <v/>
      </c>
      <c r="J2042">
        <f>הגדרות!C7</f>
        <v/>
      </c>
      <c r="K2042">
        <f>הגדרות!D7</f>
        <v/>
      </c>
      <c r="L2042">
        <f>I2042*(1+J2042/100)+K2042</f>
        <v/>
      </c>
    </row>
    <row r="2043">
      <c r="A2043" t="inlineStr">
        <is>
          <t>מדי-מרקט</t>
        </is>
      </c>
      <c r="B2043" t="inlineStr">
        <is>
          <t>Sedural 100 Mg Drags: 30 סדורל 30 טב'</t>
        </is>
      </c>
      <c r="C2043" t="inlineStr">
        <is>
          <t>תרופות</t>
        </is>
      </c>
      <c r="D2043" t="inlineStr">
        <is>
          <t>5588</t>
        </is>
      </c>
      <c r="E2043" t="inlineStr">
        <is>
          <t>2026-06</t>
        </is>
      </c>
      <c r="F2043" t="n">
        <v>28.81</v>
      </c>
      <c r="G2043" t="n">
        <v>34</v>
      </c>
      <c r="H2043">
        <f>הגדרות!B7</f>
        <v/>
      </c>
      <c r="I2043">
        <f>F2043*(1-H2043/100)*1.18</f>
        <v/>
      </c>
      <c r="J2043">
        <f>הגדרות!C7</f>
        <v/>
      </c>
      <c r="K2043">
        <f>הגדרות!D7</f>
        <v/>
      </c>
      <c r="L2043">
        <f>I2043*(1+J2043/100)+K2043</f>
        <v/>
      </c>
    </row>
    <row r="2044">
      <c r="A2044" t="inlineStr">
        <is>
          <t>מדי-מרקט</t>
        </is>
      </c>
      <c r="B2044" t="inlineStr">
        <is>
          <t>Septadine Solution 500ML ספטדין תמיסה</t>
        </is>
      </c>
      <c r="C2044" t="inlineStr">
        <is>
          <t>מוצרי חיטוי ואנטיספטיקה</t>
        </is>
      </c>
      <c r="D2044" t="inlineStr">
        <is>
          <t>7631</t>
        </is>
      </c>
      <c r="E2044" t="inlineStr">
        <is>
          <t>2026-06</t>
        </is>
      </c>
      <c r="F2044" t="n">
        <v>10.58</v>
      </c>
      <c r="G2044" t="n">
        <v>12.49</v>
      </c>
      <c r="H2044">
        <f>הגדרות!B7</f>
        <v/>
      </c>
      <c r="I2044">
        <f>F2044*(1-H2044/100)*1.18</f>
        <v/>
      </c>
      <c r="J2044">
        <f>הגדרות!C7</f>
        <v/>
      </c>
      <c r="K2044">
        <f>הגדרות!D7</f>
        <v/>
      </c>
      <c r="L2044">
        <f>I2044*(1+J2044/100)+K2044</f>
        <v/>
      </c>
    </row>
    <row r="2045">
      <c r="A2045" t="inlineStr">
        <is>
          <t>מדי-מרקט</t>
        </is>
      </c>
      <c r="B2045" t="inlineStr">
        <is>
          <t>SEPTADINE TARHITZ 500 ML ספטדין תרחיץ</t>
        </is>
      </c>
      <c r="C2045" t="inlineStr">
        <is>
          <t>מוצרי חיטוי ואנטיספטיקה</t>
        </is>
      </c>
      <c r="D2045" t="inlineStr">
        <is>
          <t>201400</t>
        </is>
      </c>
      <c r="E2045" t="inlineStr">
        <is>
          <t>2026-06</t>
        </is>
      </c>
      <c r="F2045" t="n">
        <v>19.32</v>
      </c>
      <c r="G2045" t="n">
        <v>22.8</v>
      </c>
      <c r="H2045">
        <f>הגדרות!B7</f>
        <v/>
      </c>
      <c r="I2045">
        <f>F2045*(1-H2045/100)*1.18</f>
        <v/>
      </c>
      <c r="J2045">
        <f>הגדרות!C7</f>
        <v/>
      </c>
      <c r="K2045">
        <f>הגדרות!D7</f>
        <v/>
      </c>
      <c r="L2045">
        <f>I2045*(1+J2045/100)+K2045</f>
        <v/>
      </c>
    </row>
    <row r="2046">
      <c r="A2046" t="inlineStr">
        <is>
          <t>מדי-מרקט</t>
        </is>
      </c>
      <c r="B2046" t="inlineStr">
        <is>
          <t>SEPTAL SCRUB 500ML ספטל סקראב 500 מ"ל</t>
        </is>
      </c>
      <c r="C2046" t="inlineStr">
        <is>
          <t>מוצרי חיטוי ואנטיספטיקה</t>
        </is>
      </c>
      <c r="D2046" t="inlineStr">
        <is>
          <t>2735</t>
        </is>
      </c>
      <c r="E2046" t="inlineStr">
        <is>
          <t>2026-06</t>
        </is>
      </c>
      <c r="F2046" t="n">
        <v>20.59</v>
      </c>
      <c r="G2046" t="n">
        <v>24.3</v>
      </c>
      <c r="H2046">
        <f>הגדרות!B7</f>
        <v/>
      </c>
      <c r="I2046">
        <f>F2046*(1-H2046/100)*1.18</f>
        <v/>
      </c>
      <c r="J2046">
        <f>הגדרות!C7</f>
        <v/>
      </c>
      <c r="K2046">
        <f>הגדרות!D7</f>
        <v/>
      </c>
      <c r="L2046">
        <f>I2046*(1+J2046/100)+K2046</f>
        <v/>
      </c>
    </row>
    <row r="2047">
      <c r="A2047" t="inlineStr">
        <is>
          <t>מדי-מרקט</t>
        </is>
      </c>
      <c r="B2047" t="inlineStr">
        <is>
          <t>Septol Solution 500ML ספטול תמיסה</t>
        </is>
      </c>
      <c r="C2047" t="inlineStr">
        <is>
          <t>מוצרי חיטוי ואנטיספטיקה</t>
        </is>
      </c>
      <c r="D2047" t="inlineStr">
        <is>
          <t>2730</t>
        </is>
      </c>
      <c r="E2047" t="inlineStr">
        <is>
          <t>2026-06</t>
        </is>
      </c>
      <c r="F2047" t="n">
        <v>13.85</v>
      </c>
      <c r="G2047" t="n">
        <v>16.34</v>
      </c>
      <c r="H2047">
        <f>הגדרות!B7</f>
        <v/>
      </c>
      <c r="I2047">
        <f>F2047*(1-H2047/100)*1.18</f>
        <v/>
      </c>
      <c r="J2047">
        <f>הגדרות!C7</f>
        <v/>
      </c>
      <c r="K2047">
        <f>הגדרות!D7</f>
        <v/>
      </c>
      <c r="L2047">
        <f>I2047*(1+J2047/100)+K2047</f>
        <v/>
      </c>
    </row>
    <row r="2048">
      <c r="A2048" t="inlineStr">
        <is>
          <t>מדי-מרקט</t>
        </is>
      </c>
      <c r="B2048" t="inlineStr">
        <is>
          <t>Seroquel 100Mg 30 Tab סרוקוול 100 מ"ג 30 טב'</t>
        </is>
      </c>
      <c r="C2048" t="inlineStr">
        <is>
          <t>תרופות</t>
        </is>
      </c>
      <c r="D2048" t="inlineStr">
        <is>
          <t>25351</t>
        </is>
      </c>
      <c r="E2048" t="inlineStr">
        <is>
          <t>2026-06</t>
        </is>
      </c>
      <c r="F2048" t="n">
        <v>17.31</v>
      </c>
      <c r="G2048" t="n">
        <v>20.42</v>
      </c>
      <c r="H2048">
        <f>הגדרות!B7</f>
        <v/>
      </c>
      <c r="I2048">
        <f>F2048*(1-H2048/100)*1.18</f>
        <v/>
      </c>
      <c r="J2048">
        <f>הגדרות!C7</f>
        <v/>
      </c>
      <c r="K2048">
        <f>הגדרות!D7</f>
        <v/>
      </c>
      <c r="L2048">
        <f>I2048*(1+J2048/100)+K2048</f>
        <v/>
      </c>
    </row>
    <row r="2049">
      <c r="A2049" t="inlineStr">
        <is>
          <t>מדי-מרקט</t>
        </is>
      </c>
      <c r="B2049" t="inlineStr">
        <is>
          <t>Seroquel 200Mg 30 Tab</t>
        </is>
      </c>
      <c r="C2049" t="inlineStr">
        <is>
          <t>תרופות</t>
        </is>
      </c>
      <c r="D2049" t="inlineStr">
        <is>
          <t>25353</t>
        </is>
      </c>
      <c r="E2049" t="inlineStr">
        <is>
          <t>2026-06</t>
        </is>
      </c>
      <c r="F2049" t="n">
        <v>34.98</v>
      </c>
      <c r="G2049" t="n">
        <v>41.28</v>
      </c>
      <c r="H2049">
        <f>הגדרות!B7</f>
        <v/>
      </c>
      <c r="I2049">
        <f>F2049*(1-H2049/100)*1.18</f>
        <v/>
      </c>
      <c r="J2049">
        <f>הגדרות!C7</f>
        <v/>
      </c>
      <c r="K2049">
        <f>הגדרות!D7</f>
        <v/>
      </c>
      <c r="L2049">
        <f>I2049*(1+J2049/100)+K2049</f>
        <v/>
      </c>
    </row>
    <row r="2050">
      <c r="A2050" t="inlineStr">
        <is>
          <t>מדי-מרקט</t>
        </is>
      </c>
      <c r="B2050" t="inlineStr">
        <is>
          <t>Seroquel 25Mg 30 Tabs סרוקוול 25 מ"ג 30 טב'</t>
        </is>
      </c>
      <c r="C2050" t="inlineStr">
        <is>
          <t>תרופות</t>
        </is>
      </c>
      <c r="D2050" t="inlineStr">
        <is>
          <t>25352</t>
        </is>
      </c>
      <c r="E2050" t="inlineStr">
        <is>
          <t>2026-06</t>
        </is>
      </c>
      <c r="F2050" t="n">
        <v>10.42</v>
      </c>
      <c r="G2050" t="n">
        <v>12.29</v>
      </c>
      <c r="H2050">
        <f>הגדרות!B7</f>
        <v/>
      </c>
      <c r="I2050">
        <f>F2050*(1-H2050/100)*1.18</f>
        <v/>
      </c>
      <c r="J2050">
        <f>הגדרות!C7</f>
        <v/>
      </c>
      <c r="K2050">
        <f>הגדרות!D7</f>
        <v/>
      </c>
      <c r="L2050">
        <f>I2050*(1+J2050/100)+K2050</f>
        <v/>
      </c>
    </row>
    <row r="2051">
      <c r="A2051" t="inlineStr">
        <is>
          <t>מדי-מרקט</t>
        </is>
      </c>
      <c r="B2051" t="inlineStr">
        <is>
          <t>Seroquel 300Mg X 30Tab</t>
        </is>
      </c>
      <c r="C2051" t="inlineStr">
        <is>
          <t>תרופות</t>
        </is>
      </c>
      <c r="D2051" t="inlineStr">
        <is>
          <t>235555</t>
        </is>
      </c>
      <c r="E2051" t="inlineStr">
        <is>
          <t>2026-06</t>
        </is>
      </c>
      <c r="F2051" t="n">
        <v>55.93</v>
      </c>
      <c r="G2051" t="n">
        <v>66</v>
      </c>
      <c r="H2051">
        <f>הגדרות!B7</f>
        <v/>
      </c>
      <c r="I2051">
        <f>F2051*(1-H2051/100)*1.18</f>
        <v/>
      </c>
      <c r="J2051">
        <f>הגדרות!C7</f>
        <v/>
      </c>
      <c r="K2051">
        <f>הגדרות!D7</f>
        <v/>
      </c>
      <c r="L2051">
        <f>I2051*(1+J2051/100)+K2051</f>
        <v/>
      </c>
    </row>
    <row r="2052">
      <c r="A2052" t="inlineStr">
        <is>
          <t>מדי-מרקט</t>
        </is>
      </c>
      <c r="B2052" t="inlineStr">
        <is>
          <t>Seroquel Xr 200Mg P.R *30 Tab</t>
        </is>
      </c>
      <c r="C2052" t="inlineStr">
        <is>
          <t>תרופות</t>
        </is>
      </c>
      <c r="D2052" t="inlineStr">
        <is>
          <t>25354</t>
        </is>
      </c>
      <c r="E2052" t="inlineStr">
        <is>
          <t>2026-06</t>
        </is>
      </c>
      <c r="F2052" t="n">
        <v>83.05</v>
      </c>
      <c r="G2052" t="n">
        <v>98</v>
      </c>
      <c r="H2052">
        <f>הגדרות!B7</f>
        <v/>
      </c>
      <c r="I2052">
        <f>F2052*(1-H2052/100)*1.18</f>
        <v/>
      </c>
      <c r="J2052">
        <f>הגדרות!C7</f>
        <v/>
      </c>
      <c r="K2052">
        <f>הגדרות!D7</f>
        <v/>
      </c>
      <c r="L2052">
        <f>I2052*(1+J2052/100)+K2052</f>
        <v/>
      </c>
    </row>
    <row r="2053">
      <c r="A2053" t="inlineStr">
        <is>
          <t>מדי-מרקט</t>
        </is>
      </c>
      <c r="B2053" t="inlineStr">
        <is>
          <t>Seroquel Xr 300Mg* 30 Tab</t>
        </is>
      </c>
      <c r="C2053" t="inlineStr">
        <is>
          <t>תרופות</t>
        </is>
      </c>
      <c r="D2053" t="inlineStr">
        <is>
          <t>1281201276</t>
        </is>
      </c>
      <c r="E2053" t="inlineStr">
        <is>
          <t>2026-06</t>
        </is>
      </c>
      <c r="F2053" t="n">
        <v>91.43000000000001</v>
      </c>
      <c r="G2053" t="n">
        <v>107.89</v>
      </c>
      <c r="H2053">
        <f>הגדרות!B7</f>
        <v/>
      </c>
      <c r="I2053">
        <f>F2053*(1-H2053/100)*1.18</f>
        <v/>
      </c>
      <c r="J2053">
        <f>הגדרות!C7</f>
        <v/>
      </c>
      <c r="K2053">
        <f>הגדרות!D7</f>
        <v/>
      </c>
      <c r="L2053">
        <f>I2053*(1+J2053/100)+K2053</f>
        <v/>
      </c>
    </row>
    <row r="2054">
      <c r="A2054" t="inlineStr">
        <is>
          <t>מדי-מרקט</t>
        </is>
      </c>
      <c r="B2054" t="inlineStr">
        <is>
          <t>SEROQUEL XR 400Mg X 30Tab</t>
        </is>
      </c>
      <c r="C2054" t="inlineStr">
        <is>
          <t>תרופות</t>
        </is>
      </c>
      <c r="D2054" t="inlineStr">
        <is>
          <t>235500-1</t>
        </is>
      </c>
      <c r="E2054" t="inlineStr">
        <is>
          <t>2026-06</t>
        </is>
      </c>
      <c r="F2054" t="n">
        <v>110.17</v>
      </c>
      <c r="G2054" t="n">
        <v>130</v>
      </c>
      <c r="H2054">
        <f>הגדרות!B7</f>
        <v/>
      </c>
      <c r="I2054">
        <f>F2054*(1-H2054/100)*1.18</f>
        <v/>
      </c>
      <c r="J2054">
        <f>הגדרות!C7</f>
        <v/>
      </c>
      <c r="K2054">
        <f>הגדרות!D7</f>
        <v/>
      </c>
      <c r="L2054">
        <f>I2054*(1+J2054/100)+K2054</f>
        <v/>
      </c>
    </row>
    <row r="2055">
      <c r="A2055" t="inlineStr">
        <is>
          <t>מדי-מרקט</t>
        </is>
      </c>
      <c r="B2055" t="inlineStr">
        <is>
          <t>Seroquel Xr 50Mg 30Tab</t>
        </is>
      </c>
      <c r="C2055" t="inlineStr">
        <is>
          <t>תרופות</t>
        </is>
      </c>
      <c r="D2055" t="inlineStr">
        <is>
          <t>8965285</t>
        </is>
      </c>
      <c r="E2055" t="inlineStr">
        <is>
          <t>2026-06</t>
        </is>
      </c>
      <c r="F2055" t="n">
        <v>34.32</v>
      </c>
      <c r="G2055" t="n">
        <v>40.5</v>
      </c>
      <c r="H2055">
        <f>הגדרות!B7</f>
        <v/>
      </c>
      <c r="I2055">
        <f>F2055*(1-H2055/100)*1.18</f>
        <v/>
      </c>
      <c r="J2055">
        <f>הגדרות!C7</f>
        <v/>
      </c>
      <c r="K2055">
        <f>הגדרות!D7</f>
        <v/>
      </c>
      <c r="L2055">
        <f>I2055*(1+J2055/100)+K2055</f>
        <v/>
      </c>
    </row>
    <row r="2056">
      <c r="A2056" t="inlineStr">
        <is>
          <t>מדי-מרקט</t>
        </is>
      </c>
      <c r="B2056" t="inlineStr">
        <is>
          <t>Sertraline Teva 100Mg 30 Tabs</t>
        </is>
      </c>
      <c r="C2056" t="inlineStr">
        <is>
          <t>תרופות</t>
        </is>
      </c>
      <c r="D2056" t="inlineStr">
        <is>
          <t>301810</t>
        </is>
      </c>
      <c r="E2056" t="inlineStr">
        <is>
          <t>2026-06</t>
        </is>
      </c>
      <c r="F2056" t="n">
        <v>24.31</v>
      </c>
      <c r="G2056" t="n">
        <v>28.69</v>
      </c>
      <c r="H2056">
        <f>הגדרות!B7</f>
        <v/>
      </c>
      <c r="I2056">
        <f>F2056*(1-H2056/100)*1.18</f>
        <v/>
      </c>
      <c r="J2056">
        <f>הגדרות!C7</f>
        <v/>
      </c>
      <c r="K2056">
        <f>הגדרות!D7</f>
        <v/>
      </c>
      <c r="L2056">
        <f>I2056*(1+J2056/100)+K2056</f>
        <v/>
      </c>
    </row>
    <row r="2057">
      <c r="A2057" t="inlineStr">
        <is>
          <t>מדי-מרקט</t>
        </is>
      </c>
      <c r="B2057" t="inlineStr">
        <is>
          <t>Sertraline Teva 50Mg 3X10Tbl</t>
        </is>
      </c>
      <c r="C2057" t="inlineStr">
        <is>
          <t>תרופות</t>
        </is>
      </c>
      <c r="D2057" t="inlineStr">
        <is>
          <t>3SK01710</t>
        </is>
      </c>
      <c r="E2057" t="inlineStr">
        <is>
          <t>2026-06</t>
        </is>
      </c>
      <c r="F2057" t="n">
        <v>19.14</v>
      </c>
      <c r="G2057" t="n">
        <v>22.59</v>
      </c>
      <c r="H2057">
        <f>הגדרות!B7</f>
        <v/>
      </c>
      <c r="I2057">
        <f>F2057*(1-H2057/100)*1.18</f>
        <v/>
      </c>
      <c r="J2057">
        <f>הגדרות!C7</f>
        <v/>
      </c>
      <c r="K2057">
        <f>הגדרות!D7</f>
        <v/>
      </c>
      <c r="L2057">
        <f>I2057*(1+J2057/100)+K2057</f>
        <v/>
      </c>
    </row>
    <row r="2058">
      <c r="A2058" t="inlineStr">
        <is>
          <t>מדי-מרקט</t>
        </is>
      </c>
      <c r="B2058" t="inlineStr">
        <is>
          <t>SEVELAMER 800 Mg 180 Tabs</t>
        </is>
      </c>
      <c r="C2058" t="inlineStr">
        <is>
          <t>תרופות</t>
        </is>
      </c>
      <c r="D2058" t="inlineStr">
        <is>
          <t>185458</t>
        </is>
      </c>
      <c r="E2058" t="inlineStr">
        <is>
          <t>2026-06</t>
        </is>
      </c>
      <c r="F2058" t="n">
        <v>709.3200000000001</v>
      </c>
      <c r="G2058" t="n">
        <v>837</v>
      </c>
      <c r="H2058">
        <f>הגדרות!B7</f>
        <v/>
      </c>
      <c r="I2058">
        <f>F2058*(1-H2058/100)*1.18</f>
        <v/>
      </c>
      <c r="J2058">
        <f>הגדרות!C7</f>
        <v/>
      </c>
      <c r="K2058">
        <f>הגדרות!D7</f>
        <v/>
      </c>
      <c r="L2058">
        <f>I2058*(1+J2058/100)+K2058</f>
        <v/>
      </c>
    </row>
    <row r="2059">
      <c r="A2059" t="inlineStr">
        <is>
          <t>מדי-מרקט</t>
        </is>
      </c>
      <c r="B2059" t="inlineStr">
        <is>
          <t>Sevo - Anesteran Rompharm 250Ml(Il)</t>
        </is>
      </c>
      <c r="C2059" t="inlineStr">
        <is>
          <t>תרופות רשומות- מדי מרקט</t>
        </is>
      </c>
      <c r="D2059" t="inlineStr">
        <is>
          <t>258654</t>
        </is>
      </c>
      <c r="E2059" t="inlineStr">
        <is>
          <t>2026-06</t>
        </is>
      </c>
      <c r="F2059" t="n">
        <v>241.4</v>
      </c>
      <c r="G2059" t="n">
        <v>284.85</v>
      </c>
      <c r="H2059">
        <f>הגדרות!B7</f>
        <v/>
      </c>
      <c r="I2059">
        <f>F2059*(1-H2059/100)*1.18</f>
        <v/>
      </c>
      <c r="J2059">
        <f>הגדרות!C7</f>
        <v/>
      </c>
      <c r="K2059">
        <f>הגדרות!D7</f>
        <v/>
      </c>
      <c r="L2059">
        <f>I2059*(1+J2059/100)+K2059</f>
        <v/>
      </c>
    </row>
    <row r="2060">
      <c r="A2060" t="inlineStr">
        <is>
          <t>מדי-מרקט</t>
        </is>
      </c>
      <c r="B2060" t="inlineStr">
        <is>
          <t>Silverol Cream 50 Gr סילברול קרם 50 גר'</t>
        </is>
      </c>
      <c r="C2060" t="inlineStr">
        <is>
          <t>תרופות</t>
        </is>
      </c>
      <c r="D2060" t="inlineStr">
        <is>
          <t>6832</t>
        </is>
      </c>
      <c r="E2060" t="inlineStr">
        <is>
          <t>2026-06</t>
        </is>
      </c>
      <c r="F2060" t="n">
        <v>14.66</v>
      </c>
      <c r="G2060" t="n">
        <v>17.3</v>
      </c>
      <c r="H2060">
        <f>הגדרות!B7</f>
        <v/>
      </c>
      <c r="I2060">
        <f>F2060*(1-H2060/100)*1.18</f>
        <v/>
      </c>
      <c r="J2060">
        <f>הגדרות!C7</f>
        <v/>
      </c>
      <c r="K2060">
        <f>הגדרות!D7</f>
        <v/>
      </c>
      <c r="L2060">
        <f>I2060*(1+J2060/100)+K2060</f>
        <v/>
      </c>
    </row>
    <row r="2061">
      <c r="A2061" t="inlineStr">
        <is>
          <t>מדי-מרקט</t>
        </is>
      </c>
      <c r="B2061" t="inlineStr">
        <is>
          <t>Simvastatin-Teva 10Mg סימווסטטין 10 מ"ג 30 טב'</t>
        </is>
      </c>
      <c r="C2061" t="inlineStr">
        <is>
          <t>תרופות</t>
        </is>
      </c>
      <c r="D2061" t="inlineStr">
        <is>
          <t>26873</t>
        </is>
      </c>
      <c r="E2061" t="inlineStr">
        <is>
          <t>2026-06</t>
        </is>
      </c>
      <c r="F2061" t="n">
        <v>8.470000000000001</v>
      </c>
      <c r="G2061" t="n">
        <v>10</v>
      </c>
      <c r="H2061">
        <f>הגדרות!B7</f>
        <v/>
      </c>
      <c r="I2061">
        <f>F2061*(1-H2061/100)*1.18</f>
        <v/>
      </c>
      <c r="J2061">
        <f>הגדרות!C7</f>
        <v/>
      </c>
      <c r="K2061">
        <f>הגדרות!D7</f>
        <v/>
      </c>
      <c r="L2061">
        <f>I2061*(1+J2061/100)+K2061</f>
        <v/>
      </c>
    </row>
    <row r="2062">
      <c r="A2062" t="inlineStr">
        <is>
          <t>מדי-מרקט</t>
        </is>
      </c>
      <c r="B2062" t="inlineStr">
        <is>
          <t>Simvastatin-Teva 20Mg סימווסטטין 20 מ"ג 30 טב'</t>
        </is>
      </c>
      <c r="C2062" t="inlineStr">
        <is>
          <t>תרופות</t>
        </is>
      </c>
      <c r="D2062" t="inlineStr">
        <is>
          <t>26874</t>
        </is>
      </c>
      <c r="E2062" t="inlineStr">
        <is>
          <t>2026-06</t>
        </is>
      </c>
      <c r="F2062" t="n">
        <v>9.49</v>
      </c>
      <c r="G2062" t="n">
        <v>11.2</v>
      </c>
      <c r="H2062">
        <f>הגדרות!B7</f>
        <v/>
      </c>
      <c r="I2062">
        <f>F2062*(1-H2062/100)*1.18</f>
        <v/>
      </c>
      <c r="J2062">
        <f>הגדרות!C7</f>
        <v/>
      </c>
      <c r="K2062">
        <f>הגדרות!D7</f>
        <v/>
      </c>
      <c r="L2062">
        <f>I2062*(1+J2062/100)+K2062</f>
        <v/>
      </c>
    </row>
    <row r="2063">
      <c r="A2063" t="inlineStr">
        <is>
          <t>מדי-מרקט</t>
        </is>
      </c>
      <c r="B2063" t="inlineStr">
        <is>
          <t>Simvastatin-Teva 40Mg סימווסטטין 40 מ"ג 30 טב'</t>
        </is>
      </c>
      <c r="C2063" t="inlineStr">
        <is>
          <t>תרופות</t>
        </is>
      </c>
      <c r="D2063" t="inlineStr">
        <is>
          <t>59805</t>
        </is>
      </c>
      <c r="E2063" t="inlineStr">
        <is>
          <t>2026-06</t>
        </is>
      </c>
      <c r="F2063" t="n">
        <v>15.76</v>
      </c>
      <c r="G2063" t="n">
        <v>18.6</v>
      </c>
      <c r="H2063">
        <f>הגדרות!B7</f>
        <v/>
      </c>
      <c r="I2063">
        <f>F2063*(1-H2063/100)*1.18</f>
        <v/>
      </c>
      <c r="J2063">
        <f>הגדרות!C7</f>
        <v/>
      </c>
      <c r="K2063">
        <f>הגדרות!D7</f>
        <v/>
      </c>
      <c r="L2063">
        <f>I2063*(1+J2063/100)+K2063</f>
        <v/>
      </c>
    </row>
    <row r="2064">
      <c r="A2064" t="inlineStr">
        <is>
          <t>מדי-מרקט</t>
        </is>
      </c>
      <c r="B2064" t="inlineStr">
        <is>
          <t>Sinufed 60Mg Tab* סינופד 20 טב'</t>
        </is>
      </c>
      <c r="C2064" t="inlineStr">
        <is>
          <t>תרופות</t>
        </is>
      </c>
      <c r="D2064" t="inlineStr">
        <is>
          <t>5239</t>
        </is>
      </c>
      <c r="E2064" t="inlineStr">
        <is>
          <t>2026-06</t>
        </is>
      </c>
      <c r="F2064" t="n">
        <v>16.36</v>
      </c>
      <c r="G2064" t="n">
        <v>19.3</v>
      </c>
      <c r="H2064">
        <f>הגדרות!B7</f>
        <v/>
      </c>
      <c r="I2064">
        <f>F2064*(1-H2064/100)*1.18</f>
        <v/>
      </c>
      <c r="J2064">
        <f>הגדרות!C7</f>
        <v/>
      </c>
      <c r="K2064">
        <f>הגדרות!D7</f>
        <v/>
      </c>
      <c r="L2064">
        <f>I2064*(1+J2064/100)+K2064</f>
        <v/>
      </c>
    </row>
    <row r="2065">
      <c r="A2065" t="inlineStr">
        <is>
          <t>מדי-מרקט</t>
        </is>
      </c>
      <c r="B2065" t="inlineStr">
        <is>
          <t>Sitagliptin Tv 100Mg T 28 Il</t>
        </is>
      </c>
      <c r="C2065" t="inlineStr">
        <is>
          <t>תרופות</t>
        </is>
      </c>
      <c r="D2065" t="inlineStr">
        <is>
          <t>32066885</t>
        </is>
      </c>
      <c r="E2065" t="inlineStr">
        <is>
          <t>2026-06</t>
        </is>
      </c>
      <c r="F2065" t="n">
        <v>89.47</v>
      </c>
      <c r="G2065" t="n">
        <v>105.58</v>
      </c>
      <c r="H2065">
        <f>הגדרות!B7</f>
        <v/>
      </c>
      <c r="I2065">
        <f>F2065*(1-H2065/100)*1.18</f>
        <v/>
      </c>
      <c r="J2065">
        <f>הגדרות!C7</f>
        <v/>
      </c>
      <c r="K2065">
        <f>הגדרות!D7</f>
        <v/>
      </c>
      <c r="L2065">
        <f>I2065*(1+J2065/100)+K2065</f>
        <v/>
      </c>
    </row>
    <row r="2066">
      <c r="A2066" t="inlineStr">
        <is>
          <t>מדי-מרקט</t>
        </is>
      </c>
      <c r="B2066" t="inlineStr">
        <is>
          <t>SOD BICARBסודיום ביקרבונט 8.4% 100 מ"ל(2 בקבוקים באריזה)</t>
        </is>
      </c>
      <c r="C2066" t="inlineStr">
        <is>
          <t>הכנות בית מרקחת</t>
        </is>
      </c>
      <c r="D2066" t="inlineStr">
        <is>
          <t>335-1</t>
        </is>
      </c>
      <c r="E2066" t="inlineStr">
        <is>
          <t>2026-06</t>
        </is>
      </c>
      <c r="F2066" t="n">
        <v>24.58</v>
      </c>
      <c r="G2066" t="n">
        <v>29</v>
      </c>
      <c r="H2066">
        <f>הגדרות!B7</f>
        <v/>
      </c>
      <c r="I2066">
        <f>F2066*(1-H2066/100)*1.18</f>
        <v/>
      </c>
      <c r="J2066">
        <f>הגדרות!C7</f>
        <v/>
      </c>
      <c r="K2066">
        <f>הגדרות!D7</f>
        <v/>
      </c>
      <c r="L2066">
        <f>I2066*(1+J2066/100)+K2066</f>
        <v/>
      </c>
    </row>
    <row r="2067">
      <c r="A2067" t="inlineStr">
        <is>
          <t>מדי-מרקט</t>
        </is>
      </c>
      <c r="B2067" t="inlineStr">
        <is>
          <t>SOD HEP 10ML 16*100G GREEN 100/sp</t>
        </is>
      </c>
      <c r="C2067" t="inlineStr">
        <is>
          <t>ציוד מעבדתי</t>
        </is>
      </c>
      <c r="D2067" t="inlineStr">
        <is>
          <t>BD368480</t>
        </is>
      </c>
      <c r="E2067" t="inlineStr">
        <is>
          <t>2026-06</t>
        </is>
      </c>
      <c r="F2067" t="n">
        <v>146.43</v>
      </c>
      <c r="G2067" t="n">
        <v>172.79</v>
      </c>
      <c r="H2067">
        <f>הגדרות!B7</f>
        <v/>
      </c>
      <c r="I2067">
        <f>F2067*(1-H2067/100)*1.18</f>
        <v/>
      </c>
      <c r="J2067">
        <f>הגדרות!C7</f>
        <v/>
      </c>
      <c r="K2067">
        <f>הגדרות!D7</f>
        <v/>
      </c>
      <c r="L2067">
        <f>I2067*(1+J2067/100)+K2067</f>
        <v/>
      </c>
    </row>
    <row r="2068">
      <c r="A2068" t="inlineStr">
        <is>
          <t>מדי-מרקט</t>
        </is>
      </c>
      <c r="B2068" t="inlineStr">
        <is>
          <t>SOD.CHLORIDE 0.9% bottle 100ML INJ סליין</t>
        </is>
      </c>
      <c r="C2068" t="inlineStr">
        <is>
          <t>תמיסות לעירוי ושטיפה</t>
        </is>
      </c>
      <c r="D2068" t="inlineStr">
        <is>
          <t>1892-2</t>
        </is>
      </c>
      <c r="E2068" t="inlineStr">
        <is>
          <t>2026-06</t>
        </is>
      </c>
      <c r="F2068" t="n">
        <v>3.2</v>
      </c>
      <c r="G2068" t="n">
        <v>3.78</v>
      </c>
      <c r="H2068">
        <f>הגדרות!B7</f>
        <v/>
      </c>
      <c r="I2068">
        <f>F2068*(1-H2068/100)*1.18</f>
        <v/>
      </c>
      <c r="J2068">
        <f>הגדרות!C7</f>
        <v/>
      </c>
      <c r="K2068">
        <f>הגדרות!D7</f>
        <v/>
      </c>
      <c r="L2068">
        <f>I2068*(1+J2068/100)+K2068</f>
        <v/>
      </c>
    </row>
    <row r="2069">
      <c r="A2069" t="inlineStr">
        <is>
          <t>מדי-מרקט</t>
        </is>
      </c>
      <c r="B2069" t="inlineStr">
        <is>
          <t>Sodium Bicarbonate 500Mg X 100Tab</t>
        </is>
      </c>
      <c r="C2069" t="inlineStr">
        <is>
          <t>תרופות</t>
        </is>
      </c>
      <c r="D2069" t="inlineStr">
        <is>
          <t>19686</t>
        </is>
      </c>
      <c r="E2069" t="inlineStr">
        <is>
          <t>2026-06</t>
        </is>
      </c>
      <c r="F2069" t="n">
        <v>127.12</v>
      </c>
      <c r="G2069" t="n">
        <v>150</v>
      </c>
      <c r="H2069">
        <f>הגדרות!B7</f>
        <v/>
      </c>
      <c r="I2069">
        <f>F2069*(1-H2069/100)*1.18</f>
        <v/>
      </c>
      <c r="J2069">
        <f>הגדרות!C7</f>
        <v/>
      </c>
      <c r="K2069">
        <f>הגדרות!D7</f>
        <v/>
      </c>
      <c r="L2069">
        <f>I2069*(1+J2069/100)+K2069</f>
        <v/>
      </c>
    </row>
    <row r="2070">
      <c r="A2070" t="inlineStr">
        <is>
          <t>מדי-מרקט</t>
        </is>
      </c>
      <c r="B2070" t="inlineStr">
        <is>
          <t>Sodium Bicarbonate 8.4% 100 Ml Inj סודיום ביקרבונט</t>
        </is>
      </c>
      <c r="C2070" t="inlineStr">
        <is>
          <t>תרופות</t>
        </is>
      </c>
      <c r="D2070" t="inlineStr">
        <is>
          <t>335</t>
        </is>
      </c>
      <c r="E2070" t="inlineStr">
        <is>
          <t>2026-06</t>
        </is>
      </c>
      <c r="F2070" t="n">
        <v>13.07</v>
      </c>
      <c r="G2070" t="n">
        <v>15.42</v>
      </c>
      <c r="H2070">
        <f>הגדרות!B7</f>
        <v/>
      </c>
      <c r="I2070">
        <f>F2070*(1-H2070/100)*1.18</f>
        <v/>
      </c>
      <c r="J2070">
        <f>הגדרות!C7</f>
        <v/>
      </c>
      <c r="K2070">
        <f>הגדרות!D7</f>
        <v/>
      </c>
      <c r="L2070">
        <f>I2070*(1+J2070/100)+K2070</f>
        <v/>
      </c>
    </row>
    <row r="2071">
      <c r="A2071" t="inlineStr">
        <is>
          <t>מדי-מרקט</t>
        </is>
      </c>
      <c r="B2071" t="inlineStr">
        <is>
          <t>Sodium Chloride 0.9% Imuna 1 L סליין</t>
        </is>
      </c>
      <c r="C2071" t="inlineStr">
        <is>
          <t>תמיסות לעירוי ושטיפה</t>
        </is>
      </c>
      <c r="D2071" t="inlineStr">
        <is>
          <t>101000</t>
        </is>
      </c>
      <c r="E2071" t="inlineStr">
        <is>
          <t>2026-06</t>
        </is>
      </c>
      <c r="F2071" t="n">
        <v>6.36</v>
      </c>
      <c r="G2071" t="n">
        <v>7.5</v>
      </c>
      <c r="H2071">
        <f>הגדרות!B7</f>
        <v/>
      </c>
      <c r="I2071">
        <f>F2071*(1-H2071/100)*1.18</f>
        <v/>
      </c>
      <c r="J2071">
        <f>הגדרות!C7</f>
        <v/>
      </c>
      <c r="K2071">
        <f>הגדרות!D7</f>
        <v/>
      </c>
      <c r="L2071">
        <f>I2071*(1+J2071/100)+K2071</f>
        <v/>
      </c>
    </row>
    <row r="2072">
      <c r="A2072" t="inlineStr">
        <is>
          <t>מדי-מרקט</t>
        </is>
      </c>
      <c r="B2072" t="inlineStr">
        <is>
          <t>Sodium Chloride 0.9% Imuna 500 Ml סליין</t>
        </is>
      </c>
      <c r="C2072" t="inlineStr">
        <is>
          <t>תמיסות לעירוי ושטיפה</t>
        </is>
      </c>
      <c r="D2072" t="inlineStr">
        <is>
          <t>10500</t>
        </is>
      </c>
      <c r="E2072" t="inlineStr">
        <is>
          <t>2026-06</t>
        </is>
      </c>
      <c r="F2072" t="n">
        <v>4.75</v>
      </c>
      <c r="G2072" t="n">
        <v>5.6</v>
      </c>
      <c r="H2072">
        <f>הגדרות!B7</f>
        <v/>
      </c>
      <c r="I2072">
        <f>F2072*(1-H2072/100)*1.18</f>
        <v/>
      </c>
      <c r="J2072">
        <f>הגדרות!C7</f>
        <v/>
      </c>
      <c r="K2072">
        <f>הגדרות!D7</f>
        <v/>
      </c>
      <c r="L2072">
        <f>I2072*(1+J2072/100)+K2072</f>
        <v/>
      </c>
    </row>
    <row r="2073">
      <c r="A2073" t="inlineStr">
        <is>
          <t>מדי-מרקט</t>
        </is>
      </c>
      <c r="B2073" t="inlineStr">
        <is>
          <t>Sodium Chloride 500Mg X 100Tablets</t>
        </is>
      </c>
      <c r="C2073" t="inlineStr">
        <is>
          <t>תרופות</t>
        </is>
      </c>
      <c r="D2073" t="inlineStr">
        <is>
          <t>1969563925</t>
        </is>
      </c>
      <c r="E2073" t="inlineStr">
        <is>
          <t>2026-06</t>
        </is>
      </c>
      <c r="F2073" t="n">
        <v>127.12</v>
      </c>
      <c r="G2073" t="n">
        <v>150</v>
      </c>
      <c r="H2073">
        <f>הגדרות!B7</f>
        <v/>
      </c>
      <c r="I2073">
        <f>F2073*(1-H2073/100)*1.18</f>
        <v/>
      </c>
      <c r="J2073">
        <f>הגדרות!C7</f>
        <v/>
      </c>
      <c r="K2073">
        <f>הגדרות!D7</f>
        <v/>
      </c>
      <c r="L2073">
        <f>I2073*(1+J2073/100)+K2073</f>
        <v/>
      </c>
    </row>
    <row r="2074">
      <c r="A2074" t="inlineStr">
        <is>
          <t>מדי-מרקט</t>
        </is>
      </c>
      <c r="B2074" t="inlineStr">
        <is>
          <t>Softaman Vis-R Ovalfl Dp 500Ml(20Pieces)</t>
        </is>
      </c>
      <c r="C2074" t="inlineStr">
        <is>
          <t>מוצרי חיטוי ואנטיספטיקה</t>
        </is>
      </c>
      <c r="D2074" t="inlineStr">
        <is>
          <t>WT155369</t>
        </is>
      </c>
      <c r="E2074" t="inlineStr">
        <is>
          <t>2026-06</t>
        </is>
      </c>
      <c r="F2074" t="n">
        <v>385.59</v>
      </c>
      <c r="G2074" t="n">
        <v>455</v>
      </c>
      <c r="H2074">
        <f>הגדרות!B7</f>
        <v/>
      </c>
      <c r="I2074">
        <f>F2074*(1-H2074/100)*1.18</f>
        <v/>
      </c>
      <c r="J2074">
        <f>הגדרות!C7</f>
        <v/>
      </c>
      <c r="K2074">
        <f>הגדרות!D7</f>
        <v/>
      </c>
      <c r="L2074">
        <f>I2074*(1+J2074/100)+K2074</f>
        <v/>
      </c>
    </row>
    <row r="2075">
      <c r="A2075" t="inlineStr">
        <is>
          <t>מדי-מרקט</t>
        </is>
      </c>
      <c r="B2075" t="inlineStr">
        <is>
          <t>Sol. Enilconazole 12.5% w/v 100mL</t>
        </is>
      </c>
      <c r="C2075" t="inlineStr">
        <is>
          <t>הכנות בית מרקחת</t>
        </is>
      </c>
      <c r="D2075" t="inlineStr">
        <is>
          <t>2819</t>
        </is>
      </c>
      <c r="E2075" t="inlineStr">
        <is>
          <t>2026-06</t>
        </is>
      </c>
      <c r="F2075" t="n">
        <v>50.85</v>
      </c>
      <c r="G2075" t="n">
        <v>60</v>
      </c>
      <c r="H2075">
        <f>הגדרות!B7</f>
        <v/>
      </c>
      <c r="I2075">
        <f>F2075*(1-H2075/100)*1.18</f>
        <v/>
      </c>
      <c r="J2075">
        <f>הגדרות!C7</f>
        <v/>
      </c>
      <c r="K2075">
        <f>הגדרות!D7</f>
        <v/>
      </c>
      <c r="L2075">
        <f>I2075*(1+J2075/100)+K2075</f>
        <v/>
      </c>
    </row>
    <row r="2076">
      <c r="A2076" t="inlineStr">
        <is>
          <t>מדי-מרקט</t>
        </is>
      </c>
      <c r="B2076" t="inlineStr">
        <is>
          <t>Sol. Ivermectin 1% 250mL</t>
        </is>
      </c>
      <c r="C2076" t="inlineStr">
        <is>
          <t>הכנות בית מרקחת</t>
        </is>
      </c>
      <c r="D2076" t="inlineStr">
        <is>
          <t>9432-1</t>
        </is>
      </c>
      <c r="E2076" t="inlineStr">
        <is>
          <t>2026-06</t>
        </is>
      </c>
      <c r="F2076" t="n">
        <v>148.31</v>
      </c>
      <c r="G2076" t="n">
        <v>175</v>
      </c>
      <c r="H2076">
        <f>הגדרות!B7</f>
        <v/>
      </c>
      <c r="I2076">
        <f>F2076*(1-H2076/100)*1.18</f>
        <v/>
      </c>
      <c r="J2076">
        <f>הגדרות!C7</f>
        <v/>
      </c>
      <c r="K2076">
        <f>הגדרות!D7</f>
        <v/>
      </c>
      <c r="L2076">
        <f>I2076*(1+J2076/100)+K2076</f>
        <v/>
      </c>
    </row>
    <row r="2077">
      <c r="A2077" t="inlineStr">
        <is>
          <t>מדי-מרקט</t>
        </is>
      </c>
      <c r="B2077" t="inlineStr">
        <is>
          <t>Sol. Ivermectin 1% w/v 30mL</t>
        </is>
      </c>
      <c r="C2077" t="inlineStr">
        <is>
          <t>הכנות בית מרקחת</t>
        </is>
      </c>
      <c r="D2077" t="inlineStr">
        <is>
          <t>88553</t>
        </is>
      </c>
      <c r="E2077" t="inlineStr">
        <is>
          <t>2026-06</t>
        </is>
      </c>
      <c r="F2077" t="n">
        <v>28.81</v>
      </c>
      <c r="G2077" t="n">
        <v>34</v>
      </c>
      <c r="H2077">
        <f>הגדרות!B7</f>
        <v/>
      </c>
      <c r="I2077">
        <f>F2077*(1-H2077/100)*1.18</f>
        <v/>
      </c>
      <c r="J2077">
        <f>הגדרות!C7</f>
        <v/>
      </c>
      <c r="K2077">
        <f>הגדרות!D7</f>
        <v/>
      </c>
      <c r="L2077">
        <f>I2077*(1+J2077/100)+K2077</f>
        <v/>
      </c>
    </row>
    <row r="2078">
      <c r="A2078" t="inlineStr">
        <is>
          <t>מדי-מרקט</t>
        </is>
      </c>
      <c r="B2078" t="inlineStr">
        <is>
          <t>Sol. Ivermectin 1% w/v 500mL</t>
        </is>
      </c>
      <c r="C2078" t="inlineStr">
        <is>
          <t>הכנות בית מרקחת</t>
        </is>
      </c>
      <c r="D2078" t="inlineStr">
        <is>
          <t>9432</t>
        </is>
      </c>
      <c r="E2078" t="inlineStr">
        <is>
          <t>2026-06</t>
        </is>
      </c>
      <c r="F2078" t="n">
        <v>0.52</v>
      </c>
      <c r="G2078" t="n">
        <v>0.61</v>
      </c>
      <c r="H2078">
        <f>הגדרות!B7</f>
        <v/>
      </c>
      <c r="I2078">
        <f>F2078*(1-H2078/100)*1.18</f>
        <v/>
      </c>
      <c r="J2078">
        <f>הגדרות!C7</f>
        <v/>
      </c>
      <c r="K2078">
        <f>הגדרות!D7</f>
        <v/>
      </c>
      <c r="L2078">
        <f>I2078*(1+J2078/100)+K2078</f>
        <v/>
      </c>
    </row>
    <row r="2079">
      <c r="A2079" t="inlineStr">
        <is>
          <t>מדי-מרקט</t>
        </is>
      </c>
      <c r="B2079" t="inlineStr">
        <is>
          <t>Sol. Ivermectin 1% w/v 50mL</t>
        </is>
      </c>
      <c r="C2079" t="inlineStr">
        <is>
          <t>הכנות בית מרקחת</t>
        </is>
      </c>
      <c r="D2079" t="inlineStr">
        <is>
          <t>7555</t>
        </is>
      </c>
      <c r="E2079" t="inlineStr">
        <is>
          <t>2026-06</t>
        </is>
      </c>
      <c r="F2079" t="n">
        <v>72.88</v>
      </c>
      <c r="G2079" t="n">
        <v>86</v>
      </c>
      <c r="H2079">
        <f>הגדרות!B7</f>
        <v/>
      </c>
      <c r="I2079">
        <f>F2079*(1-H2079/100)*1.18</f>
        <v/>
      </c>
      <c r="J2079">
        <f>הגדרות!C7</f>
        <v/>
      </c>
      <c r="K2079">
        <f>הגדרות!D7</f>
        <v/>
      </c>
      <c r="L2079">
        <f>I2079*(1+J2079/100)+K2079</f>
        <v/>
      </c>
    </row>
    <row r="2080">
      <c r="A2080" t="inlineStr">
        <is>
          <t>מדי-מרקט</t>
        </is>
      </c>
      <c r="B2080" t="inlineStr">
        <is>
          <t>Sol. Phenylbutazone 200mg/mL 100mL</t>
        </is>
      </c>
      <c r="C2080" t="inlineStr">
        <is>
          <t>הכנות בית מרקחת</t>
        </is>
      </c>
      <c r="D2080" t="inlineStr">
        <is>
          <t>1967</t>
        </is>
      </c>
      <c r="E2080" t="inlineStr">
        <is>
          <t>2026-06</t>
        </is>
      </c>
      <c r="F2080" t="n">
        <v>20.03</v>
      </c>
      <c r="G2080" t="n">
        <v>23.63</v>
      </c>
      <c r="H2080">
        <f>הגדרות!B7</f>
        <v/>
      </c>
      <c r="I2080">
        <f>F2080*(1-H2080/100)*1.18</f>
        <v/>
      </c>
      <c r="J2080">
        <f>הגדרות!C7</f>
        <v/>
      </c>
      <c r="K2080">
        <f>הגדרות!D7</f>
        <v/>
      </c>
      <c r="L2080">
        <f>I2080*(1+J2080/100)+K2080</f>
        <v/>
      </c>
    </row>
    <row r="2081">
      <c r="A2081" t="inlineStr">
        <is>
          <t>מדי-מרקט</t>
        </is>
      </c>
      <c r="B2081" t="inlineStr">
        <is>
          <t>Solid Magnesium Sulfate 1 Kg</t>
        </is>
      </c>
      <c r="C2081" t="inlineStr">
        <is>
          <t>הכנות אבקות</t>
        </is>
      </c>
      <c r="D2081" t="inlineStr">
        <is>
          <t>2670-123</t>
        </is>
      </c>
      <c r="E2081" t="inlineStr">
        <is>
          <t>2026-06</t>
        </is>
      </c>
      <c r="F2081" t="n">
        <v>42.37</v>
      </c>
      <c r="G2081" t="n">
        <v>50</v>
      </c>
      <c r="H2081">
        <f>הגדרות!B7</f>
        <v/>
      </c>
      <c r="I2081">
        <f>F2081*(1-H2081/100)*1.18</f>
        <v/>
      </c>
      <c r="J2081">
        <f>הגדרות!C7</f>
        <v/>
      </c>
      <c r="K2081">
        <f>הגדרות!D7</f>
        <v/>
      </c>
      <c r="L2081">
        <f>I2081*(1+J2081/100)+K2081</f>
        <v/>
      </c>
    </row>
    <row r="2082">
      <c r="A2082" t="inlineStr">
        <is>
          <t>מדי-מרקט</t>
        </is>
      </c>
      <c r="B2082" t="inlineStr">
        <is>
          <t>Solu Cortef 100Mg 25Vial</t>
        </is>
      </c>
      <c r="C2082" t="inlineStr">
        <is>
          <t>תרופות</t>
        </is>
      </c>
      <c r="D2082" t="inlineStr">
        <is>
          <t>1282</t>
        </is>
      </c>
      <c r="E2082" t="inlineStr">
        <is>
          <t>2026-06</t>
        </is>
      </c>
      <c r="F2082" t="n">
        <v>232.82</v>
      </c>
      <c r="G2082" t="n">
        <v>274.73</v>
      </c>
      <c r="H2082">
        <f>הגדרות!B7</f>
        <v/>
      </c>
      <c r="I2082">
        <f>F2082*(1-H2082/100)*1.18</f>
        <v/>
      </c>
      <c r="J2082">
        <f>הגדרות!C7</f>
        <v/>
      </c>
      <c r="K2082">
        <f>הגדרות!D7</f>
        <v/>
      </c>
      <c r="L2082">
        <f>I2082*(1+J2082/100)+K2082</f>
        <v/>
      </c>
    </row>
    <row r="2083">
      <c r="A2083" t="inlineStr">
        <is>
          <t>מדי-מרקט</t>
        </is>
      </c>
      <c r="B2083" t="inlineStr">
        <is>
          <t>Solu Cortef 500Mg 4Ml</t>
        </is>
      </c>
      <c r="C2083" t="inlineStr">
        <is>
          <t>תרופות</t>
        </is>
      </c>
      <c r="D2083" t="inlineStr">
        <is>
          <t>1280</t>
        </is>
      </c>
      <c r="E2083" t="inlineStr">
        <is>
          <t>2026-06</t>
        </is>
      </c>
      <c r="F2083" t="n">
        <v>35.59</v>
      </c>
      <c r="G2083" t="n">
        <v>42</v>
      </c>
      <c r="H2083">
        <f>הגדרות!B7</f>
        <v/>
      </c>
      <c r="I2083">
        <f>F2083*(1-H2083/100)*1.18</f>
        <v/>
      </c>
      <c r="J2083">
        <f>הגדרות!C7</f>
        <v/>
      </c>
      <c r="K2083">
        <f>הגדרות!D7</f>
        <v/>
      </c>
      <c r="L2083">
        <f>I2083*(1+J2083/100)+K2083</f>
        <v/>
      </c>
    </row>
    <row r="2084">
      <c r="A2084" t="inlineStr">
        <is>
          <t>מדי-מרקט</t>
        </is>
      </c>
      <c r="B2084" t="inlineStr">
        <is>
          <t>Solu Medrol 1000Mg 16Ml X 1</t>
        </is>
      </c>
      <c r="C2084" t="inlineStr">
        <is>
          <t>תרופות</t>
        </is>
      </c>
      <c r="D2084" t="inlineStr">
        <is>
          <t>5893</t>
        </is>
      </c>
      <c r="E2084" t="inlineStr">
        <is>
          <t>2026-06</t>
        </is>
      </c>
      <c r="F2084" t="n">
        <v>65.25</v>
      </c>
      <c r="G2084" t="n">
        <v>77</v>
      </c>
      <c r="H2084">
        <f>הגדרות!B7</f>
        <v/>
      </c>
      <c r="I2084">
        <f>F2084*(1-H2084/100)*1.18</f>
        <v/>
      </c>
      <c r="J2084">
        <f>הגדרות!C7</f>
        <v/>
      </c>
      <c r="K2084">
        <f>הגדרות!D7</f>
        <v/>
      </c>
      <c r="L2084">
        <f>I2084*(1+J2084/100)+K2084</f>
        <v/>
      </c>
    </row>
    <row r="2085">
      <c r="A2085" t="inlineStr">
        <is>
          <t>מדי-מרקט</t>
        </is>
      </c>
      <c r="B2085" t="inlineStr">
        <is>
          <t>Solu Medrol 125Mg 2Ml X 1</t>
        </is>
      </c>
      <c r="C2085" t="inlineStr">
        <is>
          <t>תרופות</t>
        </is>
      </c>
      <c r="D2085" t="inlineStr">
        <is>
          <t>1272</t>
        </is>
      </c>
      <c r="E2085" t="inlineStr">
        <is>
          <t>2026-06</t>
        </is>
      </c>
      <c r="F2085" t="n">
        <v>14.31</v>
      </c>
      <c r="G2085" t="n">
        <v>16.88</v>
      </c>
      <c r="H2085">
        <f>הגדרות!B7</f>
        <v/>
      </c>
      <c r="I2085">
        <f>F2085*(1-H2085/100)*1.18</f>
        <v/>
      </c>
      <c r="J2085">
        <f>הגדרות!C7</f>
        <v/>
      </c>
      <c r="K2085">
        <f>הגדרות!D7</f>
        <v/>
      </c>
      <c r="L2085">
        <f>I2085*(1+J2085/100)+K2085</f>
        <v/>
      </c>
    </row>
    <row r="2086">
      <c r="A2086" t="inlineStr">
        <is>
          <t>מדי-מרקט</t>
        </is>
      </c>
      <c r="B2086" t="inlineStr">
        <is>
          <t>Solu Medrol 40Mg 1Ml X 1</t>
        </is>
      </c>
      <c r="C2086" t="inlineStr">
        <is>
          <t>תרופות</t>
        </is>
      </c>
      <c r="D2086" t="inlineStr">
        <is>
          <t>6745</t>
        </is>
      </c>
      <c r="E2086" t="inlineStr">
        <is>
          <t>2026-06</t>
        </is>
      </c>
      <c r="F2086" t="n">
        <v>14.83</v>
      </c>
      <c r="G2086" t="n">
        <v>17.5</v>
      </c>
      <c r="H2086">
        <f>הגדרות!B7</f>
        <v/>
      </c>
      <c r="I2086">
        <f>F2086*(1-H2086/100)*1.18</f>
        <v/>
      </c>
      <c r="J2086">
        <f>הגדרות!C7</f>
        <v/>
      </c>
      <c r="K2086">
        <f>הגדרות!D7</f>
        <v/>
      </c>
      <c r="L2086">
        <f>I2086*(1+J2086/100)+K2086</f>
        <v/>
      </c>
    </row>
    <row r="2087">
      <c r="A2087" t="inlineStr">
        <is>
          <t>מדי-מרקט</t>
        </is>
      </c>
      <c r="B2087" t="inlineStr">
        <is>
          <t>Solu Medrol 500Mg 8Ml X 1</t>
        </is>
      </c>
      <c r="C2087" t="inlineStr">
        <is>
          <t>תרופות</t>
        </is>
      </c>
      <c r="D2087" t="inlineStr">
        <is>
          <t>47312</t>
        </is>
      </c>
      <c r="E2087" t="inlineStr">
        <is>
          <t>2026-06</t>
        </is>
      </c>
      <c r="F2087" t="n">
        <v>25.24</v>
      </c>
      <c r="G2087" t="n">
        <v>29.78</v>
      </c>
      <c r="H2087">
        <f>הגדרות!B7</f>
        <v/>
      </c>
      <c r="I2087">
        <f>F2087*(1-H2087/100)*1.18</f>
        <v/>
      </c>
      <c r="J2087">
        <f>הגדרות!C7</f>
        <v/>
      </c>
      <c r="K2087">
        <f>הגדרות!D7</f>
        <v/>
      </c>
      <c r="L2087">
        <f>I2087*(1+J2087/100)+K2087</f>
        <v/>
      </c>
    </row>
    <row r="2088">
      <c r="A2088" t="inlineStr">
        <is>
          <t>מדי-מרקט</t>
        </is>
      </c>
      <c r="B2088" t="inlineStr">
        <is>
          <t>SONO AIR 70 vet + micro convex probe</t>
        </is>
      </c>
      <c r="C2088" t="inlineStr">
        <is>
          <t>אולטרסאונד</t>
        </is>
      </c>
      <c r="D2088" t="inlineStr">
        <is>
          <t>SonoAir70</t>
        </is>
      </c>
      <c r="E2088" t="inlineStr">
        <is>
          <t>2026-06</t>
        </is>
      </c>
      <c r="F2088" t="n">
        <v>40677.97</v>
      </c>
      <c r="G2088" t="n">
        <v>48000</v>
      </c>
      <c r="H2088">
        <f>הגדרות!B7</f>
        <v/>
      </c>
      <c r="I2088">
        <f>F2088*(1-H2088/100)*1.18</f>
        <v/>
      </c>
      <c r="J2088">
        <f>הגדרות!C7</f>
        <v/>
      </c>
      <c r="K2088">
        <f>הגדרות!D7</f>
        <v/>
      </c>
      <c r="L2088">
        <f>I2088*(1+J2088/100)+K2088</f>
        <v/>
      </c>
    </row>
    <row r="2089">
      <c r="A2089" t="inlineStr">
        <is>
          <t>מדי-מרקט</t>
        </is>
      </c>
      <c r="B2089" t="inlineStr">
        <is>
          <t>SonoBook8 VET ultrasound + Micro Convex probe</t>
        </is>
      </c>
      <c r="C2089" t="inlineStr">
        <is>
          <t>אולטרסאונד</t>
        </is>
      </c>
      <c r="D2089" t="inlineStr">
        <is>
          <t>SonoBook8 VET</t>
        </is>
      </c>
      <c r="E2089" t="inlineStr">
        <is>
          <t>2026-06</t>
        </is>
      </c>
      <c r="F2089" t="n">
        <v>83050.85000000001</v>
      </c>
      <c r="G2089" t="n">
        <v>98000</v>
      </c>
      <c r="H2089">
        <f>הגדרות!B7</f>
        <v/>
      </c>
      <c r="I2089">
        <f>F2089*(1-H2089/100)*1.18</f>
        <v/>
      </c>
      <c r="J2089">
        <f>הגדרות!C7</f>
        <v/>
      </c>
      <c r="K2089">
        <f>הגדרות!D7</f>
        <v/>
      </c>
      <c r="L2089">
        <f>I2089*(1+J2089/100)+K2089</f>
        <v/>
      </c>
    </row>
    <row r="2090">
      <c r="A2090" t="inlineStr">
        <is>
          <t>מדי-מרקט</t>
        </is>
      </c>
      <c r="B2090" t="inlineStr">
        <is>
          <t>SOPA-K 200ML ORAL SOLUTION( פטסיום גלוקנאט)תמיסה לשתיה</t>
        </is>
      </c>
      <c r="C2090" t="inlineStr">
        <is>
          <t>29 יבוא תרופות הומניות חו"ל</t>
        </is>
      </c>
      <c r="D2090" t="inlineStr">
        <is>
          <t>9623152</t>
        </is>
      </c>
      <c r="E2090" t="inlineStr">
        <is>
          <t>2026-06</t>
        </is>
      </c>
      <c r="F2090" t="n">
        <v>18.64</v>
      </c>
      <c r="G2090" t="n">
        <v>22</v>
      </c>
      <c r="H2090">
        <f>הגדרות!B7</f>
        <v/>
      </c>
      <c r="I2090">
        <f>F2090*(1-H2090/100)*1.18</f>
        <v/>
      </c>
      <c r="J2090">
        <f>הגדרות!C7</f>
        <v/>
      </c>
      <c r="K2090">
        <f>הגדרות!D7</f>
        <v/>
      </c>
      <c r="L2090">
        <f>I2090*(1+J2090/100)+K2090</f>
        <v/>
      </c>
    </row>
    <row r="2091">
      <c r="A2091" t="inlineStr">
        <is>
          <t>מדי-מרקט</t>
        </is>
      </c>
      <c r="B2091" t="inlineStr">
        <is>
          <t>Spasmalgin 30 Tabs ספזמלגין  30 טב'</t>
        </is>
      </c>
      <c r="C2091" t="inlineStr">
        <is>
          <t>תרופות</t>
        </is>
      </c>
      <c r="D2091" t="inlineStr">
        <is>
          <t>332654</t>
        </is>
      </c>
      <c r="E2091" t="inlineStr">
        <is>
          <t>2026-06</t>
        </is>
      </c>
      <c r="F2091" t="n">
        <v>56.78</v>
      </c>
      <c r="G2091" t="n">
        <v>67</v>
      </c>
      <c r="H2091">
        <f>הגדרות!B7</f>
        <v/>
      </c>
      <c r="I2091">
        <f>F2091*(1-H2091/100)*1.18</f>
        <v/>
      </c>
      <c r="J2091">
        <f>הגדרות!C7</f>
        <v/>
      </c>
      <c r="K2091">
        <f>הגדרות!D7</f>
        <v/>
      </c>
      <c r="L2091">
        <f>I2091*(1+J2091/100)+K2091</f>
        <v/>
      </c>
    </row>
    <row r="2092">
      <c r="A2092" t="inlineStr">
        <is>
          <t>מדי-מרקט</t>
        </is>
      </c>
      <c r="B2092" t="inlineStr">
        <is>
          <t>Spironolactone Teva 25Mg X 20Tabs</t>
        </is>
      </c>
      <c r="C2092" t="inlineStr">
        <is>
          <t>תרופות</t>
        </is>
      </c>
      <c r="D2092" t="inlineStr">
        <is>
          <t>30892</t>
        </is>
      </c>
      <c r="E2092" t="inlineStr">
        <is>
          <t>2026-06</t>
        </is>
      </c>
      <c r="F2092" t="n">
        <v>7.83</v>
      </c>
      <c r="G2092" t="n">
        <v>9.24</v>
      </c>
      <c r="H2092">
        <f>הגדרות!B7</f>
        <v/>
      </c>
      <c r="I2092">
        <f>F2092*(1-H2092/100)*1.18</f>
        <v/>
      </c>
      <c r="J2092">
        <f>הגדרות!C7</f>
        <v/>
      </c>
      <c r="K2092">
        <f>הגדרות!D7</f>
        <v/>
      </c>
      <c r="L2092">
        <f>I2092*(1+J2092/100)+K2092</f>
        <v/>
      </c>
    </row>
    <row r="2093">
      <c r="A2093" t="inlineStr">
        <is>
          <t>מדי-מרקט</t>
        </is>
      </c>
      <c r="B2093" t="inlineStr">
        <is>
          <t>STANDART GLUC 5%+CHLOR 0.45% 500ML INJ Bag</t>
        </is>
      </c>
      <c r="C2093" t="inlineStr">
        <is>
          <t>תמיסות לעירוי ושטיפה</t>
        </is>
      </c>
      <c r="D2093" t="inlineStr">
        <is>
          <t>154511</t>
        </is>
      </c>
      <c r="E2093" t="inlineStr">
        <is>
          <t>2026-06</t>
        </is>
      </c>
      <c r="F2093" t="n">
        <v>11.86</v>
      </c>
      <c r="G2093" t="n">
        <v>14</v>
      </c>
      <c r="H2093">
        <f>הגדרות!B7</f>
        <v/>
      </c>
      <c r="I2093">
        <f>F2093*(1-H2093/100)*1.18</f>
        <v/>
      </c>
      <c r="J2093">
        <f>הגדרות!C7</f>
        <v/>
      </c>
      <c r="K2093">
        <f>הגדרות!D7</f>
        <v/>
      </c>
      <c r="L2093">
        <f>I2093*(1+J2093/100)+K2093</f>
        <v/>
      </c>
    </row>
    <row r="2094">
      <c r="A2094" t="inlineStr">
        <is>
          <t>מדי-מרקט</t>
        </is>
      </c>
      <c r="B2094" t="inlineStr">
        <is>
          <t>Standart Sodium Chlo. 0.9%+Glucose 5% bottle 1L</t>
        </is>
      </c>
      <c r="C2094" t="inlineStr">
        <is>
          <t>תמיסות לעירוי ושטיפה</t>
        </is>
      </c>
      <c r="D2094" t="inlineStr">
        <is>
          <t>3368-1</t>
        </is>
      </c>
      <c r="E2094" t="inlineStr">
        <is>
          <t>2026-06</t>
        </is>
      </c>
      <c r="F2094" t="n">
        <v>6.86</v>
      </c>
      <c r="G2094" t="n">
        <v>8.1</v>
      </c>
      <c r="H2094">
        <f>הגדרות!B7</f>
        <v/>
      </c>
      <c r="I2094">
        <f>F2094*(1-H2094/100)*1.18</f>
        <v/>
      </c>
      <c r="J2094">
        <f>הגדרות!C7</f>
        <v/>
      </c>
      <c r="K2094">
        <f>הגדרות!D7</f>
        <v/>
      </c>
      <c r="L2094">
        <f>I2094*(1+J2094/100)+K2094</f>
        <v/>
      </c>
    </row>
    <row r="2095">
      <c r="A2095" t="inlineStr">
        <is>
          <t>מדי-מרקט</t>
        </is>
      </c>
      <c r="B2095" t="inlineStr">
        <is>
          <t>Standart Sodium Chlo. 0.9%+Glucose 5% bottle 500 ml</t>
        </is>
      </c>
      <c r="C2095" t="inlineStr">
        <is>
          <t>תמיסות לעירוי ושטיפה</t>
        </is>
      </c>
      <c r="D2095" t="inlineStr">
        <is>
          <t>99714-1</t>
        </is>
      </c>
      <c r="E2095" t="inlineStr">
        <is>
          <t>2026-06</t>
        </is>
      </c>
      <c r="F2095" t="n">
        <v>5.25</v>
      </c>
      <c r="G2095" t="n">
        <v>6.2</v>
      </c>
      <c r="H2095">
        <f>הגדרות!B7</f>
        <v/>
      </c>
      <c r="I2095">
        <f>F2095*(1-H2095/100)*1.18</f>
        <v/>
      </c>
      <c r="J2095">
        <f>הגדרות!C7</f>
        <v/>
      </c>
      <c r="K2095">
        <f>הגדרות!D7</f>
        <v/>
      </c>
      <c r="L2095">
        <f>I2095*(1+J2095/100)+K2095</f>
        <v/>
      </c>
    </row>
    <row r="2096">
      <c r="A2096" t="inlineStr">
        <is>
          <t>מדי-מרקט</t>
        </is>
      </c>
      <c r="B2096" t="inlineStr">
        <is>
          <t>Sterodex Eye Drops סטרודקס טיפות</t>
        </is>
      </c>
      <c r="C2096" t="inlineStr">
        <is>
          <t>תרופות</t>
        </is>
      </c>
      <c r="D2096" t="inlineStr">
        <is>
          <t>9873</t>
        </is>
      </c>
      <c r="E2096" t="inlineStr">
        <is>
          <t>2026-06</t>
        </is>
      </c>
      <c r="F2096" t="n">
        <v>8.93</v>
      </c>
      <c r="G2096" t="n">
        <v>10.54</v>
      </c>
      <c r="H2096">
        <f>הגדרות!B7</f>
        <v/>
      </c>
      <c r="I2096">
        <f>F2096*(1-H2096/100)*1.18</f>
        <v/>
      </c>
      <c r="J2096">
        <f>הגדרות!C7</f>
        <v/>
      </c>
      <c r="K2096">
        <f>הגדרות!D7</f>
        <v/>
      </c>
      <c r="L2096">
        <f>I2096*(1+J2096/100)+K2096</f>
        <v/>
      </c>
    </row>
    <row r="2097">
      <c r="A2097" t="inlineStr">
        <is>
          <t>מדי-מרקט</t>
        </is>
      </c>
      <c r="B2097" t="inlineStr">
        <is>
          <t>Stilnox 10Mg X 14Tabs</t>
        </is>
      </c>
      <c r="C2097" t="inlineStr">
        <is>
          <t>תרופות</t>
        </is>
      </c>
      <c r="D2097" t="inlineStr">
        <is>
          <t>1259686254</t>
        </is>
      </c>
      <c r="E2097" t="inlineStr">
        <is>
          <t>2026-06</t>
        </is>
      </c>
      <c r="F2097" t="n">
        <v>9.49</v>
      </c>
      <c r="G2097" t="n">
        <v>11.2</v>
      </c>
      <c r="H2097">
        <f>הגדרות!B7</f>
        <v/>
      </c>
      <c r="I2097">
        <f>F2097*(1-H2097/100)*1.18</f>
        <v/>
      </c>
      <c r="J2097">
        <f>הגדרות!C7</f>
        <v/>
      </c>
      <c r="K2097">
        <f>הגדרות!D7</f>
        <v/>
      </c>
      <c r="L2097">
        <f>I2097*(1+J2097/100)+K2097</f>
        <v/>
      </c>
    </row>
    <row r="2098">
      <c r="A2098" t="inlineStr">
        <is>
          <t>מדי-מרקט</t>
        </is>
      </c>
      <c r="B2098" t="inlineStr">
        <is>
          <t>STIVARGA 40MG 3X28TABL</t>
        </is>
      </c>
      <c r="C2098" t="inlineStr">
        <is>
          <t>תרופות</t>
        </is>
      </c>
      <c r="D2098" t="inlineStr">
        <is>
          <t>M005500</t>
        </is>
      </c>
      <c r="E2098" t="inlineStr">
        <is>
          <t>2026-06</t>
        </is>
      </c>
      <c r="F2098" t="n">
        <v>10246.59</v>
      </c>
      <c r="G2098" t="n">
        <v>12090.98</v>
      </c>
      <c r="H2098">
        <f>הגדרות!B7</f>
        <v/>
      </c>
      <c r="I2098">
        <f>F2098*(1-H2098/100)*1.18</f>
        <v/>
      </c>
      <c r="J2098">
        <f>הגדרות!C7</f>
        <v/>
      </c>
      <c r="K2098">
        <f>הגדרות!D7</f>
        <v/>
      </c>
      <c r="L2098">
        <f>I2098*(1+J2098/100)+K2098</f>
        <v/>
      </c>
    </row>
    <row r="2099">
      <c r="A2099" t="inlineStr">
        <is>
          <t>מדי-מרקט</t>
        </is>
      </c>
      <c r="B2099" t="inlineStr">
        <is>
          <t>Stopit 2Mg 10 Caps</t>
        </is>
      </c>
      <c r="C2099" t="inlineStr">
        <is>
          <t>תרופות</t>
        </is>
      </c>
      <c r="D2099" t="inlineStr">
        <is>
          <t>5849</t>
        </is>
      </c>
      <c r="E2099" t="inlineStr">
        <is>
          <t>2026-06</t>
        </is>
      </c>
      <c r="F2099" t="n">
        <v>18.18</v>
      </c>
      <c r="G2099" t="n">
        <v>21.45</v>
      </c>
      <c r="H2099">
        <f>הגדרות!B7</f>
        <v/>
      </c>
      <c r="I2099">
        <f>F2099*(1-H2099/100)*1.18</f>
        <v/>
      </c>
      <c r="J2099">
        <f>הגדרות!C7</f>
        <v/>
      </c>
      <c r="K2099">
        <f>הגדרות!D7</f>
        <v/>
      </c>
      <c r="L2099">
        <f>I2099*(1+J2099/100)+K2099</f>
        <v/>
      </c>
    </row>
    <row r="2100">
      <c r="A2100" t="inlineStr">
        <is>
          <t>מדי-מרקט</t>
        </is>
      </c>
      <c r="B2100" t="inlineStr">
        <is>
          <t>STREFEN HONEY &amp; LEMON 24 LOZ- סטרפן</t>
        </is>
      </c>
      <c r="C2100" t="inlineStr">
        <is>
          <t>תרופות</t>
        </is>
      </c>
      <c r="D2100" t="inlineStr">
        <is>
          <t>69635</t>
        </is>
      </c>
      <c r="E2100" t="inlineStr">
        <is>
          <t>2026-06</t>
        </is>
      </c>
      <c r="F2100" t="n">
        <v>30.2</v>
      </c>
      <c r="G2100" t="n">
        <v>35.64</v>
      </c>
      <c r="H2100">
        <f>הגדרות!B7</f>
        <v/>
      </c>
      <c r="I2100">
        <f>F2100*(1-H2100/100)*1.18</f>
        <v/>
      </c>
      <c r="J2100">
        <f>הגדרות!C7</f>
        <v/>
      </c>
      <c r="K2100">
        <f>הגדרות!D7</f>
        <v/>
      </c>
      <c r="L2100">
        <f>I2100*(1+J2100/100)+K2100</f>
        <v/>
      </c>
    </row>
    <row r="2101">
      <c r="A2101" t="inlineStr">
        <is>
          <t>מדי-מרקט</t>
        </is>
      </c>
      <c r="B2101" t="inlineStr">
        <is>
          <t>Strepsils  X 36Per Os -סטרפסילס דבש ולימון</t>
        </is>
      </c>
      <c r="C2101" t="inlineStr">
        <is>
          <t>תרופות</t>
        </is>
      </c>
      <c r="D2101" t="inlineStr">
        <is>
          <t>5408</t>
        </is>
      </c>
      <c r="E2101" t="inlineStr">
        <is>
          <t>2026-06</t>
        </is>
      </c>
      <c r="F2101" t="n">
        <v>21.91</v>
      </c>
      <c r="G2101" t="n">
        <v>25.85</v>
      </c>
      <c r="H2101">
        <f>הגדרות!B7</f>
        <v/>
      </c>
      <c r="I2101">
        <f>F2101*(1-H2101/100)*1.18</f>
        <v/>
      </c>
      <c r="J2101">
        <f>הגדרות!C7</f>
        <v/>
      </c>
      <c r="K2101">
        <f>הגדרות!D7</f>
        <v/>
      </c>
      <c r="L2101">
        <f>I2101*(1+J2101/100)+K2101</f>
        <v/>
      </c>
    </row>
    <row r="2102">
      <c r="A2102" t="inlineStr">
        <is>
          <t>מדי-מרקט</t>
        </is>
      </c>
      <c r="B2102" t="inlineStr">
        <is>
          <t>STREPSILS PLUS X 24 PER OS -סטרפסילס פלוס</t>
        </is>
      </c>
      <c r="C2102" t="inlineStr">
        <is>
          <t>תרופות</t>
        </is>
      </c>
      <c r="D2102" t="inlineStr">
        <is>
          <t>5407</t>
        </is>
      </c>
      <c r="E2102" t="inlineStr">
        <is>
          <t>2026-06</t>
        </is>
      </c>
      <c r="F2102" t="n">
        <v>15.4</v>
      </c>
      <c r="G2102" t="n">
        <v>18.17</v>
      </c>
      <c r="H2102">
        <f>הגדרות!B7</f>
        <v/>
      </c>
      <c r="I2102">
        <f>F2102*(1-H2102/100)*1.18</f>
        <v/>
      </c>
      <c r="J2102">
        <f>הגדרות!C7</f>
        <v/>
      </c>
      <c r="K2102">
        <f>הגדרות!D7</f>
        <v/>
      </c>
      <c r="L2102">
        <f>I2102*(1+J2102/100)+K2102</f>
        <v/>
      </c>
    </row>
    <row r="2103">
      <c r="A2103" t="inlineStr">
        <is>
          <t>מדי-מרקט</t>
        </is>
      </c>
      <c r="B2103" t="inlineStr">
        <is>
          <t>Stunarone 25 Mg 25 Tabs</t>
        </is>
      </c>
      <c r="C2103" t="inlineStr">
        <is>
          <t>תרופות</t>
        </is>
      </c>
      <c r="D2103" t="inlineStr">
        <is>
          <t>25896</t>
        </is>
      </c>
      <c r="E2103" t="inlineStr">
        <is>
          <t>2026-06</t>
        </is>
      </c>
      <c r="F2103" t="n">
        <v>6.3</v>
      </c>
      <c r="G2103" t="n">
        <v>7.43</v>
      </c>
      <c r="H2103">
        <f>הגדרות!B7</f>
        <v/>
      </c>
      <c r="I2103">
        <f>F2103*(1-H2103/100)*1.18</f>
        <v/>
      </c>
      <c r="J2103">
        <f>הגדרות!C7</f>
        <v/>
      </c>
      <c r="K2103">
        <f>הגדרות!D7</f>
        <v/>
      </c>
      <c r="L2103">
        <f>I2103*(1+J2103/100)+K2103</f>
        <v/>
      </c>
    </row>
    <row r="2104">
      <c r="A2104" t="inlineStr">
        <is>
          <t>מדי-מרקט</t>
        </is>
      </c>
      <c r="B2104" t="inlineStr">
        <is>
          <t>Sulfacide Opht. Drops סולפציד טיפות עיניים</t>
        </is>
      </c>
      <c r="C2104" t="inlineStr">
        <is>
          <t>תרופות</t>
        </is>
      </c>
      <c r="D2104" t="inlineStr">
        <is>
          <t>2061</t>
        </is>
      </c>
      <c r="E2104" t="inlineStr">
        <is>
          <t>2026-06</t>
        </is>
      </c>
      <c r="F2104" t="n">
        <v>11.99</v>
      </c>
      <c r="G2104" t="n">
        <v>14.15</v>
      </c>
      <c r="H2104">
        <f>הגדרות!B7</f>
        <v/>
      </c>
      <c r="I2104">
        <f>F2104*(1-H2104/100)*1.18</f>
        <v/>
      </c>
      <c r="J2104">
        <f>הגדרות!C7</f>
        <v/>
      </c>
      <c r="K2104">
        <f>הגדרות!D7</f>
        <v/>
      </c>
      <c r="L2104">
        <f>I2104*(1+J2104/100)+K2104</f>
        <v/>
      </c>
    </row>
    <row r="2105">
      <c r="A2105" t="inlineStr">
        <is>
          <t>מדי-מרקט</t>
        </is>
      </c>
      <c r="B2105" t="inlineStr">
        <is>
          <t>Sulfadiazine 200Gr + Trimethoprim 40Gr Powder 240Gr</t>
        </is>
      </c>
      <c r="C2105" t="inlineStr">
        <is>
          <t>הכנות אבקות</t>
        </is>
      </c>
      <c r="D2105" t="inlineStr">
        <is>
          <t>8362</t>
        </is>
      </c>
      <c r="E2105" t="inlineStr">
        <is>
          <t>2026-06</t>
        </is>
      </c>
      <c r="F2105" t="n">
        <v>135.59</v>
      </c>
      <c r="G2105" t="n">
        <v>160</v>
      </c>
      <c r="H2105">
        <f>הגדרות!B7</f>
        <v/>
      </c>
      <c r="I2105">
        <f>F2105*(1-H2105/100)*1.18</f>
        <v/>
      </c>
      <c r="J2105">
        <f>הגדרות!C7</f>
        <v/>
      </c>
      <c r="K2105">
        <f>הגדרות!D7</f>
        <v/>
      </c>
      <c r="L2105">
        <f>I2105*(1+J2105/100)+K2105</f>
        <v/>
      </c>
    </row>
    <row r="2106">
      <c r="A2106" t="inlineStr">
        <is>
          <t>מדי-מרקט</t>
        </is>
      </c>
      <c r="B2106" t="inlineStr">
        <is>
          <t>Sulfadiazine 200mg +Trimethoprim 40 mg 100 caps</t>
        </is>
      </c>
      <c r="C2106" t="inlineStr">
        <is>
          <t>הכנות בית מרקחת</t>
        </is>
      </c>
      <c r="D2106" t="inlineStr">
        <is>
          <t>8369</t>
        </is>
      </c>
      <c r="E2106" t="inlineStr">
        <is>
          <t>2026-06</t>
        </is>
      </c>
      <c r="F2106" t="n">
        <v>93.22</v>
      </c>
      <c r="G2106" t="n">
        <v>110</v>
      </c>
      <c r="H2106">
        <f>הגדרות!B7</f>
        <v/>
      </c>
      <c r="I2106">
        <f>F2106*(1-H2106/100)*1.18</f>
        <v/>
      </c>
      <c r="J2106">
        <f>הגדרות!C7</f>
        <v/>
      </c>
      <c r="K2106">
        <f>הגדרות!D7</f>
        <v/>
      </c>
      <c r="L2106">
        <f>I2106*(1+J2106/100)+K2106</f>
        <v/>
      </c>
    </row>
    <row r="2107">
      <c r="A2107" t="inlineStr">
        <is>
          <t>מדי-מרקט</t>
        </is>
      </c>
      <c r="B2107" t="inlineStr">
        <is>
          <t>Sulfadiazine 400mg +Trimethoprim 80 mg 100 caps</t>
        </is>
      </c>
      <c r="C2107" t="inlineStr">
        <is>
          <t>הכנות בית מרקחת</t>
        </is>
      </c>
      <c r="D2107" t="inlineStr">
        <is>
          <t>8368</t>
        </is>
      </c>
      <c r="E2107" t="inlineStr">
        <is>
          <t>2026-06</t>
        </is>
      </c>
      <c r="F2107" t="n">
        <v>135.59</v>
      </c>
      <c r="G2107" t="n">
        <v>160</v>
      </c>
      <c r="H2107">
        <f>הגדרות!B7</f>
        <v/>
      </c>
      <c r="I2107">
        <f>F2107*(1-H2107/100)*1.18</f>
        <v/>
      </c>
      <c r="J2107">
        <f>הגדרות!C7</f>
        <v/>
      </c>
      <c r="K2107">
        <f>הגדרות!D7</f>
        <v/>
      </c>
      <c r="L2107">
        <f>I2107*(1+J2107/100)+K2107</f>
        <v/>
      </c>
    </row>
    <row r="2108">
      <c r="A2108" t="inlineStr">
        <is>
          <t>מדי-מרקט</t>
        </is>
      </c>
      <c r="B2108" t="inlineStr">
        <is>
          <t>Sulfur  10% Ointment 1 Liter</t>
        </is>
      </c>
      <c r="C2108" t="inlineStr">
        <is>
          <t>הכנות בית מרקחת</t>
        </is>
      </c>
      <c r="D2108" t="inlineStr">
        <is>
          <t>121214</t>
        </is>
      </c>
      <c r="E2108" t="inlineStr">
        <is>
          <t>2026-06</t>
        </is>
      </c>
      <c r="F2108" t="n">
        <v>1.6</v>
      </c>
      <c r="G2108" t="n">
        <v>1.89</v>
      </c>
      <c r="H2108">
        <f>הגדרות!B7</f>
        <v/>
      </c>
      <c r="I2108">
        <f>F2108*(1-H2108/100)*1.18</f>
        <v/>
      </c>
      <c r="J2108">
        <f>הגדרות!C7</f>
        <v/>
      </c>
      <c r="K2108">
        <f>הגדרות!D7</f>
        <v/>
      </c>
      <c r="L2108">
        <f>I2108*(1+J2108/100)+K2108</f>
        <v/>
      </c>
    </row>
    <row r="2109">
      <c r="A2109" t="inlineStr">
        <is>
          <t>מדי-מרקט</t>
        </is>
      </c>
      <c r="B2109" t="inlineStr">
        <is>
          <t>Sulfur 10% Ointment 500 Ml</t>
        </is>
      </c>
      <c r="C2109" t="inlineStr">
        <is>
          <t>הכנות בית מרקחת</t>
        </is>
      </c>
      <c r="D2109" t="inlineStr">
        <is>
          <t>19856</t>
        </is>
      </c>
      <c r="E2109" t="inlineStr">
        <is>
          <t>2026-06</t>
        </is>
      </c>
      <c r="F2109" t="n">
        <v>14.87</v>
      </c>
      <c r="G2109" t="n">
        <v>17.55</v>
      </c>
      <c r="H2109">
        <f>הגדרות!B7</f>
        <v/>
      </c>
      <c r="I2109">
        <f>F2109*(1-H2109/100)*1.18</f>
        <v/>
      </c>
      <c r="J2109">
        <f>הגדרות!C7</f>
        <v/>
      </c>
      <c r="K2109">
        <f>הגדרות!D7</f>
        <v/>
      </c>
      <c r="L2109">
        <f>I2109*(1+J2109/100)+K2109</f>
        <v/>
      </c>
    </row>
    <row r="2110">
      <c r="A2110" t="inlineStr">
        <is>
          <t>מדי-מרקט</t>
        </is>
      </c>
      <c r="B2110" t="inlineStr">
        <is>
          <t>Sulfur 10%+ Salicylic Acid 3% Ointment 1 Liter</t>
        </is>
      </c>
      <c r="C2110" t="inlineStr">
        <is>
          <t>הכנות בית מרקחת</t>
        </is>
      </c>
      <c r="D2110" t="inlineStr">
        <is>
          <t>30261</t>
        </is>
      </c>
      <c r="E2110" t="inlineStr">
        <is>
          <t>2026-06</t>
        </is>
      </c>
      <c r="F2110" t="n">
        <v>76.27</v>
      </c>
      <c r="G2110" t="n">
        <v>90</v>
      </c>
      <c r="H2110">
        <f>הגדרות!B7</f>
        <v/>
      </c>
      <c r="I2110">
        <f>F2110*(1-H2110/100)*1.18</f>
        <v/>
      </c>
      <c r="J2110">
        <f>הגדרות!C7</f>
        <v/>
      </c>
      <c r="K2110">
        <f>הגדרות!D7</f>
        <v/>
      </c>
      <c r="L2110">
        <f>I2110*(1+J2110/100)+K2110</f>
        <v/>
      </c>
    </row>
    <row r="2111">
      <c r="A2111" t="inlineStr">
        <is>
          <t>מדי-מרקט</t>
        </is>
      </c>
      <c r="B2111" t="inlineStr">
        <is>
          <t>Sulfur 20% Ointment 1 Liter</t>
        </is>
      </c>
      <c r="C2111" t="inlineStr">
        <is>
          <t>הכנות בית מרקחת</t>
        </is>
      </c>
      <c r="D2111" t="inlineStr">
        <is>
          <t>121213</t>
        </is>
      </c>
      <c r="E2111" t="inlineStr">
        <is>
          <t>2026-06</t>
        </is>
      </c>
      <c r="F2111" t="n">
        <v>14.87</v>
      </c>
      <c r="G2111" t="n">
        <v>17.55</v>
      </c>
      <c r="H2111">
        <f>הגדרות!B7</f>
        <v/>
      </c>
      <c r="I2111">
        <f>F2111*(1-H2111/100)*1.18</f>
        <v/>
      </c>
      <c r="J2111">
        <f>הגדרות!C7</f>
        <v/>
      </c>
      <c r="K2111">
        <f>הגדרות!D7</f>
        <v/>
      </c>
      <c r="L2111">
        <f>I2111*(1+J2111/100)+K2111</f>
        <v/>
      </c>
    </row>
    <row r="2112">
      <c r="A2112" t="inlineStr">
        <is>
          <t>מדי-מרקט</t>
        </is>
      </c>
      <c r="B2112" t="inlineStr">
        <is>
          <t>Sulfur10% +Salicylic3% +Hydrocort2% Oint 1 Liter</t>
        </is>
      </c>
      <c r="C2112" t="inlineStr">
        <is>
          <t>הכנות בית מרקחת</t>
        </is>
      </c>
      <c r="D2112" t="inlineStr">
        <is>
          <t>10312</t>
        </is>
      </c>
      <c r="E2112" t="inlineStr">
        <is>
          <t>2026-06</t>
        </is>
      </c>
      <c r="F2112" t="n">
        <v>177.97</v>
      </c>
      <c r="G2112" t="n">
        <v>210</v>
      </c>
      <c r="H2112">
        <f>הגדרות!B7</f>
        <v/>
      </c>
      <c r="I2112">
        <f>F2112*(1-H2112/100)*1.18</f>
        <v/>
      </c>
      <c r="J2112">
        <f>הגדרות!C7</f>
        <v/>
      </c>
      <c r="K2112">
        <f>הגדרות!D7</f>
        <v/>
      </c>
      <c r="L2112">
        <f>I2112*(1+J2112/100)+K2112</f>
        <v/>
      </c>
    </row>
    <row r="2113">
      <c r="A2113" t="inlineStr">
        <is>
          <t>מדי-מרקט</t>
        </is>
      </c>
      <c r="B2113" t="inlineStr">
        <is>
          <t>Sulfur5% + Salicylic Acid 3% 500G Jar</t>
        </is>
      </c>
      <c r="C2113" t="inlineStr">
        <is>
          <t>הכנות בית מרקחת</t>
        </is>
      </c>
      <c r="D2113" t="inlineStr">
        <is>
          <t>1724</t>
        </is>
      </c>
      <c r="E2113" t="inlineStr">
        <is>
          <t>2026-06</t>
        </is>
      </c>
      <c r="F2113" t="n">
        <v>50.85</v>
      </c>
      <c r="G2113" t="n">
        <v>60</v>
      </c>
      <c r="H2113">
        <f>הגדרות!B7</f>
        <v/>
      </c>
      <c r="I2113">
        <f>F2113*(1-H2113/100)*1.18</f>
        <v/>
      </c>
      <c r="J2113">
        <f>הגדרות!C7</f>
        <v/>
      </c>
      <c r="K2113">
        <f>הגדרות!D7</f>
        <v/>
      </c>
      <c r="L2113">
        <f>I2113*(1+J2113/100)+K2113</f>
        <v/>
      </c>
    </row>
    <row r="2114">
      <c r="A2114" t="inlineStr">
        <is>
          <t>מדי-מרקט</t>
        </is>
      </c>
      <c r="B2114" t="inlineStr">
        <is>
          <t>SunTech Vet20 BP Monitor pink מד לחץ דם וטרינרי</t>
        </is>
      </c>
      <c r="C2114" t="inlineStr">
        <is>
          <t>מוניטורים ומכשירי א.ק.ג</t>
        </is>
      </c>
      <c r="D2114" t="inlineStr">
        <is>
          <t>99-0135-16</t>
        </is>
      </c>
      <c r="E2114" t="inlineStr">
        <is>
          <t>2026-06</t>
        </is>
      </c>
      <c r="F2114" t="n">
        <v>6186.44</v>
      </c>
      <c r="G2114" t="n">
        <v>7300</v>
      </c>
      <c r="H2114">
        <f>הגדרות!B7</f>
        <v/>
      </c>
      <c r="I2114">
        <f>F2114*(1-H2114/100)*1.18</f>
        <v/>
      </c>
      <c r="J2114">
        <f>הגדרות!C7</f>
        <v/>
      </c>
      <c r="K2114">
        <f>הגדרות!D7</f>
        <v/>
      </c>
      <c r="L2114">
        <f>I2114*(1+J2114/100)+K2114</f>
        <v/>
      </c>
    </row>
    <row r="2115">
      <c r="A2115" t="inlineStr">
        <is>
          <t>מדי-מרקט</t>
        </is>
      </c>
      <c r="B2115" t="inlineStr">
        <is>
          <t>Supramol 150 Mg Supp 12</t>
        </is>
      </c>
      <c r="C2115" t="inlineStr">
        <is>
          <t>תרופות</t>
        </is>
      </c>
      <c r="D2115" t="inlineStr">
        <is>
          <t>5008-1</t>
        </is>
      </c>
      <c r="E2115" t="inlineStr">
        <is>
          <t>2026-06</t>
        </is>
      </c>
      <c r="F2115" t="n">
        <v>10.59</v>
      </c>
      <c r="G2115" t="n">
        <v>12.5</v>
      </c>
      <c r="H2115">
        <f>הגדרות!B7</f>
        <v/>
      </c>
      <c r="I2115">
        <f>F2115*(1-H2115/100)*1.18</f>
        <v/>
      </c>
      <c r="J2115">
        <f>הגדרות!C7</f>
        <v/>
      </c>
      <c r="K2115">
        <f>הגדרות!D7</f>
        <v/>
      </c>
      <c r="L2115">
        <f>I2115*(1+J2115/100)+K2115</f>
        <v/>
      </c>
    </row>
    <row r="2116">
      <c r="A2116" t="inlineStr">
        <is>
          <t>מדי-מרקט</t>
        </is>
      </c>
      <c r="B2116" t="inlineStr">
        <is>
          <t>Suxamethonium Chlorid Vuab 100 Powder For Solution For Inj</t>
        </is>
      </c>
      <c r="C2116" t="inlineStr">
        <is>
          <t>תרופות</t>
        </is>
      </c>
      <c r="D2116" t="inlineStr">
        <is>
          <t>25296-1</t>
        </is>
      </c>
      <c r="E2116" t="inlineStr">
        <is>
          <t>2026-06</t>
        </is>
      </c>
      <c r="F2116" t="n">
        <v>33.9</v>
      </c>
      <c r="G2116" t="n">
        <v>40</v>
      </c>
      <c r="H2116">
        <f>הגדרות!B7</f>
        <v/>
      </c>
      <c r="I2116">
        <f>F2116*(1-H2116/100)*1.18</f>
        <v/>
      </c>
      <c r="J2116">
        <f>הגדרות!C7</f>
        <v/>
      </c>
      <c r="K2116">
        <f>הגדרות!D7</f>
        <v/>
      </c>
      <c r="L2116">
        <f>I2116*(1+J2116/100)+K2116</f>
        <v/>
      </c>
    </row>
    <row r="2117">
      <c r="A2117" t="inlineStr">
        <is>
          <t>מדי-מרקט</t>
        </is>
      </c>
      <c r="B2117" t="inlineStr">
        <is>
          <t>Synthomycine Eye 5% 3.6Gr Oint</t>
        </is>
      </c>
      <c r="C2117" t="inlineStr">
        <is>
          <t>תרופות</t>
        </is>
      </c>
      <c r="D2117" t="inlineStr">
        <is>
          <t>1370</t>
        </is>
      </c>
      <c r="E2117" t="inlineStr">
        <is>
          <t>2026-06</t>
        </is>
      </c>
      <c r="F2117" t="n">
        <v>19.24</v>
      </c>
      <c r="G2117" t="n">
        <v>22.7</v>
      </c>
      <c r="H2117">
        <f>הגדרות!B7</f>
        <v/>
      </c>
      <c r="I2117">
        <f>F2117*(1-H2117/100)*1.18</f>
        <v/>
      </c>
      <c r="J2117">
        <f>הגדרות!C7</f>
        <v/>
      </c>
      <c r="K2117">
        <f>הגדרות!D7</f>
        <v/>
      </c>
      <c r="L2117">
        <f>I2117*(1+J2117/100)+K2117</f>
        <v/>
      </c>
    </row>
    <row r="2118">
      <c r="A2118" t="inlineStr">
        <is>
          <t>מדי-מרקט</t>
        </is>
      </c>
      <c r="B2118" t="inlineStr">
        <is>
          <t>Synthomycine סינטומיצין 3% משחה לעור 10 גר'</t>
        </is>
      </c>
      <c r="C2118" t="inlineStr">
        <is>
          <t>תרופות</t>
        </is>
      </c>
      <c r="D2118" t="inlineStr">
        <is>
          <t>1375</t>
        </is>
      </c>
      <c r="E2118" t="inlineStr">
        <is>
          <t>2026-06</t>
        </is>
      </c>
      <c r="F2118" t="n">
        <v>15.17</v>
      </c>
      <c r="G2118" t="n">
        <v>17.9</v>
      </c>
      <c r="H2118">
        <f>הגדרות!B7</f>
        <v/>
      </c>
      <c r="I2118">
        <f>F2118*(1-H2118/100)*1.18</f>
        <v/>
      </c>
      <c r="J2118">
        <f>הגדרות!C7</f>
        <v/>
      </c>
      <c r="K2118">
        <f>הגדרות!D7</f>
        <v/>
      </c>
      <c r="L2118">
        <f>I2118*(1+J2118/100)+K2118</f>
        <v/>
      </c>
    </row>
    <row r="2119">
      <c r="A2119" t="inlineStr">
        <is>
          <t>מדי-מרקט</t>
        </is>
      </c>
      <c r="B2119" t="inlineStr">
        <is>
          <t>Synthomycine סינטומצין 1G אמפ'*10</t>
        </is>
      </c>
      <c r="C2119" t="inlineStr">
        <is>
          <t>תרופות</t>
        </is>
      </c>
      <c r="D2119" t="inlineStr">
        <is>
          <t>1372</t>
        </is>
      </c>
      <c r="E2119" t="inlineStr">
        <is>
          <t>2026-06</t>
        </is>
      </c>
      <c r="F2119" t="n">
        <v>118.05</v>
      </c>
      <c r="G2119" t="n">
        <v>139.3</v>
      </c>
      <c r="H2119">
        <f>הגדרות!B7</f>
        <v/>
      </c>
      <c r="I2119">
        <f>F2119*(1-H2119/100)*1.18</f>
        <v/>
      </c>
      <c r="J2119">
        <f>הגדרות!C7</f>
        <v/>
      </c>
      <c r="K2119">
        <f>הגדרות!D7</f>
        <v/>
      </c>
      <c r="L2119">
        <f>I2119*(1+J2119/100)+K2119</f>
        <v/>
      </c>
    </row>
    <row r="2120">
      <c r="A2120" t="inlineStr">
        <is>
          <t>מדי-מרקט</t>
        </is>
      </c>
      <c r="B2120" t="inlineStr">
        <is>
          <t>SYR 3ML W/0 NDL L.L BX200</t>
        </is>
      </c>
      <c r="C2120" t="inlineStr">
        <is>
          <t>מזרקים,מחטים,ונפלונים,סקלפלים</t>
        </is>
      </c>
      <c r="D2120" t="inlineStr">
        <is>
          <t>BD309658</t>
        </is>
      </c>
      <c r="E2120" t="inlineStr">
        <is>
          <t>2026-06</t>
        </is>
      </c>
      <c r="F2120" t="n">
        <v>148.31</v>
      </c>
      <c r="G2120" t="n">
        <v>175</v>
      </c>
      <c r="H2120">
        <f>הגדרות!B7</f>
        <v/>
      </c>
      <c r="I2120">
        <f>F2120*(1-H2120/100)*1.18</f>
        <v/>
      </c>
      <c r="J2120">
        <f>הגדרות!C7</f>
        <v/>
      </c>
      <c r="K2120">
        <f>הגדרות!D7</f>
        <v/>
      </c>
      <c r="L2120">
        <f>I2120*(1+J2120/100)+K2120</f>
        <v/>
      </c>
    </row>
    <row r="2121">
      <c r="A2121" t="inlineStr">
        <is>
          <t>מדי-מרקט</t>
        </is>
      </c>
      <c r="B2121" t="inlineStr">
        <is>
          <t>Syr. Potassium Bromide KBr 25% w/v 100mL</t>
        </is>
      </c>
      <c r="C2121" t="inlineStr">
        <is>
          <t>הכנות בית מרקחת</t>
        </is>
      </c>
      <c r="D2121" t="inlineStr">
        <is>
          <t>6250</t>
        </is>
      </c>
      <c r="E2121" t="inlineStr">
        <is>
          <t>2026-06</t>
        </is>
      </c>
      <c r="F2121" t="n">
        <v>40.68</v>
      </c>
      <c r="G2121" t="n">
        <v>48</v>
      </c>
      <c r="H2121">
        <f>הגדרות!B7</f>
        <v/>
      </c>
      <c r="I2121">
        <f>F2121*(1-H2121/100)*1.18</f>
        <v/>
      </c>
      <c r="J2121">
        <f>הגדרות!C7</f>
        <v/>
      </c>
      <c r="K2121">
        <f>הגדרות!D7</f>
        <v/>
      </c>
      <c r="L2121">
        <f>I2121*(1+J2121/100)+K2121</f>
        <v/>
      </c>
    </row>
    <row r="2122">
      <c r="A2122" t="inlineStr">
        <is>
          <t>מדי-מרקט</t>
        </is>
      </c>
      <c r="B2122" t="inlineStr">
        <is>
          <t>Syr. Potassium Bromide KBr 25% w/v 500mL</t>
        </is>
      </c>
      <c r="C2122" t="inlineStr">
        <is>
          <t>הכנות בית מרקחת</t>
        </is>
      </c>
      <c r="D2122" t="inlineStr">
        <is>
          <t>6251</t>
        </is>
      </c>
      <c r="E2122" t="inlineStr">
        <is>
          <t>2026-06</t>
        </is>
      </c>
      <c r="F2122" t="n">
        <v>127.12</v>
      </c>
      <c r="G2122" t="n">
        <v>150</v>
      </c>
      <c r="H2122">
        <f>הגדרות!B7</f>
        <v/>
      </c>
      <c r="I2122">
        <f>F2122*(1-H2122/100)*1.18</f>
        <v/>
      </c>
      <c r="J2122">
        <f>הגדרות!C7</f>
        <v/>
      </c>
      <c r="K2122">
        <f>הגדרות!D7</f>
        <v/>
      </c>
      <c r="L2122">
        <f>I2122*(1+J2122/100)+K2122</f>
        <v/>
      </c>
    </row>
    <row r="2123">
      <c r="A2123" t="inlineStr">
        <is>
          <t>מדי-מרקט</t>
        </is>
      </c>
      <c r="B2123" t="inlineStr">
        <is>
          <t>Syr. Potassium Bromide KBr 50% w/v 500mL</t>
        </is>
      </c>
      <c r="C2123" t="inlineStr">
        <is>
          <t>הכנות בית מרקחת</t>
        </is>
      </c>
      <c r="D2123" t="inlineStr">
        <is>
          <t>64048</t>
        </is>
      </c>
      <c r="E2123" t="inlineStr">
        <is>
          <t>2026-06</t>
        </is>
      </c>
      <c r="F2123" t="n">
        <v>152.54</v>
      </c>
      <c r="G2123" t="n">
        <v>180</v>
      </c>
      <c r="H2123">
        <f>הגדרות!B7</f>
        <v/>
      </c>
      <c r="I2123">
        <f>F2123*(1-H2123/100)*1.18</f>
        <v/>
      </c>
      <c r="J2123">
        <f>הגדרות!C7</f>
        <v/>
      </c>
      <c r="K2123">
        <f>הגדרות!D7</f>
        <v/>
      </c>
      <c r="L2123">
        <f>I2123*(1+J2123/100)+K2123</f>
        <v/>
      </c>
    </row>
    <row r="2124">
      <c r="A2124" t="inlineStr">
        <is>
          <t>מדי-מרקט</t>
        </is>
      </c>
      <c r="B2124" t="inlineStr">
        <is>
          <t>SYVAQUINOL 10% ORAL 1 L - Enrofloxacin</t>
        </is>
      </c>
      <c r="C2124" t="inlineStr">
        <is>
          <t>תרופות</t>
        </is>
      </c>
      <c r="D2124" t="inlineStr">
        <is>
          <t>1075</t>
        </is>
      </c>
      <c r="E2124" t="inlineStr">
        <is>
          <t>2026-06</t>
        </is>
      </c>
      <c r="F2124" t="n">
        <v>203.39</v>
      </c>
      <c r="G2124" t="n">
        <v>240</v>
      </c>
      <c r="H2124">
        <f>הגדרות!B7</f>
        <v/>
      </c>
      <c r="I2124">
        <f>F2124*(1-H2124/100)*1.18</f>
        <v/>
      </c>
      <c r="J2124">
        <f>הגדרות!C7</f>
        <v/>
      </c>
      <c r="K2124">
        <f>הגדרות!D7</f>
        <v/>
      </c>
      <c r="L2124">
        <f>I2124*(1+J2124/100)+K2124</f>
        <v/>
      </c>
    </row>
    <row r="2125">
      <c r="A2125" t="inlineStr">
        <is>
          <t>מדי-מרקט</t>
        </is>
      </c>
      <c r="B2125" t="inlineStr">
        <is>
          <t>T.D. GEL Mirtazapine 3Mg/0.1Ml 0.5Ml X2 Syringes</t>
        </is>
      </c>
      <c r="C2125" t="inlineStr">
        <is>
          <t>הכנות בית מרקחת</t>
        </is>
      </c>
      <c r="D2125" t="inlineStr">
        <is>
          <t>346503</t>
        </is>
      </c>
      <c r="E2125" t="inlineStr">
        <is>
          <t>2026-06</t>
        </is>
      </c>
      <c r="F2125" t="n">
        <v>6.3</v>
      </c>
      <c r="G2125" t="n">
        <v>7.43</v>
      </c>
      <c r="H2125">
        <f>הגדרות!B7</f>
        <v/>
      </c>
      <c r="I2125">
        <f>F2125*(1-H2125/100)*1.18</f>
        <v/>
      </c>
      <c r="J2125">
        <f>הגדרות!C7</f>
        <v/>
      </c>
      <c r="K2125">
        <f>הגדרות!D7</f>
        <v/>
      </c>
      <c r="L2125">
        <f>I2125*(1+J2125/100)+K2125</f>
        <v/>
      </c>
    </row>
    <row r="2126">
      <c r="A2126" t="inlineStr">
        <is>
          <t>מדי-מרקט</t>
        </is>
      </c>
      <c r="B2126" t="inlineStr">
        <is>
          <t>Tacrolimus 0.03% Ophthalmic Sol. 10Ml</t>
        </is>
      </c>
      <c r="C2126" t="inlineStr">
        <is>
          <t>הכנות בית מרקחת</t>
        </is>
      </c>
      <c r="D2126" t="inlineStr">
        <is>
          <t>8965361</t>
        </is>
      </c>
      <c r="E2126" t="inlineStr">
        <is>
          <t>2026-06</t>
        </is>
      </c>
      <c r="F2126" t="n">
        <v>127.12</v>
      </c>
      <c r="G2126" t="n">
        <v>150</v>
      </c>
      <c r="H2126">
        <f>הגדרות!B7</f>
        <v/>
      </c>
      <c r="I2126">
        <f>F2126*(1-H2126/100)*1.18</f>
        <v/>
      </c>
      <c r="J2126">
        <f>הגדרות!C7</f>
        <v/>
      </c>
      <c r="K2126">
        <f>הגדרות!D7</f>
        <v/>
      </c>
      <c r="L2126">
        <f>I2126*(1+J2126/100)+K2126</f>
        <v/>
      </c>
    </row>
    <row r="2127">
      <c r="A2127" t="inlineStr">
        <is>
          <t>מדי-מרקט</t>
        </is>
      </c>
      <c r="B2127" t="inlineStr">
        <is>
          <t>Tacrolimus 0.03% Ophthalmic Sol. 5Ml</t>
        </is>
      </c>
      <c r="C2127" t="inlineStr">
        <is>
          <t>הכנות בית מרקחת</t>
        </is>
      </c>
      <c r="D2127" t="inlineStr">
        <is>
          <t>896536</t>
        </is>
      </c>
      <c r="E2127" t="inlineStr">
        <is>
          <t>2026-06</t>
        </is>
      </c>
      <c r="F2127" t="n">
        <v>76.27</v>
      </c>
      <c r="G2127" t="n">
        <v>90</v>
      </c>
      <c r="H2127">
        <f>הגדרות!B7</f>
        <v/>
      </c>
      <c r="I2127">
        <f>F2127*(1-H2127/100)*1.18</f>
        <v/>
      </c>
      <c r="J2127">
        <f>הגדרות!C7</f>
        <v/>
      </c>
      <c r="K2127">
        <f>הגדרות!D7</f>
        <v/>
      </c>
      <c r="L2127">
        <f>I2127*(1+J2127/100)+K2127</f>
        <v/>
      </c>
    </row>
    <row r="2128">
      <c r="A2128" t="inlineStr">
        <is>
          <t>מדי-מרקט</t>
        </is>
      </c>
      <c r="B2128" t="inlineStr">
        <is>
          <t>TAGRISSO 80MG 30 TABS</t>
        </is>
      </c>
      <c r="C2128" t="inlineStr">
        <is>
          <t>תרופות</t>
        </is>
      </c>
      <c r="D2128" t="inlineStr">
        <is>
          <t>600495</t>
        </is>
      </c>
      <c r="E2128" t="inlineStr">
        <is>
          <t>2026-06</t>
        </is>
      </c>
      <c r="F2128" t="n">
        <v>24829.66</v>
      </c>
      <c r="G2128" t="n">
        <v>29299</v>
      </c>
      <c r="H2128">
        <f>הגדרות!B7</f>
        <v/>
      </c>
      <c r="I2128">
        <f>F2128*(1-H2128/100)*1.18</f>
        <v/>
      </c>
      <c r="J2128">
        <f>הגדרות!C7</f>
        <v/>
      </c>
      <c r="K2128">
        <f>הגדרות!D7</f>
        <v/>
      </c>
      <c r="L2128">
        <f>I2128*(1+J2128/100)+K2128</f>
        <v/>
      </c>
    </row>
    <row r="2129">
      <c r="A2129" t="inlineStr">
        <is>
          <t>מדי-מרקט</t>
        </is>
      </c>
      <c r="B2129" t="inlineStr">
        <is>
          <t>Tamsulin 0.4Mg  X 30Caps</t>
        </is>
      </c>
      <c r="C2129" t="inlineStr">
        <is>
          <t>תרופות</t>
        </is>
      </c>
      <c r="D2129" t="inlineStr">
        <is>
          <t>12563</t>
        </is>
      </c>
      <c r="E2129" t="inlineStr">
        <is>
          <t>2026-06</t>
        </is>
      </c>
      <c r="F2129" t="n">
        <v>27.97</v>
      </c>
      <c r="G2129" t="n">
        <v>33</v>
      </c>
      <c r="H2129">
        <f>הגדרות!B7</f>
        <v/>
      </c>
      <c r="I2129">
        <f>F2129*(1-H2129/100)*1.18</f>
        <v/>
      </c>
      <c r="J2129">
        <f>הגדרות!C7</f>
        <v/>
      </c>
      <c r="K2129">
        <f>הגדרות!D7</f>
        <v/>
      </c>
      <c r="L2129">
        <f>I2129*(1+J2129/100)+K2129</f>
        <v/>
      </c>
    </row>
    <row r="2130">
      <c r="A2130" t="inlineStr">
        <is>
          <t>מדי-מרקט</t>
        </is>
      </c>
      <c r="B2130" t="inlineStr">
        <is>
          <t>Tardyferon 30 Tab</t>
        </is>
      </c>
      <c r="C2130" t="inlineStr">
        <is>
          <t>תרופות</t>
        </is>
      </c>
      <c r="D2130" t="inlineStr">
        <is>
          <t>652413</t>
        </is>
      </c>
      <c r="E2130" t="inlineStr">
        <is>
          <t>2026-06</t>
        </is>
      </c>
      <c r="F2130" t="n">
        <v>21.95</v>
      </c>
      <c r="G2130" t="n">
        <v>25.9</v>
      </c>
      <c r="H2130">
        <f>הגדרות!B7</f>
        <v/>
      </c>
      <c r="I2130">
        <f>F2130*(1-H2130/100)*1.18</f>
        <v/>
      </c>
      <c r="J2130">
        <f>הגדרות!C7</f>
        <v/>
      </c>
      <c r="K2130">
        <f>הגדרות!D7</f>
        <v/>
      </c>
      <c r="L2130">
        <f>I2130*(1+J2130/100)+K2130</f>
        <v/>
      </c>
    </row>
    <row r="2131">
      <c r="A2131" t="inlineStr">
        <is>
          <t>מדי-מרקט</t>
        </is>
      </c>
      <c r="B2131" t="inlineStr">
        <is>
          <t>Targin 10Mg 20 Tabs</t>
        </is>
      </c>
      <c r="C2131" t="inlineStr">
        <is>
          <t>תרופות</t>
        </is>
      </c>
      <c r="D2131" t="inlineStr">
        <is>
          <t>20682</t>
        </is>
      </c>
      <c r="E2131" t="inlineStr">
        <is>
          <t>2026-06</t>
        </is>
      </c>
      <c r="F2131" t="n">
        <v>28.37</v>
      </c>
      <c r="G2131" t="n">
        <v>33.48</v>
      </c>
      <c r="H2131">
        <f>הגדרות!B7</f>
        <v/>
      </c>
      <c r="I2131">
        <f>F2131*(1-H2131/100)*1.18</f>
        <v/>
      </c>
      <c r="J2131">
        <f>הגדרות!C7</f>
        <v/>
      </c>
      <c r="K2131">
        <f>הגדרות!D7</f>
        <v/>
      </c>
      <c r="L2131">
        <f>I2131*(1+J2131/100)+K2131</f>
        <v/>
      </c>
    </row>
    <row r="2132">
      <c r="A2132" t="inlineStr">
        <is>
          <t>מדי-מרקט</t>
        </is>
      </c>
      <c r="B2132" t="inlineStr">
        <is>
          <t>Tavanic 500Mg X 5Tabs</t>
        </is>
      </c>
      <c r="C2132" t="inlineStr">
        <is>
          <t>תרופות</t>
        </is>
      </c>
      <c r="D2132" t="inlineStr">
        <is>
          <t>20105</t>
        </is>
      </c>
      <c r="E2132" t="inlineStr">
        <is>
          <t>2026-06</t>
        </is>
      </c>
      <c r="F2132" t="n">
        <v>28.98</v>
      </c>
      <c r="G2132" t="n">
        <v>34.2</v>
      </c>
      <c r="H2132">
        <f>הגדרות!B7</f>
        <v/>
      </c>
      <c r="I2132">
        <f>F2132*(1-H2132/100)*1.18</f>
        <v/>
      </c>
      <c r="J2132">
        <f>הגדרות!C7</f>
        <v/>
      </c>
      <c r="K2132">
        <f>הגדרות!D7</f>
        <v/>
      </c>
      <c r="L2132">
        <f>I2132*(1+J2132/100)+K2132</f>
        <v/>
      </c>
    </row>
    <row r="2133">
      <c r="A2133" t="inlineStr">
        <is>
          <t>מדי-מרקט</t>
        </is>
      </c>
      <c r="B2133" t="inlineStr">
        <is>
          <t>TDM1 -KADCYLA 100 MG</t>
        </is>
      </c>
      <c r="C2133" t="inlineStr">
        <is>
          <t>תרופות</t>
        </is>
      </c>
      <c r="D2133" t="inlineStr">
        <is>
          <t>29687</t>
        </is>
      </c>
      <c r="E2133" t="inlineStr">
        <is>
          <t>2026-06</t>
        </is>
      </c>
      <c r="F2133" t="n">
        <v>6512.73</v>
      </c>
      <c r="G2133" t="n">
        <v>7685.02</v>
      </c>
      <c r="H2133">
        <f>הגדרות!B7</f>
        <v/>
      </c>
      <c r="I2133">
        <f>F2133*(1-H2133/100)*1.18</f>
        <v/>
      </c>
      <c r="J2133">
        <f>הגדרות!C7</f>
        <v/>
      </c>
      <c r="K2133">
        <f>הגדרות!D7</f>
        <v/>
      </c>
      <c r="L2133">
        <f>I2133*(1+J2133/100)+K2133</f>
        <v/>
      </c>
    </row>
    <row r="2134">
      <c r="A2134" t="inlineStr">
        <is>
          <t>מדי-מרקט</t>
        </is>
      </c>
      <c r="B2134" t="inlineStr">
        <is>
          <t>TDM1 -KADCYLA 160 MG</t>
        </is>
      </c>
      <c r="C2134" t="inlineStr">
        <is>
          <t>תרופות</t>
        </is>
      </c>
      <c r="D2134" t="inlineStr">
        <is>
          <t>85696</t>
        </is>
      </c>
      <c r="E2134" t="inlineStr">
        <is>
          <t>2026-06</t>
        </is>
      </c>
      <c r="F2134" t="n">
        <v>10420.37</v>
      </c>
      <c r="G2134" t="n">
        <v>12296.04</v>
      </c>
      <c r="H2134">
        <f>הגדרות!B7</f>
        <v/>
      </c>
      <c r="I2134">
        <f>F2134*(1-H2134/100)*1.18</f>
        <v/>
      </c>
      <c r="J2134">
        <f>הגדרות!C7</f>
        <v/>
      </c>
      <c r="K2134">
        <f>הגדרות!D7</f>
        <v/>
      </c>
      <c r="L2134">
        <f>I2134*(1+J2134/100)+K2134</f>
        <v/>
      </c>
    </row>
    <row r="2135">
      <c r="A2135" t="inlineStr">
        <is>
          <t>מדי-מרקט</t>
        </is>
      </c>
      <c r="B2135" t="inlineStr">
        <is>
          <t>Tegretol 200 Mg Tabs: 50</t>
        </is>
      </c>
      <c r="C2135" t="inlineStr">
        <is>
          <t>תרופות</t>
        </is>
      </c>
      <c r="D2135" t="inlineStr">
        <is>
          <t>895632</t>
        </is>
      </c>
      <c r="E2135" t="inlineStr">
        <is>
          <t>2026-06</t>
        </is>
      </c>
      <c r="F2135" t="n">
        <v>16.78</v>
      </c>
      <c r="G2135" t="n">
        <v>19.8</v>
      </c>
      <c r="H2135">
        <f>הגדרות!B7</f>
        <v/>
      </c>
      <c r="I2135">
        <f>F2135*(1-H2135/100)*1.18</f>
        <v/>
      </c>
      <c r="J2135">
        <f>הגדרות!C7</f>
        <v/>
      </c>
      <c r="K2135">
        <f>הגדרות!D7</f>
        <v/>
      </c>
      <c r="L2135">
        <f>I2135*(1+J2135/100)+K2135</f>
        <v/>
      </c>
    </row>
    <row r="2136">
      <c r="A2136" t="inlineStr">
        <is>
          <t>מדי-מרקט</t>
        </is>
      </c>
      <c r="B2136" t="inlineStr">
        <is>
          <t>Tegretol Cr 200Mg X 50Tabs</t>
        </is>
      </c>
      <c r="C2136" t="inlineStr">
        <is>
          <t>תרופות</t>
        </is>
      </c>
      <c r="D2136" t="inlineStr">
        <is>
          <t>25322</t>
        </is>
      </c>
      <c r="E2136" t="inlineStr">
        <is>
          <t>2026-06</t>
        </is>
      </c>
      <c r="F2136" t="n">
        <v>16.52</v>
      </c>
      <c r="G2136" t="n">
        <v>19.49</v>
      </c>
      <c r="H2136">
        <f>הגדרות!B7</f>
        <v/>
      </c>
      <c r="I2136">
        <f>F2136*(1-H2136/100)*1.18</f>
        <v/>
      </c>
      <c r="J2136">
        <f>הגדרות!C7</f>
        <v/>
      </c>
      <c r="K2136">
        <f>הגדרות!D7</f>
        <v/>
      </c>
      <c r="L2136">
        <f>I2136*(1+J2136/100)+K2136</f>
        <v/>
      </c>
    </row>
    <row r="2137">
      <c r="A2137" t="inlineStr">
        <is>
          <t>מדי-מרקט</t>
        </is>
      </c>
      <c r="B2137" t="inlineStr">
        <is>
          <t>Tegretol Cr 400Mg X 30Tabs</t>
        </is>
      </c>
      <c r="C2137" t="inlineStr">
        <is>
          <t>תרופות</t>
        </is>
      </c>
      <c r="D2137" t="inlineStr">
        <is>
          <t>20480</t>
        </is>
      </c>
      <c r="E2137" t="inlineStr">
        <is>
          <t>2026-06</t>
        </is>
      </c>
      <c r="F2137" t="n">
        <v>15.17</v>
      </c>
      <c r="G2137" t="n">
        <v>17.9</v>
      </c>
      <c r="H2137">
        <f>הגדרות!B7</f>
        <v/>
      </c>
      <c r="I2137">
        <f>F2137*(1-H2137/100)*1.18</f>
        <v/>
      </c>
      <c r="J2137">
        <f>הגדרות!C7</f>
        <v/>
      </c>
      <c r="K2137">
        <f>הגדרות!D7</f>
        <v/>
      </c>
      <c r="L2137">
        <f>I2137*(1+J2137/100)+K2137</f>
        <v/>
      </c>
    </row>
    <row r="2138">
      <c r="A2138" t="inlineStr">
        <is>
          <t>מדי-מרקט</t>
        </is>
      </c>
      <c r="B2138" t="inlineStr">
        <is>
          <t>TEICOPLANIN SEACROSS 200 MG pwd. for sol.for inj. or oral</t>
        </is>
      </c>
      <c r="C2138" t="inlineStr">
        <is>
          <t>29 יבוא תרופות הומניות חו"ל</t>
        </is>
      </c>
      <c r="D2138" t="inlineStr">
        <is>
          <t>358756</t>
        </is>
      </c>
      <c r="E2138" t="inlineStr">
        <is>
          <t>2026-06</t>
        </is>
      </c>
      <c r="F2138" t="n">
        <v>24.32</v>
      </c>
      <c r="G2138" t="n">
        <v>28.7</v>
      </c>
      <c r="H2138">
        <f>הגדרות!B7</f>
        <v/>
      </c>
      <c r="I2138">
        <f>F2138*(1-H2138/100)*1.18</f>
        <v/>
      </c>
      <c r="J2138">
        <f>הגדרות!C7</f>
        <v/>
      </c>
      <c r="K2138">
        <f>הגדרות!D7</f>
        <v/>
      </c>
      <c r="L2138">
        <f>I2138*(1+J2138/100)+K2138</f>
        <v/>
      </c>
    </row>
    <row r="2139">
      <c r="A2139" t="inlineStr">
        <is>
          <t>מדי-מרקט</t>
        </is>
      </c>
      <c r="B2139" t="inlineStr">
        <is>
          <t>Telfast 180 Mg 15 Tab טלפסט 180מ"ג 15 טב'</t>
        </is>
      </c>
      <c r="C2139" t="inlineStr">
        <is>
          <t>תרופות</t>
        </is>
      </c>
      <c r="D2139" t="inlineStr">
        <is>
          <t>30289</t>
        </is>
      </c>
      <c r="E2139" t="inlineStr">
        <is>
          <t>2026-06</t>
        </is>
      </c>
      <c r="F2139" t="n">
        <v>13.27</v>
      </c>
      <c r="G2139" t="n">
        <v>15.66</v>
      </c>
      <c r="H2139">
        <f>הגדרות!B7</f>
        <v/>
      </c>
      <c r="I2139">
        <f>F2139*(1-H2139/100)*1.18</f>
        <v/>
      </c>
      <c r="J2139">
        <f>הגדרות!C7</f>
        <v/>
      </c>
      <c r="K2139">
        <f>הגדרות!D7</f>
        <v/>
      </c>
      <c r="L2139">
        <f>I2139*(1+J2139/100)+K2139</f>
        <v/>
      </c>
    </row>
    <row r="2140">
      <c r="A2140" t="inlineStr">
        <is>
          <t>מדי-מרקט</t>
        </is>
      </c>
      <c r="B2140" t="inlineStr">
        <is>
          <t>Terbulin Resp 10Mg/Ml 15Ml Sol</t>
        </is>
      </c>
      <c r="C2140" t="inlineStr">
        <is>
          <t>תרופות</t>
        </is>
      </c>
      <c r="D2140" t="inlineStr">
        <is>
          <t>31322</t>
        </is>
      </c>
      <c r="E2140" t="inlineStr">
        <is>
          <t>2026-06</t>
        </is>
      </c>
      <c r="F2140" t="n">
        <v>14.58</v>
      </c>
      <c r="G2140" t="n">
        <v>17.2</v>
      </c>
      <c r="H2140">
        <f>הגדרות!B7</f>
        <v/>
      </c>
      <c r="I2140">
        <f>F2140*(1-H2140/100)*1.18</f>
        <v/>
      </c>
      <c r="J2140">
        <f>הגדרות!C7</f>
        <v/>
      </c>
      <c r="K2140">
        <f>הגדרות!D7</f>
        <v/>
      </c>
      <c r="L2140">
        <f>I2140*(1+J2140/100)+K2140</f>
        <v/>
      </c>
    </row>
    <row r="2141">
      <c r="A2141" t="inlineStr">
        <is>
          <t>מדי-מרקט</t>
        </is>
      </c>
      <c r="B2141" t="inlineStr">
        <is>
          <t>TETRACOSACTIDE 1MG/1ML (SYNACTEN DEPOT)/ MEDOMIE 10AMP</t>
        </is>
      </c>
      <c r="C2141" t="inlineStr">
        <is>
          <t>29 יבוא תרופות הומניות חו"ל</t>
        </is>
      </c>
      <c r="D2141" t="inlineStr">
        <is>
          <t>598568</t>
        </is>
      </c>
      <c r="E2141" t="inlineStr">
        <is>
          <t>2026-06</t>
        </is>
      </c>
      <c r="F2141" t="n">
        <v>974.58</v>
      </c>
      <c r="G2141" t="n">
        <v>1150</v>
      </c>
      <c r="H2141">
        <f>הגדרות!B7</f>
        <v/>
      </c>
      <c r="I2141">
        <f>F2141*(1-H2141/100)*1.18</f>
        <v/>
      </c>
      <c r="J2141">
        <f>הגדרות!C7</f>
        <v/>
      </c>
      <c r="K2141">
        <f>הגדרות!D7</f>
        <v/>
      </c>
      <c r="L2141">
        <f>I2141*(1+J2141/100)+K2141</f>
        <v/>
      </c>
    </row>
    <row r="2142">
      <c r="A2142" t="inlineStr">
        <is>
          <t>מדי-מרקט</t>
        </is>
      </c>
      <c r="B2142" t="inlineStr">
        <is>
          <t>Teva Cold 2*10 Tabs טבע קולד-(קולדקס) 20 טב</t>
        </is>
      </c>
      <c r="C2142" t="inlineStr">
        <is>
          <t>תרופות</t>
        </is>
      </c>
      <c r="D2142" t="inlineStr">
        <is>
          <t>8711</t>
        </is>
      </c>
      <c r="E2142" t="inlineStr">
        <is>
          <t>2026-06</t>
        </is>
      </c>
      <c r="F2142" t="n">
        <v>12.7</v>
      </c>
      <c r="G2142" t="n">
        <v>14.99</v>
      </c>
      <c r="H2142">
        <f>הגדרות!B7</f>
        <v/>
      </c>
      <c r="I2142">
        <f>F2142*(1-H2142/100)*1.18</f>
        <v/>
      </c>
      <c r="J2142">
        <f>הגדרות!C7</f>
        <v/>
      </c>
      <c r="K2142">
        <f>הגדרות!D7</f>
        <v/>
      </c>
      <c r="L2142">
        <f>I2142*(1+J2142/100)+K2142</f>
        <v/>
      </c>
    </row>
    <row r="2143">
      <c r="A2143" t="inlineStr">
        <is>
          <t>מדי-מרקט</t>
        </is>
      </c>
      <c r="B2143" t="inlineStr">
        <is>
          <t>Tevacutan Cream 15 Gr טבעקוטן 15 גרם</t>
        </is>
      </c>
      <c r="C2143" t="inlineStr">
        <is>
          <t>תרופות</t>
        </is>
      </c>
      <c r="D2143" t="inlineStr">
        <is>
          <t>6915</t>
        </is>
      </c>
      <c r="E2143" t="inlineStr">
        <is>
          <t>2026-06</t>
        </is>
      </c>
      <c r="F2143" t="n">
        <v>18.93</v>
      </c>
      <c r="G2143" t="n">
        <v>22.34</v>
      </c>
      <c r="H2143">
        <f>הגדרות!B7</f>
        <v/>
      </c>
      <c r="I2143">
        <f>F2143*(1-H2143/100)*1.18</f>
        <v/>
      </c>
      <c r="J2143">
        <f>הגדרות!C7</f>
        <v/>
      </c>
      <c r="K2143">
        <f>הגדרות!D7</f>
        <v/>
      </c>
      <c r="L2143">
        <f>I2143*(1+J2143/100)+K2143</f>
        <v/>
      </c>
    </row>
    <row r="2144">
      <c r="A2144" t="inlineStr">
        <is>
          <t>מדי-מרקט</t>
        </is>
      </c>
      <c r="B2144" t="inlineStr">
        <is>
          <t>Tevaderm Cream 15Gr טבעדרם קרם 15 גר'</t>
        </is>
      </c>
      <c r="C2144" t="inlineStr">
        <is>
          <t>תרופות</t>
        </is>
      </c>
      <c r="D2144" t="inlineStr">
        <is>
          <t>1226</t>
        </is>
      </c>
      <c r="E2144" t="inlineStr">
        <is>
          <t>2026-06</t>
        </is>
      </c>
      <c r="F2144" t="n">
        <v>17.8</v>
      </c>
      <c r="G2144" t="n">
        <v>21</v>
      </c>
      <c r="H2144">
        <f>הגדרות!B7</f>
        <v/>
      </c>
      <c r="I2144">
        <f>F2144*(1-H2144/100)*1.18</f>
        <v/>
      </c>
      <c r="J2144">
        <f>הגדרות!C7</f>
        <v/>
      </c>
      <c r="K2144">
        <f>הגדרות!D7</f>
        <v/>
      </c>
      <c r="L2144">
        <f>I2144*(1+J2144/100)+K2144</f>
        <v/>
      </c>
    </row>
    <row r="2145">
      <c r="A2145" t="inlineStr">
        <is>
          <t>מדי-מרקט</t>
        </is>
      </c>
      <c r="B2145" t="inlineStr">
        <is>
          <t>Theotrim תאוטרים 300 מ"ג 30 טב'</t>
        </is>
      </c>
      <c r="C2145" t="inlineStr">
        <is>
          <t>תרופות</t>
        </is>
      </c>
      <c r="D2145" t="inlineStr">
        <is>
          <t>4225</t>
        </is>
      </c>
      <c r="E2145" t="inlineStr">
        <is>
          <t>2026-06</t>
        </is>
      </c>
      <c r="F2145" t="n">
        <v>10.55</v>
      </c>
      <c r="G2145" t="n">
        <v>12.45</v>
      </c>
      <c r="H2145">
        <f>הגדרות!B7</f>
        <v/>
      </c>
      <c r="I2145">
        <f>F2145*(1-H2145/100)*1.18</f>
        <v/>
      </c>
      <c r="J2145">
        <f>הגדרות!C7</f>
        <v/>
      </c>
      <c r="K2145">
        <f>הגדרות!D7</f>
        <v/>
      </c>
      <c r="L2145">
        <f>I2145*(1+J2145/100)+K2145</f>
        <v/>
      </c>
    </row>
    <row r="2146">
      <c r="A2146" t="inlineStr">
        <is>
          <t>מדי-מרקט</t>
        </is>
      </c>
      <c r="B2146" t="inlineStr">
        <is>
          <t>THERIOS 300MG 20X10 CEFALEXIN 200 TAB</t>
        </is>
      </c>
      <c r="C2146" t="inlineStr">
        <is>
          <t>29ג' וטרינרי CEVA</t>
        </is>
      </c>
      <c r="D2146" t="inlineStr">
        <is>
          <t>F30450Q</t>
        </is>
      </c>
      <c r="E2146" t="inlineStr">
        <is>
          <t>2026-06</t>
        </is>
      </c>
      <c r="F2146" t="n">
        <v>303.39</v>
      </c>
      <c r="G2146" t="n">
        <v>358</v>
      </c>
      <c r="H2146">
        <f>הגדרות!B7</f>
        <v/>
      </c>
      <c r="I2146">
        <f>F2146*(1-H2146/100)*1.18</f>
        <v/>
      </c>
      <c r="J2146">
        <f>הגדרות!C7</f>
        <v/>
      </c>
      <c r="K2146">
        <f>הגדרות!D7</f>
        <v/>
      </c>
      <c r="L2146">
        <f>I2146*(1+J2146/100)+K2146</f>
        <v/>
      </c>
    </row>
    <row r="2147">
      <c r="A2147" t="inlineStr">
        <is>
          <t>מדי-מרקט</t>
        </is>
      </c>
      <c r="B2147" t="inlineStr">
        <is>
          <t>THERIOS 750MG 20X10T CEFALEXIN 200 TAB</t>
        </is>
      </c>
      <c r="C2147" t="inlineStr">
        <is>
          <t>29ג' וטרינרי CEVA</t>
        </is>
      </c>
      <c r="D2147" t="inlineStr">
        <is>
          <t>F30460T</t>
        </is>
      </c>
      <c r="E2147" t="inlineStr">
        <is>
          <t>2026-06</t>
        </is>
      </c>
      <c r="F2147" t="n">
        <v>610.17</v>
      </c>
      <c r="G2147" t="n">
        <v>720</v>
      </c>
      <c r="H2147">
        <f>הגדרות!B7</f>
        <v/>
      </c>
      <c r="I2147">
        <f>F2147*(1-H2147/100)*1.18</f>
        <v/>
      </c>
      <c r="J2147">
        <f>הגדרות!C7</f>
        <v/>
      </c>
      <c r="K2147">
        <f>הגדרות!D7</f>
        <v/>
      </c>
      <c r="L2147">
        <f>I2147*(1+J2147/100)+K2147</f>
        <v/>
      </c>
    </row>
    <row r="2148">
      <c r="A2148" t="inlineStr">
        <is>
          <t>מדי-מרקט</t>
        </is>
      </c>
      <c r="B2148" t="inlineStr">
        <is>
          <t>THERIOS 75MG 20X10 CEFALEXIN 200 TAB</t>
        </is>
      </c>
      <c r="C2148" t="inlineStr">
        <is>
          <t>29ג' וטרינרי CEVA</t>
        </is>
      </c>
      <c r="D2148" t="inlineStr">
        <is>
          <t>F30530R</t>
        </is>
      </c>
      <c r="E2148" t="inlineStr">
        <is>
          <t>2026-06</t>
        </is>
      </c>
      <c r="F2148" t="n">
        <v>254.24</v>
      </c>
      <c r="G2148" t="n">
        <v>300</v>
      </c>
      <c r="H2148">
        <f>הגדרות!B7</f>
        <v/>
      </c>
      <c r="I2148">
        <f>F2148*(1-H2148/100)*1.18</f>
        <v/>
      </c>
      <c r="J2148">
        <f>הגדרות!C7</f>
        <v/>
      </c>
      <c r="K2148">
        <f>הגדרות!D7</f>
        <v/>
      </c>
      <c r="L2148">
        <f>I2148*(1+J2148/100)+K2148</f>
        <v/>
      </c>
    </row>
    <row r="2149">
      <c r="A2149" t="inlineStr">
        <is>
          <t>מדי-מרקט</t>
        </is>
      </c>
      <c r="B2149" t="inlineStr">
        <is>
          <t>Thiopental Inresa 0,5 g 10 vials</t>
        </is>
      </c>
      <c r="C2149" t="inlineStr">
        <is>
          <t>29 יבוא תרופות הומניות חו"ל</t>
        </is>
      </c>
      <c r="D2149" t="inlineStr">
        <is>
          <t>321458</t>
        </is>
      </c>
      <c r="E2149" t="inlineStr">
        <is>
          <t>2026-06</t>
        </is>
      </c>
      <c r="F2149" t="n">
        <v>139.35</v>
      </c>
      <c r="G2149" t="n">
        <v>164.43</v>
      </c>
      <c r="H2149">
        <f>הגדרות!B7</f>
        <v/>
      </c>
      <c r="I2149">
        <f>F2149*(1-H2149/100)*1.18</f>
        <v/>
      </c>
      <c r="J2149">
        <f>הגדרות!C7</f>
        <v/>
      </c>
      <c r="K2149">
        <f>הגדרות!D7</f>
        <v/>
      </c>
      <c r="L2149">
        <f>I2149*(1+J2149/100)+K2149</f>
        <v/>
      </c>
    </row>
    <row r="2150">
      <c r="A2150" t="inlineStr">
        <is>
          <t>מדי-מרקט</t>
        </is>
      </c>
      <c r="B2150" t="inlineStr">
        <is>
          <t>Thiotepa Riemser 100 Mg Powder For Sol. For Infusion(Il)</t>
        </is>
      </c>
      <c r="C2150" t="inlineStr">
        <is>
          <t>תרופות רשומות- מדי מרקט</t>
        </is>
      </c>
      <c r="D2150" t="inlineStr">
        <is>
          <t>568598</t>
        </is>
      </c>
      <c r="E2150" t="inlineStr">
        <is>
          <t>2026-06</t>
        </is>
      </c>
      <c r="F2150" t="n">
        <v>903.8099999999999</v>
      </c>
      <c r="G2150" t="n">
        <v>1066.5</v>
      </c>
      <c r="H2150">
        <f>הגדרות!B7</f>
        <v/>
      </c>
      <c r="I2150">
        <f>F2150*(1-H2150/100)*1.18</f>
        <v/>
      </c>
      <c r="J2150">
        <f>הגדרות!C7</f>
        <v/>
      </c>
      <c r="K2150">
        <f>הגדרות!D7</f>
        <v/>
      </c>
      <c r="L2150">
        <f>I2150*(1+J2150/100)+K2150</f>
        <v/>
      </c>
    </row>
    <row r="2151">
      <c r="A2151" t="inlineStr">
        <is>
          <t>מדי-מרקט</t>
        </is>
      </c>
      <c r="B2151" t="inlineStr">
        <is>
          <t>Threolone Oint: 10 G טראולון משחה 10 גר'</t>
        </is>
      </c>
      <c r="C2151" t="inlineStr">
        <is>
          <t>תרופות</t>
        </is>
      </c>
      <c r="D2151" t="inlineStr">
        <is>
          <t>6930</t>
        </is>
      </c>
      <c r="E2151" t="inlineStr">
        <is>
          <t>2026-06</t>
        </is>
      </c>
      <c r="F2151" t="n">
        <v>23.81</v>
      </c>
      <c r="G2151" t="n">
        <v>28.1</v>
      </c>
      <c r="H2151">
        <f>הגדרות!B7</f>
        <v/>
      </c>
      <c r="I2151">
        <f>F2151*(1-H2151/100)*1.18</f>
        <v/>
      </c>
      <c r="J2151">
        <f>הגדרות!C7</f>
        <v/>
      </c>
      <c r="K2151">
        <f>הגדרות!D7</f>
        <v/>
      </c>
      <c r="L2151">
        <f>I2151*(1+J2151/100)+K2151</f>
        <v/>
      </c>
    </row>
    <row r="2152">
      <c r="A2152" t="inlineStr">
        <is>
          <t>מדי-מרקט</t>
        </is>
      </c>
      <c r="B2152" t="inlineStr">
        <is>
          <t>Tinden  Gel 30 Gr ג'ל 30 גר'</t>
        </is>
      </c>
      <c r="C2152" t="inlineStr">
        <is>
          <t>תרופות</t>
        </is>
      </c>
      <c r="D2152" t="inlineStr">
        <is>
          <t>5379</t>
        </is>
      </c>
      <c r="E2152" t="inlineStr">
        <is>
          <t>2026-06</t>
        </is>
      </c>
      <c r="F2152" t="n">
        <v>13.57</v>
      </c>
      <c r="G2152" t="n">
        <v>16.01</v>
      </c>
      <c r="H2152">
        <f>הגדרות!B7</f>
        <v/>
      </c>
      <c r="I2152">
        <f>F2152*(1-H2152/100)*1.18</f>
        <v/>
      </c>
      <c r="J2152">
        <f>הגדרות!C7</f>
        <v/>
      </c>
      <c r="K2152">
        <f>הגדרות!D7</f>
        <v/>
      </c>
      <c r="L2152">
        <f>I2152*(1+J2152/100)+K2152</f>
        <v/>
      </c>
    </row>
    <row r="2153">
      <c r="A2153" t="inlineStr">
        <is>
          <t>מדי-מרקט</t>
        </is>
      </c>
      <c r="B2153" t="inlineStr">
        <is>
          <t>Tiptipot Ferripel-3 Drops</t>
        </is>
      </c>
      <c r="C2153" t="inlineStr">
        <is>
          <t>תרופות</t>
        </is>
      </c>
      <c r="D2153" t="inlineStr">
        <is>
          <t>1239653</t>
        </is>
      </c>
      <c r="E2153" t="inlineStr">
        <is>
          <t>2026-06</t>
        </is>
      </c>
      <c r="F2153" t="n">
        <v>35.59</v>
      </c>
      <c r="G2153" t="n">
        <v>42</v>
      </c>
      <c r="H2153">
        <f>הגדרות!B7</f>
        <v/>
      </c>
      <c r="I2153">
        <f>F2153*(1-H2153/100)*1.18</f>
        <v/>
      </c>
      <c r="J2153">
        <f>הגדרות!C7</f>
        <v/>
      </c>
      <c r="K2153">
        <f>הגדרות!D7</f>
        <v/>
      </c>
      <c r="L2153">
        <f>I2153*(1+J2153/100)+K2153</f>
        <v/>
      </c>
    </row>
    <row r="2154">
      <c r="A2154" t="inlineStr">
        <is>
          <t>מדי-מרקט</t>
        </is>
      </c>
      <c r="B2154" t="inlineStr">
        <is>
          <t>Tiptipot Novimol 100Mg/Ml 15Ml Suspension</t>
        </is>
      </c>
      <c r="C2154" t="inlineStr">
        <is>
          <t>תרופות</t>
        </is>
      </c>
      <c r="D2154" t="inlineStr">
        <is>
          <t>70583</t>
        </is>
      </c>
      <c r="E2154" t="inlineStr">
        <is>
          <t>2026-06</t>
        </is>
      </c>
      <c r="F2154" t="n">
        <v>16.31</v>
      </c>
      <c r="G2154" t="n">
        <v>19.25</v>
      </c>
      <c r="H2154">
        <f>הגדרות!B7</f>
        <v/>
      </c>
      <c r="I2154">
        <f>F2154*(1-H2154/100)*1.18</f>
        <v/>
      </c>
      <c r="J2154">
        <f>הגדרות!C7</f>
        <v/>
      </c>
      <c r="K2154">
        <f>הגדרות!D7</f>
        <v/>
      </c>
      <c r="L2154">
        <f>I2154*(1+J2154/100)+K2154</f>
        <v/>
      </c>
    </row>
    <row r="2155">
      <c r="A2155" t="inlineStr">
        <is>
          <t>מדי-מרקט</t>
        </is>
      </c>
      <c r="B2155" t="inlineStr">
        <is>
          <t>TIPTIPOT SIMICOL</t>
        </is>
      </c>
      <c r="C2155" t="inlineStr">
        <is>
          <t>תרופות</t>
        </is>
      </c>
      <c r="D2155" t="inlineStr">
        <is>
          <t>20333</t>
        </is>
      </c>
      <c r="E2155" t="inlineStr">
        <is>
          <t>2026-06</t>
        </is>
      </c>
      <c r="F2155" t="n">
        <v>21.95</v>
      </c>
      <c r="G2155" t="n">
        <v>25.9</v>
      </c>
      <c r="H2155">
        <f>הגדרות!B7</f>
        <v/>
      </c>
      <c r="I2155">
        <f>F2155*(1-H2155/100)*1.18</f>
        <v/>
      </c>
      <c r="J2155">
        <f>הגדרות!C7</f>
        <v/>
      </c>
      <c r="K2155">
        <f>הגדרות!D7</f>
        <v/>
      </c>
      <c r="L2155">
        <f>I2155*(1+J2155/100)+K2155</f>
        <v/>
      </c>
    </row>
    <row r="2156">
      <c r="A2156" t="inlineStr">
        <is>
          <t>מדי-מרקט</t>
        </is>
      </c>
      <c r="B2156" t="inlineStr">
        <is>
          <t>Tobrex Ocul Oint. 0.3% 3.5Gr טוברקס משחה 3.5 גר'</t>
        </is>
      </c>
      <c r="C2156" t="inlineStr">
        <is>
          <t>תרופות</t>
        </is>
      </c>
      <c r="D2156" t="inlineStr">
        <is>
          <t>4215</t>
        </is>
      </c>
      <c r="E2156" t="inlineStr">
        <is>
          <t>2026-06</t>
        </is>
      </c>
      <c r="F2156" t="n">
        <v>14.36</v>
      </c>
      <c r="G2156" t="n">
        <v>16.95</v>
      </c>
      <c r="H2156">
        <f>הגדרות!B7</f>
        <v/>
      </c>
      <c r="I2156">
        <f>F2156*(1-H2156/100)*1.18</f>
        <v/>
      </c>
      <c r="J2156">
        <f>הגדרות!C7</f>
        <v/>
      </c>
      <c r="K2156">
        <f>הגדרות!D7</f>
        <v/>
      </c>
      <c r="L2156">
        <f>I2156*(1+J2156/100)+K2156</f>
        <v/>
      </c>
    </row>
    <row r="2157">
      <c r="A2157" t="inlineStr">
        <is>
          <t>מדי-מרקט</t>
        </is>
      </c>
      <c r="B2157" t="inlineStr">
        <is>
          <t>TOBROM (TOBRAMYCIN)3MG/ML  5 ML E.D</t>
        </is>
      </c>
      <c r="C2157" t="inlineStr">
        <is>
          <t>29 יבוא תרופות הומניות חו"ל</t>
        </is>
      </c>
      <c r="D2157" t="inlineStr">
        <is>
          <t>258458</t>
        </is>
      </c>
      <c r="E2157" t="inlineStr">
        <is>
          <t>2026-06</t>
        </is>
      </c>
      <c r="F2157" t="n">
        <v>3.14</v>
      </c>
      <c r="G2157" t="n">
        <v>3.71</v>
      </c>
      <c r="H2157">
        <f>הגדרות!B7</f>
        <v/>
      </c>
      <c r="I2157">
        <f>F2157*(1-H2157/100)*1.18</f>
        <v/>
      </c>
      <c r="J2157">
        <f>הגדרות!C7</f>
        <v/>
      </c>
      <c r="K2157">
        <f>הגדרות!D7</f>
        <v/>
      </c>
      <c r="L2157">
        <f>I2157*(1+J2157/100)+K2157</f>
        <v/>
      </c>
    </row>
    <row r="2158">
      <c r="A2158" t="inlineStr">
        <is>
          <t>מדי-מרקט</t>
        </is>
      </c>
      <c r="B2158" t="inlineStr">
        <is>
          <t>TOPAMAX  SPRINKLE CAP 25mg 60 cap</t>
        </is>
      </c>
      <c r="C2158" t="inlineStr">
        <is>
          <t>29 יבוא תרופות הומניות חו"ל</t>
        </is>
      </c>
      <c r="D2158" t="inlineStr">
        <is>
          <t>658745</t>
        </is>
      </c>
      <c r="E2158" t="inlineStr">
        <is>
          <t>2026-06</t>
        </is>
      </c>
      <c r="F2158" t="n">
        <v>133.86</v>
      </c>
      <c r="G2158" t="n">
        <v>157.95</v>
      </c>
      <c r="H2158">
        <f>הגדרות!B7</f>
        <v/>
      </c>
      <c r="I2158">
        <f>F2158*(1-H2158/100)*1.18</f>
        <v/>
      </c>
      <c r="J2158">
        <f>הגדרות!C7</f>
        <v/>
      </c>
      <c r="K2158">
        <f>הגדרות!D7</f>
        <v/>
      </c>
      <c r="L2158">
        <f>I2158*(1+J2158/100)+K2158</f>
        <v/>
      </c>
    </row>
    <row r="2159">
      <c r="A2159" t="inlineStr">
        <is>
          <t>מדי-מרקט</t>
        </is>
      </c>
      <c r="B2159" t="inlineStr">
        <is>
          <t>Topamax 100 Mg 60 Tabs</t>
        </is>
      </c>
      <c r="C2159" t="inlineStr">
        <is>
          <t>תרופות</t>
        </is>
      </c>
      <c r="D2159" t="inlineStr">
        <is>
          <t>20165</t>
        </is>
      </c>
      <c r="E2159" t="inlineStr">
        <is>
          <t>2026-06</t>
        </is>
      </c>
      <c r="F2159" t="n">
        <v>116.2</v>
      </c>
      <c r="G2159" t="n">
        <v>137.12</v>
      </c>
      <c r="H2159">
        <f>הגדרות!B7</f>
        <v/>
      </c>
      <c r="I2159">
        <f>F2159*(1-H2159/100)*1.18</f>
        <v/>
      </c>
      <c r="J2159">
        <f>הגדרות!C7</f>
        <v/>
      </c>
      <c r="K2159">
        <f>הגדרות!D7</f>
        <v/>
      </c>
      <c r="L2159">
        <f>I2159*(1+J2159/100)+K2159</f>
        <v/>
      </c>
    </row>
    <row r="2160">
      <c r="A2160" t="inlineStr">
        <is>
          <t>מדי-מרקט</t>
        </is>
      </c>
      <c r="B2160" t="inlineStr">
        <is>
          <t>Topamax 25 Mg 60 Tabs</t>
        </is>
      </c>
      <c r="C2160" t="inlineStr">
        <is>
          <t>תרופות</t>
        </is>
      </c>
      <c r="D2160" t="inlineStr">
        <is>
          <t>20156</t>
        </is>
      </c>
      <c r="E2160" t="inlineStr">
        <is>
          <t>2026-06</t>
        </is>
      </c>
      <c r="F2160" t="n">
        <v>40.99</v>
      </c>
      <c r="G2160" t="n">
        <v>48.37</v>
      </c>
      <c r="H2160">
        <f>הגדרות!B7</f>
        <v/>
      </c>
      <c r="I2160">
        <f>F2160*(1-H2160/100)*1.18</f>
        <v/>
      </c>
      <c r="J2160">
        <f>הגדרות!C7</f>
        <v/>
      </c>
      <c r="K2160">
        <f>הגדרות!D7</f>
        <v/>
      </c>
      <c r="L2160">
        <f>I2160*(1+J2160/100)+K2160</f>
        <v/>
      </c>
    </row>
    <row r="2161">
      <c r="A2161" t="inlineStr">
        <is>
          <t>מדי-מרקט</t>
        </is>
      </c>
      <c r="B2161" t="inlineStr">
        <is>
          <t>Topamax 50Mg 60Tab</t>
        </is>
      </c>
      <c r="C2161" t="inlineStr">
        <is>
          <t>תרופות</t>
        </is>
      </c>
      <c r="D2161" t="inlineStr">
        <is>
          <t>6029</t>
        </is>
      </c>
      <c r="E2161" t="inlineStr">
        <is>
          <t>2026-06</t>
        </is>
      </c>
      <c r="F2161" t="n">
        <v>61.44</v>
      </c>
      <c r="G2161" t="n">
        <v>72.5</v>
      </c>
      <c r="H2161">
        <f>הגדרות!B7</f>
        <v/>
      </c>
      <c r="I2161">
        <f>F2161*(1-H2161/100)*1.18</f>
        <v/>
      </c>
      <c r="J2161">
        <f>הגדרות!C7</f>
        <v/>
      </c>
      <c r="K2161">
        <f>הגדרות!D7</f>
        <v/>
      </c>
      <c r="L2161">
        <f>I2161*(1+J2161/100)+K2161</f>
        <v/>
      </c>
    </row>
    <row r="2162">
      <c r="A2162" t="inlineStr">
        <is>
          <t>מדי-מרקט</t>
        </is>
      </c>
      <c r="B2162" t="inlineStr">
        <is>
          <t>TORSEMIDE 10MG TAB 100</t>
        </is>
      </c>
      <c r="C2162" t="inlineStr">
        <is>
          <t>29 יבוא תרופות הומניות חו"ל</t>
        </is>
      </c>
      <c r="D2162" t="inlineStr">
        <is>
          <t>254876</t>
        </is>
      </c>
      <c r="E2162" t="inlineStr">
        <is>
          <t>2026-06</t>
        </is>
      </c>
      <c r="F2162" t="n">
        <v>114.41</v>
      </c>
      <c r="G2162" t="n">
        <v>135</v>
      </c>
      <c r="H2162">
        <f>הגדרות!B7</f>
        <v/>
      </c>
      <c r="I2162">
        <f>F2162*(1-H2162/100)*1.18</f>
        <v/>
      </c>
      <c r="J2162">
        <f>הגדרות!C7</f>
        <v/>
      </c>
      <c r="K2162">
        <f>הגדרות!D7</f>
        <v/>
      </c>
      <c r="L2162">
        <f>I2162*(1+J2162/100)+K2162</f>
        <v/>
      </c>
    </row>
    <row r="2163">
      <c r="A2163" t="inlineStr">
        <is>
          <t>מדי-מרקט</t>
        </is>
      </c>
      <c r="B2163" t="inlineStr">
        <is>
          <t>Torva 20 Mg 30 Tabs</t>
        </is>
      </c>
      <c r="C2163" t="inlineStr">
        <is>
          <t>תרופות</t>
        </is>
      </c>
      <c r="D2163" t="inlineStr">
        <is>
          <t>205488</t>
        </is>
      </c>
      <c r="E2163" t="inlineStr">
        <is>
          <t>2026-06</t>
        </is>
      </c>
      <c r="F2163" t="n">
        <v>15.25</v>
      </c>
      <c r="G2163" t="n">
        <v>18</v>
      </c>
      <c r="H2163">
        <f>הגדרות!B7</f>
        <v/>
      </c>
      <c r="I2163">
        <f>F2163*(1-H2163/100)*1.18</f>
        <v/>
      </c>
      <c r="J2163">
        <f>הגדרות!C7</f>
        <v/>
      </c>
      <c r="K2163">
        <f>הגדרות!D7</f>
        <v/>
      </c>
      <c r="L2163">
        <f>I2163*(1+J2163/100)+K2163</f>
        <v/>
      </c>
    </row>
    <row r="2164">
      <c r="A2164" t="inlineStr">
        <is>
          <t>מדי-מרקט</t>
        </is>
      </c>
      <c r="B2164" t="inlineStr">
        <is>
          <t>Tramadex 100Mg X 10Tabs</t>
        </is>
      </c>
      <c r="C2164" t="inlineStr">
        <is>
          <t>תרופות</t>
        </is>
      </c>
      <c r="D2164" t="inlineStr">
        <is>
          <t>6991</t>
        </is>
      </c>
      <c r="E2164" t="inlineStr">
        <is>
          <t>2026-06</t>
        </is>
      </c>
      <c r="F2164" t="n">
        <v>15.17</v>
      </c>
      <c r="G2164" t="n">
        <v>17.9</v>
      </c>
      <c r="H2164">
        <f>הגדרות!B7</f>
        <v/>
      </c>
      <c r="I2164">
        <f>F2164*(1-H2164/100)*1.18</f>
        <v/>
      </c>
      <c r="J2164">
        <f>הגדרות!C7</f>
        <v/>
      </c>
      <c r="K2164">
        <f>הגדרות!D7</f>
        <v/>
      </c>
      <c r="L2164">
        <f>I2164*(1+J2164/100)+K2164</f>
        <v/>
      </c>
    </row>
    <row r="2165">
      <c r="A2165" t="inlineStr">
        <is>
          <t>מדי-מרקט</t>
        </is>
      </c>
      <c r="B2165" t="inlineStr">
        <is>
          <t>Tramadex 10Ml Drops</t>
        </is>
      </c>
      <c r="C2165" t="inlineStr">
        <is>
          <t>תרופות</t>
        </is>
      </c>
      <c r="D2165" t="inlineStr">
        <is>
          <t>32456</t>
        </is>
      </c>
      <c r="E2165" t="inlineStr">
        <is>
          <t>2026-06</t>
        </is>
      </c>
      <c r="F2165" t="n">
        <v>12.25</v>
      </c>
      <c r="G2165" t="n">
        <v>14.45</v>
      </c>
      <c r="H2165">
        <f>הגדרות!B7</f>
        <v/>
      </c>
      <c r="I2165">
        <f>F2165*(1-H2165/100)*1.18</f>
        <v/>
      </c>
      <c r="J2165">
        <f>הגדרות!C7</f>
        <v/>
      </c>
      <c r="K2165">
        <f>הגדרות!D7</f>
        <v/>
      </c>
      <c r="L2165">
        <f>I2165*(1+J2165/100)+K2165</f>
        <v/>
      </c>
    </row>
    <row r="2166">
      <c r="A2166" t="inlineStr">
        <is>
          <t>מדי-מרקט</t>
        </is>
      </c>
      <c r="B2166" t="inlineStr">
        <is>
          <t>Tramadex Flashtab 50Mg X 30Tab</t>
        </is>
      </c>
      <c r="C2166" t="inlineStr">
        <is>
          <t>תרופות</t>
        </is>
      </c>
      <c r="D2166" t="inlineStr">
        <is>
          <t>6992</t>
        </is>
      </c>
      <c r="E2166" t="inlineStr">
        <is>
          <t>2026-06</t>
        </is>
      </c>
      <c r="F2166" t="n">
        <v>19.32</v>
      </c>
      <c r="G2166" t="n">
        <v>22.8</v>
      </c>
      <c r="H2166">
        <f>הגדרות!B7</f>
        <v/>
      </c>
      <c r="I2166">
        <f>F2166*(1-H2166/100)*1.18</f>
        <v/>
      </c>
      <c r="J2166">
        <f>הגדרות!C7</f>
        <v/>
      </c>
      <c r="K2166">
        <f>הגדרות!D7</f>
        <v/>
      </c>
      <c r="L2166">
        <f>I2166*(1+J2166/100)+K2166</f>
        <v/>
      </c>
    </row>
    <row r="2167">
      <c r="A2167" t="inlineStr">
        <is>
          <t>מדי-מרקט</t>
        </is>
      </c>
      <c r="B2167" t="inlineStr">
        <is>
          <t>Tramadex Od 100Mgp.R X 30Tabs</t>
        </is>
      </c>
      <c r="C2167" t="inlineStr">
        <is>
          <t>תרופות</t>
        </is>
      </c>
      <c r="D2167" t="inlineStr">
        <is>
          <t>20641</t>
        </is>
      </c>
      <c r="E2167" t="inlineStr">
        <is>
          <t>2026-06</t>
        </is>
      </c>
      <c r="F2167" t="n">
        <v>27.29</v>
      </c>
      <c r="G2167" t="n">
        <v>32.2</v>
      </c>
      <c r="H2167">
        <f>הגדרות!B7</f>
        <v/>
      </c>
      <c r="I2167">
        <f>F2167*(1-H2167/100)*1.18</f>
        <v/>
      </c>
      <c r="J2167">
        <f>הגדרות!C7</f>
        <v/>
      </c>
      <c r="K2167">
        <f>הגדרות!D7</f>
        <v/>
      </c>
      <c r="L2167">
        <f>I2167*(1+J2167/100)+K2167</f>
        <v/>
      </c>
    </row>
    <row r="2168">
      <c r="A2168" t="inlineStr">
        <is>
          <t>מדי-מרקט</t>
        </is>
      </c>
      <c r="B2168" t="inlineStr">
        <is>
          <t>Tramadol - Kalceks 50 Mg/Ml 2Ml X 10 Amp(Il)</t>
        </is>
      </c>
      <c r="C2168" t="inlineStr">
        <is>
          <t>תרופות רשומות- מדי מרקט</t>
        </is>
      </c>
      <c r="D2168" t="inlineStr">
        <is>
          <t>258795</t>
        </is>
      </c>
      <c r="E2168" t="inlineStr">
        <is>
          <t>2026-06</t>
        </is>
      </c>
      <c r="F2168" t="n">
        <v>7.28</v>
      </c>
      <c r="G2168" t="n">
        <v>8.59</v>
      </c>
      <c r="H2168">
        <f>הגדרות!B7</f>
        <v/>
      </c>
      <c r="I2168">
        <f>F2168*(1-H2168/100)*1.18</f>
        <v/>
      </c>
      <c r="J2168">
        <f>הגדרות!C7</f>
        <v/>
      </c>
      <c r="K2168">
        <f>הגדרות!D7</f>
        <v/>
      </c>
      <c r="L2168">
        <f>I2168*(1+J2168/100)+K2168</f>
        <v/>
      </c>
    </row>
    <row r="2169">
      <c r="A2169" t="inlineStr">
        <is>
          <t>מדי-מרקט</t>
        </is>
      </c>
      <c r="B2169" t="inlineStr">
        <is>
          <t>Tramal Rt 100Mg X 30Tabs</t>
        </is>
      </c>
      <c r="C2169" t="inlineStr">
        <is>
          <t>תרופות</t>
        </is>
      </c>
      <c r="D2169" t="inlineStr">
        <is>
          <t>10476818</t>
        </is>
      </c>
      <c r="E2169" t="inlineStr">
        <is>
          <t>2026-06</t>
        </is>
      </c>
      <c r="F2169" t="n">
        <v>26.69</v>
      </c>
      <c r="G2169" t="n">
        <v>31.5</v>
      </c>
      <c r="H2169">
        <f>הגדרות!B7</f>
        <v/>
      </c>
      <c r="I2169">
        <f>F2169*(1-H2169/100)*1.18</f>
        <v/>
      </c>
      <c r="J2169">
        <f>הגדרות!C7</f>
        <v/>
      </c>
      <c r="K2169">
        <f>הגדרות!D7</f>
        <v/>
      </c>
      <c r="L2169">
        <f>I2169*(1+J2169/100)+K2169</f>
        <v/>
      </c>
    </row>
    <row r="2170">
      <c r="A2170" t="inlineStr">
        <is>
          <t>מדי-מרקט</t>
        </is>
      </c>
      <c r="B2170" t="inlineStr">
        <is>
          <t>Tramaraz 100Mg/Ml 10Ml Drops</t>
        </is>
      </c>
      <c r="C2170" t="inlineStr">
        <is>
          <t>תרופות</t>
        </is>
      </c>
      <c r="D2170" t="inlineStr">
        <is>
          <t>20831</t>
        </is>
      </c>
      <c r="E2170" t="inlineStr">
        <is>
          <t>2026-06</t>
        </is>
      </c>
      <c r="F2170" t="n">
        <v>10.3</v>
      </c>
      <c r="G2170" t="n">
        <v>12.15</v>
      </c>
      <c r="H2170">
        <f>הגדרות!B7</f>
        <v/>
      </c>
      <c r="I2170">
        <f>F2170*(1-H2170/100)*1.18</f>
        <v/>
      </c>
      <c r="J2170">
        <f>הגדרות!C7</f>
        <v/>
      </c>
      <c r="K2170">
        <f>הגדרות!D7</f>
        <v/>
      </c>
      <c r="L2170">
        <f>I2170*(1+J2170/100)+K2170</f>
        <v/>
      </c>
    </row>
    <row r="2171">
      <c r="A2171" t="inlineStr">
        <is>
          <t>מדי-מרקט</t>
        </is>
      </c>
      <c r="B2171" t="inlineStr">
        <is>
          <t>Tranexamic Medo 100 Mg/Ml 5 Ml 10 Amp Inj (Il)</t>
        </is>
      </c>
      <c r="C2171" t="inlineStr">
        <is>
          <t>תרופות רשומות- מדי מרקט</t>
        </is>
      </c>
      <c r="D2171" t="inlineStr">
        <is>
          <t>162-52-35399-00</t>
        </is>
      </c>
      <c r="E2171" t="inlineStr">
        <is>
          <t>2026-06</t>
        </is>
      </c>
      <c r="F2171" t="n">
        <v>101.69</v>
      </c>
      <c r="G2171" t="n">
        <v>120</v>
      </c>
      <c r="H2171">
        <f>הגדרות!B7</f>
        <v/>
      </c>
      <c r="I2171">
        <f>F2171*(1-H2171/100)*1.18</f>
        <v/>
      </c>
      <c r="J2171">
        <f>הגדרות!C7</f>
        <v/>
      </c>
      <c r="K2171">
        <f>הגדרות!D7</f>
        <v/>
      </c>
      <c r="L2171">
        <f>I2171*(1+J2171/100)+K2171</f>
        <v/>
      </c>
    </row>
    <row r="2172">
      <c r="A2172" t="inlineStr">
        <is>
          <t>מדי-מרקט</t>
        </is>
      </c>
      <c r="B2172" t="inlineStr">
        <is>
          <t>Traumeel - טראומיל משחה הומיאופתית 100 גרם</t>
        </is>
      </c>
      <c r="C2172" t="inlineStr">
        <is>
          <t>תרופות</t>
        </is>
      </c>
      <c r="D2172" t="inlineStr">
        <is>
          <t>65309</t>
        </is>
      </c>
      <c r="E2172" t="inlineStr">
        <is>
          <t>2026-06</t>
        </is>
      </c>
      <c r="F2172" t="n">
        <v>83.90000000000001</v>
      </c>
      <c r="G2172" t="n">
        <v>99</v>
      </c>
      <c r="H2172">
        <f>הגדרות!B7</f>
        <v/>
      </c>
      <c r="I2172">
        <f>F2172*(1-H2172/100)*1.18</f>
        <v/>
      </c>
      <c r="J2172">
        <f>הגדרות!C7</f>
        <v/>
      </c>
      <c r="K2172">
        <f>הגדרות!D7</f>
        <v/>
      </c>
      <c r="L2172">
        <f>I2172*(1+J2172/100)+K2172</f>
        <v/>
      </c>
    </row>
    <row r="2173">
      <c r="A2173" t="inlineStr">
        <is>
          <t>מדי-מרקט</t>
        </is>
      </c>
      <c r="B2173" t="inlineStr">
        <is>
          <t>Traumeel - טראומיל משחה הומיאופתית 50 גרם</t>
        </is>
      </c>
      <c r="C2173" t="inlineStr">
        <is>
          <t>תרופות</t>
        </is>
      </c>
      <c r="D2173" t="inlineStr">
        <is>
          <t>653099</t>
        </is>
      </c>
      <c r="E2173" t="inlineStr">
        <is>
          <t>2026-06</t>
        </is>
      </c>
      <c r="F2173" t="n">
        <v>65.76000000000001</v>
      </c>
      <c r="G2173" t="n">
        <v>77.59999999999999</v>
      </c>
      <c r="H2173">
        <f>הגדרות!B7</f>
        <v/>
      </c>
      <c r="I2173">
        <f>F2173*(1-H2173/100)*1.18</f>
        <v/>
      </c>
      <c r="J2173">
        <f>הגדרות!C7</f>
        <v/>
      </c>
      <c r="K2173">
        <f>הגדרות!D7</f>
        <v/>
      </c>
      <c r="L2173">
        <f>I2173*(1+J2173/100)+K2173</f>
        <v/>
      </c>
    </row>
    <row r="2174">
      <c r="A2174" t="inlineStr">
        <is>
          <t>מדי-מרקט</t>
        </is>
      </c>
      <c r="B2174" t="inlineStr">
        <is>
          <t>Travamin 100Mg X 10Tabs</t>
        </is>
      </c>
      <c r="C2174" t="inlineStr">
        <is>
          <t>תרופות</t>
        </is>
      </c>
      <c r="D2174" t="inlineStr">
        <is>
          <t>32221</t>
        </is>
      </c>
      <c r="E2174" t="inlineStr">
        <is>
          <t>2026-06</t>
        </is>
      </c>
      <c r="F2174" t="n">
        <v>16.53</v>
      </c>
      <c r="G2174" t="n">
        <v>19.5</v>
      </c>
      <c r="H2174">
        <f>הגדרות!B7</f>
        <v/>
      </c>
      <c r="I2174">
        <f>F2174*(1-H2174/100)*1.18</f>
        <v/>
      </c>
      <c r="J2174">
        <f>הגדרות!C7</f>
        <v/>
      </c>
      <c r="K2174">
        <f>הגדרות!D7</f>
        <v/>
      </c>
      <c r="L2174">
        <f>I2174*(1+J2174/100)+K2174</f>
        <v/>
      </c>
    </row>
    <row r="2175">
      <c r="A2175" t="inlineStr">
        <is>
          <t>מדי-מרקט</t>
        </is>
      </c>
      <c r="B2175" t="inlineStr">
        <is>
          <t>Trazodil 100Mg X 30Tabs</t>
        </is>
      </c>
      <c r="C2175" t="inlineStr">
        <is>
          <t>תרופות</t>
        </is>
      </c>
      <c r="D2175" t="inlineStr">
        <is>
          <t>352663</t>
        </is>
      </c>
      <c r="E2175" t="inlineStr">
        <is>
          <t>2026-06</t>
        </is>
      </c>
      <c r="F2175" t="n">
        <v>17.63</v>
      </c>
      <c r="G2175" t="n">
        <v>20.8</v>
      </c>
      <c r="H2175">
        <f>הגדרות!B7</f>
        <v/>
      </c>
      <c r="I2175">
        <f>F2175*(1-H2175/100)*1.18</f>
        <v/>
      </c>
      <c r="J2175">
        <f>הגדרות!C7</f>
        <v/>
      </c>
      <c r="K2175">
        <f>הגדרות!D7</f>
        <v/>
      </c>
      <c r="L2175">
        <f>I2175*(1+J2175/100)+K2175</f>
        <v/>
      </c>
    </row>
    <row r="2176">
      <c r="A2176" t="inlineStr">
        <is>
          <t>מדי-מרקט</t>
        </is>
      </c>
      <c r="B2176" t="inlineStr">
        <is>
          <t>Trazodil 50Mg X 30Tabs</t>
        </is>
      </c>
      <c r="C2176" t="inlineStr">
        <is>
          <t>תרופות</t>
        </is>
      </c>
      <c r="D2176" t="inlineStr">
        <is>
          <t>526697</t>
        </is>
      </c>
      <c r="E2176" t="inlineStr">
        <is>
          <t>2026-06</t>
        </is>
      </c>
      <c r="F2176" t="n">
        <v>17.12</v>
      </c>
      <c r="G2176" t="n">
        <v>20.2</v>
      </c>
      <c r="H2176">
        <f>הגדרות!B7</f>
        <v/>
      </c>
      <c r="I2176">
        <f>F2176*(1-H2176/100)*1.18</f>
        <v/>
      </c>
      <c r="J2176">
        <f>הגדרות!C7</f>
        <v/>
      </c>
      <c r="K2176">
        <f>הגדרות!D7</f>
        <v/>
      </c>
      <c r="L2176">
        <f>I2176*(1+J2176/100)+K2176</f>
        <v/>
      </c>
    </row>
    <row r="2177">
      <c r="A2177" t="inlineStr">
        <is>
          <t>מדי-מרקט</t>
        </is>
      </c>
      <c r="B2177" t="inlineStr">
        <is>
          <t>Tribemin 20 Tab טריבמין 20 טב'</t>
        </is>
      </c>
      <c r="C2177" t="inlineStr">
        <is>
          <t>תרופות</t>
        </is>
      </c>
      <c r="D2177" t="inlineStr">
        <is>
          <t>4569</t>
        </is>
      </c>
      <c r="E2177" t="inlineStr">
        <is>
          <t>2026-06</t>
        </is>
      </c>
      <c r="F2177" t="n">
        <v>20.76</v>
      </c>
      <c r="G2177" t="n">
        <v>24.5</v>
      </c>
      <c r="H2177">
        <f>הגדרות!B7</f>
        <v/>
      </c>
      <c r="I2177">
        <f>F2177*(1-H2177/100)*1.18</f>
        <v/>
      </c>
      <c r="J2177">
        <f>הגדרות!C7</f>
        <v/>
      </c>
      <c r="K2177">
        <f>הגדרות!D7</f>
        <v/>
      </c>
      <c r="L2177">
        <f>I2177*(1+J2177/100)+K2177</f>
        <v/>
      </c>
    </row>
    <row r="2178">
      <c r="A2178" t="inlineStr">
        <is>
          <t>מדי-מרקט</t>
        </is>
      </c>
      <c r="B2178" t="inlineStr">
        <is>
          <t>Triderm Cream 15 Gr</t>
        </is>
      </c>
      <c r="C2178" t="inlineStr">
        <is>
          <t>תרופות</t>
        </is>
      </c>
      <c r="D2178" t="inlineStr">
        <is>
          <t>38965</t>
        </is>
      </c>
      <c r="E2178" t="inlineStr">
        <is>
          <t>2026-06</t>
        </is>
      </c>
      <c r="F2178" t="n">
        <v>18.64</v>
      </c>
      <c r="G2178" t="n">
        <v>22</v>
      </c>
      <c r="H2178">
        <f>הגדרות!B7</f>
        <v/>
      </c>
      <c r="I2178">
        <f>F2178*(1-H2178/100)*1.18</f>
        <v/>
      </c>
      <c r="J2178">
        <f>הגדרות!C7</f>
        <v/>
      </c>
      <c r="K2178">
        <f>הגדרות!D7</f>
        <v/>
      </c>
      <c r="L2178">
        <f>I2178*(1+J2178/100)+K2178</f>
        <v/>
      </c>
    </row>
    <row r="2179">
      <c r="A2179" t="inlineStr">
        <is>
          <t>מדי-מרקט</t>
        </is>
      </c>
      <c r="B2179" t="inlineStr">
        <is>
          <t>Tritace 1.25Mg X 28Tabs</t>
        </is>
      </c>
      <c r="C2179" t="inlineStr">
        <is>
          <t>תרופות</t>
        </is>
      </c>
      <c r="D2179" t="inlineStr">
        <is>
          <t>20026</t>
        </is>
      </c>
      <c r="E2179" t="inlineStr">
        <is>
          <t>2026-06</t>
        </is>
      </c>
      <c r="F2179" t="n">
        <v>8.9</v>
      </c>
      <c r="G2179" t="n">
        <v>10.5</v>
      </c>
      <c r="H2179">
        <f>הגדרות!B7</f>
        <v/>
      </c>
      <c r="I2179">
        <f>F2179*(1-H2179/100)*1.18</f>
        <v/>
      </c>
      <c r="J2179">
        <f>הגדרות!C7</f>
        <v/>
      </c>
      <c r="K2179">
        <f>הגדרות!D7</f>
        <v/>
      </c>
      <c r="L2179">
        <f>I2179*(1+J2179/100)+K2179</f>
        <v/>
      </c>
    </row>
    <row r="2180">
      <c r="A2180" t="inlineStr">
        <is>
          <t>מדי-מרקט</t>
        </is>
      </c>
      <c r="B2180" t="inlineStr">
        <is>
          <t>Tritace 2.5Mg X 28Tabs</t>
        </is>
      </c>
      <c r="C2180" t="inlineStr">
        <is>
          <t>תרופות</t>
        </is>
      </c>
      <c r="D2180" t="inlineStr">
        <is>
          <t>20027</t>
        </is>
      </c>
      <c r="E2180" t="inlineStr">
        <is>
          <t>2026-06</t>
        </is>
      </c>
      <c r="F2180" t="n">
        <v>10.51</v>
      </c>
      <c r="G2180" t="n">
        <v>12.4</v>
      </c>
      <c r="H2180">
        <f>הגדרות!B7</f>
        <v/>
      </c>
      <c r="I2180">
        <f>F2180*(1-H2180/100)*1.18</f>
        <v/>
      </c>
      <c r="J2180">
        <f>הגדרות!C7</f>
        <v/>
      </c>
      <c r="K2180">
        <f>הגדרות!D7</f>
        <v/>
      </c>
      <c r="L2180">
        <f>I2180*(1+J2180/100)+K2180</f>
        <v/>
      </c>
    </row>
    <row r="2181">
      <c r="A2181" t="inlineStr">
        <is>
          <t>מדי-מרקט</t>
        </is>
      </c>
      <c r="B2181" t="inlineStr">
        <is>
          <t>Tritace 5Mg Tabs:28</t>
        </is>
      </c>
      <c r="C2181" t="inlineStr">
        <is>
          <t>תרופות</t>
        </is>
      </c>
      <c r="D2181" t="inlineStr">
        <is>
          <t>20030</t>
        </is>
      </c>
      <c r="E2181" t="inlineStr">
        <is>
          <t>2026-06</t>
        </is>
      </c>
      <c r="F2181" t="n">
        <v>16.02</v>
      </c>
      <c r="G2181" t="n">
        <v>18.9</v>
      </c>
      <c r="H2181">
        <f>הגדרות!B7</f>
        <v/>
      </c>
      <c r="I2181">
        <f>F2181*(1-H2181/100)*1.18</f>
        <v/>
      </c>
      <c r="J2181">
        <f>הגדרות!C7</f>
        <v/>
      </c>
      <c r="K2181">
        <f>הגדרות!D7</f>
        <v/>
      </c>
      <c r="L2181">
        <f>I2181*(1+J2181/100)+K2181</f>
        <v/>
      </c>
    </row>
    <row r="2182">
      <c r="A2182" t="inlineStr">
        <is>
          <t>מדי-מרקט</t>
        </is>
      </c>
      <c r="B2182" t="inlineStr">
        <is>
          <t>Tritace Comp 2.5Mg/12.5Mg X 28Caps</t>
        </is>
      </c>
      <c r="C2182" t="inlineStr">
        <is>
          <t>תרופות</t>
        </is>
      </c>
      <c r="D2182" t="inlineStr">
        <is>
          <t>20317</t>
        </is>
      </c>
      <c r="E2182" t="inlineStr">
        <is>
          <t>2026-06</t>
        </is>
      </c>
      <c r="F2182" t="n">
        <v>9.92</v>
      </c>
      <c r="G2182" t="n">
        <v>11.7</v>
      </c>
      <c r="H2182">
        <f>הגדרות!B7</f>
        <v/>
      </c>
      <c r="I2182">
        <f>F2182*(1-H2182/100)*1.18</f>
        <v/>
      </c>
      <c r="J2182">
        <f>הגדרות!C7</f>
        <v/>
      </c>
      <c r="K2182">
        <f>הגדרות!D7</f>
        <v/>
      </c>
      <c r="L2182">
        <f>I2182*(1+J2182/100)+K2182</f>
        <v/>
      </c>
    </row>
    <row r="2183">
      <c r="A2183" t="inlineStr">
        <is>
          <t>מדי-מרקט</t>
        </is>
      </c>
      <c r="B2183" t="inlineStr">
        <is>
          <t>Trittico 100 Mg X 30TAB</t>
        </is>
      </c>
      <c r="C2183" t="inlineStr">
        <is>
          <t>תרופות</t>
        </is>
      </c>
      <c r="D2183" t="inlineStr">
        <is>
          <t>352663-1</t>
        </is>
      </c>
      <c r="E2183" t="inlineStr">
        <is>
          <t>2026-06</t>
        </is>
      </c>
      <c r="F2183" t="n">
        <v>21.19</v>
      </c>
      <c r="G2183" t="n">
        <v>25</v>
      </c>
      <c r="H2183">
        <f>הגדרות!B7</f>
        <v/>
      </c>
      <c r="I2183">
        <f>F2183*(1-H2183/100)*1.18</f>
        <v/>
      </c>
      <c r="J2183">
        <f>הגדרות!C7</f>
        <v/>
      </c>
      <c r="K2183">
        <f>הגדרות!D7</f>
        <v/>
      </c>
      <c r="L2183">
        <f>I2183*(1+J2183/100)+K2183</f>
        <v/>
      </c>
    </row>
    <row r="2184">
      <c r="A2184" t="inlineStr">
        <is>
          <t>מדי-מרקט</t>
        </is>
      </c>
      <c r="B2184" t="inlineStr">
        <is>
          <t>Trittico 50 Mg X 30 Tab</t>
        </is>
      </c>
      <c r="C2184" t="inlineStr">
        <is>
          <t>תרופות</t>
        </is>
      </c>
      <c r="D2184" t="inlineStr">
        <is>
          <t>526697-1</t>
        </is>
      </c>
      <c r="E2184" t="inlineStr">
        <is>
          <t>2026-06</t>
        </is>
      </c>
      <c r="F2184" t="n">
        <v>22.03</v>
      </c>
      <c r="G2184" t="n">
        <v>26</v>
      </c>
      <c r="H2184">
        <f>הגדרות!B7</f>
        <v/>
      </c>
      <c r="I2184">
        <f>F2184*(1-H2184/100)*1.18</f>
        <v/>
      </c>
      <c r="J2184">
        <f>הגדרות!C7</f>
        <v/>
      </c>
      <c r="K2184">
        <f>הגדרות!D7</f>
        <v/>
      </c>
      <c r="L2184">
        <f>I2184*(1+J2184/100)+K2184</f>
        <v/>
      </c>
    </row>
    <row r="2185">
      <c r="A2185" t="inlineStr">
        <is>
          <t>מדי-מרקט</t>
        </is>
      </c>
      <c r="B2185" t="inlineStr">
        <is>
          <t>Trolamine Cream 200 Gram טרולאמין</t>
        </is>
      </c>
      <c r="C2185" t="inlineStr">
        <is>
          <t>תרופות</t>
        </is>
      </c>
      <c r="D2185" t="inlineStr">
        <is>
          <t>725261</t>
        </is>
      </c>
      <c r="E2185" t="inlineStr">
        <is>
          <t>2026-06</t>
        </is>
      </c>
      <c r="F2185" t="n">
        <v>20.59</v>
      </c>
      <c r="G2185" t="n">
        <v>24.3</v>
      </c>
      <c r="H2185">
        <f>הגדרות!B7</f>
        <v/>
      </c>
      <c r="I2185">
        <f>F2185*(1-H2185/100)*1.18</f>
        <v/>
      </c>
      <c r="J2185">
        <f>הגדרות!C7</f>
        <v/>
      </c>
      <c r="K2185">
        <f>הגדרות!D7</f>
        <v/>
      </c>
      <c r="L2185">
        <f>I2185*(1+J2185/100)+K2185</f>
        <v/>
      </c>
    </row>
    <row r="2186">
      <c r="A2186" t="inlineStr">
        <is>
          <t>מדי-מרקט</t>
        </is>
      </c>
      <c r="B2186" t="inlineStr">
        <is>
          <t>Tylosin 100mg 100 caps</t>
        </is>
      </c>
      <c r="C2186" t="inlineStr">
        <is>
          <t>הכנות בית מרקחת</t>
        </is>
      </c>
      <c r="D2186" t="inlineStr">
        <is>
          <t>1987</t>
        </is>
      </c>
      <c r="E2186" t="inlineStr">
        <is>
          <t>2026-06</t>
        </is>
      </c>
      <c r="F2186" t="n">
        <v>118.64</v>
      </c>
      <c r="G2186" t="n">
        <v>140</v>
      </c>
      <c r="H2186">
        <f>הגדרות!B7</f>
        <v/>
      </c>
      <c r="I2186">
        <f>F2186*(1-H2186/100)*1.18</f>
        <v/>
      </c>
      <c r="J2186">
        <f>הגדרות!C7</f>
        <v/>
      </c>
      <c r="K2186">
        <f>הגדרות!D7</f>
        <v/>
      </c>
      <c r="L2186">
        <f>I2186*(1+J2186/100)+K2186</f>
        <v/>
      </c>
    </row>
    <row r="2187">
      <c r="A2187" t="inlineStr">
        <is>
          <t>מדי-מרקט</t>
        </is>
      </c>
      <c r="B2187" t="inlineStr">
        <is>
          <t>Tylosin 200mg 100 caps</t>
        </is>
      </c>
      <c r="C2187" t="inlineStr">
        <is>
          <t>הכנות בית מרקחת</t>
        </is>
      </c>
      <c r="D2187" t="inlineStr">
        <is>
          <t>19846</t>
        </is>
      </c>
      <c r="E2187" t="inlineStr">
        <is>
          <t>2026-06</t>
        </is>
      </c>
      <c r="F2187" t="n">
        <v>194.92</v>
      </c>
      <c r="G2187" t="n">
        <v>230</v>
      </c>
      <c r="H2187">
        <f>הגדרות!B7</f>
        <v/>
      </c>
      <c r="I2187">
        <f>F2187*(1-H2187/100)*1.18</f>
        <v/>
      </c>
      <c r="J2187">
        <f>הגדרות!C7</f>
        <v/>
      </c>
      <c r="K2187">
        <f>הגדרות!D7</f>
        <v/>
      </c>
      <c r="L2187">
        <f>I2187*(1+J2187/100)+K2187</f>
        <v/>
      </c>
    </row>
    <row r="2188">
      <c r="A2188" t="inlineStr">
        <is>
          <t>מדי-מרקט</t>
        </is>
      </c>
      <c r="B2188" t="inlineStr">
        <is>
          <t>Tylosin 350mg 100 caps</t>
        </is>
      </c>
      <c r="C2188" t="inlineStr">
        <is>
          <t>הכנות בית מרקחת</t>
        </is>
      </c>
      <c r="D2188" t="inlineStr">
        <is>
          <t>1980236</t>
        </is>
      </c>
      <c r="E2188" t="inlineStr">
        <is>
          <t>2026-06</t>
        </is>
      </c>
      <c r="F2188" t="n">
        <v>161.02</v>
      </c>
      <c r="G2188" t="n">
        <v>190</v>
      </c>
      <c r="H2188">
        <f>הגדרות!B7</f>
        <v/>
      </c>
      <c r="I2188">
        <f>F2188*(1-H2188/100)*1.18</f>
        <v/>
      </c>
      <c r="J2188">
        <f>הגדרות!C7</f>
        <v/>
      </c>
      <c r="K2188">
        <f>הגדרות!D7</f>
        <v/>
      </c>
      <c r="L2188">
        <f>I2188*(1+J2188/100)+K2188</f>
        <v/>
      </c>
    </row>
    <row r="2189">
      <c r="A2189" t="inlineStr">
        <is>
          <t>מדי-מרקט</t>
        </is>
      </c>
      <c r="B2189" t="inlineStr">
        <is>
          <t>UA-60V Veterinary Urine Analyzer</t>
        </is>
      </c>
      <c r="C2189" t="inlineStr">
        <is>
          <t>Mindray</t>
        </is>
      </c>
      <c r="D2189" t="inlineStr">
        <is>
          <t>120-00003A-00</t>
        </is>
      </c>
      <c r="E2189" t="inlineStr">
        <is>
          <t>2026-06</t>
        </is>
      </c>
      <c r="F2189" t="n">
        <v>1864.41</v>
      </c>
      <c r="G2189" t="n">
        <v>2200</v>
      </c>
      <c r="H2189">
        <f>הגדרות!B7</f>
        <v/>
      </c>
      <c r="I2189">
        <f>F2189*(1-H2189/100)*1.18</f>
        <v/>
      </c>
      <c r="J2189">
        <f>הגדרות!C7</f>
        <v/>
      </c>
      <c r="K2189">
        <f>הגדרות!D7</f>
        <v/>
      </c>
      <c r="L2189">
        <f>I2189*(1+J2189/100)+K2189</f>
        <v/>
      </c>
    </row>
    <row r="2190">
      <c r="A2190" t="inlineStr">
        <is>
          <t>מדי-מרקט</t>
        </is>
      </c>
      <c r="B2190" t="inlineStr">
        <is>
          <t>ULTRAVIST 370100ML - IOPROMIDE 0.769GML 100ML</t>
        </is>
      </c>
      <c r="C2190" t="inlineStr">
        <is>
          <t>תרופות</t>
        </is>
      </c>
      <c r="D2190" t="inlineStr">
        <is>
          <t>1366801077</t>
        </is>
      </c>
      <c r="E2190" t="inlineStr">
        <is>
          <t>2026-06</t>
        </is>
      </c>
      <c r="F2190" t="n">
        <v>105.55</v>
      </c>
      <c r="G2190" t="n">
        <v>124.55</v>
      </c>
      <c r="H2190">
        <f>הגדרות!B7</f>
        <v/>
      </c>
      <c r="I2190">
        <f>F2190*(1-H2190/100)*1.18</f>
        <v/>
      </c>
      <c r="J2190">
        <f>הגדרות!C7</f>
        <v/>
      </c>
      <c r="K2190">
        <f>הגדרות!D7</f>
        <v/>
      </c>
      <c r="L2190">
        <f>I2190*(1+J2190/100)+K2190</f>
        <v/>
      </c>
    </row>
    <row r="2191">
      <c r="A2191" t="inlineStr">
        <is>
          <t>מדי-מרקט</t>
        </is>
      </c>
      <c r="B2191" t="inlineStr">
        <is>
          <t>Undecyl 2% 25Gr Oint</t>
        </is>
      </c>
      <c r="C2191" t="inlineStr">
        <is>
          <t>תרופות</t>
        </is>
      </c>
      <c r="D2191" t="inlineStr">
        <is>
          <t>1194</t>
        </is>
      </c>
      <c r="E2191" t="inlineStr">
        <is>
          <t>2026-06</t>
        </is>
      </c>
      <c r="F2191" t="n">
        <v>13.05</v>
      </c>
      <c r="G2191" t="n">
        <v>15.4</v>
      </c>
      <c r="H2191">
        <f>הגדרות!B7</f>
        <v/>
      </c>
      <c r="I2191">
        <f>F2191*(1-H2191/100)*1.18</f>
        <v/>
      </c>
      <c r="J2191">
        <f>הגדרות!C7</f>
        <v/>
      </c>
      <c r="K2191">
        <f>הגדרות!D7</f>
        <v/>
      </c>
      <c r="L2191">
        <f>I2191*(1+J2191/100)+K2191</f>
        <v/>
      </c>
    </row>
    <row r="2192">
      <c r="A2192" t="inlineStr">
        <is>
          <t>מדי-מרקט</t>
        </is>
      </c>
      <c r="B2192" t="inlineStr">
        <is>
          <t>URADERM FOOT CREAM 100 GR</t>
        </is>
      </c>
      <c r="C2192" t="inlineStr">
        <is>
          <t>תרופות</t>
        </is>
      </c>
      <c r="D2192" t="inlineStr">
        <is>
          <t>875635</t>
        </is>
      </c>
      <c r="E2192" t="inlineStr">
        <is>
          <t>2026-06</t>
        </is>
      </c>
      <c r="F2192" t="n">
        <v>11.02</v>
      </c>
      <c r="G2192" t="n">
        <v>13</v>
      </c>
      <c r="H2192">
        <f>הגדרות!B7</f>
        <v/>
      </c>
      <c r="I2192">
        <f>F2192*(1-H2192/100)*1.18</f>
        <v/>
      </c>
      <c r="J2192">
        <f>הגדרות!C7</f>
        <v/>
      </c>
      <c r="K2192">
        <f>הגדרות!D7</f>
        <v/>
      </c>
      <c r="L2192">
        <f>I2192*(1+J2192/100)+K2192</f>
        <v/>
      </c>
    </row>
    <row r="2193">
      <c r="A2193" t="inlineStr">
        <is>
          <t>מדי-מרקט</t>
        </is>
      </c>
      <c r="B2193" t="inlineStr">
        <is>
          <t>URADERM FORTE CREAM 100 GR</t>
        </is>
      </c>
      <c r="C2193" t="inlineStr">
        <is>
          <t>תרופות</t>
        </is>
      </c>
      <c r="D2193" t="inlineStr">
        <is>
          <t>875634</t>
        </is>
      </c>
      <c r="E2193" t="inlineStr">
        <is>
          <t>2026-06</t>
        </is>
      </c>
      <c r="F2193" t="n">
        <v>11.02</v>
      </c>
      <c r="G2193" t="n">
        <v>13</v>
      </c>
      <c r="H2193">
        <f>הגדרות!B7</f>
        <v/>
      </c>
      <c r="I2193">
        <f>F2193*(1-H2193/100)*1.18</f>
        <v/>
      </c>
      <c r="J2193">
        <f>הגדרות!C7</f>
        <v/>
      </c>
      <c r="K2193">
        <f>הגדרות!D7</f>
        <v/>
      </c>
      <c r="L2193">
        <f>I2193*(1+J2193/100)+K2193</f>
        <v/>
      </c>
    </row>
    <row r="2194">
      <c r="A2194" t="inlineStr">
        <is>
          <t>מדי-מרקט</t>
        </is>
      </c>
      <c r="B2194" t="inlineStr">
        <is>
          <t>Uramox 250Mg 30Cap</t>
        </is>
      </c>
      <c r="C2194" t="inlineStr">
        <is>
          <t>תרופות</t>
        </is>
      </c>
      <c r="D2194" t="inlineStr">
        <is>
          <t>4576</t>
        </is>
      </c>
      <c r="E2194" t="inlineStr">
        <is>
          <t>2026-06</t>
        </is>
      </c>
      <c r="F2194" t="n">
        <v>16.41</v>
      </c>
      <c r="G2194" t="n">
        <v>19.36</v>
      </c>
      <c r="H2194">
        <f>הגדרות!B7</f>
        <v/>
      </c>
      <c r="I2194">
        <f>F2194*(1-H2194/100)*1.18</f>
        <v/>
      </c>
      <c r="J2194">
        <f>הגדרות!C7</f>
        <v/>
      </c>
      <c r="K2194">
        <f>הגדרות!D7</f>
        <v/>
      </c>
      <c r="L2194">
        <f>I2194*(1+J2194/100)+K2194</f>
        <v/>
      </c>
    </row>
    <row r="2195">
      <c r="A2195" t="inlineStr">
        <is>
          <t>מדי-מרקט</t>
        </is>
      </c>
      <c r="B2195" t="inlineStr">
        <is>
          <t>Urea Cream 20% 1 Liter</t>
        </is>
      </c>
      <c r="C2195" t="inlineStr">
        <is>
          <t>הכנות בית מרקחת</t>
        </is>
      </c>
      <c r="D2195" t="inlineStr">
        <is>
          <t>33625</t>
        </is>
      </c>
      <c r="E2195" t="inlineStr">
        <is>
          <t>2026-06</t>
        </is>
      </c>
      <c r="F2195" t="n">
        <v>16.59</v>
      </c>
      <c r="G2195" t="n">
        <v>19.58</v>
      </c>
      <c r="H2195">
        <f>הגדרות!B7</f>
        <v/>
      </c>
      <c r="I2195">
        <f>F2195*(1-H2195/100)*1.18</f>
        <v/>
      </c>
      <c r="J2195">
        <f>הגדרות!C7</f>
        <v/>
      </c>
      <c r="K2195">
        <f>הגדרות!D7</f>
        <v/>
      </c>
      <c r="L2195">
        <f>I2195*(1+J2195/100)+K2195</f>
        <v/>
      </c>
    </row>
    <row r="2196">
      <c r="A2196" t="inlineStr">
        <is>
          <t>מדי-מרקט</t>
        </is>
      </c>
      <c r="B2196" t="inlineStr">
        <is>
          <t>Urea Cream 40% 1 Liter</t>
        </is>
      </c>
      <c r="C2196" t="inlineStr">
        <is>
          <t>הכנות בית מרקחת</t>
        </is>
      </c>
      <c r="D2196" t="inlineStr">
        <is>
          <t>15699</t>
        </is>
      </c>
      <c r="E2196" t="inlineStr">
        <is>
          <t>2026-06</t>
        </is>
      </c>
      <c r="F2196" t="n">
        <v>118.64</v>
      </c>
      <c r="G2196" t="n">
        <v>140</v>
      </c>
      <c r="H2196">
        <f>הגדרות!B7</f>
        <v/>
      </c>
      <c r="I2196">
        <f>F2196*(1-H2196/100)*1.18</f>
        <v/>
      </c>
      <c r="J2196">
        <f>הגדרות!C7</f>
        <v/>
      </c>
      <c r="K2196">
        <f>הגדרות!D7</f>
        <v/>
      </c>
      <c r="L2196">
        <f>I2196*(1+J2196/100)+K2196</f>
        <v/>
      </c>
    </row>
    <row r="2197">
      <c r="A2197" t="inlineStr">
        <is>
          <t>מדי-מרקט</t>
        </is>
      </c>
      <c r="B2197" t="inlineStr">
        <is>
          <t>Urine strip 100 סטיקים לשתן למכשיר פענוח URIT</t>
        </is>
      </c>
      <c r="C2197" t="inlineStr">
        <is>
          <t>URIT</t>
        </is>
      </c>
      <c r="D2197" t="inlineStr">
        <is>
          <t>URIT-11G Vet</t>
        </is>
      </c>
      <c r="E2197" t="inlineStr">
        <is>
          <t>2026-06</t>
        </is>
      </c>
      <c r="F2197" t="n">
        <v>42.37</v>
      </c>
      <c r="G2197" t="n">
        <v>50</v>
      </c>
      <c r="H2197">
        <f>הגדרות!B7</f>
        <v/>
      </c>
      <c r="I2197">
        <f>F2197*(1-H2197/100)*1.18</f>
        <v/>
      </c>
      <c r="J2197">
        <f>הגדרות!C7</f>
        <v/>
      </c>
      <c r="K2197">
        <f>הגדרות!D7</f>
        <v/>
      </c>
      <c r="L2197">
        <f>I2197*(1+J2197/100)+K2197</f>
        <v/>
      </c>
    </row>
    <row r="2198">
      <c r="A2198" t="inlineStr">
        <is>
          <t>מדי-מרקט</t>
        </is>
      </c>
      <c r="B2198" t="inlineStr">
        <is>
          <t>UROLUX RETRO 150 mg/ml 250ML INJ  10 VIAL</t>
        </is>
      </c>
      <c r="C2198" t="inlineStr">
        <is>
          <t>29 יבוא תרופות הומניות חו"ל</t>
        </is>
      </c>
      <c r="D2198" t="inlineStr">
        <is>
          <t>852656</t>
        </is>
      </c>
      <c r="E2198" t="inlineStr">
        <is>
          <t>2026-06</t>
        </is>
      </c>
      <c r="F2198" t="n">
        <v>550.3</v>
      </c>
      <c r="G2198" t="n">
        <v>649.35</v>
      </c>
      <c r="H2198">
        <f>הגדרות!B7</f>
        <v/>
      </c>
      <c r="I2198">
        <f>F2198*(1-H2198/100)*1.18</f>
        <v/>
      </c>
      <c r="J2198">
        <f>הגדרות!C7</f>
        <v/>
      </c>
      <c r="K2198">
        <f>הגדרות!D7</f>
        <v/>
      </c>
      <c r="L2198">
        <f>I2198*(1+J2198/100)+K2198</f>
        <v/>
      </c>
    </row>
    <row r="2199">
      <c r="A2199" t="inlineStr">
        <is>
          <t>מדי-מרקט</t>
        </is>
      </c>
      <c r="B2199" t="inlineStr">
        <is>
          <t>Ursolit Tabs: 100 X 60</t>
        </is>
      </c>
      <c r="C2199" t="inlineStr">
        <is>
          <t>תרופות</t>
        </is>
      </c>
      <c r="D2199" t="inlineStr">
        <is>
          <t>96665</t>
        </is>
      </c>
      <c r="E2199" t="inlineStr">
        <is>
          <t>2026-06</t>
        </is>
      </c>
      <c r="F2199" t="n">
        <v>115.89</v>
      </c>
      <c r="G2199" t="n">
        <v>136.75</v>
      </c>
      <c r="H2199">
        <f>הגדרות!B7</f>
        <v/>
      </c>
      <c r="I2199">
        <f>F2199*(1-H2199/100)*1.18</f>
        <v/>
      </c>
      <c r="J2199">
        <f>הגדרות!C7</f>
        <v/>
      </c>
      <c r="K2199">
        <f>הגדרות!D7</f>
        <v/>
      </c>
      <c r="L2199">
        <f>I2199*(1+J2199/100)+K2199</f>
        <v/>
      </c>
    </row>
    <row r="2200">
      <c r="A2200" t="inlineStr">
        <is>
          <t>מדי-מרקט</t>
        </is>
      </c>
      <c r="B2200" t="inlineStr">
        <is>
          <t>Ursolit Tabs: 300 Caplet 30 Ct</t>
        </is>
      </c>
      <c r="C2200" t="inlineStr">
        <is>
          <t>תרופות</t>
        </is>
      </c>
      <c r="D2200" t="inlineStr">
        <is>
          <t>322146</t>
        </is>
      </c>
      <c r="E2200" t="inlineStr">
        <is>
          <t>2026-06</t>
        </is>
      </c>
      <c r="F2200" t="n">
        <v>50</v>
      </c>
      <c r="G2200" t="n">
        <v>59</v>
      </c>
      <c r="H2200">
        <f>הגדרות!B7</f>
        <v/>
      </c>
      <c r="I2200">
        <f>F2200*(1-H2200/100)*1.18</f>
        <v/>
      </c>
      <c r="J2200">
        <f>הגדרות!C7</f>
        <v/>
      </c>
      <c r="K2200">
        <f>הגדרות!D7</f>
        <v/>
      </c>
      <c r="L2200">
        <f>I2200*(1+J2200/100)+K2200</f>
        <v/>
      </c>
    </row>
    <row r="2201">
      <c r="A2201" t="inlineStr">
        <is>
          <t>מדי-מרקט</t>
        </is>
      </c>
      <c r="B2201" t="inlineStr">
        <is>
          <t>V-Dalgin  Drops 10 Ml</t>
        </is>
      </c>
      <c r="C2201" t="inlineStr">
        <is>
          <t>תרופות</t>
        </is>
      </c>
      <c r="D2201" t="inlineStr">
        <is>
          <t>4846</t>
        </is>
      </c>
      <c r="E2201" t="inlineStr">
        <is>
          <t>2026-06</t>
        </is>
      </c>
      <c r="F2201" t="n">
        <v>4.94</v>
      </c>
      <c r="G2201" t="n">
        <v>5.83</v>
      </c>
      <c r="H2201">
        <f>הגדרות!B7</f>
        <v/>
      </c>
      <c r="I2201">
        <f>F2201*(1-H2201/100)*1.18</f>
        <v/>
      </c>
      <c r="J2201">
        <f>הגדרות!C7</f>
        <v/>
      </c>
      <c r="K2201">
        <f>הגדרות!D7</f>
        <v/>
      </c>
      <c r="L2201">
        <f>I2201*(1+J2201/100)+K2201</f>
        <v/>
      </c>
    </row>
    <row r="2202">
      <c r="A2202" t="inlineStr">
        <is>
          <t>מדי-מרקט</t>
        </is>
      </c>
      <c r="B2202" t="inlineStr">
        <is>
          <t>V-Dalgin 12.5Mg/5Ml 50Ml Syrup For Adults</t>
        </is>
      </c>
      <c r="C2202" t="inlineStr">
        <is>
          <t>תרופות</t>
        </is>
      </c>
      <c r="D2202" t="inlineStr">
        <is>
          <t>3398</t>
        </is>
      </c>
      <c r="E2202" t="inlineStr">
        <is>
          <t>2026-06</t>
        </is>
      </c>
      <c r="F2202" t="n">
        <v>18.39</v>
      </c>
      <c r="G2202" t="n">
        <v>21.7</v>
      </c>
      <c r="H2202">
        <f>הגדרות!B7</f>
        <v/>
      </c>
      <c r="I2202">
        <f>F2202*(1-H2202/100)*1.18</f>
        <v/>
      </c>
      <c r="J2202">
        <f>הגדרות!C7</f>
        <v/>
      </c>
      <c r="K2202">
        <f>הגדרות!D7</f>
        <v/>
      </c>
      <c r="L2202">
        <f>I2202*(1+J2202/100)+K2202</f>
        <v/>
      </c>
    </row>
    <row r="2203">
      <c r="A2203" t="inlineStr">
        <is>
          <t>מדי-מרקט</t>
        </is>
      </c>
      <c r="B2203" t="inlineStr">
        <is>
          <t>V-Optic 0.5% Dr 5Ml וי אופטיק 0.5% טיפות</t>
        </is>
      </c>
      <c r="C2203" t="inlineStr">
        <is>
          <t>תרופות</t>
        </is>
      </c>
      <c r="D2203" t="inlineStr">
        <is>
          <t>1805</t>
        </is>
      </c>
      <c r="E2203" t="inlineStr">
        <is>
          <t>2026-06</t>
        </is>
      </c>
      <c r="F2203" t="n">
        <v>12.71</v>
      </c>
      <c r="G2203" t="n">
        <v>15</v>
      </c>
      <c r="H2203">
        <f>הגדרות!B7</f>
        <v/>
      </c>
      <c r="I2203">
        <f>F2203*(1-H2203/100)*1.18</f>
        <v/>
      </c>
      <c r="J2203">
        <f>הגדרות!C7</f>
        <v/>
      </c>
      <c r="K2203">
        <f>הגדרות!D7</f>
        <v/>
      </c>
      <c r="L2203">
        <f>I2203*(1+J2203/100)+K2203</f>
        <v/>
      </c>
    </row>
    <row r="2204">
      <c r="A2204" t="inlineStr">
        <is>
          <t>מדי-מרקט</t>
        </is>
      </c>
      <c r="B2204" t="inlineStr">
        <is>
          <t>Vaben 10Mg X 30Tab</t>
        </is>
      </c>
      <c r="C2204" t="inlineStr">
        <is>
          <t>תרופות</t>
        </is>
      </c>
      <c r="D2204" t="inlineStr">
        <is>
          <t>444</t>
        </is>
      </c>
      <c r="E2204" t="inlineStr">
        <is>
          <t>2026-06</t>
        </is>
      </c>
      <c r="F2204" t="n">
        <v>11.57</v>
      </c>
      <c r="G2204" t="n">
        <v>13.65</v>
      </c>
      <c r="H2204">
        <f>הגדרות!B7</f>
        <v/>
      </c>
      <c r="I2204">
        <f>F2204*(1-H2204/100)*1.18</f>
        <v/>
      </c>
      <c r="J2204">
        <f>הגדרות!C7</f>
        <v/>
      </c>
      <c r="K2204">
        <f>הגדרות!D7</f>
        <v/>
      </c>
      <c r="L2204">
        <f>I2204*(1+J2204/100)+K2204</f>
        <v/>
      </c>
    </row>
    <row r="2205">
      <c r="A2205" t="inlineStr">
        <is>
          <t>מדי-מרקט</t>
        </is>
      </c>
      <c r="B2205" t="inlineStr">
        <is>
          <t>Valerian Drops 20 Ml טיפות ולריאן 20 מ"ל</t>
        </is>
      </c>
      <c r="C2205" t="inlineStr">
        <is>
          <t>תרופות</t>
        </is>
      </c>
      <c r="D2205" t="inlineStr">
        <is>
          <t>106063</t>
        </is>
      </c>
      <c r="E2205" t="inlineStr">
        <is>
          <t>2026-06</t>
        </is>
      </c>
      <c r="F2205" t="n">
        <v>12.17</v>
      </c>
      <c r="G2205" t="n">
        <v>14.36</v>
      </c>
      <c r="H2205">
        <f>הגדרות!B7</f>
        <v/>
      </c>
      <c r="I2205">
        <f>F2205*(1-H2205/100)*1.18</f>
        <v/>
      </c>
      <c r="J2205">
        <f>הגדרות!C7</f>
        <v/>
      </c>
      <c r="K2205">
        <f>הגדרות!D7</f>
        <v/>
      </c>
      <c r="L2205">
        <f>I2205*(1+J2205/100)+K2205</f>
        <v/>
      </c>
    </row>
    <row r="2206">
      <c r="A2206" t="inlineStr">
        <is>
          <t>מדי-מרקט</t>
        </is>
      </c>
      <c r="B2206" t="inlineStr">
        <is>
          <t>Valsartan Medo 160Mg 30 Tabs (Il)</t>
        </is>
      </c>
      <c r="C2206" t="inlineStr">
        <is>
          <t>תרופות רשומות- מדי מרקט</t>
        </is>
      </c>
      <c r="D2206" t="inlineStr">
        <is>
          <t>653757</t>
        </is>
      </c>
      <c r="E2206" t="inlineStr">
        <is>
          <t>2026-06</t>
        </is>
      </c>
      <c r="F2206" t="n">
        <v>15.25</v>
      </c>
      <c r="G2206" t="n">
        <v>18</v>
      </c>
      <c r="H2206">
        <f>הגדרות!B7</f>
        <v/>
      </c>
      <c r="I2206">
        <f>F2206*(1-H2206/100)*1.18</f>
        <v/>
      </c>
      <c r="J2206">
        <f>הגדרות!C7</f>
        <v/>
      </c>
      <c r="K2206">
        <f>הגדרות!D7</f>
        <v/>
      </c>
      <c r="L2206">
        <f>I2206*(1+J2206/100)+K2206</f>
        <v/>
      </c>
    </row>
    <row r="2207">
      <c r="A2207" t="inlineStr">
        <is>
          <t>מדי-מרקט</t>
        </is>
      </c>
      <c r="B2207" t="inlineStr">
        <is>
          <t>Vanco 500Mg X 10 Vials</t>
        </is>
      </c>
      <c r="C2207" t="inlineStr">
        <is>
          <t>תרופות</t>
        </is>
      </c>
      <c r="D2207" t="inlineStr">
        <is>
          <t>2587</t>
        </is>
      </c>
      <c r="E2207" t="inlineStr">
        <is>
          <t>2026-06</t>
        </is>
      </c>
      <c r="F2207" t="n">
        <v>207.63</v>
      </c>
      <c r="G2207" t="n">
        <v>245</v>
      </c>
      <c r="H2207">
        <f>הגדרות!B7</f>
        <v/>
      </c>
      <c r="I2207">
        <f>F2207*(1-H2207/100)*1.18</f>
        <v/>
      </c>
      <c r="J2207">
        <f>הגדרות!C7</f>
        <v/>
      </c>
      <c r="K2207">
        <f>הגדרות!D7</f>
        <v/>
      </c>
      <c r="L2207">
        <f>I2207*(1+J2207/100)+K2207</f>
        <v/>
      </c>
    </row>
    <row r="2208">
      <c r="A2208" t="inlineStr">
        <is>
          <t>מדי-מרקט</t>
        </is>
      </c>
      <c r="B2208" t="inlineStr">
        <is>
          <t>Vancomycin 1000Mg X 10 Vials</t>
        </is>
      </c>
      <c r="C2208" t="inlineStr">
        <is>
          <t>תרופות</t>
        </is>
      </c>
      <c r="D2208" t="inlineStr">
        <is>
          <t>5831</t>
        </is>
      </c>
      <c r="E2208" t="inlineStr">
        <is>
          <t>2026-06</t>
        </is>
      </c>
      <c r="F2208" t="n">
        <v>211.86</v>
      </c>
      <c r="G2208" t="n">
        <v>250</v>
      </c>
      <c r="H2208">
        <f>הגדרות!B7</f>
        <v/>
      </c>
      <c r="I2208">
        <f>F2208*(1-H2208/100)*1.18</f>
        <v/>
      </c>
      <c r="J2208">
        <f>הגדרות!C7</f>
        <v/>
      </c>
      <c r="K2208">
        <f>הגדרות!D7</f>
        <v/>
      </c>
      <c r="L2208">
        <f>I2208*(1+J2208/100)+K2208</f>
        <v/>
      </c>
    </row>
    <row r="2209">
      <c r="A2209" t="inlineStr">
        <is>
          <t>מדי-מרקט</t>
        </is>
      </c>
      <c r="B2209" t="inlineStr">
        <is>
          <t>VARICELLA ZOSTER VIRUS VACCINE -חיסון אבעבועות רוח</t>
        </is>
      </c>
      <c r="C2209" t="inlineStr">
        <is>
          <t>תרופות</t>
        </is>
      </c>
      <c r="D2209" t="inlineStr">
        <is>
          <t>1800400989</t>
        </is>
      </c>
      <c r="E2209" t="inlineStr">
        <is>
          <t>2026-06</t>
        </is>
      </c>
      <c r="F2209" t="n">
        <v>137.29</v>
      </c>
      <c r="G2209" t="n">
        <v>162</v>
      </c>
      <c r="H2209">
        <f>הגדרות!B7</f>
        <v/>
      </c>
      <c r="I2209">
        <f>F2209*(1-H2209/100)*1.18</f>
        <v/>
      </c>
      <c r="J2209">
        <f>הגדרות!C7</f>
        <v/>
      </c>
      <c r="K2209">
        <f>הגדרות!D7</f>
        <v/>
      </c>
      <c r="L2209">
        <f>I2209*(1+J2209/100)+K2209</f>
        <v/>
      </c>
    </row>
    <row r="2210">
      <c r="A2210" t="inlineStr">
        <is>
          <t>מדי-מרקט</t>
        </is>
      </c>
      <c r="B2210" t="inlineStr">
        <is>
          <t>Vasodip 10Mg X 30Tab</t>
        </is>
      </c>
      <c r="C2210" t="inlineStr">
        <is>
          <t>תרופות</t>
        </is>
      </c>
      <c r="D2210" t="inlineStr">
        <is>
          <t>102145</t>
        </is>
      </c>
      <c r="E2210" t="inlineStr">
        <is>
          <t>2026-06</t>
        </is>
      </c>
      <c r="F2210" t="n">
        <v>24.58</v>
      </c>
      <c r="G2210" t="n">
        <v>29</v>
      </c>
      <c r="H2210">
        <f>הגדרות!B7</f>
        <v/>
      </c>
      <c r="I2210">
        <f>F2210*(1-H2210/100)*1.18</f>
        <v/>
      </c>
      <c r="J2210">
        <f>הגדרות!C7</f>
        <v/>
      </c>
      <c r="K2210">
        <f>הגדרות!D7</f>
        <v/>
      </c>
      <c r="L2210">
        <f>I2210*(1+J2210/100)+K2210</f>
        <v/>
      </c>
    </row>
    <row r="2211">
      <c r="A2211" t="inlineStr">
        <is>
          <t>מדי-מרקט</t>
        </is>
      </c>
      <c r="B2211" t="inlineStr">
        <is>
          <t>Vasopressin Farmak 20 Iu/Ml 1Ml X 10Amp(Il)</t>
        </is>
      </c>
      <c r="C2211" t="inlineStr">
        <is>
          <t>תרופות רשומות- מדי מרקט</t>
        </is>
      </c>
      <c r="D2211" t="inlineStr">
        <is>
          <t>25489</t>
        </is>
      </c>
      <c r="E2211" t="inlineStr">
        <is>
          <t>2026-06</t>
        </is>
      </c>
      <c r="F2211" t="n">
        <v>581.87</v>
      </c>
      <c r="G2211" t="n">
        <v>686.61</v>
      </c>
      <c r="H2211">
        <f>הגדרות!B7</f>
        <v/>
      </c>
      <c r="I2211">
        <f>F2211*(1-H2211/100)*1.18</f>
        <v/>
      </c>
      <c r="J2211">
        <f>הגדרות!C7</f>
        <v/>
      </c>
      <c r="K2211">
        <f>הגדרות!D7</f>
        <v/>
      </c>
      <c r="L2211">
        <f>I2211*(1+J2211/100)+K2211</f>
        <v/>
      </c>
    </row>
    <row r="2212">
      <c r="A2212" t="inlineStr">
        <is>
          <t>מדי-מרקט</t>
        </is>
      </c>
      <c r="B2212" t="inlineStr">
        <is>
          <t>VBP01-A101-01-STD TIP 500/bag  טיפים לביוכימיה</t>
        </is>
      </c>
      <c r="C2212" t="inlineStr">
        <is>
          <t>ביוכימיה</t>
        </is>
      </c>
      <c r="D2212" t="inlineStr">
        <is>
          <t>3640101005</t>
        </is>
      </c>
      <c r="E2212" t="inlineStr">
        <is>
          <t>2026-06</t>
        </is>
      </c>
      <c r="F2212" t="n">
        <v>135.59</v>
      </c>
      <c r="G2212" t="n">
        <v>160</v>
      </c>
      <c r="H2212">
        <f>הגדרות!B7</f>
        <v/>
      </c>
      <c r="I2212">
        <f>F2212*(1-H2212/100)*1.18</f>
        <v/>
      </c>
      <c r="J2212">
        <f>הגדרות!C7</f>
        <v/>
      </c>
      <c r="K2212">
        <f>הגדרות!D7</f>
        <v/>
      </c>
      <c r="L2212">
        <f>I2212*(1+J2212/100)+K2212</f>
        <v/>
      </c>
    </row>
    <row r="2213">
      <c r="A2213" t="inlineStr">
        <is>
          <t>מדי-מרקט</t>
        </is>
      </c>
      <c r="B2213" t="inlineStr">
        <is>
          <t>Vectra 3D dog 1.5-4.5 KG 3P וקטרה לכלב קטנטן</t>
        </is>
      </c>
      <c r="C2213" t="inlineStr">
        <is>
          <t>מוצרי הדברה והתנהגות CEVA</t>
        </is>
      </c>
      <c r="D2213" t="inlineStr">
        <is>
          <t>C66110C</t>
        </is>
      </c>
      <c r="E2213" t="inlineStr">
        <is>
          <t>2026-06</t>
        </is>
      </c>
      <c r="F2213" t="n">
        <v>37.24</v>
      </c>
      <c r="G2213" t="n">
        <v>43.94</v>
      </c>
      <c r="H2213">
        <f>הגדרות!B7</f>
        <v/>
      </c>
      <c r="I2213">
        <f>F2213*(1-H2213/100)*1.18</f>
        <v/>
      </c>
      <c r="J2213">
        <f>הגדרות!C7</f>
        <v/>
      </c>
      <c r="K2213">
        <f>הגדרות!D7</f>
        <v/>
      </c>
      <c r="L2213">
        <f>I2213*(1+J2213/100)+K2213</f>
        <v/>
      </c>
    </row>
    <row r="2214">
      <c r="A2214" t="inlineStr">
        <is>
          <t>מדי-מרקט</t>
        </is>
      </c>
      <c r="B2214" t="inlineStr">
        <is>
          <t>Vectra 3D dog 10-25 KG 3P וקטרה לכלב בינוני</t>
        </is>
      </c>
      <c r="C2214" t="inlineStr">
        <is>
          <t>מוצרי הדברה והתנהגות CEVA</t>
        </is>
      </c>
      <c r="D2214" t="inlineStr">
        <is>
          <t>C66130C</t>
        </is>
      </c>
      <c r="E2214" t="inlineStr">
        <is>
          <t>2026-06</t>
        </is>
      </c>
      <c r="F2214" t="n">
        <v>49.03</v>
      </c>
      <c r="G2214" t="n">
        <v>57.86</v>
      </c>
      <c r="H2214">
        <f>הגדרות!B7</f>
        <v/>
      </c>
      <c r="I2214">
        <f>F2214*(1-H2214/100)*1.18</f>
        <v/>
      </c>
      <c r="J2214">
        <f>הגדרות!C7</f>
        <v/>
      </c>
      <c r="K2214">
        <f>הגדרות!D7</f>
        <v/>
      </c>
      <c r="L2214">
        <f>I2214*(1+J2214/100)+K2214</f>
        <v/>
      </c>
    </row>
    <row r="2215">
      <c r="A2215" t="inlineStr">
        <is>
          <t>מדי-מרקט</t>
        </is>
      </c>
      <c r="B2215" t="inlineStr">
        <is>
          <t>Vectra 3D dog 25-40 KG 3P וקטרה לכלב גדול</t>
        </is>
      </c>
      <c r="C2215" t="inlineStr">
        <is>
          <t>מוצרי הדברה והתנהגות CEVA</t>
        </is>
      </c>
      <c r="D2215" t="inlineStr">
        <is>
          <t>C66140C</t>
        </is>
      </c>
      <c r="E2215" t="inlineStr">
        <is>
          <t>2026-06</t>
        </is>
      </c>
      <c r="F2215" t="n">
        <v>49.59</v>
      </c>
      <c r="G2215" t="n">
        <v>58.52</v>
      </c>
      <c r="H2215">
        <f>הגדרות!B7</f>
        <v/>
      </c>
      <c r="I2215">
        <f>F2215*(1-H2215/100)*1.18</f>
        <v/>
      </c>
      <c r="J2215">
        <f>הגדרות!C7</f>
        <v/>
      </c>
      <c r="K2215">
        <f>הגדרות!D7</f>
        <v/>
      </c>
      <c r="L2215">
        <f>I2215*(1+J2215/100)+K2215</f>
        <v/>
      </c>
    </row>
    <row r="2216">
      <c r="A2216" t="inlineStr">
        <is>
          <t>מדי-מרקט</t>
        </is>
      </c>
      <c r="B2216" t="inlineStr">
        <is>
          <t>Vectra 3D dog 4-10 KG 3P וקטרה לכלב קטן</t>
        </is>
      </c>
      <c r="C2216" t="inlineStr">
        <is>
          <t>מוצרי הדברה והתנהגות CEVA</t>
        </is>
      </c>
      <c r="D2216" t="inlineStr">
        <is>
          <t>C66120C</t>
        </is>
      </c>
      <c r="E2216" t="inlineStr">
        <is>
          <t>2026-06</t>
        </is>
      </c>
      <c r="F2216" t="n">
        <v>40.41</v>
      </c>
      <c r="G2216" t="n">
        <v>47.68</v>
      </c>
      <c r="H2216">
        <f>הגדרות!B7</f>
        <v/>
      </c>
      <c r="I2216">
        <f>F2216*(1-H2216/100)*1.18</f>
        <v/>
      </c>
      <c r="J2216">
        <f>הגדרות!C7</f>
        <v/>
      </c>
      <c r="K2216">
        <f>הגדרות!D7</f>
        <v/>
      </c>
      <c r="L2216">
        <f>I2216*(1+J2216/100)+K2216</f>
        <v/>
      </c>
    </row>
    <row r="2217">
      <c r="A2217" t="inlineStr">
        <is>
          <t>מדי-מרקט</t>
        </is>
      </c>
      <c r="B2217" t="inlineStr">
        <is>
          <t>Vectra 3D dog 40-60 KG 3P וקטרה לכלב ענק</t>
        </is>
      </c>
      <c r="C2217" t="inlineStr">
        <is>
          <t>מוצרי הדברה והתנהגות CEVA</t>
        </is>
      </c>
      <c r="D2217" t="inlineStr">
        <is>
          <t>C66150C</t>
        </is>
      </c>
      <c r="E2217" t="inlineStr">
        <is>
          <t>2026-06</t>
        </is>
      </c>
      <c r="F2217" t="n">
        <v>47.23</v>
      </c>
      <c r="G2217" t="n">
        <v>55.73</v>
      </c>
      <c r="H2217">
        <f>הגדרות!B7</f>
        <v/>
      </c>
      <c r="I2217">
        <f>F2217*(1-H2217/100)*1.18</f>
        <v/>
      </c>
      <c r="J2217">
        <f>הגדרות!C7</f>
        <v/>
      </c>
      <c r="K2217">
        <f>הגדרות!D7</f>
        <v/>
      </c>
      <c r="L2217">
        <f>I2217*(1+J2217/100)+K2217</f>
        <v/>
      </c>
    </row>
    <row r="2218">
      <c r="A2218" t="inlineStr">
        <is>
          <t>מדי-מרקט</t>
        </is>
      </c>
      <c r="B2218" t="inlineStr">
        <is>
          <t>Vectra Felis 3PK וקטרה לחתול 3 אמפולות</t>
        </is>
      </c>
      <c r="C2218" t="inlineStr">
        <is>
          <t>מוצרי הדברה והתנהגות CEVA</t>
        </is>
      </c>
      <c r="D2218" t="inlineStr">
        <is>
          <t>C66010E</t>
        </is>
      </c>
      <c r="E2218" t="inlineStr">
        <is>
          <t>2026-06</t>
        </is>
      </c>
      <c r="F2218" t="n">
        <v>42.1</v>
      </c>
      <c r="G2218" t="n">
        <v>49.68</v>
      </c>
      <c r="H2218">
        <f>הגדרות!B7</f>
        <v/>
      </c>
      <c r="I2218">
        <f>F2218*(1-H2218/100)*1.18</f>
        <v/>
      </c>
      <c r="J2218">
        <f>הגדרות!C7</f>
        <v/>
      </c>
      <c r="K2218">
        <f>הגדרות!D7</f>
        <v/>
      </c>
      <c r="L2218">
        <f>I2218*(1+J2218/100)+K2218</f>
        <v/>
      </c>
    </row>
    <row r="2219">
      <c r="A2219" t="inlineStr">
        <is>
          <t>מדי-מרקט</t>
        </is>
      </c>
      <c r="B2219" t="inlineStr">
        <is>
          <t>VENFLON 17GX45MM WHITE BX50 -ונפלון 17G</t>
        </is>
      </c>
      <c r="C2219" t="inlineStr">
        <is>
          <t>מזרקים,מחטים,ונפלונים,סקלפלים</t>
        </is>
      </c>
      <c r="D2219" t="inlineStr">
        <is>
          <t>2974</t>
        </is>
      </c>
      <c r="E2219" t="inlineStr">
        <is>
          <t>2026-06</t>
        </is>
      </c>
      <c r="F2219" t="n">
        <v>2.12</v>
      </c>
      <c r="G2219" t="n">
        <v>2.5</v>
      </c>
      <c r="H2219">
        <f>הגדרות!B7</f>
        <v/>
      </c>
      <c r="I2219">
        <f>F2219*(1-H2219/100)*1.18</f>
        <v/>
      </c>
      <c r="J2219">
        <f>הגדרות!C7</f>
        <v/>
      </c>
      <c r="K2219">
        <f>הגדרות!D7</f>
        <v/>
      </c>
      <c r="L2219">
        <f>I2219*(1+J2219/100)+K2219</f>
        <v/>
      </c>
    </row>
    <row r="2220">
      <c r="A2220" t="inlineStr">
        <is>
          <t>מדי-מרקט</t>
        </is>
      </c>
      <c r="B2220" t="inlineStr">
        <is>
          <t>Venla 37.5Mg X 28Tabs</t>
        </is>
      </c>
      <c r="C2220" t="inlineStr">
        <is>
          <t>תרופות</t>
        </is>
      </c>
      <c r="D2220" t="inlineStr">
        <is>
          <t>038825</t>
        </is>
      </c>
      <c r="E2220" t="inlineStr">
        <is>
          <t>2026-06</t>
        </is>
      </c>
      <c r="F2220" t="n">
        <v>16.1</v>
      </c>
      <c r="G2220" t="n">
        <v>19</v>
      </c>
      <c r="H2220">
        <f>הגדרות!B7</f>
        <v/>
      </c>
      <c r="I2220">
        <f>F2220*(1-H2220/100)*1.18</f>
        <v/>
      </c>
      <c r="J2220">
        <f>הגדרות!C7</f>
        <v/>
      </c>
      <c r="K2220">
        <f>הגדרות!D7</f>
        <v/>
      </c>
      <c r="L2220">
        <f>I2220*(1+J2220/100)+K2220</f>
        <v/>
      </c>
    </row>
    <row r="2221">
      <c r="A2221" t="inlineStr">
        <is>
          <t>מדי-מרקט</t>
        </is>
      </c>
      <c r="B2221" t="inlineStr">
        <is>
          <t>VENTOLIN  INHALER CFC FREE</t>
        </is>
      </c>
      <c r="C2221" t="inlineStr">
        <is>
          <t>תרופות</t>
        </is>
      </c>
      <c r="D2221" t="inlineStr">
        <is>
          <t>32642</t>
        </is>
      </c>
      <c r="E2221" t="inlineStr">
        <is>
          <t>2026-06</t>
        </is>
      </c>
      <c r="F2221" t="n">
        <v>19.83</v>
      </c>
      <c r="G2221" t="n">
        <v>23.4</v>
      </c>
      <c r="H2221">
        <f>הגדרות!B7</f>
        <v/>
      </c>
      <c r="I2221">
        <f>F2221*(1-H2221/100)*1.18</f>
        <v/>
      </c>
      <c r="J2221">
        <f>הגדרות!C7</f>
        <v/>
      </c>
      <c r="K2221">
        <f>הגדרות!D7</f>
        <v/>
      </c>
      <c r="L2221">
        <f>I2221*(1+J2221/100)+K2221</f>
        <v/>
      </c>
    </row>
    <row r="2222">
      <c r="A2222" t="inlineStr">
        <is>
          <t>מדי-מרקט</t>
        </is>
      </c>
      <c r="B2222" t="inlineStr">
        <is>
          <t>Ventolin 0.5Mg/Ml 5*1Ml X 5Amp</t>
        </is>
      </c>
      <c r="C2222" t="inlineStr">
        <is>
          <t>תרופות</t>
        </is>
      </c>
      <c r="D2222" t="inlineStr">
        <is>
          <t>62484</t>
        </is>
      </c>
      <c r="E2222" t="inlineStr">
        <is>
          <t>2026-06</t>
        </is>
      </c>
      <c r="F2222" t="n">
        <v>11.23</v>
      </c>
      <c r="G2222" t="n">
        <v>13.25</v>
      </c>
      <c r="H2222">
        <f>הגדרות!B7</f>
        <v/>
      </c>
      <c r="I2222">
        <f>F2222*(1-H2222/100)*1.18</f>
        <v/>
      </c>
      <c r="J2222">
        <f>הגדרות!C7</f>
        <v/>
      </c>
      <c r="K2222">
        <f>הגדרות!D7</f>
        <v/>
      </c>
      <c r="L2222">
        <f>I2222*(1+J2222/100)+K2222</f>
        <v/>
      </c>
    </row>
    <row r="2223">
      <c r="A2223" t="inlineStr">
        <is>
          <t>מדי-מרקט</t>
        </is>
      </c>
      <c r="B2223" t="inlineStr">
        <is>
          <t>VERMOX 100MG X 6TABS</t>
        </is>
      </c>
      <c r="C2223" t="inlineStr">
        <is>
          <t>תרופות</t>
        </is>
      </c>
      <c r="D2223" t="inlineStr">
        <is>
          <t>7123</t>
        </is>
      </c>
      <c r="E2223" t="inlineStr">
        <is>
          <t>2026-06</t>
        </is>
      </c>
      <c r="F2223" t="n">
        <v>21.8</v>
      </c>
      <c r="G2223" t="n">
        <v>25.72</v>
      </c>
      <c r="H2223">
        <f>הגדרות!B7</f>
        <v/>
      </c>
      <c r="I2223">
        <f>F2223*(1-H2223/100)*1.18</f>
        <v/>
      </c>
      <c r="J2223">
        <f>הגדרות!C7</f>
        <v/>
      </c>
      <c r="K2223">
        <f>הגדרות!D7</f>
        <v/>
      </c>
      <c r="L2223">
        <f>I2223*(1+J2223/100)+K2223</f>
        <v/>
      </c>
    </row>
    <row r="2224">
      <c r="A2224" t="inlineStr">
        <is>
          <t>מדי-מרקט</t>
        </is>
      </c>
      <c r="B2224" t="inlineStr">
        <is>
          <t>Vermox ורמוקס תרחיף 30 מ"ל</t>
        </is>
      </c>
      <c r="C2224" t="inlineStr">
        <is>
          <t>תרופות</t>
        </is>
      </c>
      <c r="D2224" t="inlineStr">
        <is>
          <t>7121</t>
        </is>
      </c>
      <c r="E2224" t="inlineStr">
        <is>
          <t>2026-06</t>
        </is>
      </c>
      <c r="F2224" t="n">
        <v>19.83</v>
      </c>
      <c r="G2224" t="n">
        <v>23.4</v>
      </c>
      <c r="H2224">
        <f>הגדרות!B7</f>
        <v/>
      </c>
      <c r="I2224">
        <f>F2224*(1-H2224/100)*1.18</f>
        <v/>
      </c>
      <c r="J2224">
        <f>הגדרות!C7</f>
        <v/>
      </c>
      <c r="K2224">
        <f>הגדרות!D7</f>
        <v/>
      </c>
      <c r="L2224">
        <f>I2224*(1+J2224/100)+K2224</f>
        <v/>
      </c>
    </row>
    <row r="2225">
      <c r="A2225" t="inlineStr">
        <is>
          <t>מדי-מרקט</t>
        </is>
      </c>
      <c r="B2225" t="inlineStr">
        <is>
          <t>Vet Magniscope ENT Otoscope אוטוסקופ וטרינרי</t>
        </is>
      </c>
      <c r="C2225" t="inlineStr">
        <is>
          <t>דיאגנוסטיקה</t>
        </is>
      </c>
      <c r="D2225" t="inlineStr">
        <is>
          <t>901475</t>
        </is>
      </c>
      <c r="E2225" t="inlineStr">
        <is>
          <t>2026-06</t>
        </is>
      </c>
      <c r="F2225" t="n">
        <v>805.08</v>
      </c>
      <c r="G2225" t="n">
        <v>950</v>
      </c>
      <c r="H2225">
        <f>הגדרות!B7</f>
        <v/>
      </c>
      <c r="I2225">
        <f>F2225*(1-H2225/100)*1.18</f>
        <v/>
      </c>
      <c r="J2225">
        <f>הגדרות!C7</f>
        <v/>
      </c>
      <c r="K2225">
        <f>הגדרות!D7</f>
        <v/>
      </c>
      <c r="L2225">
        <f>I2225*(1+J2225/100)+K2225</f>
        <v/>
      </c>
    </row>
    <row r="2226">
      <c r="A2226" t="inlineStr">
        <is>
          <t>מדי-מרקט</t>
        </is>
      </c>
      <c r="B2226" t="inlineStr">
        <is>
          <t>Veta 5 top monitor bracket kit</t>
        </is>
      </c>
      <c r="C2226" t="inlineStr">
        <is>
          <t>Mindray</t>
        </is>
      </c>
      <c r="D2226" t="inlineStr">
        <is>
          <t>115-00165A-00</t>
        </is>
      </c>
      <c r="E2226" t="inlineStr">
        <is>
          <t>2026-06</t>
        </is>
      </c>
      <c r="F2226" t="n">
        <v>419.49</v>
      </c>
      <c r="G2226" t="n">
        <v>495</v>
      </c>
      <c r="H2226">
        <f>הגדרות!B7</f>
        <v/>
      </c>
      <c r="I2226">
        <f>F2226*(1-H2226/100)*1.18</f>
        <v/>
      </c>
      <c r="J2226">
        <f>הגדרות!C7</f>
        <v/>
      </c>
      <c r="K2226">
        <f>הגדרות!D7</f>
        <v/>
      </c>
      <c r="L2226">
        <f>I2226*(1+J2226/100)+K2226</f>
        <v/>
      </c>
    </row>
    <row r="2227">
      <c r="A2227" t="inlineStr">
        <is>
          <t>מדי-מרקט</t>
        </is>
      </c>
      <c r="B2227" t="inlineStr">
        <is>
          <t>Vetri FLEX all weights pro chew for dogs &amp; cats</t>
        </is>
      </c>
      <c r="C2227" t="inlineStr">
        <is>
          <t>Vetri Science</t>
        </is>
      </c>
      <c r="D2227" t="inlineStr">
        <is>
          <t>09M292B.060</t>
        </is>
      </c>
      <c r="E2227" t="inlineStr">
        <is>
          <t>2026-06</t>
        </is>
      </c>
      <c r="F2227" t="n">
        <v>105.93</v>
      </c>
      <c r="G2227" t="n">
        <v>125</v>
      </c>
      <c r="H2227">
        <f>הגדרות!B7</f>
        <v/>
      </c>
      <c r="I2227">
        <f>F2227*(1-H2227/100)*1.18</f>
        <v/>
      </c>
      <c r="J2227">
        <f>הגדרות!C7</f>
        <v/>
      </c>
      <c r="K2227">
        <f>הגדרות!D7</f>
        <v/>
      </c>
      <c r="L2227">
        <f>I2227*(1+J2227/100)+K2227</f>
        <v/>
      </c>
    </row>
    <row r="2228">
      <c r="A2228" t="inlineStr">
        <is>
          <t>מדי-מרקט</t>
        </is>
      </c>
      <c r="B2228" t="inlineStr">
        <is>
          <t>VETRIMOXIN VETERINARY 15% AMOXYCILLIN 150MG/ML 100ML INJ</t>
        </is>
      </c>
      <c r="C2228" t="inlineStr">
        <is>
          <t>תרופות</t>
        </is>
      </c>
      <c r="D2228" t="inlineStr">
        <is>
          <t>31644-1</t>
        </is>
      </c>
      <c r="E2228" t="inlineStr">
        <is>
          <t>2026-06</t>
        </is>
      </c>
      <c r="F2228" t="n">
        <v>58.47</v>
      </c>
      <c r="G2228" t="n">
        <v>69</v>
      </c>
      <c r="H2228">
        <f>הגדרות!B7</f>
        <v/>
      </c>
      <c r="I2228">
        <f>F2228*(1-H2228/100)*1.18</f>
        <v/>
      </c>
      <c r="J2228">
        <f>הגדרות!C7</f>
        <v/>
      </c>
      <c r="K2228">
        <f>הגדרות!D7</f>
        <v/>
      </c>
      <c r="L2228">
        <f>I2228*(1+J2228/100)+K2228</f>
        <v/>
      </c>
    </row>
    <row r="2229">
      <c r="A2229" t="inlineStr">
        <is>
          <t>מדי-מרקט</t>
        </is>
      </c>
      <c r="B2229" t="inlineStr">
        <is>
          <t>Viepax Xr 150Mg X 30Tabs</t>
        </is>
      </c>
      <c r="C2229" t="inlineStr">
        <is>
          <t>תרופות</t>
        </is>
      </c>
      <c r="D2229" t="inlineStr">
        <is>
          <t>22327</t>
        </is>
      </c>
      <c r="E2229" t="inlineStr">
        <is>
          <t>2026-06</t>
        </is>
      </c>
      <c r="F2229" t="n">
        <v>41.31</v>
      </c>
      <c r="G2229" t="n">
        <v>48.75</v>
      </c>
      <c r="H2229">
        <f>הגדרות!B7</f>
        <v/>
      </c>
      <c r="I2229">
        <f>F2229*(1-H2229/100)*1.18</f>
        <v/>
      </c>
      <c r="J2229">
        <f>הגדרות!C7</f>
        <v/>
      </c>
      <c r="K2229">
        <f>הגדרות!D7</f>
        <v/>
      </c>
      <c r="L2229">
        <f>I2229*(1+J2229/100)+K2229</f>
        <v/>
      </c>
    </row>
    <row r="2230">
      <c r="A2230" t="inlineStr">
        <is>
          <t>מדי-מרקט</t>
        </is>
      </c>
      <c r="B2230" t="inlineStr">
        <is>
          <t>Viepax Xr 75Mg X 30Tabs</t>
        </is>
      </c>
      <c r="C2230" t="inlineStr">
        <is>
          <t>תרופות</t>
        </is>
      </c>
      <c r="D2230" t="inlineStr">
        <is>
          <t>22328</t>
        </is>
      </c>
      <c r="E2230" t="inlineStr">
        <is>
          <t>2026-06</t>
        </is>
      </c>
      <c r="F2230" t="n">
        <v>26.27</v>
      </c>
      <c r="G2230" t="n">
        <v>31</v>
      </c>
      <c r="H2230">
        <f>הגדרות!B7</f>
        <v/>
      </c>
      <c r="I2230">
        <f>F2230*(1-H2230/100)*1.18</f>
        <v/>
      </c>
      <c r="J2230">
        <f>הגדרות!C7</f>
        <v/>
      </c>
      <c r="K2230">
        <f>הגדרות!D7</f>
        <v/>
      </c>
      <c r="L2230">
        <f>I2230*(1+J2230/100)+K2230</f>
        <v/>
      </c>
    </row>
    <row r="2231">
      <c r="A2231" t="inlineStr">
        <is>
          <t>מדי-מרקט</t>
        </is>
      </c>
      <c r="B2231" t="inlineStr">
        <is>
          <t>Viepax/Venla 75Mg X 28Tabs</t>
        </is>
      </c>
      <c r="C2231" t="inlineStr">
        <is>
          <t>תרופות</t>
        </is>
      </c>
      <c r="D2231" t="inlineStr">
        <is>
          <t>1968653</t>
        </is>
      </c>
      <c r="E2231" t="inlineStr">
        <is>
          <t>2026-06</t>
        </is>
      </c>
      <c r="F2231" t="n">
        <v>37.2</v>
      </c>
      <c r="G2231" t="n">
        <v>43.9</v>
      </c>
      <c r="H2231">
        <f>הגדרות!B7</f>
        <v/>
      </c>
      <c r="I2231">
        <f>F2231*(1-H2231/100)*1.18</f>
        <v/>
      </c>
      <c r="J2231">
        <f>הגדרות!C7</f>
        <v/>
      </c>
      <c r="K2231">
        <f>הגדרות!D7</f>
        <v/>
      </c>
      <c r="L2231">
        <f>I2231*(1+J2231/100)+K2231</f>
        <v/>
      </c>
    </row>
    <row r="2232">
      <c r="A2232" t="inlineStr">
        <is>
          <t>מדי-מרקט</t>
        </is>
      </c>
      <c r="B2232" t="inlineStr">
        <is>
          <t>Vigamox 5 Ml Eye Drops</t>
        </is>
      </c>
      <c r="C2232" t="inlineStr">
        <is>
          <t>תרופות</t>
        </is>
      </c>
      <c r="D2232" t="inlineStr">
        <is>
          <t>25792</t>
        </is>
      </c>
      <c r="E2232" t="inlineStr">
        <is>
          <t>2026-06</t>
        </is>
      </c>
      <c r="F2232" t="n">
        <v>34.75</v>
      </c>
      <c r="G2232" t="n">
        <v>41</v>
      </c>
      <c r="H2232">
        <f>הגדרות!B7</f>
        <v/>
      </c>
      <c r="I2232">
        <f>F2232*(1-H2232/100)*1.18</f>
        <v/>
      </c>
      <c r="J2232">
        <f>הגדרות!C7</f>
        <v/>
      </c>
      <c r="K2232">
        <f>הגדרות!D7</f>
        <v/>
      </c>
      <c r="L2232">
        <f>I2232*(1+J2232/100)+K2232</f>
        <v/>
      </c>
    </row>
    <row r="2233">
      <c r="A2233" t="inlineStr">
        <is>
          <t>מדי-מרקט</t>
        </is>
      </c>
      <c r="B2233" t="inlineStr">
        <is>
          <t>Vimpat 100Mg 56Tab</t>
        </is>
      </c>
      <c r="C2233" t="inlineStr">
        <is>
          <t>תרופות</t>
        </is>
      </c>
      <c r="D2233" t="inlineStr">
        <is>
          <t>22355</t>
        </is>
      </c>
      <c r="E2233" t="inlineStr">
        <is>
          <t>2026-06</t>
        </is>
      </c>
      <c r="F2233" t="n">
        <v>245.58</v>
      </c>
      <c r="G2233" t="n">
        <v>289.78</v>
      </c>
      <c r="H2233">
        <f>הגדרות!B7</f>
        <v/>
      </c>
      <c r="I2233">
        <f>F2233*(1-H2233/100)*1.18</f>
        <v/>
      </c>
      <c r="J2233">
        <f>הגדרות!C7</f>
        <v/>
      </c>
      <c r="K2233">
        <f>הגדרות!D7</f>
        <v/>
      </c>
      <c r="L2233">
        <f>I2233*(1+J2233/100)+K2233</f>
        <v/>
      </c>
    </row>
    <row r="2234">
      <c r="A2234" t="inlineStr">
        <is>
          <t>מדי-מרקט</t>
        </is>
      </c>
      <c r="B2234" t="inlineStr">
        <is>
          <t>Vimpat 50Mg X 14Tab</t>
        </is>
      </c>
      <c r="C2234" t="inlineStr">
        <is>
          <t>תרופות</t>
        </is>
      </c>
      <c r="D2234" t="inlineStr">
        <is>
          <t>22357</t>
        </is>
      </c>
      <c r="E2234" t="inlineStr">
        <is>
          <t>2026-06</t>
        </is>
      </c>
      <c r="F2234" t="n">
        <v>32.3</v>
      </c>
      <c r="G2234" t="n">
        <v>38.11</v>
      </c>
      <c r="H2234">
        <f>הגדרות!B7</f>
        <v/>
      </c>
      <c r="I2234">
        <f>F2234*(1-H2234/100)*1.18</f>
        <v/>
      </c>
      <c r="J2234">
        <f>הגדרות!C7</f>
        <v/>
      </c>
      <c r="K2234">
        <f>הגדרות!D7</f>
        <v/>
      </c>
      <c r="L2234">
        <f>I2234*(1+J2234/100)+K2234</f>
        <v/>
      </c>
    </row>
    <row r="2235">
      <c r="A2235" t="inlineStr">
        <is>
          <t>מדי-מרקט</t>
        </is>
      </c>
      <c r="B2235" t="inlineStr">
        <is>
          <t>Vinblastine Sulfate 1 mg/ml 10 ml *5 vials  sol.for.inj</t>
        </is>
      </c>
      <c r="C2235" t="inlineStr">
        <is>
          <t>29 יבוא תרופות הומניות חו"ל</t>
        </is>
      </c>
      <c r="D2235" t="inlineStr">
        <is>
          <t>254896</t>
        </is>
      </c>
      <c r="E2235" t="inlineStr">
        <is>
          <t>2026-06</t>
        </is>
      </c>
      <c r="F2235" t="n">
        <v>838.98</v>
      </c>
      <c r="G2235" t="n">
        <v>990</v>
      </c>
      <c r="H2235">
        <f>הגדרות!B7</f>
        <v/>
      </c>
      <c r="I2235">
        <f>F2235*(1-H2235/100)*1.18</f>
        <v/>
      </c>
      <c r="J2235">
        <f>הגדרות!C7</f>
        <v/>
      </c>
      <c r="K2235">
        <f>הגדרות!D7</f>
        <v/>
      </c>
      <c r="L2235">
        <f>I2235*(1+J2235/100)+K2235</f>
        <v/>
      </c>
    </row>
    <row r="2236">
      <c r="A2236" t="inlineStr">
        <is>
          <t>מדי-מרקט</t>
        </is>
      </c>
      <c r="B2236" t="inlineStr">
        <is>
          <t>Vipera Palaestinae Anti Serum 50/Ml,10Ml- נסיוב</t>
        </is>
      </c>
      <c r="C2236" t="inlineStr">
        <is>
          <t>תרופות</t>
        </is>
      </c>
      <c r="D2236" t="inlineStr">
        <is>
          <t>165359</t>
        </is>
      </c>
      <c r="E2236" t="inlineStr">
        <is>
          <t>2026-06</t>
        </is>
      </c>
      <c r="F2236" t="n">
        <v>4406.78</v>
      </c>
      <c r="G2236" t="n">
        <v>5200</v>
      </c>
      <c r="H2236">
        <f>הגדרות!B7</f>
        <v/>
      </c>
      <c r="I2236">
        <f>F2236*(1-H2236/100)*1.18</f>
        <v/>
      </c>
      <c r="J2236">
        <f>הגדרות!C7</f>
        <v/>
      </c>
      <c r="K2236">
        <f>הגדרות!D7</f>
        <v/>
      </c>
      <c r="L2236">
        <f>I2236*(1+J2236/100)+K2236</f>
        <v/>
      </c>
    </row>
    <row r="2237">
      <c r="A2237" t="inlineStr">
        <is>
          <t>מדי-מרקט</t>
        </is>
      </c>
      <c r="B2237" t="inlineStr">
        <is>
          <t>VITAMIN B12 1000MG*30 TAB</t>
        </is>
      </c>
      <c r="C2237" t="inlineStr">
        <is>
          <t>ויטמינים ויטה יאנג</t>
        </is>
      </c>
      <c r="D2237" t="inlineStr">
        <is>
          <t>12389</t>
        </is>
      </c>
      <c r="E2237" t="inlineStr">
        <is>
          <t>2026-06</t>
        </is>
      </c>
      <c r="F2237" t="n">
        <v>14.75</v>
      </c>
      <c r="G2237" t="n">
        <v>17.4</v>
      </c>
      <c r="H2237">
        <f>הגדרות!B7</f>
        <v/>
      </c>
      <c r="I2237">
        <f>F2237*(1-H2237/100)*1.18</f>
        <v/>
      </c>
      <c r="J2237">
        <f>הגדרות!C7</f>
        <v/>
      </c>
      <c r="K2237">
        <f>הגדרות!D7</f>
        <v/>
      </c>
      <c r="L2237">
        <f>I2237*(1+J2237/100)+K2237</f>
        <v/>
      </c>
    </row>
    <row r="2238">
      <c r="A2238" t="inlineStr">
        <is>
          <t>מדי-מרקט</t>
        </is>
      </c>
      <c r="B2238" t="inlineStr">
        <is>
          <t>Vitamin D3 400U X 90Cap</t>
        </is>
      </c>
      <c r="C2238" t="inlineStr">
        <is>
          <t>תרופות</t>
        </is>
      </c>
      <c r="D2238" t="inlineStr">
        <is>
          <t>55623-1</t>
        </is>
      </c>
      <c r="E2238" t="inlineStr">
        <is>
          <t>2026-06</t>
        </is>
      </c>
      <c r="F2238" t="n">
        <v>7.63</v>
      </c>
      <c r="G2238" t="n">
        <v>9</v>
      </c>
      <c r="H2238">
        <f>הגדרות!B7</f>
        <v/>
      </c>
      <c r="I2238">
        <f>F2238*(1-H2238/100)*1.18</f>
        <v/>
      </c>
      <c r="J2238">
        <f>הגדרות!C7</f>
        <v/>
      </c>
      <c r="K2238">
        <f>הגדרות!D7</f>
        <v/>
      </c>
      <c r="L2238">
        <f>I2238*(1+J2238/100)+K2238</f>
        <v/>
      </c>
    </row>
    <row r="2239">
      <c r="A2239" t="inlineStr">
        <is>
          <t>מדי-מרקט</t>
        </is>
      </c>
      <c r="B2239" t="inlineStr">
        <is>
          <t>Vitamin K1 25mg 100 caps ויטמין K1 (נופק ע"י בית מרקחת)</t>
        </is>
      </c>
      <c r="C2239" t="inlineStr">
        <is>
          <t>הכנות בית מרקחת</t>
        </is>
      </c>
      <c r="D2239" t="inlineStr">
        <is>
          <t>6646</t>
        </is>
      </c>
      <c r="E2239" t="inlineStr">
        <is>
          <t>2026-06</t>
        </is>
      </c>
      <c r="F2239" t="n">
        <v>169.49</v>
      </c>
      <c r="G2239" t="n">
        <v>200</v>
      </c>
      <c r="H2239">
        <f>הגדרות!B7</f>
        <v/>
      </c>
      <c r="I2239">
        <f>F2239*(1-H2239/100)*1.18</f>
        <v/>
      </c>
      <c r="J2239">
        <f>הגדרות!C7</f>
        <v/>
      </c>
      <c r="K2239">
        <f>הגדרות!D7</f>
        <v/>
      </c>
      <c r="L2239">
        <f>I2239*(1+J2239/100)+K2239</f>
        <v/>
      </c>
    </row>
    <row r="2240">
      <c r="A2240" t="inlineStr">
        <is>
          <t>מדי-מרקט</t>
        </is>
      </c>
      <c r="B2240" t="inlineStr">
        <is>
          <t>Vitamin k1 50Mg 100 Tabs</t>
        </is>
      </c>
      <c r="C2240" t="inlineStr">
        <is>
          <t>הכנות בית מרקחת</t>
        </is>
      </c>
      <c r="D2240" t="inlineStr">
        <is>
          <t>51078</t>
        </is>
      </c>
      <c r="E2240" t="inlineStr">
        <is>
          <t>2026-06</t>
        </is>
      </c>
      <c r="F2240" t="n">
        <v>83.05</v>
      </c>
      <c r="G2240" t="n">
        <v>98</v>
      </c>
      <c r="H2240">
        <f>הגדרות!B7</f>
        <v/>
      </c>
      <c r="I2240">
        <f>F2240*(1-H2240/100)*1.18</f>
        <v/>
      </c>
      <c r="J2240">
        <f>הגדרות!C7</f>
        <v/>
      </c>
      <c r="K2240">
        <f>הגדרות!D7</f>
        <v/>
      </c>
      <c r="L2240">
        <f>I2240*(1+J2240/100)+K2240</f>
        <v/>
      </c>
    </row>
    <row r="2241">
      <c r="A2241" t="inlineStr">
        <is>
          <t>מדי-מרקט</t>
        </is>
      </c>
      <c r="B2241" t="inlineStr">
        <is>
          <t>Vitofyllin 100Mg 56 Tablets</t>
        </is>
      </c>
      <c r="C2241" t="inlineStr">
        <is>
          <t>29ג' וטרינרי</t>
        </is>
      </c>
      <c r="D2241" t="inlineStr">
        <is>
          <t>40376</t>
        </is>
      </c>
      <c r="E2241" t="inlineStr">
        <is>
          <t>2026-06</t>
        </is>
      </c>
      <c r="F2241" t="n">
        <v>67.37</v>
      </c>
      <c r="G2241" t="n">
        <v>79.5</v>
      </c>
      <c r="H2241">
        <f>הגדרות!B7</f>
        <v/>
      </c>
      <c r="I2241">
        <f>F2241*(1-H2241/100)*1.18</f>
        <v/>
      </c>
      <c r="J2241">
        <f>הגדרות!C7</f>
        <v/>
      </c>
      <c r="K2241">
        <f>הגדרות!D7</f>
        <v/>
      </c>
      <c r="L2241">
        <f>I2241*(1+J2241/100)+K2241</f>
        <v/>
      </c>
    </row>
    <row r="2242">
      <c r="A2242" t="inlineStr">
        <is>
          <t>מדי-מרקט</t>
        </is>
      </c>
      <c r="B2242" t="inlineStr">
        <is>
          <t>Vitofyllin 50Mg 56 Tablets</t>
        </is>
      </c>
      <c r="C2242" t="inlineStr">
        <is>
          <t>29ג' וטרינרי</t>
        </is>
      </c>
      <c r="D2242" t="inlineStr">
        <is>
          <t>40375</t>
        </is>
      </c>
      <c r="E2242" t="inlineStr">
        <is>
          <t>2026-06</t>
        </is>
      </c>
      <c r="F2242" t="n">
        <v>55.93</v>
      </c>
      <c r="G2242" t="n">
        <v>66</v>
      </c>
      <c r="H2242">
        <f>הגדרות!B7</f>
        <v/>
      </c>
      <c r="I2242">
        <f>F2242*(1-H2242/100)*1.18</f>
        <v/>
      </c>
      <c r="J2242">
        <f>הגדרות!C7</f>
        <v/>
      </c>
      <c r="K2242">
        <f>הגדרות!D7</f>
        <v/>
      </c>
      <c r="L2242">
        <f>I2242*(1+J2242/100)+K2242</f>
        <v/>
      </c>
    </row>
    <row r="2243">
      <c r="A2243" t="inlineStr">
        <is>
          <t>מדי-מרקט</t>
        </is>
      </c>
      <c r="B2243" t="inlineStr">
        <is>
          <t>Voltaren Emulgel 50 Gr</t>
        </is>
      </c>
      <c r="C2243" t="inlineStr">
        <is>
          <t>תרופות</t>
        </is>
      </c>
      <c r="D2243" t="inlineStr">
        <is>
          <t>52415</t>
        </is>
      </c>
      <c r="E2243" t="inlineStr">
        <is>
          <t>2026-06</t>
        </is>
      </c>
      <c r="F2243" t="n">
        <v>22.03</v>
      </c>
      <c r="G2243" t="n">
        <v>26</v>
      </c>
      <c r="H2243">
        <f>הגדרות!B7</f>
        <v/>
      </c>
      <c r="I2243">
        <f>F2243*(1-H2243/100)*1.18</f>
        <v/>
      </c>
      <c r="J2243">
        <f>הגדרות!C7</f>
        <v/>
      </c>
      <c r="K2243">
        <f>הגדרות!D7</f>
        <v/>
      </c>
      <c r="L2243">
        <f>I2243*(1+J2243/100)+K2243</f>
        <v/>
      </c>
    </row>
    <row r="2244">
      <c r="A2244" t="inlineStr">
        <is>
          <t>מדי-מרקט</t>
        </is>
      </c>
      <c r="B2244" t="inlineStr">
        <is>
          <t>Votrient FCT 400MG HDPE (X30) IL</t>
        </is>
      </c>
      <c r="C2244" t="inlineStr">
        <is>
          <t>תרופות</t>
        </is>
      </c>
      <c r="D2244" t="inlineStr">
        <is>
          <t>22232</t>
        </is>
      </c>
      <c r="E2244" t="inlineStr">
        <is>
          <t>2026-06</t>
        </is>
      </c>
      <c r="F2244" t="n">
        <v>5121.74</v>
      </c>
      <c r="G2244" t="n">
        <v>6043.65</v>
      </c>
      <c r="H2244">
        <f>הגדרות!B7</f>
        <v/>
      </c>
      <c r="I2244">
        <f>F2244*(1-H2244/100)*1.18</f>
        <v/>
      </c>
      <c r="J2244">
        <f>הגדרות!C7</f>
        <v/>
      </c>
      <c r="K2244">
        <f>הגדרות!D7</f>
        <v/>
      </c>
      <c r="L2244">
        <f>I2244*(1+J2244/100)+K2244</f>
        <v/>
      </c>
    </row>
    <row r="2245">
      <c r="A2245" t="inlineStr">
        <is>
          <t>מדי-מרקט</t>
        </is>
      </c>
      <c r="B2245" t="inlineStr">
        <is>
          <t>Water For Inj 1L מים סטריליים להזרקה 10 יח' בקר'</t>
        </is>
      </c>
      <c r="C2245" t="inlineStr">
        <is>
          <t>תרופות</t>
        </is>
      </c>
      <c r="D2245" t="inlineStr">
        <is>
          <t>4998</t>
        </is>
      </c>
      <c r="E2245" t="inlineStr">
        <is>
          <t>2026-06</t>
        </is>
      </c>
      <c r="F2245" t="n">
        <v>118.64</v>
      </c>
      <c r="G2245" t="n">
        <v>140</v>
      </c>
      <c r="H2245">
        <f>הגדרות!B7</f>
        <v/>
      </c>
      <c r="I2245">
        <f>F2245*(1-H2245/100)*1.18</f>
        <v/>
      </c>
      <c r="J2245">
        <f>הגדרות!C7</f>
        <v/>
      </c>
      <c r="K2245">
        <f>הגדרות!D7</f>
        <v/>
      </c>
      <c r="L2245">
        <f>I2245*(1+J2245/100)+K2245</f>
        <v/>
      </c>
    </row>
    <row r="2246">
      <c r="A2246" t="inlineStr">
        <is>
          <t>מדי-מרקט</t>
        </is>
      </c>
      <c r="B2246" t="inlineStr">
        <is>
          <t>Water for Irrigation bag 3L</t>
        </is>
      </c>
      <c r="C2246" t="inlineStr">
        <is>
          <t>תמיסות לעירוי ושטיפה</t>
        </is>
      </c>
      <c r="D2246" t="inlineStr">
        <is>
          <t>7117-1</t>
        </is>
      </c>
      <c r="E2246" t="inlineStr">
        <is>
          <t>2026-06</t>
        </is>
      </c>
      <c r="F2246" t="n">
        <v>33.56</v>
      </c>
      <c r="G2246" t="n">
        <v>39.6</v>
      </c>
      <c r="H2246">
        <f>הגדרות!B7</f>
        <v/>
      </c>
      <c r="I2246">
        <f>F2246*(1-H2246/100)*1.18</f>
        <v/>
      </c>
      <c r="J2246">
        <f>הגדרות!C7</f>
        <v/>
      </c>
      <c r="K2246">
        <f>הגדרות!D7</f>
        <v/>
      </c>
      <c r="L2246">
        <f>I2246*(1+J2246/100)+K2246</f>
        <v/>
      </c>
    </row>
    <row r="2247">
      <c r="A2247" t="inlineStr">
        <is>
          <t>מדי-מרקט</t>
        </is>
      </c>
      <c r="B2247" t="inlineStr">
        <is>
          <t>Wegovy 2.4Mg 1X3Ml</t>
        </is>
      </c>
      <c r="C2247" t="inlineStr">
        <is>
          <t>תרופות</t>
        </is>
      </c>
      <c r="D2247" t="inlineStr">
        <is>
          <t>23918</t>
        </is>
      </c>
      <c r="E2247" t="inlineStr">
        <is>
          <t>2026-06</t>
        </is>
      </c>
      <c r="F2247" t="n">
        <v>1073.73</v>
      </c>
      <c r="G2247" t="n">
        <v>1267</v>
      </c>
      <c r="H2247">
        <f>הגדרות!B7</f>
        <v/>
      </c>
      <c r="I2247">
        <f>F2247*(1-H2247/100)*1.18</f>
        <v/>
      </c>
      <c r="J2247">
        <f>הגדרות!C7</f>
        <v/>
      </c>
      <c r="K2247">
        <f>הגדרות!D7</f>
        <v/>
      </c>
      <c r="L2247">
        <f>I2247*(1+J2247/100)+K2247</f>
        <v/>
      </c>
    </row>
    <row r="2248">
      <c r="A2248" t="inlineStr">
        <is>
          <t>מדי-מרקט</t>
        </is>
      </c>
      <c r="B2248" t="inlineStr">
        <is>
          <t>Wound Dressing (כחול) משחה טיפול בפצעי לחץ 100מל</t>
        </is>
      </c>
      <c r="C2248" t="inlineStr">
        <is>
          <t>תרופות</t>
        </is>
      </c>
      <c r="D2248" t="inlineStr">
        <is>
          <t>87963</t>
        </is>
      </c>
      <c r="E2248" t="inlineStr">
        <is>
          <t>2026-06</t>
        </is>
      </c>
      <c r="F2248" t="n">
        <v>18.05</v>
      </c>
      <c r="G2248" t="n">
        <v>21.3</v>
      </c>
      <c r="H2248">
        <f>הגדרות!B7</f>
        <v/>
      </c>
      <c r="I2248">
        <f>F2248*(1-H2248/100)*1.18</f>
        <v/>
      </c>
      <c r="J2248">
        <f>הגדרות!C7</f>
        <v/>
      </c>
      <c r="K2248">
        <f>הגדרות!D7</f>
        <v/>
      </c>
      <c r="L2248">
        <f>I2248*(1+J2248/100)+K2248</f>
        <v/>
      </c>
    </row>
    <row r="2249">
      <c r="A2249" t="inlineStr">
        <is>
          <t>מדי-מרקט</t>
        </is>
      </c>
      <c r="B2249" t="inlineStr">
        <is>
          <t>Xalatan (Latanoprost)0.005% 2.5Ml - Eye Drops</t>
        </is>
      </c>
      <c r="C2249" t="inlineStr">
        <is>
          <t>תרופות</t>
        </is>
      </c>
      <c r="D2249" t="inlineStr">
        <is>
          <t>965241</t>
        </is>
      </c>
      <c r="E2249" t="inlineStr">
        <is>
          <t>2026-06</t>
        </is>
      </c>
      <c r="F2249" t="n">
        <v>26.11</v>
      </c>
      <c r="G2249" t="n">
        <v>30.81</v>
      </c>
      <c r="H2249">
        <f>הגדרות!B7</f>
        <v/>
      </c>
      <c r="I2249">
        <f>F2249*(1-H2249/100)*1.18</f>
        <v/>
      </c>
      <c r="J2249">
        <f>הגדרות!C7</f>
        <v/>
      </c>
      <c r="K2249">
        <f>הגדרות!D7</f>
        <v/>
      </c>
      <c r="L2249">
        <f>I2249*(1+J2249/100)+K2249</f>
        <v/>
      </c>
    </row>
    <row r="2250">
      <c r="A2250" t="inlineStr">
        <is>
          <t>מדי-מרקט</t>
        </is>
      </c>
      <c r="B2250" t="inlineStr">
        <is>
          <t>Xanagis 0.25Mg X 50Tabs</t>
        </is>
      </c>
      <c r="C2250" t="inlineStr">
        <is>
          <t>תרופות</t>
        </is>
      </c>
      <c r="D2250" t="inlineStr">
        <is>
          <t>121456</t>
        </is>
      </c>
      <c r="E2250" t="inlineStr">
        <is>
          <t>2026-06</t>
        </is>
      </c>
      <c r="F2250" t="n">
        <v>17.97</v>
      </c>
      <c r="G2250" t="n">
        <v>21.2</v>
      </c>
      <c r="H2250">
        <f>הגדרות!B7</f>
        <v/>
      </c>
      <c r="I2250">
        <f>F2250*(1-H2250/100)*1.18</f>
        <v/>
      </c>
      <c r="J2250">
        <f>הגדרות!C7</f>
        <v/>
      </c>
      <c r="K2250">
        <f>הגדרות!D7</f>
        <v/>
      </c>
      <c r="L2250">
        <f>I2250*(1+J2250/100)+K2250</f>
        <v/>
      </c>
    </row>
    <row r="2251">
      <c r="A2251" t="inlineStr">
        <is>
          <t>מדי-מרקט</t>
        </is>
      </c>
      <c r="B2251" t="inlineStr">
        <is>
          <t>Xanagis 0.5Mg X 50Tabs</t>
        </is>
      </c>
      <c r="C2251" t="inlineStr">
        <is>
          <t>תרופות</t>
        </is>
      </c>
      <c r="D2251" t="inlineStr">
        <is>
          <t>121457</t>
        </is>
      </c>
      <c r="E2251" t="inlineStr">
        <is>
          <t>2026-06</t>
        </is>
      </c>
      <c r="F2251" t="n">
        <v>18.51</v>
      </c>
      <c r="G2251" t="n">
        <v>21.84</v>
      </c>
      <c r="H2251">
        <f>הגדרות!B7</f>
        <v/>
      </c>
      <c r="I2251">
        <f>F2251*(1-H2251/100)*1.18</f>
        <v/>
      </c>
      <c r="J2251">
        <f>הגדרות!C7</f>
        <v/>
      </c>
      <c r="K2251">
        <f>הגדרות!D7</f>
        <v/>
      </c>
      <c r="L2251">
        <f>I2251*(1+J2251/100)+K2251</f>
        <v/>
      </c>
    </row>
    <row r="2252">
      <c r="A2252" t="inlineStr">
        <is>
          <t>מדי-מרקט</t>
        </is>
      </c>
      <c r="B2252" t="inlineStr">
        <is>
          <t>Xatral Xl 10 Mg * 30 Tab</t>
        </is>
      </c>
      <c r="C2252" t="inlineStr">
        <is>
          <t>תרופות</t>
        </is>
      </c>
      <c r="D2252" t="inlineStr">
        <is>
          <t>8973</t>
        </is>
      </c>
      <c r="E2252" t="inlineStr">
        <is>
          <t>2026-06</t>
        </is>
      </c>
      <c r="F2252" t="n">
        <v>82.12</v>
      </c>
      <c r="G2252" t="n">
        <v>96.90000000000001</v>
      </c>
      <c r="H2252">
        <f>הגדרות!B7</f>
        <v/>
      </c>
      <c r="I2252">
        <f>F2252*(1-H2252/100)*1.18</f>
        <v/>
      </c>
      <c r="J2252">
        <f>הגדרות!C7</f>
        <v/>
      </c>
      <c r="K2252">
        <f>הגדרות!D7</f>
        <v/>
      </c>
      <c r="L2252">
        <f>I2252*(1+J2252/100)+K2252</f>
        <v/>
      </c>
    </row>
    <row r="2253">
      <c r="A2253" t="inlineStr">
        <is>
          <t>מדי-מרקט</t>
        </is>
      </c>
      <c r="B2253" t="inlineStr">
        <is>
          <t>XEDEN 150MG 20X6T ENROFLOXACIN 120 TAB</t>
        </is>
      </c>
      <c r="C2253" t="inlineStr">
        <is>
          <t>29ג' וטרינרי CEVA</t>
        </is>
      </c>
      <c r="D2253" t="inlineStr">
        <is>
          <t>F31010O</t>
        </is>
      </c>
      <c r="E2253" t="inlineStr">
        <is>
          <t>2026-06</t>
        </is>
      </c>
      <c r="F2253" t="n">
        <v>661.02</v>
      </c>
      <c r="G2253" t="n">
        <v>780</v>
      </c>
      <c r="H2253">
        <f>הגדרות!B7</f>
        <v/>
      </c>
      <c r="I2253">
        <f>F2253*(1-H2253/100)*1.18</f>
        <v/>
      </c>
      <c r="J2253">
        <f>הגדרות!C7</f>
        <v/>
      </c>
      <c r="K2253">
        <f>הגדרות!D7</f>
        <v/>
      </c>
      <c r="L2253">
        <f>I2253*(1+J2253/100)+K2253</f>
        <v/>
      </c>
    </row>
    <row r="2254">
      <c r="A2254" t="inlineStr">
        <is>
          <t>מדי-מרקט</t>
        </is>
      </c>
      <c r="B2254" t="inlineStr">
        <is>
          <t>XEDEN 50MG 10X10T ENROFLOXACIN 100 TAB</t>
        </is>
      </c>
      <c r="C2254" t="inlineStr">
        <is>
          <t>29ג' וטרינרי CEVA</t>
        </is>
      </c>
      <c r="D2254" t="inlineStr">
        <is>
          <t>F31220Q</t>
        </is>
      </c>
      <c r="E2254" t="inlineStr">
        <is>
          <t>2026-06</t>
        </is>
      </c>
      <c r="F2254" t="n">
        <v>296.61</v>
      </c>
      <c r="G2254" t="n">
        <v>350</v>
      </c>
      <c r="H2254">
        <f>הגדרות!B7</f>
        <v/>
      </c>
      <c r="I2254">
        <f>F2254*(1-H2254/100)*1.18</f>
        <v/>
      </c>
      <c r="J2254">
        <f>הגדרות!C7</f>
        <v/>
      </c>
      <c r="K2254">
        <f>הגדרות!D7</f>
        <v/>
      </c>
      <c r="L2254">
        <f>I2254*(1+J2254/100)+K2254</f>
        <v/>
      </c>
    </row>
    <row r="2255">
      <c r="A2255" t="inlineStr">
        <is>
          <t>מדי-מרקט</t>
        </is>
      </c>
      <c r="B2255" t="inlineStr">
        <is>
          <t>XGEVA 120MG 1.7 ML</t>
        </is>
      </c>
      <c r="C2255" t="inlineStr">
        <is>
          <t>תרופות</t>
        </is>
      </c>
      <c r="D2255" t="inlineStr">
        <is>
          <t>20069</t>
        </is>
      </c>
      <c r="E2255" t="inlineStr">
        <is>
          <t>2026-06</t>
        </is>
      </c>
      <c r="F2255" t="n">
        <v>1132.18</v>
      </c>
      <c r="G2255" t="n">
        <v>1335.97</v>
      </c>
      <c r="H2255">
        <f>הגדרות!B7</f>
        <v/>
      </c>
      <c r="I2255">
        <f>F2255*(1-H2255/100)*1.18</f>
        <v/>
      </c>
      <c r="J2255">
        <f>הגדרות!C7</f>
        <v/>
      </c>
      <c r="K2255">
        <f>הגדרות!D7</f>
        <v/>
      </c>
      <c r="L2255">
        <f>I2255*(1+J2255/100)+K2255</f>
        <v/>
      </c>
    </row>
    <row r="2256">
      <c r="A2256" t="inlineStr">
        <is>
          <t>מדי-מרקט</t>
        </is>
      </c>
      <c r="B2256" t="inlineStr">
        <is>
          <t>Xylovit 0.1% 10Ml Nasal Drops קסילוויט מבוגר טיפ</t>
        </is>
      </c>
      <c r="C2256" t="inlineStr">
        <is>
          <t>תרופות</t>
        </is>
      </c>
      <c r="D2256" t="inlineStr">
        <is>
          <t>68584</t>
        </is>
      </c>
      <c r="E2256" t="inlineStr">
        <is>
          <t>2026-06</t>
        </is>
      </c>
      <c r="F2256" t="n">
        <v>6.53</v>
      </c>
      <c r="G2256" t="n">
        <v>7.7</v>
      </c>
      <c r="H2256">
        <f>הגדרות!B7</f>
        <v/>
      </c>
      <c r="I2256">
        <f>F2256*(1-H2256/100)*1.18</f>
        <v/>
      </c>
      <c r="J2256">
        <f>הגדרות!C7</f>
        <v/>
      </c>
      <c r="K2256">
        <f>הגדרות!D7</f>
        <v/>
      </c>
      <c r="L2256">
        <f>I2256*(1+J2256/100)+K2256</f>
        <v/>
      </c>
    </row>
    <row r="2257">
      <c r="A2257" t="inlineStr">
        <is>
          <t>מדי-מרקט</t>
        </is>
      </c>
      <c r="B2257" t="inlineStr">
        <is>
          <t>Xylovit 0.1% 10Ml Spray קסילוויט ספריי מבוגרים</t>
        </is>
      </c>
      <c r="C2257" t="inlineStr">
        <is>
          <t>תרופות</t>
        </is>
      </c>
      <c r="D2257" t="inlineStr">
        <is>
          <t>68585</t>
        </is>
      </c>
      <c r="E2257" t="inlineStr">
        <is>
          <t>2026-06</t>
        </is>
      </c>
      <c r="F2257" t="n">
        <v>10.34</v>
      </c>
      <c r="G2257" t="n">
        <v>12.2</v>
      </c>
      <c r="H2257">
        <f>הגדרות!B7</f>
        <v/>
      </c>
      <c r="I2257">
        <f>F2257*(1-H2257/100)*1.18</f>
        <v/>
      </c>
      <c r="J2257">
        <f>הגדרות!C7</f>
        <v/>
      </c>
      <c r="K2257">
        <f>הגדרות!D7</f>
        <v/>
      </c>
      <c r="L2257">
        <f>I2257*(1+J2257/100)+K2257</f>
        <v/>
      </c>
    </row>
    <row r="2258">
      <c r="A2258" t="inlineStr">
        <is>
          <t>מדי-מרקט</t>
        </is>
      </c>
      <c r="B2258" t="inlineStr">
        <is>
          <t>YERVOY 50MG VIAL 10ML</t>
        </is>
      </c>
      <c r="C2258" t="inlineStr">
        <is>
          <t>תרופות</t>
        </is>
      </c>
      <c r="D2258" t="inlineStr">
        <is>
          <t>25015</t>
        </is>
      </c>
      <c r="E2258" t="inlineStr">
        <is>
          <t>2026-06</t>
        </is>
      </c>
      <c r="F2258" t="n">
        <v>14640.64</v>
      </c>
      <c r="G2258" t="n">
        <v>17275.95</v>
      </c>
      <c r="H2258">
        <f>הגדרות!B7</f>
        <v/>
      </c>
      <c r="I2258">
        <f>F2258*(1-H2258/100)*1.18</f>
        <v/>
      </c>
      <c r="J2258">
        <f>הגדרות!C7</f>
        <v/>
      </c>
      <c r="K2258">
        <f>הגדרות!D7</f>
        <v/>
      </c>
      <c r="L2258">
        <f>I2258*(1+J2258/100)+K2258</f>
        <v/>
      </c>
    </row>
    <row r="2259">
      <c r="A2259" t="inlineStr">
        <is>
          <t>מדי-מרקט</t>
        </is>
      </c>
      <c r="B2259" t="inlineStr">
        <is>
          <t>Zaldiar 20 Tab</t>
        </is>
      </c>
      <c r="C2259" t="inlineStr">
        <is>
          <t>תרופות</t>
        </is>
      </c>
      <c r="D2259" t="inlineStr">
        <is>
          <t>26149</t>
        </is>
      </c>
      <c r="E2259" t="inlineStr">
        <is>
          <t>2026-06</t>
        </is>
      </c>
      <c r="F2259" t="n">
        <v>12.75</v>
      </c>
      <c r="G2259" t="n">
        <v>15.04</v>
      </c>
      <c r="H2259">
        <f>הגדרות!B7</f>
        <v/>
      </c>
      <c r="I2259">
        <f>F2259*(1-H2259/100)*1.18</f>
        <v/>
      </c>
      <c r="J2259">
        <f>הגדרות!C7</f>
        <v/>
      </c>
      <c r="K2259">
        <f>הגדרות!D7</f>
        <v/>
      </c>
      <c r="L2259">
        <f>I2259*(1+J2259/100)+K2259</f>
        <v/>
      </c>
    </row>
    <row r="2260">
      <c r="A2260" t="inlineStr">
        <is>
          <t>מדי-מרקט</t>
        </is>
      </c>
      <c r="B2260" t="inlineStr">
        <is>
          <t>Zappa (Olanzapine) 5Mg X 30Tab</t>
        </is>
      </c>
      <c r="C2260" t="inlineStr">
        <is>
          <t>תרופות</t>
        </is>
      </c>
      <c r="D2260" t="inlineStr">
        <is>
          <t>26189</t>
        </is>
      </c>
      <c r="E2260" t="inlineStr">
        <is>
          <t>2026-06</t>
        </is>
      </c>
      <c r="F2260" t="n">
        <v>48.64</v>
      </c>
      <c r="G2260" t="n">
        <v>57.4</v>
      </c>
      <c r="H2260">
        <f>הגדרות!B7</f>
        <v/>
      </c>
      <c r="I2260">
        <f>F2260*(1-H2260/100)*1.18</f>
        <v/>
      </c>
      <c r="J2260">
        <f>הגדרות!C7</f>
        <v/>
      </c>
      <c r="K2260">
        <f>הגדרות!D7</f>
        <v/>
      </c>
      <c r="L2260">
        <f>I2260*(1+J2260/100)+K2260</f>
        <v/>
      </c>
    </row>
    <row r="2261">
      <c r="A2261" t="inlineStr">
        <is>
          <t>מדי-מרקט</t>
        </is>
      </c>
      <c r="B2261" t="inlineStr">
        <is>
          <t>Zappa(Olanzapine) 10Mg X 30Tab</t>
        </is>
      </c>
      <c r="C2261" t="inlineStr">
        <is>
          <t>תרופות</t>
        </is>
      </c>
      <c r="D2261" t="inlineStr">
        <is>
          <t>26188</t>
        </is>
      </c>
      <c r="E2261" t="inlineStr">
        <is>
          <t>2026-06</t>
        </is>
      </c>
      <c r="F2261" t="n">
        <v>84.79000000000001</v>
      </c>
      <c r="G2261" t="n">
        <v>100.05</v>
      </c>
      <c r="H2261">
        <f>הגדרות!B7</f>
        <v/>
      </c>
      <c r="I2261">
        <f>F2261*(1-H2261/100)*1.18</f>
        <v/>
      </c>
      <c r="J2261">
        <f>הגדרות!C7</f>
        <v/>
      </c>
      <c r="K2261">
        <f>הגדרות!D7</f>
        <v/>
      </c>
      <c r="L2261">
        <f>I2261*(1+J2261/100)+K2261</f>
        <v/>
      </c>
    </row>
    <row r="2262">
      <c r="A2262" t="inlineStr">
        <is>
          <t>מדי-מרקט</t>
        </is>
      </c>
      <c r="B2262" t="inlineStr">
        <is>
          <t>Zek Eye Solution Hypromel 2.5Mg/Ml 10Ml</t>
        </is>
      </c>
      <c r="C2262" t="inlineStr">
        <is>
          <t>29ג' וטרינרי</t>
        </is>
      </c>
      <c r="D2262" t="inlineStr">
        <is>
          <t>412371</t>
        </is>
      </c>
      <c r="E2262" t="inlineStr">
        <is>
          <t>2026-06</t>
        </is>
      </c>
      <c r="F2262" t="n">
        <v>22.03</v>
      </c>
      <c r="G2262" t="n">
        <v>26</v>
      </c>
      <c r="H2262">
        <f>הגדרות!B7</f>
        <v/>
      </c>
      <c r="I2262">
        <f>F2262*(1-H2262/100)*1.18</f>
        <v/>
      </c>
      <c r="J2262">
        <f>הגדרות!C7</f>
        <v/>
      </c>
      <c r="K2262">
        <f>הגדרות!D7</f>
        <v/>
      </c>
      <c r="L2262">
        <f>I2262*(1+J2262/100)+K2262</f>
        <v/>
      </c>
    </row>
    <row r="2263">
      <c r="A2263" t="inlineStr">
        <is>
          <t>מדי-מרקט</t>
        </is>
      </c>
      <c r="B2263" t="inlineStr">
        <is>
          <t>Zeto 250Mg X 6Tabs</t>
        </is>
      </c>
      <c r="C2263" t="inlineStr">
        <is>
          <t>תרופות</t>
        </is>
      </c>
      <c r="D2263" t="inlineStr">
        <is>
          <t>7752</t>
        </is>
      </c>
      <c r="E2263" t="inlineStr">
        <is>
          <t>2026-06</t>
        </is>
      </c>
      <c r="F2263" t="n">
        <v>22.03</v>
      </c>
      <c r="G2263" t="n">
        <v>26</v>
      </c>
      <c r="H2263">
        <f>הגדרות!B7</f>
        <v/>
      </c>
      <c r="I2263">
        <f>F2263*(1-H2263/100)*1.18</f>
        <v/>
      </c>
      <c r="J2263">
        <f>הגדרות!C7</f>
        <v/>
      </c>
      <c r="K2263">
        <f>הגדרות!D7</f>
        <v/>
      </c>
      <c r="L2263">
        <f>I2263*(1+J2263/100)+K2263</f>
        <v/>
      </c>
    </row>
    <row r="2264">
      <c r="A2264" t="inlineStr">
        <is>
          <t>מדי-מרקט</t>
        </is>
      </c>
      <c r="B2264" t="inlineStr">
        <is>
          <t>Zincraz 50mg 30 Tablets</t>
        </is>
      </c>
      <c r="C2264" t="inlineStr">
        <is>
          <t>תרופות</t>
        </is>
      </c>
      <c r="D2264" t="inlineStr">
        <is>
          <t>54297-1</t>
        </is>
      </c>
      <c r="E2264" t="inlineStr">
        <is>
          <t>2026-06</t>
        </is>
      </c>
      <c r="F2264" t="n">
        <v>13.98</v>
      </c>
      <c r="G2264" t="n">
        <v>16.5</v>
      </c>
      <c r="H2264">
        <f>הגדרות!B7</f>
        <v/>
      </c>
      <c r="I2264">
        <f>F2264*(1-H2264/100)*1.18</f>
        <v/>
      </c>
      <c r="J2264">
        <f>הגדרות!C7</f>
        <v/>
      </c>
      <c r="K2264">
        <f>הגדרות!D7</f>
        <v/>
      </c>
      <c r="L2264">
        <f>I2264*(1+J2264/100)+K2264</f>
        <v/>
      </c>
    </row>
    <row r="2265">
      <c r="A2265" t="inlineStr">
        <is>
          <t>מדי-מרקט</t>
        </is>
      </c>
      <c r="B2265" t="inlineStr">
        <is>
          <t>Zinnat 250Mg X 10Tabs</t>
        </is>
      </c>
      <c r="C2265" t="inlineStr">
        <is>
          <t>תרופות</t>
        </is>
      </c>
      <c r="D2265" t="inlineStr">
        <is>
          <t>26060</t>
        </is>
      </c>
      <c r="E2265" t="inlineStr">
        <is>
          <t>2026-06</t>
        </is>
      </c>
      <c r="F2265" t="n">
        <v>17.95</v>
      </c>
      <c r="G2265" t="n">
        <v>21.18</v>
      </c>
      <c r="H2265">
        <f>הגדרות!B7</f>
        <v/>
      </c>
      <c r="I2265">
        <f>F2265*(1-H2265/100)*1.18</f>
        <v/>
      </c>
      <c r="J2265">
        <f>הגדרות!C7</f>
        <v/>
      </c>
      <c r="K2265">
        <f>הגדרות!D7</f>
        <v/>
      </c>
      <c r="L2265">
        <f>I2265*(1+J2265/100)+K2265</f>
        <v/>
      </c>
    </row>
    <row r="2266">
      <c r="A2266" t="inlineStr">
        <is>
          <t>מדי-מרקט</t>
        </is>
      </c>
      <c r="B2266" t="inlineStr">
        <is>
          <t>Zinnat 500 Mg 10 Tabs</t>
        </is>
      </c>
      <c r="C2266" t="inlineStr">
        <is>
          <t>תרופות</t>
        </is>
      </c>
      <c r="D2266" t="inlineStr">
        <is>
          <t>103422</t>
        </is>
      </c>
      <c r="E2266" t="inlineStr">
        <is>
          <t>2026-06</t>
        </is>
      </c>
      <c r="F2266" t="n">
        <v>21.4</v>
      </c>
      <c r="G2266" t="n">
        <v>25.25</v>
      </c>
      <c r="H2266">
        <f>הגדרות!B7</f>
        <v/>
      </c>
      <c r="I2266">
        <f>F2266*(1-H2266/100)*1.18</f>
        <v/>
      </c>
      <c r="J2266">
        <f>הגדרות!C7</f>
        <v/>
      </c>
      <c r="K2266">
        <f>הגדרות!D7</f>
        <v/>
      </c>
      <c r="L2266">
        <f>I2266*(1+J2266/100)+K2266</f>
        <v/>
      </c>
    </row>
    <row r="2267">
      <c r="A2267" t="inlineStr">
        <is>
          <t>מדי-מרקט</t>
        </is>
      </c>
      <c r="B2267" t="inlineStr">
        <is>
          <t>zipran veterinary 250mg tablets for dogs,250 tablets</t>
        </is>
      </c>
      <c r="C2267" t="inlineStr">
        <is>
          <t>תרופות</t>
        </is>
      </c>
      <c r="D2267" t="inlineStr">
        <is>
          <t>65636</t>
        </is>
      </c>
      <c r="E2267" t="inlineStr">
        <is>
          <t>2026-06</t>
        </is>
      </c>
      <c r="F2267" t="n">
        <v>813.5599999999999</v>
      </c>
      <c r="G2267" t="n">
        <v>960</v>
      </c>
      <c r="H2267">
        <f>הגדרות!B7</f>
        <v/>
      </c>
      <c r="I2267">
        <f>F2267*(1-H2267/100)*1.18</f>
        <v/>
      </c>
      <c r="J2267">
        <f>הגדרות!C7</f>
        <v/>
      </c>
      <c r="K2267">
        <f>הגדרות!D7</f>
        <v/>
      </c>
      <c r="L2267">
        <f>I2267*(1+J2267/100)+K2267</f>
        <v/>
      </c>
    </row>
    <row r="2268">
      <c r="A2268" t="inlineStr">
        <is>
          <t>מדי-מרקט</t>
        </is>
      </c>
      <c r="B2268" t="inlineStr">
        <is>
          <t>Zodorm 10Mg X 20Tabs</t>
        </is>
      </c>
      <c r="C2268" t="inlineStr">
        <is>
          <t>תרופות</t>
        </is>
      </c>
      <c r="D2268" t="inlineStr">
        <is>
          <t>93715</t>
        </is>
      </c>
      <c r="E2268" t="inlineStr">
        <is>
          <t>2026-06</t>
        </is>
      </c>
      <c r="F2268" t="n">
        <v>12.29</v>
      </c>
      <c r="G2268" t="n">
        <v>14.5</v>
      </c>
      <c r="H2268">
        <f>הגדרות!B7</f>
        <v/>
      </c>
      <c r="I2268">
        <f>F2268*(1-H2268/100)*1.18</f>
        <v/>
      </c>
      <c r="J2268">
        <f>הגדרות!C7</f>
        <v/>
      </c>
      <c r="K2268">
        <f>הגדרות!D7</f>
        <v/>
      </c>
      <c r="L2268">
        <f>I2268*(1+J2268/100)+K2268</f>
        <v/>
      </c>
    </row>
    <row r="2269">
      <c r="A2269" t="inlineStr">
        <is>
          <t>מדי-מרקט</t>
        </is>
      </c>
      <c r="B2269" t="inlineStr">
        <is>
          <t>Zofran 8 Mg 10 Tab זופראן 8 מ"ג 10 טב'</t>
        </is>
      </c>
      <c r="C2269" t="inlineStr">
        <is>
          <t>תרופות</t>
        </is>
      </c>
      <c r="D2269" t="inlineStr">
        <is>
          <t>611</t>
        </is>
      </c>
      <c r="E2269" t="inlineStr">
        <is>
          <t>2026-06</t>
        </is>
      </c>
      <c r="F2269" t="n">
        <v>107.27</v>
      </c>
      <c r="G2269" t="n">
        <v>126.58</v>
      </c>
      <c r="H2269">
        <f>הגדרות!B7</f>
        <v/>
      </c>
      <c r="I2269">
        <f>F2269*(1-H2269/100)*1.18</f>
        <v/>
      </c>
      <c r="J2269">
        <f>הגדרות!C7</f>
        <v/>
      </c>
      <c r="K2269">
        <f>הגדרות!D7</f>
        <v/>
      </c>
      <c r="L2269">
        <f>I2269*(1+J2269/100)+K2269</f>
        <v/>
      </c>
    </row>
    <row r="2270">
      <c r="A2270" t="inlineStr">
        <is>
          <t>מדי-מרקט</t>
        </is>
      </c>
      <c r="B2270" t="inlineStr">
        <is>
          <t>Zoledronic Acid Seacross 4 Mg/5Ml (Il)</t>
        </is>
      </c>
      <c r="C2270" t="inlineStr">
        <is>
          <t>תרופות רשומות- מדי מרקט</t>
        </is>
      </c>
      <c r="D2270" t="inlineStr">
        <is>
          <t>864876</t>
        </is>
      </c>
      <c r="E2270" t="inlineStr">
        <is>
          <t>2026-06</t>
        </is>
      </c>
      <c r="F2270" t="n">
        <v>38.9</v>
      </c>
      <c r="G2270" t="n">
        <v>45.9</v>
      </c>
      <c r="H2270">
        <f>הגדרות!B7</f>
        <v/>
      </c>
      <c r="I2270">
        <f>F2270*(1-H2270/100)*1.18</f>
        <v/>
      </c>
      <c r="J2270">
        <f>הגדרות!C7</f>
        <v/>
      </c>
      <c r="K2270">
        <f>הגדרות!D7</f>
        <v/>
      </c>
      <c r="L2270">
        <f>I2270*(1+J2270/100)+K2270</f>
        <v/>
      </c>
    </row>
    <row r="2271">
      <c r="A2271" t="inlineStr">
        <is>
          <t>מדי-מרקט</t>
        </is>
      </c>
      <c r="B2271" t="inlineStr">
        <is>
          <t>Zovirax 400 Mg 25 Tabs</t>
        </is>
      </c>
      <c r="C2271" t="inlineStr">
        <is>
          <t>תרופות</t>
        </is>
      </c>
      <c r="D2271" t="inlineStr">
        <is>
          <t>26058</t>
        </is>
      </c>
      <c r="E2271" t="inlineStr">
        <is>
          <t>2026-06</t>
        </is>
      </c>
      <c r="F2271" t="n">
        <v>19.34</v>
      </c>
      <c r="G2271" t="n">
        <v>22.82</v>
      </c>
      <c r="H2271">
        <f>הגדרות!B7</f>
        <v/>
      </c>
      <c r="I2271">
        <f>F2271*(1-H2271/100)*1.18</f>
        <v/>
      </c>
      <c r="J2271">
        <f>הגדרות!C7</f>
        <v/>
      </c>
      <c r="K2271">
        <f>הגדרות!D7</f>
        <v/>
      </c>
      <c r="L2271">
        <f>I2271*(1+J2271/100)+K2271</f>
        <v/>
      </c>
    </row>
    <row r="2272">
      <c r="A2272" t="inlineStr">
        <is>
          <t>מדי-מרקט</t>
        </is>
      </c>
      <c r="B2272" t="inlineStr">
        <is>
          <t>Zovirax זובירקס  קרם 5% 2 גרם</t>
        </is>
      </c>
      <c r="C2272" t="inlineStr">
        <is>
          <t>תרופות</t>
        </is>
      </c>
      <c r="D2272" t="inlineStr">
        <is>
          <t>31547</t>
        </is>
      </c>
      <c r="E2272" t="inlineStr">
        <is>
          <t>2026-06</t>
        </is>
      </c>
      <c r="F2272" t="n">
        <v>34.75</v>
      </c>
      <c r="G2272" t="n">
        <v>41</v>
      </c>
      <c r="H2272">
        <f>הגדרות!B7</f>
        <v/>
      </c>
      <c r="I2272">
        <f>F2272*(1-H2272/100)*1.18</f>
        <v/>
      </c>
      <c r="J2272">
        <f>הגדרות!C7</f>
        <v/>
      </c>
      <c r="K2272">
        <f>הגדרות!D7</f>
        <v/>
      </c>
      <c r="L2272">
        <f>I2272*(1+J2272/100)+K2272</f>
        <v/>
      </c>
    </row>
    <row r="2273">
      <c r="A2273" t="inlineStr">
        <is>
          <t>מדי-מרקט</t>
        </is>
      </c>
      <c r="B2273" t="inlineStr">
        <is>
          <t>Zyprexa 10 Mg 28 Tabs</t>
        </is>
      </c>
      <c r="C2273" t="inlineStr">
        <is>
          <t>תרופות</t>
        </is>
      </c>
      <c r="D2273" t="inlineStr">
        <is>
          <t>9516</t>
        </is>
      </c>
      <c r="E2273" t="inlineStr">
        <is>
          <t>2026-06</t>
        </is>
      </c>
      <c r="F2273" t="n">
        <v>109.07</v>
      </c>
      <c r="G2273" t="n">
        <v>128.7</v>
      </c>
      <c r="H2273">
        <f>הגדרות!B7</f>
        <v/>
      </c>
      <c r="I2273">
        <f>F2273*(1-H2273/100)*1.18</f>
        <v/>
      </c>
      <c r="J2273">
        <f>הגדרות!C7</f>
        <v/>
      </c>
      <c r="K2273">
        <f>הגדרות!D7</f>
        <v/>
      </c>
      <c r="L2273">
        <f>I2273*(1+J2273/100)+K2273</f>
        <v/>
      </c>
    </row>
    <row r="2274">
      <c r="A2274" t="inlineStr">
        <is>
          <t>מדי-מרקט</t>
        </is>
      </c>
      <c r="B2274" t="inlineStr">
        <is>
          <t>Zyprexa 5 Mg 28 Tabs</t>
        </is>
      </c>
      <c r="C2274" t="inlineStr">
        <is>
          <t>תרופות</t>
        </is>
      </c>
      <c r="D2274" t="inlineStr">
        <is>
          <t>9514</t>
        </is>
      </c>
      <c r="E2274" t="inlineStr">
        <is>
          <t>2026-06</t>
        </is>
      </c>
      <c r="F2274" t="n">
        <v>63.52</v>
      </c>
      <c r="G2274" t="n">
        <v>74.95</v>
      </c>
      <c r="H2274">
        <f>הגדרות!B7</f>
        <v/>
      </c>
      <c r="I2274">
        <f>F2274*(1-H2274/100)*1.18</f>
        <v/>
      </c>
      <c r="J2274">
        <f>הגדרות!C7</f>
        <v/>
      </c>
      <c r="K2274">
        <f>הגדרות!D7</f>
        <v/>
      </c>
      <c r="L2274">
        <f>I2274*(1+J2274/100)+K2274</f>
        <v/>
      </c>
    </row>
    <row r="2275">
      <c r="A2275" t="inlineStr">
        <is>
          <t>מדי-מרקט</t>
        </is>
      </c>
      <c r="B2275" t="inlineStr">
        <is>
          <t>Zyprexa 7.5 Mg 28 Tabs</t>
        </is>
      </c>
      <c r="C2275" t="inlineStr">
        <is>
          <t>תרופות</t>
        </is>
      </c>
      <c r="D2275" t="inlineStr">
        <is>
          <t>9517</t>
        </is>
      </c>
      <c r="E2275" t="inlineStr">
        <is>
          <t>2026-06</t>
        </is>
      </c>
      <c r="F2275" t="n">
        <v>84.70999999999999</v>
      </c>
      <c r="G2275" t="n">
        <v>99.95999999999999</v>
      </c>
      <c r="H2275">
        <f>הגדרות!B7</f>
        <v/>
      </c>
      <c r="I2275">
        <f>F2275*(1-H2275/100)*1.18</f>
        <v/>
      </c>
      <c r="J2275">
        <f>הגדרות!C7</f>
        <v/>
      </c>
      <c r="K2275">
        <f>הגדרות!D7</f>
        <v/>
      </c>
      <c r="L2275">
        <f>I2275*(1+J2275/100)+K2275</f>
        <v/>
      </c>
    </row>
    <row r="2276">
      <c r="A2276" t="inlineStr">
        <is>
          <t>מדי-מרקט</t>
        </is>
      </c>
      <c r="B2276" t="inlineStr">
        <is>
          <t>Zyprexa Velotab 10Mg X 28Tabs</t>
        </is>
      </c>
      <c r="C2276" t="inlineStr">
        <is>
          <t>תרופות</t>
        </is>
      </c>
      <c r="D2276" t="inlineStr">
        <is>
          <t>11069</t>
        </is>
      </c>
      <c r="E2276" t="inlineStr">
        <is>
          <t>2026-06</t>
        </is>
      </c>
      <c r="F2276" t="n">
        <v>105.93</v>
      </c>
      <c r="G2276" t="n">
        <v>125</v>
      </c>
      <c r="H2276">
        <f>הגדרות!B7</f>
        <v/>
      </c>
      <c r="I2276">
        <f>F2276*(1-H2276/100)*1.18</f>
        <v/>
      </c>
      <c r="J2276">
        <f>הגדרות!C7</f>
        <v/>
      </c>
      <c r="K2276">
        <f>הגדרות!D7</f>
        <v/>
      </c>
      <c r="L2276">
        <f>I2276*(1+J2276/100)+K2276</f>
        <v/>
      </c>
    </row>
    <row r="2277">
      <c r="A2277" t="inlineStr">
        <is>
          <t>מדי-מרקט</t>
        </is>
      </c>
      <c r="B2277" t="inlineStr">
        <is>
          <t>Zyprexa Velotab 5Mg X 28Tabs</t>
        </is>
      </c>
      <c r="C2277" t="inlineStr">
        <is>
          <t>תרופות</t>
        </is>
      </c>
      <c r="D2277" t="inlineStr">
        <is>
          <t>12648</t>
        </is>
      </c>
      <c r="E2277" t="inlineStr">
        <is>
          <t>2026-06</t>
        </is>
      </c>
      <c r="F2277" t="n">
        <v>75.68000000000001</v>
      </c>
      <c r="G2277" t="n">
        <v>89.3</v>
      </c>
      <c r="H2277">
        <f>הגדרות!B7</f>
        <v/>
      </c>
      <c r="I2277">
        <f>F2277*(1-H2277/100)*1.18</f>
        <v/>
      </c>
      <c r="J2277">
        <f>הגדרות!C7</f>
        <v/>
      </c>
      <c r="K2277">
        <f>הגדרות!D7</f>
        <v/>
      </c>
      <c r="L2277">
        <f>I2277*(1+J2277/100)+K2277</f>
        <v/>
      </c>
    </row>
    <row r="2278">
      <c r="A2278" t="inlineStr">
        <is>
          <t>מדי-מרקט</t>
        </is>
      </c>
      <c r="B2278" t="inlineStr">
        <is>
          <t>אגד אלסטי Cansin נצמד מאליו "4 , 1 יחידה</t>
        </is>
      </c>
      <c r="C2278" t="inlineStr">
        <is>
          <t>מוצרי חבישה ופלסטרים</t>
        </is>
      </c>
      <c r="D2278" t="inlineStr">
        <is>
          <t>80-663</t>
        </is>
      </c>
      <c r="E2278" t="inlineStr">
        <is>
          <t>2026-06</t>
        </is>
      </c>
      <c r="F2278" t="n">
        <v>4.22</v>
      </c>
      <c r="G2278" t="n">
        <v>4.98</v>
      </c>
      <c r="H2278">
        <f>הגדרות!B7</f>
        <v/>
      </c>
      <c r="I2278">
        <f>F2278*(1-H2278/100)*1.18</f>
        <v/>
      </c>
      <c r="J2278">
        <f>הגדרות!C7</f>
        <v/>
      </c>
      <c r="K2278">
        <f>הגדרות!D7</f>
        <v/>
      </c>
      <c r="L2278">
        <f>I2278*(1+J2278/100)+K2278</f>
        <v/>
      </c>
    </row>
    <row r="2279">
      <c r="A2279" t="inlineStr">
        <is>
          <t>מדי-מרקט</t>
        </is>
      </c>
      <c r="B2279" t="inlineStr">
        <is>
          <t>אגד אלסטי מתמתח מדיקפרו 10 ס"מ 4 x מטר B-60</t>
        </is>
      </c>
      <c r="C2279" t="inlineStr">
        <is>
          <t>מוצרי חבישה ופלסטרים</t>
        </is>
      </c>
      <c r="D2279" t="inlineStr">
        <is>
          <t>100-118</t>
        </is>
      </c>
      <c r="E2279" t="inlineStr">
        <is>
          <t>2026-06</t>
        </is>
      </c>
      <c r="F2279" t="n">
        <v>0.63</v>
      </c>
      <c r="G2279" t="n">
        <v>0.74</v>
      </c>
      <c r="H2279">
        <f>הגדרות!B7</f>
        <v/>
      </c>
      <c r="I2279">
        <f>F2279*(1-H2279/100)*1.18</f>
        <v/>
      </c>
      <c r="J2279">
        <f>הגדרות!C7</f>
        <v/>
      </c>
      <c r="K2279">
        <f>הגדרות!D7</f>
        <v/>
      </c>
      <c r="L2279">
        <f>I2279*(1+J2279/100)+K2279</f>
        <v/>
      </c>
    </row>
    <row r="2280">
      <c r="A2280" t="inlineStr">
        <is>
          <t>מדי-מרקט</t>
        </is>
      </c>
      <c r="B2280" t="inlineStr">
        <is>
          <t>אגד אלסטי מתמתח מדיקפרו 10 ס"מ 4.5 x מטר A-83</t>
        </is>
      </c>
      <c r="C2280" t="inlineStr">
        <is>
          <t>מוצרי חבישה ופלסטרים</t>
        </is>
      </c>
      <c r="D2280" t="inlineStr">
        <is>
          <t>100-125</t>
        </is>
      </c>
      <c r="E2280" t="inlineStr">
        <is>
          <t>2026-06</t>
        </is>
      </c>
      <c r="F2280" t="n">
        <v>0.72</v>
      </c>
      <c r="G2280" t="n">
        <v>0.85</v>
      </c>
      <c r="H2280">
        <f>הגדרות!B7</f>
        <v/>
      </c>
      <c r="I2280">
        <f>F2280*(1-H2280/100)*1.18</f>
        <v/>
      </c>
      <c r="J2280">
        <f>הגדרות!C7</f>
        <v/>
      </c>
      <c r="K2280">
        <f>הגדרות!D7</f>
        <v/>
      </c>
      <c r="L2280">
        <f>I2280*(1+J2280/100)+K2280</f>
        <v/>
      </c>
    </row>
    <row r="2281">
      <c r="A2281" t="inlineStr">
        <is>
          <t>מדי-מרקט</t>
        </is>
      </c>
      <c r="B2281" t="inlineStr">
        <is>
          <t>אגד אלסטי מתמתח מדיקפרו 10 ס"מ* 4.5 מטר C-80</t>
        </is>
      </c>
      <c r="C2281" t="inlineStr">
        <is>
          <t>מוצרי חבישה ופלסטרים</t>
        </is>
      </c>
      <c r="D2281" t="inlineStr">
        <is>
          <t>5105</t>
        </is>
      </c>
      <c r="E2281" t="inlineStr">
        <is>
          <t>2026-06</t>
        </is>
      </c>
      <c r="F2281" t="n">
        <v>0.85</v>
      </c>
      <c r="G2281" t="n">
        <v>1</v>
      </c>
      <c r="H2281">
        <f>הגדרות!B7</f>
        <v/>
      </c>
      <c r="I2281">
        <f>F2281*(1-H2281/100)*1.18</f>
        <v/>
      </c>
      <c r="J2281">
        <f>הגדרות!C7</f>
        <v/>
      </c>
      <c r="K2281">
        <f>הגדרות!D7</f>
        <v/>
      </c>
      <c r="L2281">
        <f>I2281*(1+J2281/100)+K2281</f>
        <v/>
      </c>
    </row>
    <row r="2282">
      <c r="A2282" t="inlineStr">
        <is>
          <t>מדי-מרקט</t>
        </is>
      </c>
      <c r="B2282" t="inlineStr">
        <is>
          <t>אגד אלסטי מתמתח מדיקפרו 12 ס"מ 4 x מטר B-60</t>
        </is>
      </c>
      <c r="C2282" t="inlineStr">
        <is>
          <t>מוצרי חבישה ופלסטרים</t>
        </is>
      </c>
      <c r="D2282" t="inlineStr">
        <is>
          <t>100-119</t>
        </is>
      </c>
      <c r="E2282" t="inlineStr">
        <is>
          <t>2026-06</t>
        </is>
      </c>
      <c r="F2282" t="n">
        <v>0.88</v>
      </c>
      <c r="G2282" t="n">
        <v>1.04</v>
      </c>
      <c r="H2282">
        <f>הגדרות!B7</f>
        <v/>
      </c>
      <c r="I2282">
        <f>F2282*(1-H2282/100)*1.18</f>
        <v/>
      </c>
      <c r="J2282">
        <f>הגדרות!C7</f>
        <v/>
      </c>
      <c r="K2282">
        <f>הגדרות!D7</f>
        <v/>
      </c>
      <c r="L2282">
        <f>I2282*(1+J2282/100)+K2282</f>
        <v/>
      </c>
    </row>
    <row r="2283">
      <c r="A2283" t="inlineStr">
        <is>
          <t>מדי-מרקט</t>
        </is>
      </c>
      <c r="B2283" t="inlineStr">
        <is>
          <t>אגד אלסטי מתמתח מדיקפרו 12 ס"מ 4.5 x מטר A-83</t>
        </is>
      </c>
      <c r="C2283" t="inlineStr">
        <is>
          <t>מוצרי חבישה ופלסטרים</t>
        </is>
      </c>
      <c r="D2283" t="inlineStr">
        <is>
          <t>100-126</t>
        </is>
      </c>
      <c r="E2283" t="inlineStr">
        <is>
          <t>2026-06</t>
        </is>
      </c>
      <c r="F2283" t="n">
        <v>0.97</v>
      </c>
      <c r="G2283" t="n">
        <v>1.15</v>
      </c>
      <c r="H2283">
        <f>הגדרות!B7</f>
        <v/>
      </c>
      <c r="I2283">
        <f>F2283*(1-H2283/100)*1.18</f>
        <v/>
      </c>
      <c r="J2283">
        <f>הגדרות!C7</f>
        <v/>
      </c>
      <c r="K2283">
        <f>הגדרות!D7</f>
        <v/>
      </c>
      <c r="L2283">
        <f>I2283*(1+J2283/100)+K2283</f>
        <v/>
      </c>
    </row>
    <row r="2284">
      <c r="A2284" t="inlineStr">
        <is>
          <t>מדי-מרקט</t>
        </is>
      </c>
      <c r="B2284" t="inlineStr">
        <is>
          <t>אגד אלסטי מתמתח מדיקפרו 12 ס"מ*4.5 מטר C-80</t>
        </is>
      </c>
      <c r="C2284" t="inlineStr">
        <is>
          <t>מוצרי חבישה ופלסטרים</t>
        </is>
      </c>
      <c r="D2284" t="inlineStr">
        <is>
          <t>100-115</t>
        </is>
      </c>
      <c r="E2284" t="inlineStr">
        <is>
          <t>2026-06</t>
        </is>
      </c>
      <c r="F2284" t="n">
        <v>1.03</v>
      </c>
      <c r="G2284" t="n">
        <v>1.22</v>
      </c>
      <c r="H2284">
        <f>הגדרות!B7</f>
        <v/>
      </c>
      <c r="I2284">
        <f>F2284*(1-H2284/100)*1.18</f>
        <v/>
      </c>
      <c r="J2284">
        <f>הגדרות!C7</f>
        <v/>
      </c>
      <c r="K2284">
        <f>הגדרות!D7</f>
        <v/>
      </c>
      <c r="L2284">
        <f>I2284*(1+J2284/100)+K2284</f>
        <v/>
      </c>
    </row>
    <row r="2285">
      <c r="A2285" t="inlineStr">
        <is>
          <t>מדי-מרקט</t>
        </is>
      </c>
      <c r="B2285" t="inlineStr">
        <is>
          <t>אגד אלסטי מתמתח מדיקפרו 15 ס"מ 4 x מטר B-60</t>
        </is>
      </c>
      <c r="C2285" t="inlineStr">
        <is>
          <t>מוצרי חבישה ופלסטרים</t>
        </is>
      </c>
      <c r="D2285" t="inlineStr">
        <is>
          <t>100-120</t>
        </is>
      </c>
      <c r="E2285" t="inlineStr">
        <is>
          <t>2026-06</t>
        </is>
      </c>
      <c r="F2285" t="n">
        <v>0.96</v>
      </c>
      <c r="G2285" t="n">
        <v>1.13</v>
      </c>
      <c r="H2285">
        <f>הגדרות!B7</f>
        <v/>
      </c>
      <c r="I2285">
        <f>F2285*(1-H2285/100)*1.18</f>
        <v/>
      </c>
      <c r="J2285">
        <f>הגדרות!C7</f>
        <v/>
      </c>
      <c r="K2285">
        <f>הגדרות!D7</f>
        <v/>
      </c>
      <c r="L2285">
        <f>I2285*(1+J2285/100)+K2285</f>
        <v/>
      </c>
    </row>
    <row r="2286">
      <c r="A2286" t="inlineStr">
        <is>
          <t>מדי-מרקט</t>
        </is>
      </c>
      <c r="B2286" t="inlineStr">
        <is>
          <t>אגד אלסטי מתמתח מדיקפרו 15 ס"מ 4.5 x מטר A-83</t>
        </is>
      </c>
      <c r="C2286" t="inlineStr">
        <is>
          <t>מוצרי חבישה ופלסטרים</t>
        </is>
      </c>
      <c r="D2286" t="inlineStr">
        <is>
          <t>100-127</t>
        </is>
      </c>
      <c r="E2286" t="inlineStr">
        <is>
          <t>2026-06</t>
        </is>
      </c>
      <c r="F2286" t="n">
        <v>1.15</v>
      </c>
      <c r="G2286" t="n">
        <v>1.36</v>
      </c>
      <c r="H2286">
        <f>הגדרות!B7</f>
        <v/>
      </c>
      <c r="I2286">
        <f>F2286*(1-H2286/100)*1.18</f>
        <v/>
      </c>
      <c r="J2286">
        <f>הגדרות!C7</f>
        <v/>
      </c>
      <c r="K2286">
        <f>הגדרות!D7</f>
        <v/>
      </c>
      <c r="L2286">
        <f>I2286*(1+J2286/100)+K2286</f>
        <v/>
      </c>
    </row>
    <row r="2287">
      <c r="A2287" t="inlineStr">
        <is>
          <t>מדי-מרקט</t>
        </is>
      </c>
      <c r="B2287" t="inlineStr">
        <is>
          <t>אגד אלסטי מתמתח מדיקפרו 15 ס"מ*4.5 מטר C-80</t>
        </is>
      </c>
      <c r="C2287" t="inlineStr">
        <is>
          <t>מוצרי חבישה ופלסטרים</t>
        </is>
      </c>
      <c r="D2287" t="inlineStr">
        <is>
          <t>100-116</t>
        </is>
      </c>
      <c r="E2287" t="inlineStr">
        <is>
          <t>2026-06</t>
        </is>
      </c>
      <c r="F2287" t="n">
        <v>1.4</v>
      </c>
      <c r="G2287" t="n">
        <v>1.65</v>
      </c>
      <c r="H2287">
        <f>הגדרות!B7</f>
        <v/>
      </c>
      <c r="I2287">
        <f>F2287*(1-H2287/100)*1.18</f>
        <v/>
      </c>
      <c r="J2287">
        <f>הגדרות!C7</f>
        <v/>
      </c>
      <c r="K2287">
        <f>הגדרות!D7</f>
        <v/>
      </c>
      <c r="L2287">
        <f>I2287*(1+J2287/100)+K2287</f>
        <v/>
      </c>
    </row>
    <row r="2288">
      <c r="A2288" t="inlineStr">
        <is>
          <t>מדי-מרקט</t>
        </is>
      </c>
      <c r="B2288" t="inlineStr">
        <is>
          <t>אגד אלסטי מתמתח מדיקפרו 6 ס"מ 4 x מטר B-60</t>
        </is>
      </c>
      <c r="C2288" t="inlineStr">
        <is>
          <t>מוצרי חבישה ופלסטרים</t>
        </is>
      </c>
      <c r="D2288" t="inlineStr">
        <is>
          <t>100-121</t>
        </is>
      </c>
      <c r="E2288" t="inlineStr">
        <is>
          <t>2026-06</t>
        </is>
      </c>
      <c r="F2288" t="n">
        <v>0.45</v>
      </c>
      <c r="G2288" t="n">
        <v>0.53</v>
      </c>
      <c r="H2288">
        <f>הגדרות!B7</f>
        <v/>
      </c>
      <c r="I2288">
        <f>F2288*(1-H2288/100)*1.18</f>
        <v/>
      </c>
      <c r="J2288">
        <f>הגדרות!C7</f>
        <v/>
      </c>
      <c r="K2288">
        <f>הגדרות!D7</f>
        <v/>
      </c>
      <c r="L2288">
        <f>I2288*(1+J2288/100)+K2288</f>
        <v/>
      </c>
    </row>
    <row r="2289">
      <c r="A2289" t="inlineStr">
        <is>
          <t>מדי-מרקט</t>
        </is>
      </c>
      <c r="B2289" t="inlineStr">
        <is>
          <t>אגד אלסטי מתמתח מדיקפרו 6 ס"מ 4.5 x מטר A-83</t>
        </is>
      </c>
      <c r="C2289" t="inlineStr">
        <is>
          <t>מוצרי חבישה ופלסטרים</t>
        </is>
      </c>
      <c r="D2289" t="inlineStr">
        <is>
          <t>100-123</t>
        </is>
      </c>
      <c r="E2289" t="inlineStr">
        <is>
          <t>2026-06</t>
        </is>
      </c>
      <c r="F2289" t="n">
        <v>0.74</v>
      </c>
      <c r="G2289" t="n">
        <v>0.87</v>
      </c>
      <c r="H2289">
        <f>הגדרות!B7</f>
        <v/>
      </c>
      <c r="I2289">
        <f>F2289*(1-H2289/100)*1.18</f>
        <v/>
      </c>
      <c r="J2289">
        <f>הגדרות!C7</f>
        <v/>
      </c>
      <c r="K2289">
        <f>הגדרות!D7</f>
        <v/>
      </c>
      <c r="L2289">
        <f>I2289*(1+J2289/100)+K2289</f>
        <v/>
      </c>
    </row>
    <row r="2290">
      <c r="A2290" t="inlineStr">
        <is>
          <t>מדי-מרקט</t>
        </is>
      </c>
      <c r="B2290" t="inlineStr">
        <is>
          <t>אגד אלסטי מתמתח מדיקפרו 6 ס"מ* 4 מטר C-80</t>
        </is>
      </c>
      <c r="C2290" t="inlineStr">
        <is>
          <t>מוצרי חבישה ופלסטרים</t>
        </is>
      </c>
      <c r="D2290" t="inlineStr">
        <is>
          <t>100-122</t>
        </is>
      </c>
      <c r="E2290" t="inlineStr">
        <is>
          <t>2026-06</t>
        </is>
      </c>
      <c r="F2290" t="n">
        <v>0.61</v>
      </c>
      <c r="G2290" t="n">
        <v>0.72</v>
      </c>
      <c r="H2290">
        <f>הגדרות!B7</f>
        <v/>
      </c>
      <c r="I2290">
        <f>F2290*(1-H2290/100)*1.18</f>
        <v/>
      </c>
      <c r="J2290">
        <f>הגדרות!C7</f>
        <v/>
      </c>
      <c r="K2290">
        <f>הגדרות!D7</f>
        <v/>
      </c>
      <c r="L2290">
        <f>I2290*(1+J2290/100)+K2290</f>
        <v/>
      </c>
    </row>
    <row r="2291">
      <c r="A2291" t="inlineStr">
        <is>
          <t>מדי-מרקט</t>
        </is>
      </c>
      <c r="B2291" t="inlineStr">
        <is>
          <t>אגד אלסטי מתמתח מדיקפרו 8 ס"מ 4 x מטר B-60</t>
        </is>
      </c>
      <c r="C2291" t="inlineStr">
        <is>
          <t>מוצרי חבישה ופלסטרים</t>
        </is>
      </c>
      <c r="D2291" t="inlineStr">
        <is>
          <t>100-117</t>
        </is>
      </c>
      <c r="E2291" t="inlineStr">
        <is>
          <t>2026-06</t>
        </is>
      </c>
      <c r="F2291" t="n">
        <v>0.52</v>
      </c>
      <c r="G2291" t="n">
        <v>0.61</v>
      </c>
      <c r="H2291">
        <f>הגדרות!B7</f>
        <v/>
      </c>
      <c r="I2291">
        <f>F2291*(1-H2291/100)*1.18</f>
        <v/>
      </c>
      <c r="J2291">
        <f>הגדרות!C7</f>
        <v/>
      </c>
      <c r="K2291">
        <f>הגדרות!D7</f>
        <v/>
      </c>
      <c r="L2291">
        <f>I2291*(1+J2291/100)+K2291</f>
        <v/>
      </c>
    </row>
    <row r="2292">
      <c r="A2292" t="inlineStr">
        <is>
          <t>מדי-מרקט</t>
        </is>
      </c>
      <c r="B2292" t="inlineStr">
        <is>
          <t>אגד אלסטי מתמתח מדיקפרו 8 ס"מ 4.5 x מטר A-83</t>
        </is>
      </c>
      <c r="C2292" t="inlineStr">
        <is>
          <t>מוצרי חבישה ופלסטרים</t>
        </is>
      </c>
      <c r="D2292" t="inlineStr">
        <is>
          <t>100-124</t>
        </is>
      </c>
      <c r="E2292" t="inlineStr">
        <is>
          <t>2026-06</t>
        </is>
      </c>
      <c r="F2292" t="n">
        <v>0.58</v>
      </c>
      <c r="G2292" t="n">
        <v>0.68</v>
      </c>
      <c r="H2292">
        <f>הגדרות!B7</f>
        <v/>
      </c>
      <c r="I2292">
        <f>F2292*(1-H2292/100)*1.18</f>
        <v/>
      </c>
      <c r="J2292">
        <f>הגדרות!C7</f>
        <v/>
      </c>
      <c r="K2292">
        <f>הגדרות!D7</f>
        <v/>
      </c>
      <c r="L2292">
        <f>I2292*(1+J2292/100)+K2292</f>
        <v/>
      </c>
    </row>
    <row r="2293">
      <c r="A2293" t="inlineStr">
        <is>
          <t>מדי-מרקט</t>
        </is>
      </c>
      <c r="B2293" t="inlineStr">
        <is>
          <t>אגד אלסטי מתמתח מדיקפרו 8 ס"מ* 4.5 מטר C-80</t>
        </is>
      </c>
      <c r="C2293" t="inlineStr">
        <is>
          <t>מוצרי חבישה ופלסטרים</t>
        </is>
      </c>
      <c r="D2293" t="inlineStr">
        <is>
          <t>5106</t>
        </is>
      </c>
      <c r="E2293" t="inlineStr">
        <is>
          <t>2026-06</t>
        </is>
      </c>
      <c r="F2293" t="n">
        <v>0.76</v>
      </c>
      <c r="G2293" t="n">
        <v>0.9</v>
      </c>
      <c r="H2293">
        <f>הגדרות!B7</f>
        <v/>
      </c>
      <c r="I2293">
        <f>F2293*(1-H2293/100)*1.18</f>
        <v/>
      </c>
      <c r="J2293">
        <f>הגדרות!C7</f>
        <v/>
      </c>
      <c r="K2293">
        <f>הגדרות!D7</f>
        <v/>
      </c>
      <c r="L2293">
        <f>I2293*(1+J2293/100)+K2293</f>
        <v/>
      </c>
    </row>
    <row r="2294">
      <c r="A2294" t="inlineStr">
        <is>
          <t>מדי-מרקט</t>
        </is>
      </c>
      <c r="B2294" t="inlineStr">
        <is>
          <t>אגד אלסטי נדבק(הדבקה הפוכה)10MC*4.5M מדיקפרו @</t>
        </is>
      </c>
      <c r="C2294" t="inlineStr">
        <is>
          <t>מוצרי חבישה ופלסטרים</t>
        </is>
      </c>
      <c r="D2294" t="inlineStr">
        <is>
          <t>100-130</t>
        </is>
      </c>
      <c r="E2294" t="inlineStr">
        <is>
          <t>2026-06</t>
        </is>
      </c>
      <c r="F2294" t="n">
        <v>7.14</v>
      </c>
      <c r="G2294" t="n">
        <v>8.42</v>
      </c>
      <c r="H2294">
        <f>הגדרות!B7</f>
        <v/>
      </c>
      <c r="I2294">
        <f>F2294*(1-H2294/100)*1.18</f>
        <v/>
      </c>
      <c r="J2294">
        <f>הגדרות!C7</f>
        <v/>
      </c>
      <c r="K2294">
        <f>הגדרות!D7</f>
        <v/>
      </c>
      <c r="L2294">
        <f>I2294*(1+J2294/100)+K2294</f>
        <v/>
      </c>
    </row>
    <row r="2295">
      <c r="A2295" t="inlineStr">
        <is>
          <t>מדי-מרקט</t>
        </is>
      </c>
      <c r="B2295" t="inlineStr">
        <is>
          <t>אגד גזה 10 סמ, מדיקפרו, לא אלסטי, 1/10</t>
        </is>
      </c>
      <c r="C2295" t="inlineStr">
        <is>
          <t>מוצרי חבישה ופלסטרים</t>
        </is>
      </c>
      <c r="D2295" t="inlineStr">
        <is>
          <t>100-1181</t>
        </is>
      </c>
      <c r="E2295" t="inlineStr">
        <is>
          <t>2026-06</t>
        </is>
      </c>
      <c r="F2295" t="n">
        <v>4.24</v>
      </c>
      <c r="G2295" t="n">
        <v>5</v>
      </c>
      <c r="H2295">
        <f>הגדרות!B7</f>
        <v/>
      </c>
      <c r="I2295">
        <f>F2295*(1-H2295/100)*1.18</f>
        <v/>
      </c>
      <c r="J2295">
        <f>הגדרות!C7</f>
        <v/>
      </c>
      <c r="K2295">
        <f>הגדרות!D7</f>
        <v/>
      </c>
      <c r="L2295">
        <f>I2295*(1+J2295/100)+K2295</f>
        <v/>
      </c>
    </row>
    <row r="2296">
      <c r="A2296" t="inlineStr">
        <is>
          <t>מדי-מרקט</t>
        </is>
      </c>
      <c r="B2296" t="inlineStr">
        <is>
          <t>אגד גזה 5 סמ, מדיקפרו, לא אלסטי, 1/10</t>
        </is>
      </c>
      <c r="C2296" t="inlineStr">
        <is>
          <t>מוצרי חבישה ופלסטרים</t>
        </is>
      </c>
      <c r="D2296" t="inlineStr">
        <is>
          <t>100-1151</t>
        </is>
      </c>
      <c r="E2296" t="inlineStr">
        <is>
          <t>2026-06</t>
        </is>
      </c>
      <c r="F2296" t="n">
        <v>2.54</v>
      </c>
      <c r="G2296" t="n">
        <v>3</v>
      </c>
      <c r="H2296">
        <f>הגדרות!B7</f>
        <v/>
      </c>
      <c r="I2296">
        <f>F2296*(1-H2296/100)*1.18</f>
        <v/>
      </c>
      <c r="J2296">
        <f>הגדרות!C7</f>
        <v/>
      </c>
      <c r="K2296">
        <f>הגדרות!D7</f>
        <v/>
      </c>
      <c r="L2296">
        <f>I2296*(1+J2296/100)+K2296</f>
        <v/>
      </c>
    </row>
    <row r="2297">
      <c r="A2297" t="inlineStr">
        <is>
          <t>מדי-מרקט</t>
        </is>
      </c>
      <c r="B2297" t="inlineStr">
        <is>
          <t>אגד גזה נמתח 10 ס"מ, מדיקפרו , 1 יח'</t>
        </is>
      </c>
      <c r="C2297" t="inlineStr">
        <is>
          <t>מוצרי חבישה ופלסטרים</t>
        </is>
      </c>
      <c r="D2297" t="inlineStr">
        <is>
          <t>100-107</t>
        </is>
      </c>
      <c r="E2297" t="inlineStr">
        <is>
          <t>2026-06</t>
        </is>
      </c>
      <c r="F2297" t="n">
        <v>0.22</v>
      </c>
      <c r="G2297" t="n">
        <v>0.26</v>
      </c>
      <c r="H2297">
        <f>הגדרות!B7</f>
        <v/>
      </c>
      <c r="I2297">
        <f>F2297*(1-H2297/100)*1.18</f>
        <v/>
      </c>
      <c r="J2297">
        <f>הגדרות!C7</f>
        <v/>
      </c>
      <c r="K2297">
        <f>הגדרות!D7</f>
        <v/>
      </c>
      <c r="L2297">
        <f>I2297*(1+J2297/100)+K2297</f>
        <v/>
      </c>
    </row>
    <row r="2298">
      <c r="A2298" t="inlineStr">
        <is>
          <t>מדי-מרקט</t>
        </is>
      </c>
      <c r="B2298" t="inlineStr">
        <is>
          <t>אגד גזה נמתח 5 ס"מ ,מדיקפרו, 1 יח'</t>
        </is>
      </c>
      <c r="C2298" t="inlineStr">
        <is>
          <t>מוצרי חבישה ופלסטרים</t>
        </is>
      </c>
      <c r="D2298" t="inlineStr">
        <is>
          <t>100-105</t>
        </is>
      </c>
      <c r="E2298" t="inlineStr">
        <is>
          <t>2026-06</t>
        </is>
      </c>
      <c r="F2298" t="n">
        <v>0.15</v>
      </c>
      <c r="G2298" t="n">
        <v>0.18</v>
      </c>
      <c r="H2298">
        <f>הגדרות!B7</f>
        <v/>
      </c>
      <c r="I2298">
        <f>F2298*(1-H2298/100)*1.18</f>
        <v/>
      </c>
      <c r="J2298">
        <f>הגדרות!C7</f>
        <v/>
      </c>
      <c r="K2298">
        <f>הגדרות!D7</f>
        <v/>
      </c>
      <c r="L2298">
        <f>I2298*(1+J2298/100)+K2298</f>
        <v/>
      </c>
    </row>
    <row r="2299">
      <c r="A2299" t="inlineStr">
        <is>
          <t>מדי-מרקט</t>
        </is>
      </c>
      <c r="B2299" t="inlineStr">
        <is>
          <t>אגד גזה נמתח 7 ס"מ, מדיקפרו , 1 יח'</t>
        </is>
      </c>
      <c r="C2299" t="inlineStr">
        <is>
          <t>מוצרי חבישה ופלסטרים</t>
        </is>
      </c>
      <c r="D2299" t="inlineStr">
        <is>
          <t>100-106</t>
        </is>
      </c>
      <c r="E2299" t="inlineStr">
        <is>
          <t>2026-06</t>
        </is>
      </c>
      <c r="F2299" t="n">
        <v>0.18</v>
      </c>
      <c r="G2299" t="n">
        <v>0.21</v>
      </c>
      <c r="H2299">
        <f>הגדרות!B7</f>
        <v/>
      </c>
      <c r="I2299">
        <f>F2299*(1-H2299/100)*1.18</f>
        <v/>
      </c>
      <c r="J2299">
        <f>הגדרות!C7</f>
        <v/>
      </c>
      <c r="K2299">
        <f>הגדרות!D7</f>
        <v/>
      </c>
      <c r="L2299">
        <f>I2299*(1+J2299/100)+K2299</f>
        <v/>
      </c>
    </row>
    <row r="2300">
      <c r="A2300" t="inlineStr">
        <is>
          <t>מדי-מרקט</t>
        </is>
      </c>
      <c r="B2300" t="inlineStr">
        <is>
          <t>אגד נצמד צבעוני עם איורים  מדיקפרו 8 ס"מ</t>
        </is>
      </c>
      <c r="C2300" t="inlineStr">
        <is>
          <t>מוצרי חבישה ופלסטרים</t>
        </is>
      </c>
      <c r="D2300" t="inlineStr">
        <is>
          <t>600-101</t>
        </is>
      </c>
      <c r="E2300" t="inlineStr">
        <is>
          <t>2026-06</t>
        </is>
      </c>
      <c r="F2300" t="n">
        <v>1.38</v>
      </c>
      <c r="G2300" t="n">
        <v>1.63</v>
      </c>
      <c r="H2300">
        <f>הגדרות!B7</f>
        <v/>
      </c>
      <c r="I2300">
        <f>F2300*(1-H2300/100)*1.18</f>
        <v/>
      </c>
      <c r="J2300">
        <f>הגדרות!C7</f>
        <v/>
      </c>
      <c r="K2300">
        <f>הגדרות!D7</f>
        <v/>
      </c>
      <c r="L2300">
        <f>I2300*(1+J2300/100)+K2300</f>
        <v/>
      </c>
    </row>
    <row r="2301">
      <c r="A2301" t="inlineStr">
        <is>
          <t>מדי-מרקט</t>
        </is>
      </c>
      <c r="B2301" t="inlineStr">
        <is>
          <t>אגד נצמד צבעוני עם איורים מדיקפרו 10 ס"מ</t>
        </is>
      </c>
      <c r="C2301" t="inlineStr">
        <is>
          <t>מוצרי חבישה ופלסטרים</t>
        </is>
      </c>
      <c r="D2301" t="inlineStr">
        <is>
          <t>600-102</t>
        </is>
      </c>
      <c r="E2301" t="inlineStr">
        <is>
          <t>2026-06</t>
        </is>
      </c>
      <c r="F2301" t="n">
        <v>2.25</v>
      </c>
      <c r="G2301" t="n">
        <v>2.65</v>
      </c>
      <c r="H2301">
        <f>הגדרות!B7</f>
        <v/>
      </c>
      <c r="I2301">
        <f>F2301*(1-H2301/100)*1.18</f>
        <v/>
      </c>
      <c r="J2301">
        <f>הגדרות!C7</f>
        <v/>
      </c>
      <c r="K2301">
        <f>הגדרות!D7</f>
        <v/>
      </c>
      <c r="L2301">
        <f>I2301*(1+J2301/100)+K2301</f>
        <v/>
      </c>
    </row>
    <row r="2302">
      <c r="A2302" t="inlineStr">
        <is>
          <t>מדי-מרקט</t>
        </is>
      </c>
      <c r="B2302" t="inlineStr">
        <is>
          <t>אגד נצמד צבעוני עם איורים מדיקפרו 6 ס"מ</t>
        </is>
      </c>
      <c r="C2302" t="inlineStr">
        <is>
          <t>מוצרי חבישה ופלסטרים</t>
        </is>
      </c>
      <c r="D2302" t="inlineStr">
        <is>
          <t>600-100</t>
        </is>
      </c>
      <c r="E2302" t="inlineStr">
        <is>
          <t>2026-06</t>
        </is>
      </c>
      <c r="F2302" t="n">
        <v>1.43</v>
      </c>
      <c r="G2302" t="n">
        <v>1.69</v>
      </c>
      <c r="H2302">
        <f>הגדרות!B7</f>
        <v/>
      </c>
      <c r="I2302">
        <f>F2302*(1-H2302/100)*1.18</f>
        <v/>
      </c>
      <c r="J2302">
        <f>הגדרות!C7</f>
        <v/>
      </c>
      <c r="K2302">
        <f>הגדרות!D7</f>
        <v/>
      </c>
      <c r="L2302">
        <f>I2302*(1+J2302/100)+K2302</f>
        <v/>
      </c>
    </row>
    <row r="2303">
      <c r="A2303" t="inlineStr">
        <is>
          <t>מדי-מרקט</t>
        </is>
      </c>
      <c r="B2303" t="inlineStr">
        <is>
          <t>אובלטים ריקים 1,000 יח'  Size 12el BL40</t>
        </is>
      </c>
      <c r="C2303" t="inlineStr">
        <is>
          <t>אריזה בימ"ק ראשונה להכנות</t>
        </is>
      </c>
      <c r="D2303" t="inlineStr">
        <is>
          <t>12el</t>
        </is>
      </c>
      <c r="E2303" t="inlineStr">
        <is>
          <t>2026-06</t>
        </is>
      </c>
      <c r="F2303" t="n">
        <v>3813.56</v>
      </c>
      <c r="G2303" t="n">
        <v>4500</v>
      </c>
      <c r="H2303">
        <f>הגדרות!B7</f>
        <v/>
      </c>
      <c r="I2303">
        <f>F2303*(1-H2303/100)*1.18</f>
        <v/>
      </c>
      <c r="J2303">
        <f>הגדרות!C7</f>
        <v/>
      </c>
      <c r="K2303">
        <f>הגדרות!D7</f>
        <v/>
      </c>
      <c r="L2303">
        <f>I2303*(1+J2303/100)+K2303</f>
        <v/>
      </c>
    </row>
    <row r="2304">
      <c r="A2304" t="inlineStr">
        <is>
          <t>מדי-מרקט</t>
        </is>
      </c>
      <c r="B2304" t="inlineStr">
        <is>
          <t>אוגר כביסה כפול מפלסטיק + 2 שקים+מכסים</t>
        </is>
      </c>
      <c r="C2304" t="inlineStr">
        <is>
          <t>ציוד ומכשור רפואי</t>
        </is>
      </c>
      <c r="D2304" t="inlineStr">
        <is>
          <t>63214</t>
        </is>
      </c>
      <c r="E2304" t="inlineStr">
        <is>
          <t>2026-06</t>
        </is>
      </c>
      <c r="F2304" t="n">
        <v>593.22</v>
      </c>
      <c r="G2304" t="n">
        <v>700</v>
      </c>
      <c r="H2304">
        <f>הגדרות!B7</f>
        <v/>
      </c>
      <c r="I2304">
        <f>F2304*(1-H2304/100)*1.18</f>
        <v/>
      </c>
      <c r="J2304">
        <f>הגדרות!C7</f>
        <v/>
      </c>
      <c r="K2304">
        <f>הגדרות!D7</f>
        <v/>
      </c>
      <c r="L2304">
        <f>I2304*(1+J2304/100)+K2304</f>
        <v/>
      </c>
    </row>
    <row r="2305">
      <c r="A2305" t="inlineStr">
        <is>
          <t>מדי-מרקט</t>
        </is>
      </c>
      <c r="B2305" t="inlineStr">
        <is>
          <t>אוזניות+גומיה+ממברנה+גומית פעמון לסטטוסקופ ליטמן</t>
        </is>
      </c>
      <c r="C2305" t="inlineStr">
        <is>
          <t>ציוד ומכשור רפואי</t>
        </is>
      </c>
      <c r="D2305" t="inlineStr">
        <is>
          <t>12860</t>
        </is>
      </c>
      <c r="E2305" t="inlineStr">
        <is>
          <t>2026-06</t>
        </is>
      </c>
      <c r="F2305" t="n">
        <v>207.63</v>
      </c>
      <c r="G2305" t="n">
        <v>245</v>
      </c>
      <c r="H2305">
        <f>הגדרות!B7</f>
        <v/>
      </c>
      <c r="I2305">
        <f>F2305*(1-H2305/100)*1.18</f>
        <v/>
      </c>
      <c r="J2305">
        <f>הגדרות!C7</f>
        <v/>
      </c>
      <c r="K2305">
        <f>הגדרות!D7</f>
        <v/>
      </c>
      <c r="L2305">
        <f>I2305*(1+J2305/100)+K2305</f>
        <v/>
      </c>
    </row>
    <row r="2306">
      <c r="A2306" t="inlineStr">
        <is>
          <t>מדי-מרקט</t>
        </is>
      </c>
      <c r="B2306" t="inlineStr">
        <is>
          <t>אוטוסקופ "פוקט" W.A  22841</t>
        </is>
      </c>
      <c r="C2306" t="inlineStr">
        <is>
          <t>ציוד ומכשור רפואי</t>
        </is>
      </c>
      <c r="D2306" t="inlineStr">
        <is>
          <t>16484</t>
        </is>
      </c>
      <c r="E2306" t="inlineStr">
        <is>
          <t>2026-06</t>
        </is>
      </c>
      <c r="F2306" t="n">
        <v>315.76</v>
      </c>
      <c r="G2306" t="n">
        <v>372.6</v>
      </c>
      <c r="H2306">
        <f>הגדרות!B7</f>
        <v/>
      </c>
      <c r="I2306">
        <f>F2306*(1-H2306/100)*1.18</f>
        <v/>
      </c>
      <c r="J2306">
        <f>הגדרות!C7</f>
        <v/>
      </c>
      <c r="K2306">
        <f>הגדרות!D7</f>
        <v/>
      </c>
      <c r="L2306">
        <f>I2306*(1+J2306/100)+K2306</f>
        <v/>
      </c>
    </row>
    <row r="2307">
      <c r="A2307" t="inlineStr">
        <is>
          <t>מדי-מרקט</t>
        </is>
      </c>
      <c r="B2307" t="inlineStr">
        <is>
          <t>אומגלו Omeglo תמיסה 500 מ"ל לכלבים TRM</t>
        </is>
      </c>
      <c r="C2307" t="inlineStr">
        <is>
          <t>TRM</t>
        </is>
      </c>
      <c r="D2307" t="inlineStr">
        <is>
          <t>800-1011</t>
        </is>
      </c>
      <c r="E2307" t="inlineStr">
        <is>
          <t>2026-06</t>
        </is>
      </c>
      <c r="F2307" t="n">
        <v>40.68</v>
      </c>
      <c r="G2307" t="n">
        <v>48</v>
      </c>
      <c r="H2307">
        <f>הגדרות!B7</f>
        <v/>
      </c>
      <c r="I2307">
        <f>F2307*(1-H2307/100)*1.18</f>
        <v/>
      </c>
      <c r="J2307">
        <f>הגדרות!C7</f>
        <v/>
      </c>
      <c r="K2307">
        <f>הגדרות!D7</f>
        <v/>
      </c>
      <c r="L2307">
        <f>I2307*(1+J2307/100)+K2307</f>
        <v/>
      </c>
    </row>
    <row r="2308">
      <c r="A2308" t="inlineStr">
        <is>
          <t>מדי-מרקט</t>
        </is>
      </c>
      <c r="B2308" t="inlineStr">
        <is>
          <t>אחות אילמת מהודרת כוונון כפול -גוון דמוי עץ</t>
        </is>
      </c>
      <c r="C2308" t="inlineStr">
        <is>
          <t>ציוד ומכשור רפואי</t>
        </is>
      </c>
      <c r="D2308" t="inlineStr">
        <is>
          <t>2941</t>
        </is>
      </c>
      <c r="E2308" t="inlineStr">
        <is>
          <t>2026-06</t>
        </is>
      </c>
      <c r="F2308" t="n">
        <v>313.56</v>
      </c>
      <c r="G2308" t="n">
        <v>370</v>
      </c>
      <c r="H2308">
        <f>הגדרות!B7</f>
        <v/>
      </c>
      <c r="I2308">
        <f>F2308*(1-H2308/100)*1.18</f>
        <v/>
      </c>
      <c r="J2308">
        <f>הגדרות!C7</f>
        <v/>
      </c>
      <c r="K2308">
        <f>הגדרות!D7</f>
        <v/>
      </c>
      <c r="L2308">
        <f>I2308*(1+J2308/100)+K2308</f>
        <v/>
      </c>
    </row>
    <row r="2309">
      <c r="A2309" t="inlineStr">
        <is>
          <t>מדי-מרקט</t>
        </is>
      </c>
      <c r="B2309" t="inlineStr">
        <is>
          <t>אחות אילמת נירוסטה מגש עליון ניתן להסרה</t>
        </is>
      </c>
      <c r="C2309" t="inlineStr">
        <is>
          <t>ציוד ומכשור רפואי</t>
        </is>
      </c>
      <c r="D2309" t="inlineStr">
        <is>
          <t>TTAT-01</t>
        </is>
      </c>
      <c r="E2309" t="inlineStr">
        <is>
          <t>2026-06</t>
        </is>
      </c>
      <c r="F2309" t="n">
        <v>788.14</v>
      </c>
      <c r="G2309" t="n">
        <v>930</v>
      </c>
      <c r="H2309">
        <f>הגדרות!B7</f>
        <v/>
      </c>
      <c r="I2309">
        <f>F2309*(1-H2309/100)*1.18</f>
        <v/>
      </c>
      <c r="J2309">
        <f>הגדרות!C7</f>
        <v/>
      </c>
      <c r="K2309">
        <f>הגדרות!D7</f>
        <v/>
      </c>
      <c r="L2309">
        <f>I2309*(1+J2309/100)+K2309</f>
        <v/>
      </c>
    </row>
    <row r="2310">
      <c r="A2310" t="inlineStr">
        <is>
          <t>מדי-מרקט</t>
        </is>
      </c>
      <c r="B2310" t="inlineStr">
        <is>
          <t>אטמי אוזניים סיליקון, 3 , VITA PLUS יחידות במארז</t>
        </is>
      </c>
      <c r="C2310" t="inlineStr">
        <is>
          <t>ציוד מתכלה</t>
        </is>
      </c>
      <c r="D2310" t="inlineStr">
        <is>
          <t>VP66031</t>
        </is>
      </c>
      <c r="E2310" t="inlineStr">
        <is>
          <t>2026-06</t>
        </is>
      </c>
      <c r="F2310" t="n">
        <v>6.36</v>
      </c>
      <c r="G2310" t="n">
        <v>7.5</v>
      </c>
      <c r="H2310">
        <f>הגדרות!B7</f>
        <v/>
      </c>
      <c r="I2310">
        <f>F2310*(1-H2310/100)*1.18</f>
        <v/>
      </c>
      <c r="J2310">
        <f>הגדרות!C7</f>
        <v/>
      </c>
      <c r="K2310">
        <f>הגדרות!D7</f>
        <v/>
      </c>
      <c r="L2310">
        <f>I2310*(1+J2310/100)+K2310</f>
        <v/>
      </c>
    </row>
    <row r="2311">
      <c r="A2311" t="inlineStr">
        <is>
          <t>מדי-מרקט</t>
        </is>
      </c>
      <c r="B2311" t="inlineStr">
        <is>
          <t>אטמי אוזניים קצף (צורת טורפדו), 3 , VITA PLUS יחידות במארז</t>
        </is>
      </c>
      <c r="C2311" t="inlineStr">
        <is>
          <t>ציוד מתכלה</t>
        </is>
      </c>
      <c r="D2311" t="inlineStr">
        <is>
          <t>VP66041</t>
        </is>
      </c>
      <c r="E2311" t="inlineStr">
        <is>
          <t>2026-06</t>
        </is>
      </c>
      <c r="F2311" t="n">
        <v>4.24</v>
      </c>
      <c r="G2311" t="n">
        <v>5</v>
      </c>
      <c r="H2311">
        <f>הגדרות!B7</f>
        <v/>
      </c>
      <c r="I2311">
        <f>F2311*(1-H2311/100)*1.18</f>
        <v/>
      </c>
      <c r="J2311">
        <f>הגדרות!C7</f>
        <v/>
      </c>
      <c r="K2311">
        <f>הגדרות!D7</f>
        <v/>
      </c>
      <c r="L2311">
        <f>I2311*(1+J2311/100)+K2311</f>
        <v/>
      </c>
    </row>
    <row r="2312">
      <c r="A2312" t="inlineStr">
        <is>
          <t>מדי-מרקט</t>
        </is>
      </c>
      <c r="B2312" t="inlineStr">
        <is>
          <t>אטמי אוזניים שעווה, 3 , VITA PLUS יחידות במארז</t>
        </is>
      </c>
      <c r="C2312" t="inlineStr">
        <is>
          <t>ציוד מתכלה</t>
        </is>
      </c>
      <c r="D2312" t="inlineStr">
        <is>
          <t>VP66011</t>
        </is>
      </c>
      <c r="E2312" t="inlineStr">
        <is>
          <t>2026-06</t>
        </is>
      </c>
      <c r="F2312" t="n">
        <v>6.36</v>
      </c>
      <c r="G2312" t="n">
        <v>7.5</v>
      </c>
      <c r="H2312">
        <f>הגדרות!B7</f>
        <v/>
      </c>
      <c r="I2312">
        <f>F2312*(1-H2312/100)*1.18</f>
        <v/>
      </c>
      <c r="J2312">
        <f>הגדרות!C7</f>
        <v/>
      </c>
      <c r="K2312">
        <f>הגדרות!D7</f>
        <v/>
      </c>
      <c r="L2312">
        <f>I2312*(1+J2312/100)+K2312</f>
        <v/>
      </c>
    </row>
    <row r="2313">
      <c r="A2313" t="inlineStr">
        <is>
          <t>מדי-מרקט</t>
        </is>
      </c>
      <c r="B2313" t="inlineStr">
        <is>
          <t>איזוקאין X Mepivacaine.Hcl 30Mg/Ml 3% 50 קרפולות</t>
        </is>
      </c>
      <c r="C2313" t="inlineStr">
        <is>
          <t>תרופות</t>
        </is>
      </c>
      <c r="D2313" t="inlineStr">
        <is>
          <t>19695632</t>
        </is>
      </c>
      <c r="E2313" t="inlineStr">
        <is>
          <t>2026-06</t>
        </is>
      </c>
      <c r="F2313" t="n">
        <v>126.27</v>
      </c>
      <c r="G2313" t="n">
        <v>149</v>
      </c>
      <c r="H2313">
        <f>הגדרות!B7</f>
        <v/>
      </c>
      <c r="I2313">
        <f>F2313*(1-H2313/100)*1.18</f>
        <v/>
      </c>
      <c r="J2313">
        <f>הגדרות!C7</f>
        <v/>
      </c>
      <c r="K2313">
        <f>הגדרות!D7</f>
        <v/>
      </c>
      <c r="L2313">
        <f>I2313*(1+J2313/100)+K2313</f>
        <v/>
      </c>
    </row>
    <row r="2314">
      <c r="A2314" t="inlineStr">
        <is>
          <t>מדי-מרקט</t>
        </is>
      </c>
      <c r="B2314" t="inlineStr">
        <is>
          <t>איר קליר Ear Clear  20 מ"ל טיפות</t>
        </is>
      </c>
      <c r="C2314" t="inlineStr">
        <is>
          <t>תרופות</t>
        </is>
      </c>
      <c r="D2314" t="inlineStr">
        <is>
          <t>2536236</t>
        </is>
      </c>
      <c r="E2314" t="inlineStr">
        <is>
          <t>2026-06</t>
        </is>
      </c>
      <c r="F2314" t="n">
        <v>11.02</v>
      </c>
      <c r="G2314" t="n">
        <v>13</v>
      </c>
      <c r="H2314">
        <f>הגדרות!B7</f>
        <v/>
      </c>
      <c r="I2314">
        <f>F2314*(1-H2314/100)*1.18</f>
        <v/>
      </c>
      <c r="J2314">
        <f>הגדרות!C7</f>
        <v/>
      </c>
      <c r="K2314">
        <f>הגדרות!D7</f>
        <v/>
      </c>
      <c r="L2314">
        <f>I2314*(1+J2314/100)+K2314</f>
        <v/>
      </c>
    </row>
    <row r="2315">
      <c r="A2315" t="inlineStr">
        <is>
          <t>מדי-מרקט</t>
        </is>
      </c>
      <c r="B2315" t="inlineStr">
        <is>
          <t>אלוורה ג'ל 200 מ"ל Esi - 99.9%</t>
        </is>
      </c>
      <c r="C2315" t="inlineStr">
        <is>
          <t>תרופות</t>
        </is>
      </c>
      <c r="D2315" t="inlineStr">
        <is>
          <t>532412</t>
        </is>
      </c>
      <c r="E2315" t="inlineStr">
        <is>
          <t>2026-06</t>
        </is>
      </c>
      <c r="F2315" t="n">
        <v>18.31</v>
      </c>
      <c r="G2315" t="n">
        <v>21.6</v>
      </c>
      <c r="H2315">
        <f>הגדרות!B7</f>
        <v/>
      </c>
      <c r="I2315">
        <f>F2315*(1-H2315/100)*1.18</f>
        <v/>
      </c>
      <c r="J2315">
        <f>הגדרות!C7</f>
        <v/>
      </c>
      <c r="K2315">
        <f>הגדרות!D7</f>
        <v/>
      </c>
      <c r="L2315">
        <f>I2315*(1+J2315/100)+K2315</f>
        <v/>
      </c>
    </row>
    <row r="2316">
      <c r="A2316" t="inlineStr">
        <is>
          <t>מדי-מרקט</t>
        </is>
      </c>
      <c r="B2316" t="inlineStr">
        <is>
          <t>אלומיניום ספריי וטרינרי ALUMINIUM SPRAY 200ML VEYX</t>
        </is>
      </c>
      <c r="C2316" t="inlineStr">
        <is>
          <t>מוצרי חיטוי ואנטיספטיקה</t>
        </is>
      </c>
      <c r="D2316" t="inlineStr">
        <is>
          <t>3939</t>
        </is>
      </c>
      <c r="E2316" t="inlineStr">
        <is>
          <t>2026-06</t>
        </is>
      </c>
      <c r="F2316" t="n">
        <v>22.88</v>
      </c>
      <c r="G2316" t="n">
        <v>27</v>
      </c>
      <c r="H2316">
        <f>הגדרות!B7</f>
        <v/>
      </c>
      <c r="I2316">
        <f>F2316*(1-H2316/100)*1.18</f>
        <v/>
      </c>
      <c r="J2316">
        <f>הגדרות!C7</f>
        <v/>
      </c>
      <c r="K2316">
        <f>הגדרות!D7</f>
        <v/>
      </c>
      <c r="L2316">
        <f>I2316*(1+J2316/100)+K2316</f>
        <v/>
      </c>
    </row>
    <row r="2317">
      <c r="A2317" t="inlineStr">
        <is>
          <t>מדי-מרקט</t>
        </is>
      </c>
      <c r="B2317" t="inlineStr">
        <is>
          <t>אלונקה וטרינרית עם גלגלים MDC</t>
        </is>
      </c>
      <c r="C2317" t="inlineStr">
        <is>
          <t>MDC</t>
        </is>
      </c>
      <c r="D2317" t="inlineStr">
        <is>
          <t>A211-497</t>
        </is>
      </c>
      <c r="E2317" t="inlineStr">
        <is>
          <t>2026-06</t>
        </is>
      </c>
      <c r="F2317" t="n">
        <v>805.08</v>
      </c>
      <c r="G2317" t="n">
        <v>950</v>
      </c>
      <c r="H2317">
        <f>הגדרות!B7</f>
        <v/>
      </c>
      <c r="I2317">
        <f>F2317*(1-H2317/100)*1.18</f>
        <v/>
      </c>
      <c r="J2317">
        <f>הגדרות!C7</f>
        <v/>
      </c>
      <c r="K2317">
        <f>הגדרות!D7</f>
        <v/>
      </c>
      <c r="L2317">
        <f>I2317*(1+J2317/100)+K2317</f>
        <v/>
      </c>
    </row>
    <row r="2318">
      <c r="A2318" t="inlineStr">
        <is>
          <t>מדי-מרקט</t>
        </is>
      </c>
      <c r="B2318" t="inlineStr">
        <is>
          <t>אלכוג'ל 500 מ"ל + משאבה - חדש</t>
        </is>
      </c>
      <c r="C2318" t="inlineStr">
        <is>
          <t>מוצרי חיטוי ואנטיספטיקה</t>
        </is>
      </c>
      <c r="D2318" t="inlineStr">
        <is>
          <t>3978545</t>
        </is>
      </c>
      <c r="E2318" t="inlineStr">
        <is>
          <t>2026-06</t>
        </is>
      </c>
      <c r="F2318" t="n">
        <v>10.51</v>
      </c>
      <c r="G2318" t="n">
        <v>12.4</v>
      </c>
      <c r="H2318">
        <f>הגדרות!B7</f>
        <v/>
      </c>
      <c r="I2318">
        <f>F2318*(1-H2318/100)*1.18</f>
        <v/>
      </c>
      <c r="J2318">
        <f>הגדרות!C7</f>
        <v/>
      </c>
      <c r="K2318">
        <f>הגדרות!D7</f>
        <v/>
      </c>
      <c r="L2318">
        <f>I2318*(1+J2318/100)+K2318</f>
        <v/>
      </c>
    </row>
    <row r="2319">
      <c r="A2319" t="inlineStr">
        <is>
          <t>מדי-מרקט</t>
        </is>
      </c>
      <c r="B2319" t="inlineStr">
        <is>
          <t>אלכוהול מפוגל 70% 1 ליטר מדיקפרו</t>
        </is>
      </c>
      <c r="C2319" t="inlineStr">
        <is>
          <t>מוצרי חיטוי ואנטיספטיקה</t>
        </is>
      </c>
      <c r="D2319" t="inlineStr">
        <is>
          <t>1061133</t>
        </is>
      </c>
      <c r="E2319" t="inlineStr">
        <is>
          <t>2026-06</t>
        </is>
      </c>
      <c r="F2319" t="n">
        <v>14.87</v>
      </c>
      <c r="G2319" t="n">
        <v>17.55</v>
      </c>
      <c r="H2319">
        <f>הגדרות!B7</f>
        <v/>
      </c>
      <c r="I2319">
        <f>F2319*(1-H2319/100)*1.18</f>
        <v/>
      </c>
      <c r="J2319">
        <f>הגדרות!C7</f>
        <v/>
      </c>
      <c r="K2319">
        <f>הגדרות!D7</f>
        <v/>
      </c>
      <c r="L2319">
        <f>I2319*(1+J2319/100)+K2319</f>
        <v/>
      </c>
    </row>
    <row r="2320">
      <c r="A2320" t="inlineStr">
        <is>
          <t>מדי-מרקט</t>
        </is>
      </c>
      <c r="B2320" t="inlineStr">
        <is>
          <t>אלכוהול מפוגל 70% 5 ליטר מדיקפרו</t>
        </is>
      </c>
      <c r="C2320" t="inlineStr">
        <is>
          <t>מוצרי חיטוי ואנטיספטיקה</t>
        </is>
      </c>
      <c r="D2320" t="inlineStr">
        <is>
          <t>1061311</t>
        </is>
      </c>
      <c r="E2320" t="inlineStr">
        <is>
          <t>2026-06</t>
        </is>
      </c>
      <c r="F2320" t="n">
        <v>72.03</v>
      </c>
      <c r="G2320" t="n">
        <v>85</v>
      </c>
      <c r="H2320">
        <f>הגדרות!B7</f>
        <v/>
      </c>
      <c r="I2320">
        <f>F2320*(1-H2320/100)*1.18</f>
        <v/>
      </c>
      <c r="J2320">
        <f>הגדרות!C7</f>
        <v/>
      </c>
      <c r="K2320">
        <f>הגדרות!D7</f>
        <v/>
      </c>
      <c r="L2320">
        <f>I2320*(1+J2320/100)+K2320</f>
        <v/>
      </c>
    </row>
    <row r="2321">
      <c r="A2321" t="inlineStr">
        <is>
          <t>מדי-מרקט</t>
        </is>
      </c>
      <c r="B2321" t="inlineStr">
        <is>
          <t>אלכוהול רפואי 100 מ"ל</t>
        </is>
      </c>
      <c r="C2321" t="inlineStr">
        <is>
          <t>מוצרי חיטוי ואנטיספטיקה</t>
        </is>
      </c>
      <c r="D2321" t="inlineStr">
        <is>
          <t>1010062</t>
        </is>
      </c>
      <c r="E2321" t="inlineStr">
        <is>
          <t>2026-06</t>
        </is>
      </c>
      <c r="F2321" t="n">
        <v>5.72</v>
      </c>
      <c r="G2321" t="n">
        <v>6.75</v>
      </c>
      <c r="H2321">
        <f>הגדרות!B7</f>
        <v/>
      </c>
      <c r="I2321">
        <f>F2321*(1-H2321/100)*1.18</f>
        <v/>
      </c>
      <c r="J2321">
        <f>הגדרות!C7</f>
        <v/>
      </c>
      <c r="K2321">
        <f>הגדרות!D7</f>
        <v/>
      </c>
      <c r="L2321">
        <f>I2321*(1+J2321/100)+K2321</f>
        <v/>
      </c>
    </row>
    <row r="2322">
      <c r="A2322" t="inlineStr">
        <is>
          <t>מדי-מרקט</t>
        </is>
      </c>
      <c r="B2322" t="inlineStr">
        <is>
          <t>אלכוספט לחיטוי ידיים 1 ALCOSEPT FLORIS ליטר</t>
        </is>
      </c>
      <c r="C2322" t="inlineStr">
        <is>
          <t>מוצרי חיטוי ואנטיספטיקה</t>
        </is>
      </c>
      <c r="D2322" t="inlineStr">
        <is>
          <t>9386</t>
        </is>
      </c>
      <c r="E2322" t="inlineStr">
        <is>
          <t>2026-06</t>
        </is>
      </c>
      <c r="F2322" t="n">
        <v>17.19</v>
      </c>
      <c r="G2322" t="n">
        <v>20.28</v>
      </c>
      <c r="H2322">
        <f>הגדרות!B7</f>
        <v/>
      </c>
      <c r="I2322">
        <f>F2322*(1-H2322/100)*1.18</f>
        <v/>
      </c>
      <c r="J2322">
        <f>הגדרות!C7</f>
        <v/>
      </c>
      <c r="K2322">
        <f>הגדרות!D7</f>
        <v/>
      </c>
      <c r="L2322">
        <f>I2322*(1+J2322/100)+K2322</f>
        <v/>
      </c>
    </row>
    <row r="2323">
      <c r="A2323" t="inlineStr">
        <is>
          <t>מדי-מרקט</t>
        </is>
      </c>
      <c r="B2323" t="inlineStr">
        <is>
          <t>אלקטרודה לדפיברילטור Nihon Kohden</t>
        </is>
      </c>
      <c r="C2323" t="inlineStr">
        <is>
          <t>ציוד ומכשור רפואי</t>
        </is>
      </c>
      <c r="D2323" t="inlineStr">
        <is>
          <t>3987777</t>
        </is>
      </c>
      <c r="E2323" t="inlineStr">
        <is>
          <t>2026-06</t>
        </is>
      </c>
      <c r="F2323" t="n">
        <v>271.19</v>
      </c>
      <c r="G2323" t="n">
        <v>320</v>
      </c>
      <c r="H2323">
        <f>הגדרות!B7</f>
        <v/>
      </c>
      <c r="I2323">
        <f>F2323*(1-H2323/100)*1.18</f>
        <v/>
      </c>
      <c r="J2323">
        <f>הגדרות!C7</f>
        <v/>
      </c>
      <c r="K2323">
        <f>הגדרות!D7</f>
        <v/>
      </c>
      <c r="L2323">
        <f>I2323*(1+J2323/100)+K2323</f>
        <v/>
      </c>
    </row>
    <row r="2324">
      <c r="A2324" t="inlineStr">
        <is>
          <t>מדי-מרקט</t>
        </is>
      </c>
      <c r="B2324" t="inlineStr">
        <is>
          <t>אלקטרודה לדפיברילטור וולשאלין F7955W כבל בחוץ</t>
        </is>
      </c>
      <c r="C2324" t="inlineStr">
        <is>
          <t>ציוד ומכשור רפואי</t>
        </is>
      </c>
      <c r="D2324" t="inlineStr">
        <is>
          <t>310593</t>
        </is>
      </c>
      <c r="E2324" t="inlineStr">
        <is>
          <t>2026-06</t>
        </is>
      </c>
      <c r="F2324" t="n">
        <v>220.34</v>
      </c>
      <c r="G2324" t="n">
        <v>260</v>
      </c>
      <c r="H2324">
        <f>הגדרות!B7</f>
        <v/>
      </c>
      <c r="I2324">
        <f>F2324*(1-H2324/100)*1.18</f>
        <v/>
      </c>
      <c r="J2324">
        <f>הגדרות!C7</f>
        <v/>
      </c>
      <c r="K2324">
        <f>הגדרות!D7</f>
        <v/>
      </c>
      <c r="L2324">
        <f>I2324*(1+J2324/100)+K2324</f>
        <v/>
      </c>
    </row>
    <row r="2325">
      <c r="A2325" t="inlineStr">
        <is>
          <t>מדי-מרקט</t>
        </is>
      </c>
      <c r="B2325" t="inlineStr">
        <is>
          <t>אלקטרודות (מדבקות) לדפיברילטור LIFELINE</t>
        </is>
      </c>
      <c r="C2325" t="inlineStr">
        <is>
          <t>ציוד ומכשור רפואי</t>
        </is>
      </c>
      <c r="D2325" t="inlineStr">
        <is>
          <t>28555</t>
        </is>
      </c>
      <c r="E2325" t="inlineStr">
        <is>
          <t>2026-06</t>
        </is>
      </c>
      <c r="F2325" t="n">
        <v>241.53</v>
      </c>
      <c r="G2325" t="n">
        <v>285</v>
      </c>
      <c r="H2325">
        <f>הגדרות!B7</f>
        <v/>
      </c>
      <c r="I2325">
        <f>F2325*(1-H2325/100)*1.18</f>
        <v/>
      </c>
      <c r="J2325">
        <f>הגדרות!C7</f>
        <v/>
      </c>
      <c r="K2325">
        <f>הגדרות!D7</f>
        <v/>
      </c>
      <c r="L2325">
        <f>I2325*(1+J2325/100)+K2325</f>
        <v/>
      </c>
    </row>
    <row r="2326">
      <c r="A2326" t="inlineStr">
        <is>
          <t>מדי-מרקט</t>
        </is>
      </c>
      <c r="B2326" t="inlineStr">
        <is>
          <t>אלקטרודות (מדבקות) לדפיברילטור פיליפס Philips HS1 לילד</t>
        </is>
      </c>
      <c r="C2326" t="inlineStr">
        <is>
          <t>ציוד מתכלה</t>
        </is>
      </c>
      <c r="D2326" t="inlineStr">
        <is>
          <t>12557</t>
        </is>
      </c>
      <c r="E2326" t="inlineStr">
        <is>
          <t>2026-06</t>
        </is>
      </c>
      <c r="F2326" t="n">
        <v>398.31</v>
      </c>
      <c r="G2326" t="n">
        <v>470</v>
      </c>
      <c r="H2326">
        <f>הגדרות!B7</f>
        <v/>
      </c>
      <c r="I2326">
        <f>F2326*(1-H2326/100)*1.18</f>
        <v/>
      </c>
      <c r="J2326">
        <f>הגדרות!C7</f>
        <v/>
      </c>
      <c r="K2326">
        <f>הגדרות!D7</f>
        <v/>
      </c>
      <c r="L2326">
        <f>I2326*(1+J2326/100)+K2326</f>
        <v/>
      </c>
    </row>
    <row r="2327">
      <c r="A2327" t="inlineStr">
        <is>
          <t>מדי-מרקט</t>
        </is>
      </c>
      <c r="B2327" t="inlineStr">
        <is>
          <t>אלקטרודות (מדבקות) לדפיברילטור פיליפס למבוגר</t>
        </is>
      </c>
      <c r="C2327" t="inlineStr">
        <is>
          <t>ציוד מתכלה</t>
        </is>
      </c>
      <c r="D2327" t="inlineStr">
        <is>
          <t>58964</t>
        </is>
      </c>
      <c r="E2327" t="inlineStr">
        <is>
          <t>2026-06</t>
        </is>
      </c>
      <c r="F2327" t="n">
        <v>259.38</v>
      </c>
      <c r="G2327" t="n">
        <v>306.07</v>
      </c>
      <c r="H2327">
        <f>הגדרות!B7</f>
        <v/>
      </c>
      <c r="I2327">
        <f>F2327*(1-H2327/100)*1.18</f>
        <v/>
      </c>
      <c r="J2327">
        <f>הגדרות!C7</f>
        <v/>
      </c>
      <c r="K2327">
        <f>הגדרות!D7</f>
        <v/>
      </c>
      <c r="L2327">
        <f>I2327*(1+J2327/100)+K2327</f>
        <v/>
      </c>
    </row>
    <row r="2328">
      <c r="A2328" t="inlineStr">
        <is>
          <t>מדי-מרקט</t>
        </is>
      </c>
      <c r="B2328" t="inlineStr">
        <is>
          <t>אלקטרודות לא.ק.ג מבוגר (300 בחבילה ) - covidien</t>
        </is>
      </c>
      <c r="C2328" t="inlineStr">
        <is>
          <t>ציוד מתכלה</t>
        </is>
      </c>
      <c r="D2328" t="inlineStr">
        <is>
          <t>3503000832</t>
        </is>
      </c>
      <c r="E2328" t="inlineStr">
        <is>
          <t>2026-06</t>
        </is>
      </c>
      <c r="F2328" t="n">
        <v>286.02</v>
      </c>
      <c r="G2328" t="n">
        <v>337.5</v>
      </c>
      <c r="H2328">
        <f>הגדרות!B7</f>
        <v/>
      </c>
      <c r="I2328">
        <f>F2328*(1-H2328/100)*1.18</f>
        <v/>
      </c>
      <c r="J2328">
        <f>הגדרות!C7</f>
        <v/>
      </c>
      <c r="K2328">
        <f>הגדרות!D7</f>
        <v/>
      </c>
      <c r="L2328">
        <f>I2328*(1+J2328/100)+K2328</f>
        <v/>
      </c>
    </row>
    <row r="2329">
      <c r="A2329" t="inlineStr">
        <is>
          <t>מדי-מרקט</t>
        </is>
      </c>
      <c r="B2329" t="inlineStr">
        <is>
          <t>אלקטרודות לא.ק.ג מבוגר 45X50 מ"מ 50) Xיח' בשקית)</t>
        </is>
      </c>
      <c r="C2329" t="inlineStr">
        <is>
          <t>ציוד מתכלה</t>
        </is>
      </c>
      <c r="D2329" t="inlineStr">
        <is>
          <t>2951-11</t>
        </is>
      </c>
      <c r="E2329" t="inlineStr">
        <is>
          <t>2026-06</t>
        </is>
      </c>
      <c r="F2329" t="n">
        <v>0.24</v>
      </c>
      <c r="G2329" t="n">
        <v>0.28</v>
      </c>
      <c r="H2329">
        <f>הגדרות!B7</f>
        <v/>
      </c>
      <c r="I2329">
        <f>F2329*(1-H2329/100)*1.18</f>
        <v/>
      </c>
      <c r="J2329">
        <f>הגדרות!C7</f>
        <v/>
      </c>
      <c r="K2329">
        <f>הגדרות!D7</f>
        <v/>
      </c>
      <c r="L2329">
        <f>I2329*(1+J2329/100)+K2329</f>
        <v/>
      </c>
    </row>
    <row r="2330">
      <c r="A2330" t="inlineStr">
        <is>
          <t>מדי-מרקט</t>
        </is>
      </c>
      <c r="B2330" t="inlineStr">
        <is>
          <t>אלקטרודות לא.ק.ג מבוגר/ילד 49X43 מ"מ מדיקפרו</t>
        </is>
      </c>
      <c r="C2330" t="inlineStr">
        <is>
          <t>ציוד מתכלה</t>
        </is>
      </c>
      <c r="D2330" t="inlineStr">
        <is>
          <t>200-215</t>
        </is>
      </c>
      <c r="E2330" t="inlineStr">
        <is>
          <t>2026-06</t>
        </is>
      </c>
      <c r="F2330" t="n">
        <v>0.15</v>
      </c>
      <c r="G2330" t="n">
        <v>0.18</v>
      </c>
      <c r="H2330">
        <f>הגדרות!B7</f>
        <v/>
      </c>
      <c r="I2330">
        <f>F2330*(1-H2330/100)*1.18</f>
        <v/>
      </c>
      <c r="J2330">
        <f>הגדרות!C7</f>
        <v/>
      </c>
      <c r="K2330">
        <f>הגדרות!D7</f>
        <v/>
      </c>
      <c r="L2330">
        <f>I2330*(1+J2330/100)+K2330</f>
        <v/>
      </c>
    </row>
    <row r="2331">
      <c r="A2331" t="inlineStr">
        <is>
          <t>מדי-מרקט</t>
        </is>
      </c>
      <c r="B2331" t="inlineStr">
        <is>
          <t>אלקטרודות לדיפיברלטור G3 לילד</t>
        </is>
      </c>
      <c r="C2331" t="inlineStr">
        <is>
          <t>ציוד ומכשור רפואי</t>
        </is>
      </c>
      <c r="D2331" t="inlineStr">
        <is>
          <t>12257</t>
        </is>
      </c>
      <c r="E2331" t="inlineStr">
        <is>
          <t>2026-06</t>
        </is>
      </c>
      <c r="F2331" t="n">
        <v>594.92</v>
      </c>
      <c r="G2331" t="n">
        <v>702</v>
      </c>
      <c r="H2331">
        <f>הגדרות!B7</f>
        <v/>
      </c>
      <c r="I2331">
        <f>F2331*(1-H2331/100)*1.18</f>
        <v/>
      </c>
      <c r="J2331">
        <f>הגדרות!C7</f>
        <v/>
      </c>
      <c r="K2331">
        <f>הגדרות!D7</f>
        <v/>
      </c>
      <c r="L2331">
        <f>I2331*(1+J2331/100)+K2331</f>
        <v/>
      </c>
    </row>
    <row r="2332">
      <c r="A2332" t="inlineStr">
        <is>
          <t>מדי-מרקט</t>
        </is>
      </c>
      <c r="B2332" t="inlineStr">
        <is>
          <t>אלקטרודות לדפיברלטור G3 למבוגר - HeartSync</t>
        </is>
      </c>
      <c r="C2332" t="inlineStr">
        <is>
          <t>ציוד ומכשור רפואי</t>
        </is>
      </c>
      <c r="D2332" t="inlineStr">
        <is>
          <t>12256</t>
        </is>
      </c>
      <c r="E2332" t="inlineStr">
        <is>
          <t>2026-06</t>
        </is>
      </c>
      <c r="F2332" t="n">
        <v>400.93</v>
      </c>
      <c r="G2332" t="n">
        <v>473.1</v>
      </c>
      <c r="H2332">
        <f>הגדרות!B7</f>
        <v/>
      </c>
      <c r="I2332">
        <f>F2332*(1-H2332/100)*1.18</f>
        <v/>
      </c>
      <c r="J2332">
        <f>הגדרות!C7</f>
        <v/>
      </c>
      <c r="K2332">
        <f>הגדרות!D7</f>
        <v/>
      </c>
      <c r="L2332">
        <f>I2332*(1+J2332/100)+K2332</f>
        <v/>
      </c>
    </row>
    <row r="2333">
      <c r="A2333" t="inlineStr">
        <is>
          <t>מדי-מרקט</t>
        </is>
      </c>
      <c r="B2333" t="inlineStr">
        <is>
          <t>אלקטרודות פומפה לא.ק.ג 6 יח' מדי-מרקט</t>
        </is>
      </c>
      <c r="C2333" t="inlineStr">
        <is>
          <t>אביזרים, חלקים ושונות</t>
        </is>
      </c>
      <c r="D2333" t="inlineStr">
        <is>
          <t>102372</t>
        </is>
      </c>
      <c r="E2333" t="inlineStr">
        <is>
          <t>2026-06</t>
        </is>
      </c>
      <c r="F2333" t="n">
        <v>80.51000000000001</v>
      </c>
      <c r="G2333" t="n">
        <v>95</v>
      </c>
      <c r="H2333">
        <f>הגדרות!B7</f>
        <v/>
      </c>
      <c r="I2333">
        <f>F2333*(1-H2333/100)*1.18</f>
        <v/>
      </c>
      <c r="J2333">
        <f>הגדרות!C7</f>
        <v/>
      </c>
      <c r="K2333">
        <f>הגדרות!D7</f>
        <v/>
      </c>
      <c r="L2333">
        <f>I2333*(1+J2333/100)+K2333</f>
        <v/>
      </c>
    </row>
    <row r="2334">
      <c r="A2334" t="inlineStr">
        <is>
          <t>מדי-מרקט</t>
        </is>
      </c>
      <c r="B2334" t="inlineStr">
        <is>
          <t>אמבו PVC לילד כולל מסיכה ושקית העשרה (680 מ"ל),מדיקפרו</t>
        </is>
      </c>
      <c r="C2334" t="inlineStr">
        <is>
          <t>ציוד מתכלה</t>
        </is>
      </c>
      <c r="D2334" t="inlineStr">
        <is>
          <t>2965</t>
        </is>
      </c>
      <c r="E2334" t="inlineStr">
        <is>
          <t>2026-06</t>
        </is>
      </c>
      <c r="F2334" t="n">
        <v>18.69</v>
      </c>
      <c r="G2334" t="n">
        <v>22.05</v>
      </c>
      <c r="H2334">
        <f>הגדרות!B7</f>
        <v/>
      </c>
      <c r="I2334">
        <f>F2334*(1-H2334/100)*1.18</f>
        <v/>
      </c>
      <c r="J2334">
        <f>הגדרות!C7</f>
        <v/>
      </c>
      <c r="K2334">
        <f>הגדרות!D7</f>
        <v/>
      </c>
      <c r="L2334">
        <f>I2334*(1+J2334/100)+K2334</f>
        <v/>
      </c>
    </row>
    <row r="2335">
      <c r="A2335" t="inlineStr">
        <is>
          <t>מדי-מרקט</t>
        </is>
      </c>
      <c r="B2335" t="inlineStr">
        <is>
          <t>אמבו PVC למבוגר כולל מסיכה ושקית העשרה(1500 מ"ל) מדיקפרו</t>
        </is>
      </c>
      <c r="C2335" t="inlineStr">
        <is>
          <t>ציוד מתכלה</t>
        </is>
      </c>
      <c r="D2335" t="inlineStr">
        <is>
          <t>6000</t>
        </is>
      </c>
      <c r="E2335" t="inlineStr">
        <is>
          <t>2026-06</t>
        </is>
      </c>
      <c r="F2335" t="n">
        <v>18.92</v>
      </c>
      <c r="G2335" t="n">
        <v>22.32</v>
      </c>
      <c r="H2335">
        <f>הגדרות!B7</f>
        <v/>
      </c>
      <c r="I2335">
        <f>F2335*(1-H2335/100)*1.18</f>
        <v/>
      </c>
      <c r="J2335">
        <f>הגדרות!C7</f>
        <v/>
      </c>
      <c r="K2335">
        <f>הגדרות!D7</f>
        <v/>
      </c>
      <c r="L2335">
        <f>I2335*(1+J2335/100)+K2335</f>
        <v/>
      </c>
    </row>
    <row r="2336">
      <c r="A2336" t="inlineStr">
        <is>
          <t>מדי-מרקט</t>
        </is>
      </c>
      <c r="B2336" t="inlineStr">
        <is>
          <t>אפטגון Zn 8 מ"ל ג'ל  Afhtagone</t>
        </is>
      </c>
      <c r="C2336" t="inlineStr">
        <is>
          <t>תרופות</t>
        </is>
      </c>
      <c r="D2336" t="inlineStr">
        <is>
          <t>16963536</t>
        </is>
      </c>
      <c r="E2336" t="inlineStr">
        <is>
          <t>2026-06</t>
        </is>
      </c>
      <c r="F2336" t="n">
        <v>33.05</v>
      </c>
      <c r="G2336" t="n">
        <v>39</v>
      </c>
      <c r="H2336">
        <f>הגדרות!B7</f>
        <v/>
      </c>
      <c r="I2336">
        <f>F2336*(1-H2336/100)*1.18</f>
        <v/>
      </c>
      <c r="J2336">
        <f>הגדרות!C7</f>
        <v/>
      </c>
      <c r="K2336">
        <f>הגדרות!D7</f>
        <v/>
      </c>
      <c r="L2336">
        <f>I2336*(1+J2336/100)+K2336</f>
        <v/>
      </c>
    </row>
    <row r="2337">
      <c r="A2337" t="inlineStr">
        <is>
          <t>מדי-מרקט</t>
        </is>
      </c>
      <c r="B2337" t="inlineStr">
        <is>
          <t>אפליקטורים 15 ס"מ,מדיקפרו 1/100</t>
        </is>
      </c>
      <c r="C2337" t="inlineStr">
        <is>
          <t>ציוד מתכלה</t>
        </is>
      </c>
      <c r="D2337" t="inlineStr">
        <is>
          <t>500-042</t>
        </is>
      </c>
      <c r="E2337" t="inlineStr">
        <is>
          <t>2026-06</t>
        </is>
      </c>
      <c r="F2337" t="n">
        <v>1.09</v>
      </c>
      <c r="G2337" t="n">
        <v>1.29</v>
      </c>
      <c r="H2337">
        <f>הגדרות!B7</f>
        <v/>
      </c>
      <c r="I2337">
        <f>F2337*(1-H2337/100)*1.18</f>
        <v/>
      </c>
      <c r="J2337">
        <f>הגדרות!C7</f>
        <v/>
      </c>
      <c r="K2337">
        <f>הגדרות!D7</f>
        <v/>
      </c>
      <c r="L2337">
        <f>I2337*(1+J2337/100)+K2337</f>
        <v/>
      </c>
    </row>
    <row r="2338">
      <c r="A2338" t="inlineStr">
        <is>
          <t>מדי-מרקט</t>
        </is>
      </c>
      <c r="B2338" t="inlineStr">
        <is>
          <t>אפרין טיפות עיניים Efrin 10 Opht. Drops</t>
        </is>
      </c>
      <c r="C2338" t="inlineStr">
        <is>
          <t>תרופות</t>
        </is>
      </c>
      <c r="D2338" t="inlineStr">
        <is>
          <t>11888</t>
        </is>
      </c>
      <c r="E2338" t="inlineStr">
        <is>
          <t>2026-06</t>
        </is>
      </c>
      <c r="F2338" t="n">
        <v>9.07</v>
      </c>
      <c r="G2338" t="n">
        <v>10.7</v>
      </c>
      <c r="H2338">
        <f>הגדרות!B7</f>
        <v/>
      </c>
      <c r="I2338">
        <f>F2338*(1-H2338/100)*1.18</f>
        <v/>
      </c>
      <c r="J2338">
        <f>הגדרות!C7</f>
        <v/>
      </c>
      <c r="K2338">
        <f>הגדרות!D7</f>
        <v/>
      </c>
      <c r="L2338">
        <f>I2338*(1+J2338/100)+K2338</f>
        <v/>
      </c>
    </row>
    <row r="2339">
      <c r="A2339" t="inlineStr">
        <is>
          <t>מדי-מרקט</t>
        </is>
      </c>
      <c r="B2339" t="inlineStr">
        <is>
          <t>אציטון 1 ל' - ACETONE EP/BP 1L-p</t>
        </is>
      </c>
      <c r="C2339" t="inlineStr">
        <is>
          <t>מוצרי חיטוי ואנטיספטיקה</t>
        </is>
      </c>
      <c r="D2339" t="inlineStr">
        <is>
          <t>6515</t>
        </is>
      </c>
      <c r="E2339" t="inlineStr">
        <is>
          <t>2026-06</t>
        </is>
      </c>
      <c r="F2339" t="n">
        <v>13.16</v>
      </c>
      <c r="G2339" t="n">
        <v>15.53</v>
      </c>
      <c r="H2339">
        <f>הגדרות!B7</f>
        <v/>
      </c>
      <c r="I2339">
        <f>F2339*(1-H2339/100)*1.18</f>
        <v/>
      </c>
      <c r="J2339">
        <f>הגדרות!C7</f>
        <v/>
      </c>
      <c r="K2339">
        <f>הגדרות!D7</f>
        <v/>
      </c>
      <c r="L2339">
        <f>I2339*(1+J2339/100)+K2339</f>
        <v/>
      </c>
    </row>
    <row r="2340">
      <c r="A2340" t="inlineStr">
        <is>
          <t>מדי-מרקט</t>
        </is>
      </c>
      <c r="B2340" t="inlineStr">
        <is>
          <t>אציטון 100 מ"ל לא רפואי - ACETONE EP/BP</t>
        </is>
      </c>
      <c r="C2340" t="inlineStr">
        <is>
          <t>מוצרי חיטוי ואנטיספטיקה</t>
        </is>
      </c>
      <c r="D2340" t="inlineStr">
        <is>
          <t>2564</t>
        </is>
      </c>
      <c r="E2340" t="inlineStr">
        <is>
          <t>2026-06</t>
        </is>
      </c>
      <c r="F2340" t="n">
        <v>4.24</v>
      </c>
      <c r="G2340" t="n">
        <v>5</v>
      </c>
      <c r="H2340">
        <f>הגדרות!B7</f>
        <v/>
      </c>
      <c r="I2340">
        <f>F2340*(1-H2340/100)*1.18</f>
        <v/>
      </c>
      <c r="J2340">
        <f>הגדרות!C7</f>
        <v/>
      </c>
      <c r="K2340">
        <f>הגדרות!D7</f>
        <v/>
      </c>
      <c r="L2340">
        <f>I2340*(1+J2340/100)+K2340</f>
        <v/>
      </c>
    </row>
    <row r="2341">
      <c r="A2341" t="inlineStr">
        <is>
          <t>מדי-מרקט</t>
        </is>
      </c>
      <c r="B2341" t="inlineStr">
        <is>
          <t>אקדח סיכות (35 סיכות) סטרילי, מדיקפרו</t>
        </is>
      </c>
      <c r="C2341" t="inlineStr">
        <is>
          <t>אקדחי סיכות וחולצים</t>
        </is>
      </c>
      <c r="D2341" t="inlineStr">
        <is>
          <t>100-305</t>
        </is>
      </c>
      <c r="E2341" t="inlineStr">
        <is>
          <t>2026-06</t>
        </is>
      </c>
      <c r="F2341" t="n">
        <v>7.17</v>
      </c>
      <c r="G2341" t="n">
        <v>8.460000000000001</v>
      </c>
      <c r="H2341">
        <f>הגדרות!B7</f>
        <v/>
      </c>
      <c r="I2341">
        <f>F2341*(1-H2341/100)*1.18</f>
        <v/>
      </c>
      <c r="J2341">
        <f>הגדרות!C7</f>
        <v/>
      </c>
      <c r="K2341">
        <f>הגדרות!D7</f>
        <v/>
      </c>
      <c r="L2341">
        <f>I2341*(1+J2341/100)+K2341</f>
        <v/>
      </c>
    </row>
    <row r="2342">
      <c r="A2342" t="inlineStr">
        <is>
          <t>מדי-מרקט</t>
        </is>
      </c>
      <c r="B2342" t="inlineStr">
        <is>
          <t>אקדח עיסוי לשרירים</t>
        </is>
      </c>
      <c r="C2342" t="inlineStr">
        <is>
          <t>ציוד ומכשור רפואי</t>
        </is>
      </c>
      <c r="D2342" t="inlineStr">
        <is>
          <t>220-103</t>
        </is>
      </c>
      <c r="E2342" t="inlineStr">
        <is>
          <t>2026-06</t>
        </is>
      </c>
      <c r="F2342" t="n">
        <v>93.22</v>
      </c>
      <c r="G2342" t="n">
        <v>110</v>
      </c>
      <c r="H2342">
        <f>הגדרות!B7</f>
        <v/>
      </c>
      <c r="I2342">
        <f>F2342*(1-H2342/100)*1.18</f>
        <v/>
      </c>
      <c r="J2342">
        <f>הגדרות!C7</f>
        <v/>
      </c>
      <c r="K2342">
        <f>הגדרות!D7</f>
        <v/>
      </c>
      <c r="L2342">
        <f>I2342*(1+J2342/100)+K2342</f>
        <v/>
      </c>
    </row>
    <row r="2343">
      <c r="A2343" t="inlineStr">
        <is>
          <t>מדי-מרקט</t>
        </is>
      </c>
      <c r="B2343" t="inlineStr">
        <is>
          <t>אקווה קרם 100 מ"ל</t>
        </is>
      </c>
      <c r="C2343" t="inlineStr">
        <is>
          <t>תרופות</t>
        </is>
      </c>
      <c r="D2343" t="inlineStr">
        <is>
          <t>45043</t>
        </is>
      </c>
      <c r="E2343" t="inlineStr">
        <is>
          <t>2026-06</t>
        </is>
      </c>
      <c r="F2343" t="n">
        <v>8.640000000000001</v>
      </c>
      <c r="G2343" t="n">
        <v>10.2</v>
      </c>
      <c r="H2343">
        <f>הגדרות!B7</f>
        <v/>
      </c>
      <c r="I2343">
        <f>F2343*(1-H2343/100)*1.18</f>
        <v/>
      </c>
      <c r="J2343">
        <f>הגדרות!C7</f>
        <v/>
      </c>
      <c r="K2343">
        <f>הגדרות!D7</f>
        <v/>
      </c>
      <c r="L2343">
        <f>I2343*(1+J2343/100)+K2343</f>
        <v/>
      </c>
    </row>
    <row r="2344">
      <c r="A2344" t="inlineStr">
        <is>
          <t>מדי-מרקט</t>
        </is>
      </c>
      <c r="B2344" t="inlineStr">
        <is>
          <t>אקווה קרם באריזת משאבה 1 ליטר  מדיקפרו</t>
        </is>
      </c>
      <c r="C2344" t="inlineStr">
        <is>
          <t>מוצרים משלימים הומני</t>
        </is>
      </c>
      <c r="D2344" t="inlineStr">
        <is>
          <t>40542</t>
        </is>
      </c>
      <c r="E2344" t="inlineStr">
        <is>
          <t>2026-06</t>
        </is>
      </c>
      <c r="F2344" t="n">
        <v>13.56</v>
      </c>
      <c r="G2344" t="n">
        <v>16</v>
      </c>
      <c r="H2344">
        <f>הגדרות!B7</f>
        <v/>
      </c>
      <c r="I2344">
        <f>F2344*(1-H2344/100)*1.18</f>
        <v/>
      </c>
      <c r="J2344">
        <f>הגדרות!C7</f>
        <v/>
      </c>
      <c r="K2344">
        <f>הגדרות!D7</f>
        <v/>
      </c>
      <c r="L2344">
        <f>I2344*(1+J2344/100)+K2344</f>
        <v/>
      </c>
    </row>
    <row r="2345">
      <c r="A2345" t="inlineStr">
        <is>
          <t>מדי-מרקט</t>
        </is>
      </c>
      <c r="B2345" t="inlineStr">
        <is>
          <t>אקטיפרין D-50 סירופ ברזל 300 מ"ל- Aktiferrin</t>
        </is>
      </c>
      <c r="C2345" t="inlineStr">
        <is>
          <t>תרופות</t>
        </is>
      </c>
      <c r="D2345" t="inlineStr">
        <is>
          <t>31826</t>
        </is>
      </c>
      <c r="E2345" t="inlineStr">
        <is>
          <t>2026-06</t>
        </is>
      </c>
      <c r="F2345" t="n">
        <v>28.31</v>
      </c>
      <c r="G2345" t="n">
        <v>33.4</v>
      </c>
      <c r="H2345">
        <f>הגדרות!B7</f>
        <v/>
      </c>
      <c r="I2345">
        <f>F2345*(1-H2345/100)*1.18</f>
        <v/>
      </c>
      <c r="J2345">
        <f>הגדרות!C7</f>
        <v/>
      </c>
      <c r="K2345">
        <f>הגדרות!D7</f>
        <v/>
      </c>
      <c r="L2345">
        <f>I2345*(1+J2345/100)+K2345</f>
        <v/>
      </c>
    </row>
    <row r="2346">
      <c r="A2346" t="inlineStr">
        <is>
          <t>מדי-מרקט</t>
        </is>
      </c>
      <c r="B2346" t="inlineStr">
        <is>
          <t>ארון עזרה ראשונה + תכולה מדיקפרו</t>
        </is>
      </c>
      <c r="C2346" t="inlineStr">
        <is>
          <t>ציוד ומכשור רפואי</t>
        </is>
      </c>
      <c r="D2346" t="inlineStr">
        <is>
          <t>M001-003</t>
        </is>
      </c>
      <c r="E2346" t="inlineStr">
        <is>
          <t>2026-06</t>
        </is>
      </c>
      <c r="F2346" t="n">
        <v>131.41</v>
      </c>
      <c r="G2346" t="n">
        <v>155.06</v>
      </c>
      <c r="H2346">
        <f>הגדרות!B7</f>
        <v/>
      </c>
      <c r="I2346">
        <f>F2346*(1-H2346/100)*1.18</f>
        <v/>
      </c>
      <c r="J2346">
        <f>הגדרות!C7</f>
        <v/>
      </c>
      <c r="K2346">
        <f>הגדרות!D7</f>
        <v/>
      </c>
      <c r="L2346">
        <f>I2346*(1+J2346/100)+K2346</f>
        <v/>
      </c>
    </row>
    <row r="2347">
      <c r="A2347" t="inlineStr">
        <is>
          <t>מדי-מרקט</t>
        </is>
      </c>
      <c r="B2347" t="inlineStr">
        <is>
          <t>ארון קיר לדפיברילטור עם נעילה, אזעקה וסירנה 20X36X40</t>
        </is>
      </c>
      <c r="C2347" t="inlineStr">
        <is>
          <t>ציוד ומכשור רפואי</t>
        </is>
      </c>
      <c r="D2347" t="inlineStr">
        <is>
          <t>5362</t>
        </is>
      </c>
      <c r="E2347" t="inlineStr">
        <is>
          <t>2026-06</t>
        </is>
      </c>
      <c r="F2347" t="n">
        <v>297.46</v>
      </c>
      <c r="G2347" t="n">
        <v>351</v>
      </c>
      <c r="H2347">
        <f>הגדרות!B7</f>
        <v/>
      </c>
      <c r="I2347">
        <f>F2347*(1-H2347/100)*1.18</f>
        <v/>
      </c>
      <c r="J2347">
        <f>הגדרות!C7</f>
        <v/>
      </c>
      <c r="K2347">
        <f>הגדרות!D7</f>
        <v/>
      </c>
      <c r="L2347">
        <f>I2347*(1+J2347/100)+K2347</f>
        <v/>
      </c>
    </row>
    <row r="2348">
      <c r="A2348" t="inlineStr">
        <is>
          <t>מדי-מרקט</t>
        </is>
      </c>
      <c r="B2348" t="inlineStr">
        <is>
          <t>ארליכיה FASTest Ehrlichia canis 10 test cassette</t>
        </is>
      </c>
      <c r="C2348" t="inlineStr">
        <is>
          <t>מוצרים משלימים לווט'</t>
        </is>
      </c>
      <c r="D2348" t="inlineStr">
        <is>
          <t>910010RK1</t>
        </is>
      </c>
      <c r="E2348" t="inlineStr">
        <is>
          <t>2026-06</t>
        </is>
      </c>
      <c r="F2348" t="n">
        <v>338.14</v>
      </c>
      <c r="G2348" t="n">
        <v>399</v>
      </c>
      <c r="H2348">
        <f>הגדרות!B7</f>
        <v/>
      </c>
      <c r="I2348">
        <f>F2348*(1-H2348/100)*1.18</f>
        <v/>
      </c>
      <c r="J2348">
        <f>הגדרות!C7</f>
        <v/>
      </c>
      <c r="K2348">
        <f>הגדרות!D7</f>
        <v/>
      </c>
      <c r="L2348">
        <f>I2348*(1+J2348/100)+K2348</f>
        <v/>
      </c>
    </row>
    <row r="2349">
      <c r="A2349" t="inlineStr">
        <is>
          <t>מדי-מרקט</t>
        </is>
      </c>
      <c r="B2349" t="inlineStr">
        <is>
          <t>בד עטיפה ירוק לכלים כירו' לאוט'100*100ס"מ IW4040</t>
        </is>
      </c>
      <c r="C2349" t="inlineStr">
        <is>
          <t>KVP</t>
        </is>
      </c>
      <c r="D2349" t="inlineStr">
        <is>
          <t>500-222</t>
        </is>
      </c>
      <c r="E2349" t="inlineStr">
        <is>
          <t>2026-06</t>
        </is>
      </c>
      <c r="F2349" t="n">
        <v>88.98</v>
      </c>
      <c r="G2349" t="n">
        <v>105</v>
      </c>
      <c r="H2349">
        <f>הגדרות!B7</f>
        <v/>
      </c>
      <c r="I2349">
        <f>F2349*(1-H2349/100)*1.18</f>
        <v/>
      </c>
      <c r="J2349">
        <f>הגדרות!C7</f>
        <v/>
      </c>
      <c r="K2349">
        <f>הגדרות!D7</f>
        <v/>
      </c>
      <c r="L2349">
        <f>I2349*(1+J2349/100)+K2349</f>
        <v/>
      </c>
    </row>
    <row r="2350">
      <c r="A2350" t="inlineStr">
        <is>
          <t>מדי-מרקט</t>
        </is>
      </c>
      <c r="B2350" t="inlineStr">
        <is>
          <t>בד עטיפה ירוק לכלים כירו' לאוט'50*50ס"מ IW2020</t>
        </is>
      </c>
      <c r="C2350" t="inlineStr">
        <is>
          <t>KVP</t>
        </is>
      </c>
      <c r="D2350" t="inlineStr">
        <is>
          <t>500-220</t>
        </is>
      </c>
      <c r="E2350" t="inlineStr">
        <is>
          <t>2026-06</t>
        </is>
      </c>
      <c r="F2350" t="n">
        <v>37.29</v>
      </c>
      <c r="G2350" t="n">
        <v>44</v>
      </c>
      <c r="H2350">
        <f>הגדרות!B7</f>
        <v/>
      </c>
      <c r="I2350">
        <f>F2350*(1-H2350/100)*1.18</f>
        <v/>
      </c>
      <c r="J2350">
        <f>הגדרות!C7</f>
        <v/>
      </c>
      <c r="K2350">
        <f>הגדרות!D7</f>
        <v/>
      </c>
      <c r="L2350">
        <f>I2350*(1+J2350/100)+K2350</f>
        <v/>
      </c>
    </row>
    <row r="2351">
      <c r="A2351" t="inlineStr">
        <is>
          <t>מדי-מרקט</t>
        </is>
      </c>
      <c r="B2351" t="inlineStr">
        <is>
          <t>בד עטיפה ירוק לכלים כירו' לאוט'75*75ס"מ IW3030</t>
        </is>
      </c>
      <c r="C2351" t="inlineStr">
        <is>
          <t>KVP</t>
        </is>
      </c>
      <c r="D2351" t="inlineStr">
        <is>
          <t>500-221</t>
        </is>
      </c>
      <c r="E2351" t="inlineStr">
        <is>
          <t>2026-06</t>
        </is>
      </c>
      <c r="F2351" t="n">
        <v>61.02</v>
      </c>
      <c r="G2351" t="n">
        <v>72</v>
      </c>
      <c r="H2351">
        <f>הגדרות!B7</f>
        <v/>
      </c>
      <c r="I2351">
        <f>F2351*(1-H2351/100)*1.18</f>
        <v/>
      </c>
      <c r="J2351">
        <f>הגדרות!C7</f>
        <v/>
      </c>
      <c r="K2351">
        <f>הגדרות!D7</f>
        <v/>
      </c>
      <c r="L2351">
        <f>I2351*(1+J2351/100)+K2351</f>
        <v/>
      </c>
    </row>
    <row r="2352">
      <c r="A2352" t="inlineStr">
        <is>
          <t>מדי-מרקט</t>
        </is>
      </c>
      <c r="B2352" t="inlineStr">
        <is>
          <t>בדיקה מהירה לזיהוי אנטיגן של 5 COVID 19 בדיקות</t>
        </is>
      </c>
      <c r="C2352" t="inlineStr">
        <is>
          <t>ציוד ומכשור רפואי</t>
        </is>
      </c>
      <c r="D2352" t="inlineStr">
        <is>
          <t>256091-3</t>
        </is>
      </c>
      <c r="E2352" t="inlineStr">
        <is>
          <t>2026-06</t>
        </is>
      </c>
      <c r="F2352" t="n">
        <v>10.59</v>
      </c>
      <c r="G2352" t="n">
        <v>12.5</v>
      </c>
      <c r="H2352">
        <f>הגדרות!B7</f>
        <v/>
      </c>
      <c r="I2352">
        <f>F2352*(1-H2352/100)*1.18</f>
        <v/>
      </c>
      <c r="J2352">
        <f>הגדרות!C7</f>
        <v/>
      </c>
      <c r="K2352">
        <f>הגדרות!D7</f>
        <v/>
      </c>
      <c r="L2352">
        <f>I2352*(1+J2352/100)+K2352</f>
        <v/>
      </c>
    </row>
    <row r="2353">
      <c r="A2353" t="inlineStr">
        <is>
          <t>מדי-מרקט</t>
        </is>
      </c>
      <c r="B2353" t="inlineStr">
        <is>
          <t>בדיקות סמים 8 פרמטרים</t>
        </is>
      </c>
      <c r="C2353" t="inlineStr">
        <is>
          <t>ציוד ומכשור רפואי</t>
        </is>
      </c>
      <c r="D2353" t="inlineStr">
        <is>
          <t>3549966612</t>
        </is>
      </c>
      <c r="E2353" t="inlineStr">
        <is>
          <t>2026-06</t>
        </is>
      </c>
      <c r="F2353" t="n">
        <v>53.39</v>
      </c>
      <c r="G2353" t="n">
        <v>63</v>
      </c>
      <c r="H2353">
        <f>הגדרות!B7</f>
        <v/>
      </c>
      <c r="I2353">
        <f>F2353*(1-H2353/100)*1.18</f>
        <v/>
      </c>
      <c r="J2353">
        <f>הגדרות!C7</f>
        <v/>
      </c>
      <c r="K2353">
        <f>הגדרות!D7</f>
        <v/>
      </c>
      <c r="L2353">
        <f>I2353*(1+J2353/100)+K2353</f>
        <v/>
      </c>
    </row>
    <row r="2354">
      <c r="A2354" t="inlineStr">
        <is>
          <t>מדי-מרקט</t>
        </is>
      </c>
      <c r="B2354" t="inlineStr">
        <is>
          <t>בדיקת סטרפ  A - ערכה לבדיקת גרון - בדיקה בודדת</t>
        </is>
      </c>
      <c r="C2354" t="inlineStr">
        <is>
          <t>ציוד ומכשור רפואי</t>
        </is>
      </c>
      <c r="D2354" t="inlineStr">
        <is>
          <t>61780</t>
        </is>
      </c>
      <c r="E2354" t="inlineStr">
        <is>
          <t>2026-06</t>
        </is>
      </c>
      <c r="F2354" t="n">
        <v>10.59</v>
      </c>
      <c r="G2354" t="n">
        <v>12.5</v>
      </c>
      <c r="H2354">
        <f>הגדרות!B7</f>
        <v/>
      </c>
      <c r="I2354">
        <f>F2354*(1-H2354/100)*1.18</f>
        <v/>
      </c>
      <c r="J2354">
        <f>הגדרות!C7</f>
        <v/>
      </c>
      <c r="K2354">
        <f>הגדרות!D7</f>
        <v/>
      </c>
      <c r="L2354">
        <f>I2354*(1+J2354/100)+K2354</f>
        <v/>
      </c>
    </row>
    <row r="2355">
      <c r="A2355" t="inlineStr">
        <is>
          <t>מדי-מרקט</t>
        </is>
      </c>
      <c r="B2355" t="inlineStr">
        <is>
          <t>בדיקת סטרפ  A - ערכה לבדיקת גרון - בדיקה כפולה</t>
        </is>
      </c>
      <c r="C2355" t="inlineStr">
        <is>
          <t>ציוד ומכשור רפואי</t>
        </is>
      </c>
      <c r="D2355" t="inlineStr">
        <is>
          <t>61788</t>
        </is>
      </c>
      <c r="E2355" t="inlineStr">
        <is>
          <t>2026-06</t>
        </is>
      </c>
      <c r="F2355" t="n">
        <v>18.64</v>
      </c>
      <c r="G2355" t="n">
        <v>22</v>
      </c>
      <c r="H2355">
        <f>הגדרות!B7</f>
        <v/>
      </c>
      <c r="I2355">
        <f>F2355*(1-H2355/100)*1.18</f>
        <v/>
      </c>
      <c r="J2355">
        <f>הגדרות!C7</f>
        <v/>
      </c>
      <c r="K2355">
        <f>הגדרות!D7</f>
        <v/>
      </c>
      <c r="L2355">
        <f>I2355*(1+J2355/100)+K2355</f>
        <v/>
      </c>
    </row>
    <row r="2356">
      <c r="A2356" t="inlineStr">
        <is>
          <t>מדי-מרקט</t>
        </is>
      </c>
      <c r="B2356" t="inlineStr">
        <is>
          <t>ביופסי פנץ' 1 יח' מס' 3 פרמאונט BPP</t>
        </is>
      </c>
      <c r="C2356" t="inlineStr">
        <is>
          <t>ציוד מעבדתי</t>
        </is>
      </c>
      <c r="D2356" t="inlineStr">
        <is>
          <t>500-421</t>
        </is>
      </c>
      <c r="E2356" t="inlineStr">
        <is>
          <t>2026-06</t>
        </is>
      </c>
      <c r="F2356" t="n">
        <v>3.31</v>
      </c>
      <c r="G2356" t="n">
        <v>3.9</v>
      </c>
      <c r="H2356">
        <f>הגדרות!B7</f>
        <v/>
      </c>
      <c r="I2356">
        <f>F2356*(1-H2356/100)*1.18</f>
        <v/>
      </c>
      <c r="J2356">
        <f>הגדרות!C7</f>
        <v/>
      </c>
      <c r="K2356">
        <f>הגדרות!D7</f>
        <v/>
      </c>
      <c r="L2356">
        <f>I2356*(1+J2356/100)+K2356</f>
        <v/>
      </c>
    </row>
    <row r="2357">
      <c r="A2357" t="inlineStr">
        <is>
          <t>מדי-מרקט</t>
        </is>
      </c>
      <c r="B2357" t="inlineStr">
        <is>
          <t>ביופסי פנץ' 1 יח' מס' 4 פרמאונט BPP</t>
        </is>
      </c>
      <c r="C2357" t="inlineStr">
        <is>
          <t>ציוד מעבדתי</t>
        </is>
      </c>
      <c r="D2357" t="inlineStr">
        <is>
          <t>500-422</t>
        </is>
      </c>
      <c r="E2357" t="inlineStr">
        <is>
          <t>2026-06</t>
        </is>
      </c>
      <c r="F2357" t="n">
        <v>3.31</v>
      </c>
      <c r="G2357" t="n">
        <v>3.9</v>
      </c>
      <c r="H2357">
        <f>הגדרות!B7</f>
        <v/>
      </c>
      <c r="I2357">
        <f>F2357*(1-H2357/100)*1.18</f>
        <v/>
      </c>
      <c r="J2357">
        <f>הגדרות!C7</f>
        <v/>
      </c>
      <c r="K2357">
        <f>הגדרות!D7</f>
        <v/>
      </c>
      <c r="L2357">
        <f>I2357*(1+J2357/100)+K2357</f>
        <v/>
      </c>
    </row>
    <row r="2358">
      <c r="A2358" t="inlineStr">
        <is>
          <t>מדי-מרקט</t>
        </is>
      </c>
      <c r="B2358" t="inlineStr">
        <is>
          <t>ביופסי פנץ' 1 יח' מס' 7 פרמאונט BPP</t>
        </is>
      </c>
      <c r="C2358" t="inlineStr">
        <is>
          <t>ציוד מעבדתי</t>
        </is>
      </c>
      <c r="D2358" t="inlineStr">
        <is>
          <t>500-424</t>
        </is>
      </c>
      <c r="E2358" t="inlineStr">
        <is>
          <t>2026-06</t>
        </is>
      </c>
      <c r="F2358" t="n">
        <v>3.31</v>
      </c>
      <c r="G2358" t="n">
        <v>3.9</v>
      </c>
      <c r="H2358">
        <f>הגדרות!B7</f>
        <v/>
      </c>
      <c r="I2358">
        <f>F2358*(1-H2358/100)*1.18</f>
        <v/>
      </c>
      <c r="J2358">
        <f>הגדרות!C7</f>
        <v/>
      </c>
      <c r="K2358">
        <f>הגדרות!D7</f>
        <v/>
      </c>
      <c r="L2358">
        <f>I2358*(1+J2358/100)+K2358</f>
        <v/>
      </c>
    </row>
    <row r="2359">
      <c r="A2359" t="inlineStr">
        <is>
          <t>מדי-מרקט</t>
        </is>
      </c>
      <c r="B2359" t="inlineStr">
        <is>
          <t>בית מנורת חימום ממתכת</t>
        </is>
      </c>
      <c r="C2359" t="inlineStr">
        <is>
          <t>ציוד ומכשור רפואי</t>
        </is>
      </c>
      <c r="D2359" t="inlineStr">
        <is>
          <t>6001</t>
        </is>
      </c>
      <c r="E2359" t="inlineStr">
        <is>
          <t>2026-06</t>
        </is>
      </c>
      <c r="F2359" t="n">
        <v>73.22</v>
      </c>
      <c r="G2359" t="n">
        <v>86.40000000000001</v>
      </c>
      <c r="H2359">
        <f>הגדרות!B7</f>
        <v/>
      </c>
      <c r="I2359">
        <f>F2359*(1-H2359/100)*1.18</f>
        <v/>
      </c>
      <c r="J2359">
        <f>הגדרות!C7</f>
        <v/>
      </c>
      <c r="K2359">
        <f>הגדרות!D7</f>
        <v/>
      </c>
      <c r="L2359">
        <f>I2359*(1+J2359/100)+K2359</f>
        <v/>
      </c>
    </row>
    <row r="2360">
      <c r="A2360" t="inlineStr">
        <is>
          <t>מדי-מרקט</t>
        </is>
      </c>
      <c r="B2360" t="inlineStr">
        <is>
          <t>בלון חמצן 3 ל' מאלומיניום לבן עם ברז פין אינדקס</t>
        </is>
      </c>
      <c r="C2360" t="inlineStr">
        <is>
          <t>ציוד ומכשור רפואי</t>
        </is>
      </c>
      <c r="D2360" t="inlineStr">
        <is>
          <t>3022</t>
        </is>
      </c>
      <c r="E2360" t="inlineStr">
        <is>
          <t>2026-06</t>
        </is>
      </c>
      <c r="F2360" t="n">
        <v>457.63</v>
      </c>
      <c r="G2360" t="n">
        <v>540</v>
      </c>
      <c r="H2360">
        <f>הגדרות!B7</f>
        <v/>
      </c>
      <c r="I2360">
        <f>F2360*(1-H2360/100)*1.18</f>
        <v/>
      </c>
      <c r="J2360">
        <f>הגדרות!C7</f>
        <v/>
      </c>
      <c r="K2360">
        <f>הגדרות!D7</f>
        <v/>
      </c>
      <c r="L2360">
        <f>I2360*(1+J2360/100)+K2360</f>
        <v/>
      </c>
    </row>
    <row r="2361">
      <c r="A2361" t="inlineStr">
        <is>
          <t>מדי-מרקט</t>
        </is>
      </c>
      <c r="B2361" t="inlineStr">
        <is>
          <t>בלון חמצן 5 ל'מאלומיניום לבן חיבור פין אינדקס</t>
        </is>
      </c>
      <c r="C2361" t="inlineStr">
        <is>
          <t>ציוד ומכשור רפואי</t>
        </is>
      </c>
      <c r="D2361" t="inlineStr">
        <is>
          <t>3024</t>
        </is>
      </c>
      <c r="E2361" t="inlineStr">
        <is>
          <t>2026-06</t>
        </is>
      </c>
      <c r="F2361" t="n">
        <v>512.71</v>
      </c>
      <c r="G2361" t="n">
        <v>605</v>
      </c>
      <c r="H2361">
        <f>הגדרות!B7</f>
        <v/>
      </c>
      <c r="I2361">
        <f>F2361*(1-H2361/100)*1.18</f>
        <v/>
      </c>
      <c r="J2361">
        <f>הגדרות!C7</f>
        <v/>
      </c>
      <c r="K2361">
        <f>הגדרות!D7</f>
        <v/>
      </c>
      <c r="L2361">
        <f>I2361*(1+J2361/100)+K2361</f>
        <v/>
      </c>
    </row>
    <row r="2362">
      <c r="A2362" t="inlineStr">
        <is>
          <t>מדי-מרקט</t>
        </is>
      </c>
      <c r="B2362" t="inlineStr">
        <is>
          <t>בנזין 200 מ"ל לשימוש חיצוני</t>
        </is>
      </c>
      <c r="C2362" t="inlineStr">
        <is>
          <t>מוצרי חיטוי ואנטיספטיקה</t>
        </is>
      </c>
      <c r="D2362" t="inlineStr">
        <is>
          <t>1346</t>
        </is>
      </c>
      <c r="E2362" t="inlineStr">
        <is>
          <t>2026-06</t>
        </is>
      </c>
      <c r="F2362" t="n">
        <v>11.86</v>
      </c>
      <c r="G2362" t="n">
        <v>14</v>
      </c>
      <c r="H2362">
        <f>הגדרות!B7</f>
        <v/>
      </c>
      <c r="I2362">
        <f>F2362*(1-H2362/100)*1.18</f>
        <v/>
      </c>
      <c r="J2362">
        <f>הגדרות!C7</f>
        <v/>
      </c>
      <c r="K2362">
        <f>הגדרות!D7</f>
        <v/>
      </c>
      <c r="L2362">
        <f>I2362*(1+J2362/100)+K2362</f>
        <v/>
      </c>
    </row>
    <row r="2363">
      <c r="A2363" t="inlineStr">
        <is>
          <t>מדי-מרקט</t>
        </is>
      </c>
      <c r="B2363" t="inlineStr">
        <is>
          <t>בקבוק זכוכית חום הברגה 100 מ"ל + פקק 28</t>
        </is>
      </c>
      <c r="C2363" t="inlineStr">
        <is>
          <t>אריזה בימ"ק ראשונה להכנות</t>
        </is>
      </c>
      <c r="D2363" t="inlineStr">
        <is>
          <t>10011</t>
        </is>
      </c>
      <c r="E2363" t="inlineStr">
        <is>
          <t>2026-06</t>
        </is>
      </c>
      <c r="F2363" t="n">
        <v>2.97</v>
      </c>
      <c r="G2363" t="n">
        <v>3.5</v>
      </c>
      <c r="H2363">
        <f>הגדרות!B7</f>
        <v/>
      </c>
      <c r="I2363">
        <f>F2363*(1-H2363/100)*1.18</f>
        <v/>
      </c>
      <c r="J2363">
        <f>הגדרות!C7</f>
        <v/>
      </c>
      <c r="K2363">
        <f>הגדרות!D7</f>
        <v/>
      </c>
      <c r="L2363">
        <f>I2363*(1+J2363/100)+K2363</f>
        <v/>
      </c>
    </row>
    <row r="2364">
      <c r="A2364" t="inlineStr">
        <is>
          <t>מדי-מרקט</t>
        </is>
      </c>
      <c r="B2364" t="inlineStr">
        <is>
          <t>בקבוק זכוכית חום הברגה 30 מ"ל + פקק 28</t>
        </is>
      </c>
      <c r="C2364" t="inlineStr">
        <is>
          <t>אריזה בימ"ק ראשונה להכנות</t>
        </is>
      </c>
      <c r="D2364" t="inlineStr">
        <is>
          <t>10009</t>
        </is>
      </c>
      <c r="E2364" t="inlineStr">
        <is>
          <t>2026-06</t>
        </is>
      </c>
      <c r="F2364" t="n">
        <v>2.97</v>
      </c>
      <c r="G2364" t="n">
        <v>3.5</v>
      </c>
      <c r="H2364">
        <f>הגדרות!B7</f>
        <v/>
      </c>
      <c r="I2364">
        <f>F2364*(1-H2364/100)*1.18</f>
        <v/>
      </c>
      <c r="J2364">
        <f>הגדרות!C7</f>
        <v/>
      </c>
      <c r="K2364">
        <f>הגדרות!D7</f>
        <v/>
      </c>
      <c r="L2364">
        <f>I2364*(1+J2364/100)+K2364</f>
        <v/>
      </c>
    </row>
    <row r="2365">
      <c r="A2365" t="inlineStr">
        <is>
          <t>מדי-מרקט</t>
        </is>
      </c>
      <c r="B2365" t="inlineStr">
        <is>
          <t>בקבוק זכוכית חום הברגה 60 מ"ל + פקק 28 מ</t>
        </is>
      </c>
      <c r="C2365" t="inlineStr">
        <is>
          <t>אריזה בימ"ק ראשונה להכנות</t>
        </is>
      </c>
      <c r="D2365" t="inlineStr">
        <is>
          <t>10010</t>
        </is>
      </c>
      <c r="E2365" t="inlineStr">
        <is>
          <t>2026-06</t>
        </is>
      </c>
      <c r="F2365" t="n">
        <v>3.81</v>
      </c>
      <c r="G2365" t="n">
        <v>4.5</v>
      </c>
      <c r="H2365">
        <f>הגדרות!B7</f>
        <v/>
      </c>
      <c r="I2365">
        <f>F2365*(1-H2365/100)*1.18</f>
        <v/>
      </c>
      <c r="J2365">
        <f>הגדרות!C7</f>
        <v/>
      </c>
      <c r="K2365">
        <f>הגדרות!D7</f>
        <v/>
      </c>
      <c r="L2365">
        <f>I2365*(1+J2365/100)+K2365</f>
        <v/>
      </c>
    </row>
    <row r="2366">
      <c r="A2366" t="inlineStr">
        <is>
          <t>מדי-מרקט</t>
        </is>
      </c>
      <c r="B2366" t="inlineStr">
        <is>
          <t>בקבוק טפי 3 חלקים 10 מ"ל</t>
        </is>
      </c>
      <c r="C2366" t="inlineStr">
        <is>
          <t>אריזה בימ"ק ראשונה להכנות</t>
        </is>
      </c>
      <c r="D2366" t="inlineStr">
        <is>
          <t>1037</t>
        </is>
      </c>
      <c r="E2366" t="inlineStr">
        <is>
          <t>2026-06</t>
        </is>
      </c>
      <c r="F2366" t="n">
        <v>1.69</v>
      </c>
      <c r="G2366" t="n">
        <v>2</v>
      </c>
      <c r="H2366">
        <f>הגדרות!B7</f>
        <v/>
      </c>
      <c r="I2366">
        <f>F2366*(1-H2366/100)*1.18</f>
        <v/>
      </c>
      <c r="J2366">
        <f>הגדרות!C7</f>
        <v/>
      </c>
      <c r="K2366">
        <f>הגדרות!D7</f>
        <v/>
      </c>
      <c r="L2366">
        <f>I2366*(1+J2366/100)+K2366</f>
        <v/>
      </c>
    </row>
    <row r="2367">
      <c r="A2367" t="inlineStr">
        <is>
          <t>מדי-מרקט</t>
        </is>
      </c>
      <c r="B2367" t="inlineStr">
        <is>
          <t>בקבוק טפי 3 חלקים 20 מ"ל לבן</t>
        </is>
      </c>
      <c r="C2367" t="inlineStr">
        <is>
          <t>אריזה בימ"ק ראשונה להכנות</t>
        </is>
      </c>
      <c r="D2367" t="inlineStr">
        <is>
          <t>21451</t>
        </is>
      </c>
      <c r="E2367" t="inlineStr">
        <is>
          <t>2026-06</t>
        </is>
      </c>
      <c r="F2367" t="n">
        <v>0.62</v>
      </c>
      <c r="G2367" t="n">
        <v>0.73</v>
      </c>
      <c r="H2367">
        <f>הגדרות!B7</f>
        <v/>
      </c>
      <c r="I2367">
        <f>F2367*(1-H2367/100)*1.18</f>
        <v/>
      </c>
      <c r="J2367">
        <f>הגדרות!C7</f>
        <v/>
      </c>
      <c r="K2367">
        <f>הגדרות!D7</f>
        <v/>
      </c>
      <c r="L2367">
        <f>I2367*(1+J2367/100)+K2367</f>
        <v/>
      </c>
    </row>
    <row r="2368">
      <c r="A2368" t="inlineStr">
        <is>
          <t>מדי-מרקט</t>
        </is>
      </c>
      <c r="B2368" t="inlineStr">
        <is>
          <t>בקבוק טפי 3 חלקים 5 מ"ל</t>
        </is>
      </c>
      <c r="C2368" t="inlineStr">
        <is>
          <t>אריזה בימ"ק ראשונה להכנות</t>
        </is>
      </c>
      <c r="D2368" t="inlineStr">
        <is>
          <t>1036</t>
        </is>
      </c>
      <c r="E2368" t="inlineStr">
        <is>
          <t>2026-06</t>
        </is>
      </c>
      <c r="F2368" t="n">
        <v>20.89</v>
      </c>
      <c r="G2368" t="n">
        <v>24.65</v>
      </c>
      <c r="H2368">
        <f>הגדרות!B7</f>
        <v/>
      </c>
      <c r="I2368">
        <f>F2368*(1-H2368/100)*1.18</f>
        <v/>
      </c>
      <c r="J2368">
        <f>הגדרות!C7</f>
        <v/>
      </c>
      <c r="K2368">
        <f>הגדרות!D7</f>
        <v/>
      </c>
      <c r="L2368">
        <f>I2368*(1+J2368/100)+K2368</f>
        <v/>
      </c>
    </row>
    <row r="2369">
      <c r="A2369" t="inlineStr">
        <is>
          <t>מדי-מרקט</t>
        </is>
      </c>
      <c r="B2369" t="inlineStr">
        <is>
          <t>בקבוק לשטיפה + צינורית 250 מ"ל</t>
        </is>
      </c>
      <c r="C2369" t="inlineStr">
        <is>
          <t>ציוד ומכשור רפואי</t>
        </is>
      </c>
      <c r="D2369" t="inlineStr">
        <is>
          <t>3045</t>
        </is>
      </c>
      <c r="E2369" t="inlineStr">
        <is>
          <t>2026-06</t>
        </is>
      </c>
      <c r="F2369" t="n">
        <v>7.63</v>
      </c>
      <c r="G2369" t="n">
        <v>9</v>
      </c>
      <c r="H2369">
        <f>הגדרות!B7</f>
        <v/>
      </c>
      <c r="I2369">
        <f>F2369*(1-H2369/100)*1.18</f>
        <v/>
      </c>
      <c r="J2369">
        <f>הגדרות!C7</f>
        <v/>
      </c>
      <c r="K2369">
        <f>הגדרות!D7</f>
        <v/>
      </c>
      <c r="L2369">
        <f>I2369*(1+J2369/100)+K2369</f>
        <v/>
      </c>
    </row>
    <row r="2370">
      <c r="A2370" t="inlineStr">
        <is>
          <t>מדי-מרקט</t>
        </is>
      </c>
      <c r="B2370" t="inlineStr">
        <is>
          <t>בקבוק לשטיפה + צינורית 500 מ"ל</t>
        </is>
      </c>
      <c r="C2370" t="inlineStr">
        <is>
          <t>ציוד ומכשור רפואי</t>
        </is>
      </c>
      <c r="D2370" t="inlineStr">
        <is>
          <t>3046</t>
        </is>
      </c>
      <c r="E2370" t="inlineStr">
        <is>
          <t>2026-06</t>
        </is>
      </c>
      <c r="F2370" t="n">
        <v>7.88</v>
      </c>
      <c r="G2370" t="n">
        <v>9.300000000000001</v>
      </c>
      <c r="H2370">
        <f>הגדרות!B7</f>
        <v/>
      </c>
      <c r="I2370">
        <f>F2370*(1-H2370/100)*1.18</f>
        <v/>
      </c>
      <c r="J2370">
        <f>הגדרות!C7</f>
        <v/>
      </c>
      <c r="K2370">
        <f>הגדרות!D7</f>
        <v/>
      </c>
      <c r="L2370">
        <f>I2370*(1+J2370/100)+K2370</f>
        <v/>
      </c>
    </row>
    <row r="2371">
      <c r="A2371" t="inlineStr">
        <is>
          <t>מדי-מרקט</t>
        </is>
      </c>
      <c r="B2371" t="inlineStr">
        <is>
          <t>בקבוק סטרילי ריק פניצילין 10 מ"ל  (מוכן למכירה)</t>
        </is>
      </c>
      <c r="C2371" t="inlineStr">
        <is>
          <t>אריזה בימ"ק ראשונה להכנות</t>
        </is>
      </c>
      <c r="D2371" t="inlineStr">
        <is>
          <t>10005</t>
        </is>
      </c>
      <c r="E2371" t="inlineStr">
        <is>
          <t>2026-06</t>
        </is>
      </c>
      <c r="F2371" t="n">
        <v>2.97</v>
      </c>
      <c r="G2371" t="n">
        <v>3.5</v>
      </c>
      <c r="H2371">
        <f>הגדרות!B7</f>
        <v/>
      </c>
      <c r="I2371">
        <f>F2371*(1-H2371/100)*1.18</f>
        <v/>
      </c>
      <c r="J2371">
        <f>הגדרות!C7</f>
        <v/>
      </c>
      <c r="K2371">
        <f>הגדרות!D7</f>
        <v/>
      </c>
      <c r="L2371">
        <f>I2371*(1+J2371/100)+K2371</f>
        <v/>
      </c>
    </row>
    <row r="2372">
      <c r="A2372" t="inlineStr">
        <is>
          <t>מדי-מרקט</t>
        </is>
      </c>
      <c r="B2372" t="inlineStr">
        <is>
          <t>בקבוק סטרילי ריק פניצילין 20 מ"ל  (מוכן למכירה)</t>
        </is>
      </c>
      <c r="C2372" t="inlineStr">
        <is>
          <t>אריזה בימ"ק ראשונה להכנות</t>
        </is>
      </c>
      <c r="D2372" t="inlineStr">
        <is>
          <t>10006</t>
        </is>
      </c>
      <c r="E2372" t="inlineStr">
        <is>
          <t>2026-06</t>
        </is>
      </c>
      <c r="F2372" t="n">
        <v>3.56</v>
      </c>
      <c r="G2372" t="n">
        <v>4.2</v>
      </c>
      <c r="H2372">
        <f>הגדרות!B7</f>
        <v/>
      </c>
      <c r="I2372">
        <f>F2372*(1-H2372/100)*1.18</f>
        <v/>
      </c>
      <c r="J2372">
        <f>הגדרות!C7</f>
        <v/>
      </c>
      <c r="K2372">
        <f>הגדרות!D7</f>
        <v/>
      </c>
      <c r="L2372">
        <f>I2372*(1+J2372/100)+K2372</f>
        <v/>
      </c>
    </row>
    <row r="2373">
      <c r="A2373" t="inlineStr">
        <is>
          <t>מדי-מרקט</t>
        </is>
      </c>
      <c r="B2373" t="inlineStr">
        <is>
          <t>בקבוק סטרילי ריק פניצילין 50 מ"ל  (מוכן למכירה)</t>
        </is>
      </c>
      <c r="C2373" t="inlineStr">
        <is>
          <t>אריזה בימ"ק ראשונה להכנות</t>
        </is>
      </c>
      <c r="D2373" t="inlineStr">
        <is>
          <t>10007</t>
        </is>
      </c>
      <c r="E2373" t="inlineStr">
        <is>
          <t>2026-06</t>
        </is>
      </c>
      <c r="F2373" t="n">
        <v>0.5</v>
      </c>
      <c r="G2373" t="n">
        <v>0.59</v>
      </c>
      <c r="H2373">
        <f>הגדרות!B7</f>
        <v/>
      </c>
      <c r="I2373">
        <f>F2373*(1-H2373/100)*1.18</f>
        <v/>
      </c>
      <c r="J2373">
        <f>הגדרות!C7</f>
        <v/>
      </c>
      <c r="K2373">
        <f>הגדרות!D7</f>
        <v/>
      </c>
      <c r="L2373">
        <f>I2373*(1+J2373/100)+K2373</f>
        <v/>
      </c>
    </row>
    <row r="2374">
      <c r="A2374" t="inlineStr">
        <is>
          <t>מדי-מרקט</t>
        </is>
      </c>
      <c r="B2374" t="inlineStr">
        <is>
          <t>בקבוק פלסטיק מרובע 1 ליטר+ פקק</t>
        </is>
      </c>
      <c r="C2374" t="inlineStr">
        <is>
          <t>אריזה בימ"ק ראשונה להכנות</t>
        </is>
      </c>
      <c r="D2374" t="inlineStr">
        <is>
          <t>0001</t>
        </is>
      </c>
      <c r="E2374" t="inlineStr">
        <is>
          <t>2026-06</t>
        </is>
      </c>
      <c r="F2374" t="n">
        <v>3.81</v>
      </c>
      <c r="G2374" t="n">
        <v>4.5</v>
      </c>
      <c r="H2374">
        <f>הגדרות!B7</f>
        <v/>
      </c>
      <c r="I2374">
        <f>F2374*(1-H2374/100)*1.18</f>
        <v/>
      </c>
      <c r="J2374">
        <f>הגדרות!C7</f>
        <v/>
      </c>
      <c r="K2374">
        <f>הגדרות!D7</f>
        <v/>
      </c>
      <c r="L2374">
        <f>I2374*(1+J2374/100)+K2374</f>
        <v/>
      </c>
    </row>
    <row r="2375">
      <c r="A2375" t="inlineStr">
        <is>
          <t>מדי-מרקט</t>
        </is>
      </c>
      <c r="B2375" t="inlineStr">
        <is>
          <t>בקבוק שתן לאשה לבן 800 מ"ל מדיקפרו</t>
        </is>
      </c>
      <c r="C2375" t="inlineStr">
        <is>
          <t>ציוד מתכלה</t>
        </is>
      </c>
      <c r="D2375" t="inlineStr">
        <is>
          <t>300-121</t>
        </is>
      </c>
      <c r="E2375" t="inlineStr">
        <is>
          <t>2026-06</t>
        </is>
      </c>
      <c r="F2375" t="n">
        <v>3.52</v>
      </c>
      <c r="G2375" t="n">
        <v>4.15</v>
      </c>
      <c r="H2375">
        <f>הגדרות!B7</f>
        <v/>
      </c>
      <c r="I2375">
        <f>F2375*(1-H2375/100)*1.18</f>
        <v/>
      </c>
      <c r="J2375">
        <f>הגדרות!C7</f>
        <v/>
      </c>
      <c r="K2375">
        <f>הגדרות!D7</f>
        <v/>
      </c>
      <c r="L2375">
        <f>I2375*(1+J2375/100)+K2375</f>
        <v/>
      </c>
    </row>
    <row r="2376">
      <c r="A2376" t="inlineStr">
        <is>
          <t>מדי-מרקט</t>
        </is>
      </c>
      <c r="B2376" t="inlineStr">
        <is>
          <t>בקבוק שתן לגבר + פקק לבן 1 ליטר מדיקפרו</t>
        </is>
      </c>
      <c r="C2376" t="inlineStr">
        <is>
          <t>ציוד מתכלה</t>
        </is>
      </c>
      <c r="D2376" t="inlineStr">
        <is>
          <t>300-120</t>
        </is>
      </c>
      <c r="E2376" t="inlineStr">
        <is>
          <t>2026-06</t>
        </is>
      </c>
      <c r="F2376" t="n">
        <v>2.13</v>
      </c>
      <c r="G2376" t="n">
        <v>2.51</v>
      </c>
      <c r="H2376">
        <f>הגדרות!B7</f>
        <v/>
      </c>
      <c r="I2376">
        <f>F2376*(1-H2376/100)*1.18</f>
        <v/>
      </c>
      <c r="J2376">
        <f>הגדרות!C7</f>
        <v/>
      </c>
      <c r="K2376">
        <f>הגדרות!D7</f>
        <v/>
      </c>
      <c r="L2376">
        <f>I2376*(1+J2376/100)+K2376</f>
        <v/>
      </c>
    </row>
    <row r="2377">
      <c r="A2377" t="inlineStr">
        <is>
          <t>מדי-מרקט</t>
        </is>
      </c>
      <c r="B2377" t="inlineStr">
        <is>
          <t>ברוש ירוק/ עץ אשוח/ כריסמס טרי/ FOLW METER  nipple nut</t>
        </is>
      </c>
      <c r="C2377" t="inlineStr">
        <is>
          <t>ציוד מתכלה</t>
        </is>
      </c>
      <c r="D2377" t="inlineStr">
        <is>
          <t>25899</t>
        </is>
      </c>
      <c r="E2377" t="inlineStr">
        <is>
          <t>2026-06</t>
        </is>
      </c>
      <c r="F2377" t="n">
        <v>1.86</v>
      </c>
      <c r="G2377" t="n">
        <v>2.19</v>
      </c>
      <c r="H2377">
        <f>הגדרות!B7</f>
        <v/>
      </c>
      <c r="I2377">
        <f>F2377*(1-H2377/100)*1.18</f>
        <v/>
      </c>
      <c r="J2377">
        <f>הגדרות!C7</f>
        <v/>
      </c>
      <c r="K2377">
        <f>הגדרות!D7</f>
        <v/>
      </c>
      <c r="L2377">
        <f>I2377*(1+J2377/100)+K2377</f>
        <v/>
      </c>
    </row>
    <row r="2378">
      <c r="A2378" t="inlineStr">
        <is>
          <t>מדי-מרקט</t>
        </is>
      </c>
      <c r="B2378" t="inlineStr">
        <is>
          <t>ברז 3 כיוונים מדיקפרו/50 vanocathe יח'</t>
        </is>
      </c>
      <c r="C2378" t="inlineStr">
        <is>
          <t>מזרקים,מחטים,ונפלונים,סקלפלים</t>
        </is>
      </c>
      <c r="D2378" t="inlineStr">
        <is>
          <t>300-111</t>
        </is>
      </c>
      <c r="E2378" t="inlineStr">
        <is>
          <t>2026-06</t>
        </is>
      </c>
      <c r="F2378" t="n">
        <v>21.51</v>
      </c>
      <c r="G2378" t="n">
        <v>25.38</v>
      </c>
      <c r="H2378">
        <f>הגדרות!B7</f>
        <v/>
      </c>
      <c r="I2378">
        <f>F2378*(1-H2378/100)*1.18</f>
        <v/>
      </c>
      <c r="J2378">
        <f>הגדרות!C7</f>
        <v/>
      </c>
      <c r="K2378">
        <f>הגדרות!D7</f>
        <v/>
      </c>
      <c r="L2378">
        <f>I2378*(1+J2378/100)+K2378</f>
        <v/>
      </c>
    </row>
    <row r="2379">
      <c r="A2379" t="inlineStr">
        <is>
          <t>מדי-מרקט</t>
        </is>
      </c>
      <c r="B2379" t="inlineStr">
        <is>
          <t>ברז מפצל להרדמה</t>
        </is>
      </c>
      <c r="C2379" t="inlineStr">
        <is>
          <t>אביזרים, חלקים ושונות</t>
        </is>
      </c>
      <c r="D2379" t="inlineStr">
        <is>
          <t>54039</t>
        </is>
      </c>
      <c r="E2379" t="inlineStr">
        <is>
          <t>2026-06</t>
        </is>
      </c>
      <c r="F2379" t="n">
        <v>381.36</v>
      </c>
      <c r="G2379" t="n">
        <v>450</v>
      </c>
      <c r="H2379">
        <f>הגדרות!B7</f>
        <v/>
      </c>
      <c r="I2379">
        <f>F2379*(1-H2379/100)*1.18</f>
        <v/>
      </c>
      <c r="J2379">
        <f>הגדרות!C7</f>
        <v/>
      </c>
      <c r="K2379">
        <f>הגדרות!D7</f>
        <v/>
      </c>
      <c r="L2379">
        <f>I2379*(1+J2379/100)+K2379</f>
        <v/>
      </c>
    </row>
    <row r="2380">
      <c r="A2380" t="inlineStr">
        <is>
          <t>מדי-מרקט</t>
        </is>
      </c>
      <c r="B2380" t="inlineStr">
        <is>
          <t>ג' 29 - DEXAMETHASONE 10MG/1ml  25 VIAL INJ</t>
        </is>
      </c>
      <c r="C2380" t="inlineStr">
        <is>
          <t>29 יבוא תרופות הומניות חו"ל</t>
        </is>
      </c>
      <c r="D2380" t="inlineStr">
        <is>
          <t>98536</t>
        </is>
      </c>
      <c r="E2380" t="inlineStr">
        <is>
          <t>2026-06</t>
        </is>
      </c>
      <c r="F2380" t="n">
        <v>148.44</v>
      </c>
      <c r="G2380" t="n">
        <v>175.16</v>
      </c>
      <c r="H2380">
        <f>הגדרות!B7</f>
        <v/>
      </c>
      <c r="I2380">
        <f>F2380*(1-H2380/100)*1.18</f>
        <v/>
      </c>
      <c r="J2380">
        <f>הגדרות!C7</f>
        <v/>
      </c>
      <c r="K2380">
        <f>הגדרות!D7</f>
        <v/>
      </c>
      <c r="L2380">
        <f>I2380*(1+J2380/100)+K2380</f>
        <v/>
      </c>
    </row>
    <row r="2381">
      <c r="A2381" t="inlineStr">
        <is>
          <t>מדי-מרקט</t>
        </is>
      </c>
      <c r="B2381" t="inlineStr">
        <is>
          <t>ג'יארדיה FASTest GIARDIA 10 test strips</t>
        </is>
      </c>
      <c r="C2381" t="inlineStr">
        <is>
          <t>מוצרים משלימים לווט'</t>
        </is>
      </c>
      <c r="D2381" t="inlineStr">
        <is>
          <t>850010RG1</t>
        </is>
      </c>
      <c r="E2381" t="inlineStr">
        <is>
          <t>2026-06</t>
        </is>
      </c>
      <c r="F2381" t="n">
        <v>364.41</v>
      </c>
      <c r="G2381" t="n">
        <v>430</v>
      </c>
      <c r="H2381">
        <f>הגדרות!B7</f>
        <v/>
      </c>
      <c r="I2381">
        <f>F2381*(1-H2381/100)*1.18</f>
        <v/>
      </c>
      <c r="J2381">
        <f>הגדרות!C7</f>
        <v/>
      </c>
      <c r="K2381">
        <f>הגדרות!D7</f>
        <v/>
      </c>
      <c r="L2381">
        <f>I2381*(1+J2381/100)+K2381</f>
        <v/>
      </c>
    </row>
    <row r="2382">
      <c r="A2382" t="inlineStr">
        <is>
          <t>מדי-מרקט</t>
        </is>
      </c>
      <c r="B2382" t="inlineStr">
        <is>
          <t>ג'ל לאולטרסאונד  250 מ"ל, מדיקפרו</t>
        </is>
      </c>
      <c r="C2382" t="inlineStr">
        <is>
          <t>מוצרי חיטוי ואנטיספטיקה</t>
        </is>
      </c>
      <c r="D2382" t="inlineStr">
        <is>
          <t>30555</t>
        </is>
      </c>
      <c r="E2382" t="inlineStr">
        <is>
          <t>2026-06</t>
        </is>
      </c>
      <c r="F2382" t="n">
        <v>3.43</v>
      </c>
      <c r="G2382" t="n">
        <v>4.05</v>
      </c>
      <c r="H2382">
        <f>הגדרות!B7</f>
        <v/>
      </c>
      <c r="I2382">
        <f>F2382*(1-H2382/100)*1.18</f>
        <v/>
      </c>
      <c r="J2382">
        <f>הגדרות!C7</f>
        <v/>
      </c>
      <c r="K2382">
        <f>הגדרות!D7</f>
        <v/>
      </c>
      <c r="L2382">
        <f>I2382*(1+J2382/100)+K2382</f>
        <v/>
      </c>
    </row>
    <row r="2383">
      <c r="A2383" t="inlineStr">
        <is>
          <t>מדי-מרקט</t>
        </is>
      </c>
      <c r="B2383" t="inlineStr">
        <is>
          <t>ג'ל לאולטרסאונד 5 ליטר, מדיקפרו</t>
        </is>
      </c>
      <c r="C2383" t="inlineStr">
        <is>
          <t>מוצרי חיטוי ואנטיספטיקה</t>
        </is>
      </c>
      <c r="D2383" t="inlineStr">
        <is>
          <t>3056</t>
        </is>
      </c>
      <c r="E2383" t="inlineStr">
        <is>
          <t>2026-06</t>
        </is>
      </c>
      <c r="F2383" t="n">
        <v>38.56</v>
      </c>
      <c r="G2383" t="n">
        <v>45.5</v>
      </c>
      <c r="H2383">
        <f>הגדרות!B7</f>
        <v/>
      </c>
      <c r="I2383">
        <f>F2383*(1-H2383/100)*1.18</f>
        <v/>
      </c>
      <c r="J2383">
        <f>הגדרות!C7</f>
        <v/>
      </c>
      <c r="K2383">
        <f>הגדרות!D7</f>
        <v/>
      </c>
      <c r="L2383">
        <f>I2383*(1+J2383/100)+K2383</f>
        <v/>
      </c>
    </row>
    <row r="2384">
      <c r="A2384" t="inlineStr">
        <is>
          <t>מדי-מרקט</t>
        </is>
      </c>
      <c r="B2384" t="inlineStr">
        <is>
          <t>ג'ל לניקוי שיניים 113 גרם OXYFRESH</t>
        </is>
      </c>
      <c r="C2384" t="inlineStr">
        <is>
          <t>Oxyfresh</t>
        </is>
      </c>
      <c r="D2384" t="inlineStr">
        <is>
          <t>61-405</t>
        </is>
      </c>
      <c r="E2384" t="inlineStr">
        <is>
          <t>2026-06</t>
        </is>
      </c>
      <c r="F2384" t="n">
        <v>11.04</v>
      </c>
      <c r="G2384" t="n">
        <v>13.03</v>
      </c>
      <c r="H2384">
        <f>הגדרות!B7</f>
        <v/>
      </c>
      <c r="I2384">
        <f>F2384*(1-H2384/100)*1.18</f>
        <v/>
      </c>
      <c r="J2384">
        <f>הגדרות!C7</f>
        <v/>
      </c>
      <c r="K2384">
        <f>הגדרות!D7</f>
        <v/>
      </c>
      <c r="L2384">
        <f>I2384*(1+J2384/100)+K2384</f>
        <v/>
      </c>
    </row>
    <row r="2385">
      <c r="A2385" t="inlineStr">
        <is>
          <t>מדי-מרקט</t>
        </is>
      </c>
      <c r="B2385" t="inlineStr">
        <is>
          <t>גביע פלסטיק שקוף 250 מ"ל + מכסה</t>
        </is>
      </c>
      <c r="C2385" t="inlineStr">
        <is>
          <t>אריזה בימ"ק ראשונה להכנות</t>
        </is>
      </c>
      <c r="D2385" t="inlineStr">
        <is>
          <t>20039</t>
        </is>
      </c>
      <c r="E2385" t="inlineStr">
        <is>
          <t>2026-06</t>
        </is>
      </c>
      <c r="F2385" t="n">
        <v>22.12</v>
      </c>
      <c r="G2385" t="n">
        <v>26.1</v>
      </c>
      <c r="H2385">
        <f>הגדרות!B7</f>
        <v/>
      </c>
      <c r="I2385">
        <f>F2385*(1-H2385/100)*1.18</f>
        <v/>
      </c>
      <c r="J2385">
        <f>הגדרות!C7</f>
        <v/>
      </c>
      <c r="K2385">
        <f>הגדרות!D7</f>
        <v/>
      </c>
      <c r="L2385">
        <f>I2385*(1+J2385/100)+K2385</f>
        <v/>
      </c>
    </row>
    <row r="2386">
      <c r="A2386" t="inlineStr">
        <is>
          <t>מדי-מרקט</t>
        </is>
      </c>
      <c r="B2386" t="inlineStr">
        <is>
          <t>גביע פלסטיק שקוף 500 מ"ל + מכסה</t>
        </is>
      </c>
      <c r="C2386" t="inlineStr">
        <is>
          <t>אריזה בימ"ק ראשונה להכנות</t>
        </is>
      </c>
      <c r="D2386" t="inlineStr">
        <is>
          <t>0043</t>
        </is>
      </c>
      <c r="E2386" t="inlineStr">
        <is>
          <t>2026-06</t>
        </is>
      </c>
      <c r="F2386" t="n">
        <v>2.33</v>
      </c>
      <c r="G2386" t="n">
        <v>2.75</v>
      </c>
      <c r="H2386">
        <f>הגדרות!B7</f>
        <v/>
      </c>
      <c r="I2386">
        <f>F2386*(1-H2386/100)*1.18</f>
        <v/>
      </c>
      <c r="J2386">
        <f>הגדרות!C7</f>
        <v/>
      </c>
      <c r="K2386">
        <f>הגדרות!D7</f>
        <v/>
      </c>
      <c r="L2386">
        <f>I2386*(1+J2386/100)+K2386</f>
        <v/>
      </c>
    </row>
    <row r="2387">
      <c r="A2387" t="inlineStr">
        <is>
          <t>מדי-מרקט</t>
        </is>
      </c>
      <c r="B2387" t="inlineStr">
        <is>
          <t>גלון (ג'ריקן) פלסטיק 5 ליטר + מכסה</t>
        </is>
      </c>
      <c r="C2387" t="inlineStr">
        <is>
          <t>אריזה בימ"ק ראשונה להכנות</t>
        </is>
      </c>
      <c r="D2387" t="inlineStr">
        <is>
          <t>0003</t>
        </is>
      </c>
      <c r="E2387" t="inlineStr">
        <is>
          <t>2026-06</t>
        </is>
      </c>
      <c r="F2387" t="n">
        <v>3.43</v>
      </c>
      <c r="G2387" t="n">
        <v>4.05</v>
      </c>
      <c r="H2387">
        <f>הגדרות!B7</f>
        <v/>
      </c>
      <c r="I2387">
        <f>F2387*(1-H2387/100)*1.18</f>
        <v/>
      </c>
      <c r="J2387">
        <f>הגדרות!C7</f>
        <v/>
      </c>
      <c r="K2387">
        <f>הגדרות!D7</f>
        <v/>
      </c>
      <c r="L2387">
        <f>I2387*(1+J2387/100)+K2387</f>
        <v/>
      </c>
    </row>
    <row r="2388">
      <c r="A2388" t="inlineStr">
        <is>
          <t>מדי-מרקט</t>
        </is>
      </c>
      <c r="B2388" t="inlineStr">
        <is>
          <t>גלוקוז/דקסטרוז - 2) GLUCOSE 50% 50ML Bottle בקבוקים באריזה)</t>
        </is>
      </c>
      <c r="C2388" t="inlineStr">
        <is>
          <t>תרופות</t>
        </is>
      </c>
      <c r="D2388" t="inlineStr">
        <is>
          <t>396-1</t>
        </is>
      </c>
      <c r="E2388" t="inlineStr">
        <is>
          <t>2026-06</t>
        </is>
      </c>
      <c r="F2388" t="n">
        <v>27.33</v>
      </c>
      <c r="G2388" t="n">
        <v>32.25</v>
      </c>
      <c r="H2388">
        <f>הגדרות!B7</f>
        <v/>
      </c>
      <c r="I2388">
        <f>F2388*(1-H2388/100)*1.18</f>
        <v/>
      </c>
      <c r="J2388">
        <f>הגדרות!C7</f>
        <v/>
      </c>
      <c r="K2388">
        <f>הגדרות!D7</f>
        <v/>
      </c>
      <c r="L2388">
        <f>I2388*(1+J2388/100)+K2388</f>
        <v/>
      </c>
    </row>
    <row r="2389">
      <c r="A2389" t="inlineStr">
        <is>
          <t>מדי-מרקט</t>
        </is>
      </c>
      <c r="B2389" t="inlineStr">
        <is>
          <t>גלוקוז/דקסטרוז - GLUCOSE 5% 100ML Bag</t>
        </is>
      </c>
      <c r="C2389" t="inlineStr">
        <is>
          <t>תמיסות לעירוי ושטיפה</t>
        </is>
      </c>
      <c r="D2389" t="inlineStr">
        <is>
          <t>1029</t>
        </is>
      </c>
      <c r="E2389" t="inlineStr">
        <is>
          <t>2026-06</t>
        </is>
      </c>
      <c r="F2389" t="n">
        <v>6.19</v>
      </c>
      <c r="G2389" t="n">
        <v>7.3</v>
      </c>
      <c r="H2389">
        <f>הגדרות!B7</f>
        <v/>
      </c>
      <c r="I2389">
        <f>F2389*(1-H2389/100)*1.18</f>
        <v/>
      </c>
      <c r="J2389">
        <f>הגדרות!C7</f>
        <v/>
      </c>
      <c r="K2389">
        <f>הגדרות!D7</f>
        <v/>
      </c>
      <c r="L2389">
        <f>I2389*(1+J2389/100)+K2389</f>
        <v/>
      </c>
    </row>
    <row r="2390">
      <c r="A2390" t="inlineStr">
        <is>
          <t>מדי-מרקט</t>
        </is>
      </c>
      <c r="B2390" t="inlineStr">
        <is>
          <t>גלוקוז/דקסטרוז - Glucose 5% 1L Bag</t>
        </is>
      </c>
      <c r="C2390" t="inlineStr">
        <is>
          <t>תרופות</t>
        </is>
      </c>
      <c r="D2390" t="inlineStr">
        <is>
          <t>1882</t>
        </is>
      </c>
      <c r="E2390" t="inlineStr">
        <is>
          <t>2026-06</t>
        </is>
      </c>
      <c r="F2390" t="n">
        <v>10.17</v>
      </c>
      <c r="G2390" t="n">
        <v>12</v>
      </c>
      <c r="H2390">
        <f>הגדרות!B7</f>
        <v/>
      </c>
      <c r="I2390">
        <f>F2390*(1-H2390/100)*1.18</f>
        <v/>
      </c>
      <c r="J2390">
        <f>הגדרות!C7</f>
        <v/>
      </c>
      <c r="K2390">
        <f>הגדרות!D7</f>
        <v/>
      </c>
      <c r="L2390">
        <f>I2390*(1+J2390/100)+K2390</f>
        <v/>
      </c>
    </row>
    <row r="2391">
      <c r="A2391" t="inlineStr">
        <is>
          <t>מדי-מרקט</t>
        </is>
      </c>
      <c r="B2391" t="inlineStr">
        <is>
          <t>גלוקוז/דקסטרוז - GLUCOSE 5% 500ML Bag</t>
        </is>
      </c>
      <c r="C2391" t="inlineStr">
        <is>
          <t>תמיסות לעירוי ושטיפה</t>
        </is>
      </c>
      <c r="D2391" t="inlineStr">
        <is>
          <t>1880</t>
        </is>
      </c>
      <c r="E2391" t="inlineStr">
        <is>
          <t>2026-06</t>
        </is>
      </c>
      <c r="F2391" t="n">
        <v>6.36</v>
      </c>
      <c r="G2391" t="n">
        <v>7.5</v>
      </c>
      <c r="H2391">
        <f>הגדרות!B7</f>
        <v/>
      </c>
      <c r="I2391">
        <f>F2391*(1-H2391/100)*1.18</f>
        <v/>
      </c>
      <c r="J2391">
        <f>הגדרות!C7</f>
        <v/>
      </c>
      <c r="K2391">
        <f>הגדרות!D7</f>
        <v/>
      </c>
      <c r="L2391">
        <f>I2391*(1+J2391/100)+K2391</f>
        <v/>
      </c>
    </row>
    <row r="2392">
      <c r="A2392" t="inlineStr">
        <is>
          <t>מדי-מרקט</t>
        </is>
      </c>
      <c r="B2392" t="inlineStr">
        <is>
          <t>גלוקוז/דקסטרוז - Glucose 50% 20Ml for Injectio Bottle</t>
        </is>
      </c>
      <c r="C2392" t="inlineStr">
        <is>
          <t>תמיסות לעירוי ושטיפה</t>
        </is>
      </c>
      <c r="D2392" t="inlineStr">
        <is>
          <t>1469</t>
        </is>
      </c>
      <c r="E2392" t="inlineStr">
        <is>
          <t>2026-06</t>
        </is>
      </c>
      <c r="F2392" t="n">
        <v>2.59</v>
      </c>
      <c r="G2392" t="n">
        <v>3.06</v>
      </c>
      <c r="H2392">
        <f>הגדרות!B7</f>
        <v/>
      </c>
      <c r="I2392">
        <f>F2392*(1-H2392/100)*1.18</f>
        <v/>
      </c>
      <c r="J2392">
        <f>הגדרות!C7</f>
        <v/>
      </c>
      <c r="K2392">
        <f>הגדרות!D7</f>
        <v/>
      </c>
      <c r="L2392">
        <f>I2392*(1+J2392/100)+K2392</f>
        <v/>
      </c>
    </row>
    <row r="2393">
      <c r="A2393" t="inlineStr">
        <is>
          <t>מדי-מרקט</t>
        </is>
      </c>
      <c r="B2393" t="inlineStr">
        <is>
          <t>גלוקוז/דקסטרוז - Glucose 50% 50Ml Bottle</t>
        </is>
      </c>
      <c r="C2393" t="inlineStr">
        <is>
          <t>תרופות</t>
        </is>
      </c>
      <c r="D2393" t="inlineStr">
        <is>
          <t>396</t>
        </is>
      </c>
      <c r="E2393" t="inlineStr">
        <is>
          <t>2026-06</t>
        </is>
      </c>
      <c r="F2393" t="n">
        <v>6.44</v>
      </c>
      <c r="G2393" t="n">
        <v>7.6</v>
      </c>
      <c r="H2393">
        <f>הגדרות!B7</f>
        <v/>
      </c>
      <c r="I2393">
        <f>F2393*(1-H2393/100)*1.18</f>
        <v/>
      </c>
      <c r="J2393">
        <f>הגדרות!C7</f>
        <v/>
      </c>
      <c r="K2393">
        <f>הגדרות!D7</f>
        <v/>
      </c>
      <c r="L2393">
        <f>I2393*(1+J2393/100)+K2393</f>
        <v/>
      </c>
    </row>
    <row r="2394">
      <c r="A2394" t="inlineStr">
        <is>
          <t>מדי-מרקט</t>
        </is>
      </c>
      <c r="B2394" t="inlineStr">
        <is>
          <t>גלוקוז/דקסטרוז 29ג' -  GLUCOSE 10% 500ML INJ Bag</t>
        </is>
      </c>
      <c r="C2394" t="inlineStr">
        <is>
          <t>29 יבוא תרופות הומניות חו"ל</t>
        </is>
      </c>
      <c r="D2394" t="inlineStr">
        <is>
          <t>1883</t>
        </is>
      </c>
      <c r="E2394" t="inlineStr">
        <is>
          <t>2026-06</t>
        </is>
      </c>
      <c r="F2394" t="n">
        <v>9.32</v>
      </c>
      <c r="G2394" t="n">
        <v>11</v>
      </c>
      <c r="H2394">
        <f>הגדרות!B7</f>
        <v/>
      </c>
      <c r="I2394">
        <f>F2394*(1-H2394/100)*1.18</f>
        <v/>
      </c>
      <c r="J2394">
        <f>הגדרות!C7</f>
        <v/>
      </c>
      <c r="K2394">
        <f>הגדרות!D7</f>
        <v/>
      </c>
      <c r="L2394">
        <f>I2394*(1+J2394/100)+K2394</f>
        <v/>
      </c>
    </row>
    <row r="2395">
      <c r="A2395" t="inlineStr">
        <is>
          <t>מדי-מרקט</t>
        </is>
      </c>
      <c r="B2395" t="inlineStr">
        <is>
          <t>גלוקומטר Freestyle Optium Neo לבדיקת סוכר וקטונים</t>
        </is>
      </c>
      <c r="C2395" t="inlineStr">
        <is>
          <t>ציוד ומכשור רפואי</t>
        </is>
      </c>
      <c r="D2395" t="inlineStr">
        <is>
          <t>3089</t>
        </is>
      </c>
      <c r="E2395" t="inlineStr">
        <is>
          <t>2026-06</t>
        </is>
      </c>
      <c r="F2395" t="n">
        <v>145.76</v>
      </c>
      <c r="G2395" t="n">
        <v>172</v>
      </c>
      <c r="H2395">
        <f>הגדרות!B7</f>
        <v/>
      </c>
      <c r="I2395">
        <f>F2395*(1-H2395/100)*1.18</f>
        <v/>
      </c>
      <c r="J2395">
        <f>הגדרות!C7</f>
        <v/>
      </c>
      <c r="K2395">
        <f>הגדרות!D7</f>
        <v/>
      </c>
      <c r="L2395">
        <f>I2395*(1+J2395/100)+K2395</f>
        <v/>
      </c>
    </row>
    <row r="2396">
      <c r="A2396" t="inlineStr">
        <is>
          <t>מדי-מרקט</t>
        </is>
      </c>
      <c r="B2396" t="inlineStr">
        <is>
          <t>גלוקומטר פריסטייל פרידום לייט (רמת סוכר) FREESTYLE LITE</t>
        </is>
      </c>
      <c r="C2396" t="inlineStr">
        <is>
          <t>ציוד ומכשור רפואי</t>
        </is>
      </c>
      <c r="D2396" t="inlineStr">
        <is>
          <t>261621</t>
        </is>
      </c>
      <c r="E2396" t="inlineStr">
        <is>
          <t>2026-06</t>
        </is>
      </c>
      <c r="F2396" t="n">
        <v>152.54</v>
      </c>
      <c r="G2396" t="n">
        <v>180</v>
      </c>
      <c r="H2396">
        <f>הגדרות!B7</f>
        <v/>
      </c>
      <c r="I2396">
        <f>F2396*(1-H2396/100)*1.18</f>
        <v/>
      </c>
      <c r="J2396">
        <f>הגדרות!C7</f>
        <v/>
      </c>
      <c r="K2396">
        <f>הגדרות!D7</f>
        <v/>
      </c>
      <c r="L2396">
        <f>I2396*(1+J2396/100)+K2396</f>
        <v/>
      </c>
    </row>
    <row r="2397">
      <c r="A2397" t="inlineStr">
        <is>
          <t>מדי-מרקט</t>
        </is>
      </c>
      <c r="B2397" t="inlineStr">
        <is>
          <t>גליל נייר לאקג דגם H3</t>
        </is>
      </c>
      <c r="C2397" t="inlineStr">
        <is>
          <t>ציוד ומכשור רפואי</t>
        </is>
      </c>
      <c r="D2397" t="inlineStr">
        <is>
          <t>cmi-040-000113</t>
        </is>
      </c>
      <c r="E2397" t="inlineStr">
        <is>
          <t>2026-06</t>
        </is>
      </c>
      <c r="F2397" t="n">
        <v>8.93</v>
      </c>
      <c r="G2397" t="n">
        <v>10.54</v>
      </c>
      <c r="H2397">
        <f>הגדרות!B7</f>
        <v/>
      </c>
      <c r="I2397">
        <f>F2397*(1-H2397/100)*1.18</f>
        <v/>
      </c>
      <c r="J2397">
        <f>הגדרות!C7</f>
        <v/>
      </c>
      <c r="K2397">
        <f>הגדרות!D7</f>
        <v/>
      </c>
      <c r="L2397">
        <f>I2397*(1+J2397/100)+K2397</f>
        <v/>
      </c>
    </row>
    <row r="2398">
      <c r="A2398" t="inlineStr">
        <is>
          <t>מדי-מרקט</t>
        </is>
      </c>
      <c r="B2398" t="inlineStr">
        <is>
          <t>גליל סדין בל"א + פרפורציה 30 גר' 60 ס"מ 100 מ' אורך לבן</t>
        </is>
      </c>
      <c r="C2398" t="inlineStr">
        <is>
          <t>ציוד ומכשור רפואי</t>
        </is>
      </c>
      <c r="D2398" t="inlineStr">
        <is>
          <t>3966</t>
        </is>
      </c>
      <c r="E2398" t="inlineStr">
        <is>
          <t>2026-06</t>
        </is>
      </c>
      <c r="F2398" t="n">
        <v>40.04</v>
      </c>
      <c r="G2398" t="n">
        <v>47.25</v>
      </c>
      <c r="H2398">
        <f>הגדרות!B7</f>
        <v/>
      </c>
      <c r="I2398">
        <f>F2398*(1-H2398/100)*1.18</f>
        <v/>
      </c>
      <c r="J2398">
        <f>הגדרות!C7</f>
        <v/>
      </c>
      <c r="K2398">
        <f>הגדרות!D7</f>
        <v/>
      </c>
      <c r="L2398">
        <f>I2398*(1+J2398/100)+K2398</f>
        <v/>
      </c>
    </row>
    <row r="2399">
      <c r="A2399" t="inlineStr">
        <is>
          <t>מדי-מרקט</t>
        </is>
      </c>
      <c r="B2399" t="inlineStr">
        <is>
          <t>דאודורייזר מנקה ומנטרל ריחות 473 מ"ל OXYFRESH</t>
        </is>
      </c>
      <c r="C2399" t="inlineStr">
        <is>
          <t>Oxyfresh</t>
        </is>
      </c>
      <c r="D2399" t="inlineStr">
        <is>
          <t>61-400</t>
        </is>
      </c>
      <c r="E2399" t="inlineStr">
        <is>
          <t>2026-06</t>
        </is>
      </c>
      <c r="F2399" t="n">
        <v>20.34</v>
      </c>
      <c r="G2399" t="n">
        <v>24</v>
      </c>
      <c r="H2399">
        <f>הגדרות!B7</f>
        <v/>
      </c>
      <c r="I2399">
        <f>F2399*(1-H2399/100)*1.18</f>
        <v/>
      </c>
      <c r="J2399">
        <f>הגדרות!C7</f>
        <v/>
      </c>
      <c r="K2399">
        <f>הגדרות!D7</f>
        <v/>
      </c>
      <c r="L2399">
        <f>I2399*(1+J2399/100)+K2399</f>
        <v/>
      </c>
    </row>
    <row r="2400">
      <c r="A2400" t="inlineStr">
        <is>
          <t>מדי-מרקט</t>
        </is>
      </c>
      <c r="B2400" t="inlineStr">
        <is>
          <t>דוקרן בטיחותי עם קפיץ 100 21G יח' למבוגר מדיקפרו</t>
        </is>
      </c>
      <c r="C2400" t="inlineStr">
        <is>
          <t>ציוד מתכלה</t>
        </is>
      </c>
      <c r="D2400" t="inlineStr">
        <is>
          <t>103121</t>
        </is>
      </c>
      <c r="E2400" t="inlineStr">
        <is>
          <t>2026-06</t>
        </is>
      </c>
      <c r="F2400" t="n">
        <v>14.8</v>
      </c>
      <c r="G2400" t="n">
        <v>17.46</v>
      </c>
      <c r="H2400">
        <f>הגדרות!B7</f>
        <v/>
      </c>
      <c r="I2400">
        <f>F2400*(1-H2400/100)*1.18</f>
        <v/>
      </c>
      <c r="J2400">
        <f>הגדרות!C7</f>
        <v/>
      </c>
      <c r="K2400">
        <f>הגדרות!D7</f>
        <v/>
      </c>
      <c r="L2400">
        <f>I2400*(1+J2400/100)+K2400</f>
        <v/>
      </c>
    </row>
    <row r="2401">
      <c r="A2401" t="inlineStr">
        <is>
          <t>מדי-מרקט</t>
        </is>
      </c>
      <c r="B2401" t="inlineStr">
        <is>
          <t>דוקרנים לבדיקת סוכר 100,28G יח', מדיקפרו</t>
        </is>
      </c>
      <c r="C2401" t="inlineStr">
        <is>
          <t>מזרקים,מחטים,ונפלונים,סקלפלים</t>
        </is>
      </c>
      <c r="D2401" t="inlineStr">
        <is>
          <t>500-062</t>
        </is>
      </c>
      <c r="E2401" t="inlineStr">
        <is>
          <t>2026-06</t>
        </is>
      </c>
      <c r="F2401" t="n">
        <v>2.91</v>
      </c>
      <c r="G2401" t="n">
        <v>3.43</v>
      </c>
      <c r="H2401">
        <f>הגדרות!B7</f>
        <v/>
      </c>
      <c r="I2401">
        <f>F2401*(1-H2401/100)*1.18</f>
        <v/>
      </c>
      <c r="J2401">
        <f>הגדרות!C7</f>
        <v/>
      </c>
      <c r="K2401">
        <f>הגדרות!D7</f>
        <v/>
      </c>
      <c r="L2401">
        <f>I2401*(1+J2401/100)+K2401</f>
        <v/>
      </c>
    </row>
    <row r="2402">
      <c r="A2402" t="inlineStr">
        <is>
          <t>מדי-מרקט</t>
        </is>
      </c>
      <c r="B2402" t="inlineStr">
        <is>
          <t>דורהטירס Duratears Oint 3.5 G</t>
        </is>
      </c>
      <c r="C2402" t="inlineStr">
        <is>
          <t>תרופות</t>
        </is>
      </c>
      <c r="D2402" t="inlineStr">
        <is>
          <t>198696</t>
        </is>
      </c>
      <c r="E2402" t="inlineStr">
        <is>
          <t>2026-06</t>
        </is>
      </c>
      <c r="F2402" t="n">
        <v>21.86</v>
      </c>
      <c r="G2402" t="n">
        <v>25.8</v>
      </c>
      <c r="H2402">
        <f>הגדרות!B7</f>
        <v/>
      </c>
      <c r="I2402">
        <f>F2402*(1-H2402/100)*1.18</f>
        <v/>
      </c>
      <c r="J2402">
        <f>הגדרות!C7</f>
        <v/>
      </c>
      <c r="K2402">
        <f>הגדרות!D7</f>
        <v/>
      </c>
      <c r="L2402">
        <f>I2402*(1+J2402/100)+K2402</f>
        <v/>
      </c>
    </row>
    <row r="2403">
      <c r="A2403" t="inlineStr">
        <is>
          <t>מדי-מרקט</t>
        </is>
      </c>
      <c r="B2403" t="inlineStr">
        <is>
          <t>דיאסלייד DS105</t>
        </is>
      </c>
      <c r="C2403" t="inlineStr">
        <is>
          <t>ציוד מעבדתי</t>
        </is>
      </c>
      <c r="D2403" t="inlineStr">
        <is>
          <t>328569</t>
        </is>
      </c>
      <c r="E2403" t="inlineStr">
        <is>
          <t>2026-06</t>
        </is>
      </c>
      <c r="F2403" t="n">
        <v>7.38</v>
      </c>
      <c r="G2403" t="n">
        <v>8.710000000000001</v>
      </c>
      <c r="H2403">
        <f>הגדרות!B7</f>
        <v/>
      </c>
      <c r="I2403">
        <f>F2403*(1-H2403/100)*1.18</f>
        <v/>
      </c>
      <c r="J2403">
        <f>הגדרות!C7</f>
        <v/>
      </c>
      <c r="K2403">
        <f>הגדרות!D7</f>
        <v/>
      </c>
      <c r="L2403">
        <f>I2403*(1+J2403/100)+K2403</f>
        <v/>
      </c>
    </row>
    <row r="2404">
      <c r="A2404" t="inlineStr">
        <is>
          <t>מדי-מרקט</t>
        </is>
      </c>
      <c r="B2404" t="inlineStr">
        <is>
          <t>דיפלוטולין Solution-DEFOAMER 3% 100mL</t>
        </is>
      </c>
      <c r="C2404" t="inlineStr">
        <is>
          <t>הכנות בית מרקחת</t>
        </is>
      </c>
      <c r="D2404" t="inlineStr">
        <is>
          <t>16747</t>
        </is>
      </c>
      <c r="E2404" t="inlineStr">
        <is>
          <t>2026-06</t>
        </is>
      </c>
      <c r="F2404" t="n">
        <v>12.71</v>
      </c>
      <c r="G2404" t="n">
        <v>15</v>
      </c>
      <c r="H2404">
        <f>הגדרות!B7</f>
        <v/>
      </c>
      <c r="I2404">
        <f>F2404*(1-H2404/100)*1.18</f>
        <v/>
      </c>
      <c r="J2404">
        <f>הגדרות!C7</f>
        <v/>
      </c>
      <c r="K2404">
        <f>הגדרות!D7</f>
        <v/>
      </c>
      <c r="L2404">
        <f>I2404*(1+J2404/100)+K2404</f>
        <v/>
      </c>
    </row>
    <row r="2405">
      <c r="A2405" t="inlineStr">
        <is>
          <t>מדי-מרקט</t>
        </is>
      </c>
      <c r="B2405" t="inlineStr">
        <is>
          <t>דלי להשמדת פסולת רפואית 2 לי' עגול, אדום, מדיקפרו</t>
        </is>
      </c>
      <c r="C2405" t="inlineStr">
        <is>
          <t>מזרקים,מחטים,ונפלונים,סקלפלים</t>
        </is>
      </c>
      <c r="D2405" t="inlineStr">
        <is>
          <t>2463-1</t>
        </is>
      </c>
      <c r="E2405" t="inlineStr">
        <is>
          <t>2026-06</t>
        </is>
      </c>
      <c r="F2405" t="n">
        <v>4.66</v>
      </c>
      <c r="G2405" t="n">
        <v>5.5</v>
      </c>
      <c r="H2405">
        <f>הגדרות!B7</f>
        <v/>
      </c>
      <c r="I2405">
        <f>F2405*(1-H2405/100)*1.18</f>
        <v/>
      </c>
      <c r="J2405">
        <f>הגדרות!C7</f>
        <v/>
      </c>
      <c r="K2405">
        <f>הגדרות!D7</f>
        <v/>
      </c>
      <c r="L2405">
        <f>I2405*(1+J2405/100)+K2405</f>
        <v/>
      </c>
    </row>
    <row r="2406">
      <c r="A2406" t="inlineStr">
        <is>
          <t>מדי-מרקט</t>
        </is>
      </c>
      <c r="B2406" t="inlineStr">
        <is>
          <t>דלי להשמדת פסולת רפואית 5 לי' עגול, אדום, מדיקפרו</t>
        </is>
      </c>
      <c r="C2406" t="inlineStr">
        <is>
          <t>מזרקים,מחטים,ונפלונים,סקלפלים</t>
        </is>
      </c>
      <c r="D2406" t="inlineStr">
        <is>
          <t>2464</t>
        </is>
      </c>
      <c r="E2406" t="inlineStr">
        <is>
          <t>2026-06</t>
        </is>
      </c>
      <c r="F2406" t="n">
        <v>4.58</v>
      </c>
      <c r="G2406" t="n">
        <v>5.4</v>
      </c>
      <c r="H2406">
        <f>הגדרות!B7</f>
        <v/>
      </c>
      <c r="I2406">
        <f>F2406*(1-H2406/100)*1.18</f>
        <v/>
      </c>
      <c r="J2406">
        <f>הגדרות!C7</f>
        <v/>
      </c>
      <c r="K2406">
        <f>הגדרות!D7</f>
        <v/>
      </c>
      <c r="L2406">
        <f>I2406*(1+J2406/100)+K2406</f>
        <v/>
      </c>
    </row>
    <row r="2407">
      <c r="A2407" t="inlineStr">
        <is>
          <t>מדי-מרקט</t>
        </is>
      </c>
      <c r="B2407" t="inlineStr">
        <is>
          <t>דלי להשמדת פסולת רפואית 7 לי' עגול, אדום, מדיקפרו</t>
        </is>
      </c>
      <c r="C2407" t="inlineStr">
        <is>
          <t>מזרקים,מחטים,ונפלונים,סקלפלים</t>
        </is>
      </c>
      <c r="D2407" t="inlineStr">
        <is>
          <t>2461</t>
        </is>
      </c>
      <c r="E2407" t="inlineStr">
        <is>
          <t>2026-06</t>
        </is>
      </c>
      <c r="F2407" t="n">
        <v>7.54</v>
      </c>
      <c r="G2407" t="n">
        <v>8.9</v>
      </c>
      <c r="H2407">
        <f>הגדרות!B7</f>
        <v/>
      </c>
      <c r="I2407">
        <f>F2407*(1-H2407/100)*1.18</f>
        <v/>
      </c>
      <c r="J2407">
        <f>הגדרות!C7</f>
        <v/>
      </c>
      <c r="K2407">
        <f>הגדרות!D7</f>
        <v/>
      </c>
      <c r="L2407">
        <f>I2407*(1+J2407/100)+K2407</f>
        <v/>
      </c>
    </row>
    <row r="2408">
      <c r="A2408" t="inlineStr">
        <is>
          <t>מדי-מרקט</t>
        </is>
      </c>
      <c r="B2408" t="inlineStr">
        <is>
          <t>דלי להשמדת פסולת רפואית ציטוטוקסי 7 לי' עגול, ירוק, מדיקפרו</t>
        </is>
      </c>
      <c r="C2408" t="inlineStr">
        <is>
          <t>מזרקים,מחטים,ונפלונים,סקלפלים</t>
        </is>
      </c>
      <c r="D2408" t="inlineStr">
        <is>
          <t>2461-1</t>
        </is>
      </c>
      <c r="E2408" t="inlineStr">
        <is>
          <t>2026-06</t>
        </is>
      </c>
      <c r="F2408" t="n">
        <v>7.75</v>
      </c>
      <c r="G2408" t="n">
        <v>9.15</v>
      </c>
      <c r="H2408">
        <f>הגדרות!B7</f>
        <v/>
      </c>
      <c r="I2408">
        <f>F2408*(1-H2408/100)*1.18</f>
        <v/>
      </c>
      <c r="J2408">
        <f>הגדרות!C7</f>
        <v/>
      </c>
      <c r="K2408">
        <f>הגדרות!D7</f>
        <v/>
      </c>
      <c r="L2408">
        <f>I2408*(1+J2408/100)+K2408</f>
        <v/>
      </c>
    </row>
    <row r="2409">
      <c r="A2409" t="inlineStr">
        <is>
          <t>מדי-מרקט</t>
        </is>
      </c>
      <c r="B2409" t="inlineStr">
        <is>
          <t>דנטל יוניט YOULAN כוללת מדחס פנימי עם כל האביזרים</t>
        </is>
      </c>
      <c r="C2409" t="inlineStr">
        <is>
          <t>דנטלי</t>
        </is>
      </c>
      <c r="D2409" t="inlineStr">
        <is>
          <t>Prodx4</t>
        </is>
      </c>
      <c r="E2409" t="inlineStr">
        <is>
          <t>2026-06</t>
        </is>
      </c>
      <c r="F2409" t="n">
        <v>10084.75</v>
      </c>
      <c r="G2409" t="n">
        <v>11900</v>
      </c>
      <c r="H2409">
        <f>הגדרות!B7</f>
        <v/>
      </c>
      <c r="I2409">
        <f>F2409*(1-H2409/100)*1.18</f>
        <v/>
      </c>
      <c r="J2409">
        <f>הגדרות!C7</f>
        <v/>
      </c>
      <c r="K2409">
        <f>הגדרות!D7</f>
        <v/>
      </c>
      <c r="L2409">
        <f>I2409*(1+J2409/100)+K2409</f>
        <v/>
      </c>
    </row>
    <row r="2410">
      <c r="A2410" t="inlineStr">
        <is>
          <t>מדי-מרקט</t>
        </is>
      </c>
      <c r="B2410" t="inlineStr">
        <is>
          <t>דפיברילטור Powerheart AED G3</t>
        </is>
      </c>
      <c r="C2410" t="inlineStr">
        <is>
          <t>ציוד ומכשור רפואי</t>
        </is>
      </c>
      <c r="D2410" t="inlineStr">
        <is>
          <t>196865</t>
        </is>
      </c>
      <c r="E2410" t="inlineStr">
        <is>
          <t>2026-06</t>
        </is>
      </c>
      <c r="F2410" t="n">
        <v>5135.59</v>
      </c>
      <c r="G2410" t="n">
        <v>6060</v>
      </c>
      <c r="H2410">
        <f>הגדרות!B7</f>
        <v/>
      </c>
      <c r="I2410">
        <f>F2410*(1-H2410/100)*1.18</f>
        <v/>
      </c>
      <c r="J2410">
        <f>הגדרות!C7</f>
        <v/>
      </c>
      <c r="K2410">
        <f>הגדרות!D7</f>
        <v/>
      </c>
      <c r="L2410">
        <f>I2410*(1+J2410/100)+K2410</f>
        <v/>
      </c>
    </row>
    <row r="2411">
      <c r="A2411" t="inlineStr">
        <is>
          <t>מדי-מרקט</t>
        </is>
      </c>
      <c r="B2411" t="inlineStr">
        <is>
          <t>דפיברילטור ללא צג ViVest PowerBeat X1</t>
        </is>
      </c>
      <c r="C2411" t="inlineStr">
        <is>
          <t>ציוד ומכשור רפואי</t>
        </is>
      </c>
      <c r="D2411" t="inlineStr">
        <is>
          <t>216915</t>
        </is>
      </c>
      <c r="E2411" t="inlineStr">
        <is>
          <t>2026-06</t>
        </is>
      </c>
      <c r="F2411" t="n">
        <v>2966.1</v>
      </c>
      <c r="G2411" t="n">
        <v>3500</v>
      </c>
      <c r="H2411">
        <f>הגדרות!B7</f>
        <v/>
      </c>
      <c r="I2411">
        <f>F2411*(1-H2411/100)*1.18</f>
        <v/>
      </c>
      <c r="J2411">
        <f>הגדרות!C7</f>
        <v/>
      </c>
      <c r="K2411">
        <f>הגדרות!D7</f>
        <v/>
      </c>
      <c r="L2411">
        <f>I2411*(1+J2411/100)+K2411</f>
        <v/>
      </c>
    </row>
    <row r="2412">
      <c r="A2412" t="inlineStr">
        <is>
          <t>מדי-מרקט</t>
        </is>
      </c>
      <c r="B2412" t="inlineStr">
        <is>
          <t>דפיברילטור פיליפס HeartStart HS1 9300E-529</t>
        </is>
      </c>
      <c r="C2412" t="inlineStr">
        <is>
          <t>ציוד ומכשור רפואי</t>
        </is>
      </c>
      <c r="D2412" t="inlineStr">
        <is>
          <t>M5066AA</t>
        </is>
      </c>
      <c r="E2412" t="inlineStr">
        <is>
          <t>2026-06</t>
        </is>
      </c>
      <c r="F2412" t="n">
        <v>3305.08</v>
      </c>
      <c r="G2412" t="n">
        <v>3900</v>
      </c>
      <c r="H2412">
        <f>הגדרות!B7</f>
        <v/>
      </c>
      <c r="I2412">
        <f>F2412*(1-H2412/100)*1.18</f>
        <v/>
      </c>
      <c r="J2412">
        <f>הגדרות!C7</f>
        <v/>
      </c>
      <c r="K2412">
        <f>הגדרות!D7</f>
        <v/>
      </c>
      <c r="L2412">
        <f>I2412*(1+J2412/100)+K2412</f>
        <v/>
      </c>
    </row>
    <row r="2413">
      <c r="A2413" t="inlineStr">
        <is>
          <t>מדי-מרקט</t>
        </is>
      </c>
      <c r="B2413" t="inlineStr">
        <is>
          <t>דקלין לניקוי העור לפני חבישה 125 מל'</t>
        </is>
      </c>
      <c r="C2413" t="inlineStr">
        <is>
          <t>ציוד ומכשור רפואי</t>
        </is>
      </c>
      <c r="D2413" t="inlineStr">
        <is>
          <t>1003060</t>
        </is>
      </c>
      <c r="E2413" t="inlineStr">
        <is>
          <t>2026-06</t>
        </is>
      </c>
      <c r="F2413" t="n">
        <v>16.61</v>
      </c>
      <c r="G2413" t="n">
        <v>19.6</v>
      </c>
      <c r="H2413">
        <f>הגדרות!B7</f>
        <v/>
      </c>
      <c r="I2413">
        <f>F2413*(1-H2413/100)*1.18</f>
        <v/>
      </c>
      <c r="J2413">
        <f>הגדרות!C7</f>
        <v/>
      </c>
      <c r="K2413">
        <f>הגדרות!D7</f>
        <v/>
      </c>
      <c r="L2413">
        <f>I2413*(1+J2413/100)+K2413</f>
        <v/>
      </c>
    </row>
    <row r="2414">
      <c r="A2414" t="inlineStr">
        <is>
          <t>מדי-מרקט</t>
        </is>
      </c>
      <c r="B2414" t="inlineStr">
        <is>
          <t>דקסמיפ 4 מג/מל 50 מל DEXAMIP VET 4 MG/ML</t>
        </is>
      </c>
      <c r="C2414" t="inlineStr">
        <is>
          <t>תרופות</t>
        </is>
      </c>
      <c r="D2414" t="inlineStr">
        <is>
          <t>39703</t>
        </is>
      </c>
      <c r="E2414" t="inlineStr">
        <is>
          <t>2026-06</t>
        </is>
      </c>
      <c r="F2414" t="n">
        <v>101.69</v>
      </c>
      <c r="G2414" t="n">
        <v>120</v>
      </c>
      <c r="H2414">
        <f>הגדרות!B7</f>
        <v/>
      </c>
      <c r="I2414">
        <f>F2414*(1-H2414/100)*1.18</f>
        <v/>
      </c>
      <c r="J2414">
        <f>הגדרות!C7</f>
        <v/>
      </c>
      <c r="K2414">
        <f>הגדרות!D7</f>
        <v/>
      </c>
      <c r="L2414">
        <f>I2414*(1+J2414/100)+K2414</f>
        <v/>
      </c>
    </row>
    <row r="2415">
      <c r="A2415" t="inlineStr">
        <is>
          <t>מדי-מרקט</t>
        </is>
      </c>
      <c r="B2415" t="inlineStr">
        <is>
          <t>דרמהגרן (ירוק) DERMAGRAN DH-03G ג'ל 85 גרם</t>
        </is>
      </c>
      <c r="C2415" t="inlineStr">
        <is>
          <t>מוצרי חיטוי ואנטיספטיקה</t>
        </is>
      </c>
      <c r="D2415" t="inlineStr">
        <is>
          <t>14953</t>
        </is>
      </c>
      <c r="E2415" t="inlineStr">
        <is>
          <t>2026-06</t>
        </is>
      </c>
      <c r="F2415" t="n">
        <v>20.04</v>
      </c>
      <c r="G2415" t="n">
        <v>23.65</v>
      </c>
      <c r="H2415">
        <f>הגדרות!B7</f>
        <v/>
      </c>
      <c r="I2415">
        <f>F2415*(1-H2415/100)*1.18</f>
        <v/>
      </c>
      <c r="J2415">
        <f>הגדרות!C7</f>
        <v/>
      </c>
      <c r="K2415">
        <f>הגדרות!D7</f>
        <v/>
      </c>
      <c r="L2415">
        <f>I2415*(1+J2415/100)+K2415</f>
        <v/>
      </c>
    </row>
    <row r="2416">
      <c r="A2416" t="inlineStr">
        <is>
          <t>מדי-מרקט</t>
        </is>
      </c>
      <c r="B2416" t="inlineStr">
        <is>
          <t>דרמהגרן בי(כחול) DERMAGRAN-B SPD-03 משחה 85 גרם</t>
        </is>
      </c>
      <c r="C2416" t="inlineStr">
        <is>
          <t>מוצרי חיטוי ואנטיספטיקה</t>
        </is>
      </c>
      <c r="D2416" t="inlineStr">
        <is>
          <t>87964</t>
        </is>
      </c>
      <c r="E2416" t="inlineStr">
        <is>
          <t>2026-06</t>
        </is>
      </c>
      <c r="F2416" t="n">
        <v>23.64</v>
      </c>
      <c r="G2416" t="n">
        <v>27.9</v>
      </c>
      <c r="H2416">
        <f>הגדרות!B7</f>
        <v/>
      </c>
      <c r="I2416">
        <f>F2416*(1-H2416/100)*1.18</f>
        <v/>
      </c>
      <c r="J2416">
        <f>הגדרות!C7</f>
        <v/>
      </c>
      <c r="K2416">
        <f>הגדרות!D7</f>
        <v/>
      </c>
      <c r="L2416">
        <f>I2416*(1+J2416/100)+K2416</f>
        <v/>
      </c>
    </row>
    <row r="2417">
      <c r="A2417" t="inlineStr">
        <is>
          <t>מדי-מרקט</t>
        </is>
      </c>
      <c r="B2417" t="inlineStr">
        <is>
          <t>דרקסין Draxxin Injectable Solution 50 Ml</t>
        </is>
      </c>
      <c r="C2417" t="inlineStr">
        <is>
          <t>תרופות</t>
        </is>
      </c>
      <c r="D2417" t="inlineStr">
        <is>
          <t>63521</t>
        </is>
      </c>
      <c r="E2417" t="inlineStr">
        <is>
          <t>2026-06</t>
        </is>
      </c>
      <c r="F2417" t="n">
        <v>377.54</v>
      </c>
      <c r="G2417" t="n">
        <v>445.5</v>
      </c>
      <c r="H2417">
        <f>הגדרות!B7</f>
        <v/>
      </c>
      <c r="I2417">
        <f>F2417*(1-H2417/100)*1.18</f>
        <v/>
      </c>
      <c r="J2417">
        <f>הגדרות!C7</f>
        <v/>
      </c>
      <c r="K2417">
        <f>הגדרות!D7</f>
        <v/>
      </c>
      <c r="L2417">
        <f>I2417*(1+J2417/100)+K2417</f>
        <v/>
      </c>
    </row>
    <row r="2418">
      <c r="A2418" t="inlineStr">
        <is>
          <t>מדי-מרקט</t>
        </is>
      </c>
      <c r="B2418" t="inlineStr">
        <is>
          <t>הגדלה למיקרוסקופ אינפיניטי 100</t>
        </is>
      </c>
      <c r="C2418" t="inlineStr">
        <is>
          <t>מיקרוסקופים</t>
        </is>
      </c>
      <c r="D2418" t="inlineStr">
        <is>
          <t>A52.0906-100</t>
        </is>
      </c>
      <c r="E2418" t="inlineStr">
        <is>
          <t>2026-06</t>
        </is>
      </c>
      <c r="F2418" t="n">
        <v>635.59</v>
      </c>
      <c r="G2418" t="n">
        <v>750</v>
      </c>
      <c r="H2418">
        <f>הגדרות!B7</f>
        <v/>
      </c>
      <c r="I2418">
        <f>F2418*(1-H2418/100)*1.18</f>
        <v/>
      </c>
      <c r="J2418">
        <f>הגדרות!C7</f>
        <v/>
      </c>
      <c r="K2418">
        <f>הגדרות!D7</f>
        <v/>
      </c>
      <c r="L2418">
        <f>I2418*(1+J2418/100)+K2418</f>
        <v/>
      </c>
    </row>
    <row r="2419">
      <c r="A2419" t="inlineStr">
        <is>
          <t>מדי-מרקט</t>
        </is>
      </c>
      <c r="B2419" t="inlineStr">
        <is>
          <t>הולדר לואקוטיינר לואר לוק 200 יח' מק"ט 2069</t>
        </is>
      </c>
      <c r="C2419" t="inlineStr">
        <is>
          <t>ציוד מעבדתי</t>
        </is>
      </c>
      <c r="D2419" t="inlineStr">
        <is>
          <t>30750</t>
        </is>
      </c>
      <c r="E2419" t="inlineStr">
        <is>
          <t>2026-06</t>
        </is>
      </c>
      <c r="F2419" t="n">
        <v>75.42</v>
      </c>
      <c r="G2419" t="n">
        <v>89</v>
      </c>
      <c r="H2419">
        <f>הגדרות!B7</f>
        <v/>
      </c>
      <c r="I2419">
        <f>F2419*(1-H2419/100)*1.18</f>
        <v/>
      </c>
      <c r="J2419">
        <f>הגדרות!C7</f>
        <v/>
      </c>
      <c r="K2419">
        <f>הגדרות!D7</f>
        <v/>
      </c>
      <c r="L2419">
        <f>I2419*(1+J2419/100)+K2419</f>
        <v/>
      </c>
    </row>
    <row r="2420">
      <c r="A2420" t="inlineStr">
        <is>
          <t>מדי-מרקט</t>
        </is>
      </c>
      <c r="B2420" t="inlineStr">
        <is>
          <t>הולדר לואקוטיינר לואר סליפ 200 יח',מדיקפרו</t>
        </is>
      </c>
      <c r="C2420" t="inlineStr">
        <is>
          <t>ציוד מעבדתי</t>
        </is>
      </c>
      <c r="D2420" t="inlineStr">
        <is>
          <t>450221</t>
        </is>
      </c>
      <c r="E2420" t="inlineStr">
        <is>
          <t>2026-06</t>
        </is>
      </c>
      <c r="F2420" t="n">
        <v>97.45999999999999</v>
      </c>
      <c r="G2420" t="n">
        <v>115</v>
      </c>
      <c r="H2420">
        <f>הגדרות!B7</f>
        <v/>
      </c>
      <c r="I2420">
        <f>F2420*(1-H2420/100)*1.18</f>
        <v/>
      </c>
      <c r="J2420">
        <f>הגדרות!C7</f>
        <v/>
      </c>
      <c r="K2420">
        <f>הגדרות!D7</f>
        <v/>
      </c>
      <c r="L2420">
        <f>I2420*(1+J2420/100)+K2420</f>
        <v/>
      </c>
    </row>
    <row r="2421">
      <c r="A2421" t="inlineStr">
        <is>
          <t>מדי-מרקט</t>
        </is>
      </c>
      <c r="B2421" t="inlineStr">
        <is>
          <t>היסטואקריל להדבקת חתכים 5 אמפ' 0.5 מ"ל</t>
        </is>
      </c>
      <c r="C2421" t="inlineStr">
        <is>
          <t>תרופות</t>
        </is>
      </c>
      <c r="D2421" t="inlineStr">
        <is>
          <t>49785</t>
        </is>
      </c>
      <c r="E2421" t="inlineStr">
        <is>
          <t>2026-06</t>
        </is>
      </c>
      <c r="F2421" t="n">
        <v>266.73</v>
      </c>
      <c r="G2421" t="n">
        <v>314.74</v>
      </c>
      <c r="H2421">
        <f>הגדרות!B7</f>
        <v/>
      </c>
      <c r="I2421">
        <f>F2421*(1-H2421/100)*1.18</f>
        <v/>
      </c>
      <c r="J2421">
        <f>הגדרות!C7</f>
        <v/>
      </c>
      <c r="K2421">
        <f>הגדרות!D7</f>
        <v/>
      </c>
      <c r="L2421">
        <f>I2421*(1+J2421/100)+K2421</f>
        <v/>
      </c>
    </row>
    <row r="2422">
      <c r="A2422" t="inlineStr">
        <is>
          <t>מדי-מרקט</t>
        </is>
      </c>
      <c r="B2422" t="inlineStr">
        <is>
          <t>הקסידיל שטיפת פה בטעם מנטה Hexidyl Alcohol 300ml</t>
        </is>
      </c>
      <c r="C2422" t="inlineStr">
        <is>
          <t>תרופות</t>
        </is>
      </c>
      <c r="D2422" t="inlineStr">
        <is>
          <t>36978</t>
        </is>
      </c>
      <c r="E2422" t="inlineStr">
        <is>
          <t>2026-06</t>
        </is>
      </c>
      <c r="F2422" t="n">
        <v>10.59</v>
      </c>
      <c r="G2422" t="n">
        <v>12.5</v>
      </c>
      <c r="H2422">
        <f>הגדרות!B7</f>
        <v/>
      </c>
      <c r="I2422">
        <f>F2422*(1-H2422/100)*1.18</f>
        <v/>
      </c>
      <c r="J2422">
        <f>הגדרות!C7</f>
        <v/>
      </c>
      <c r="K2422">
        <f>הגדרות!D7</f>
        <v/>
      </c>
      <c r="L2422">
        <f>I2422*(1+J2422/100)+K2422</f>
        <v/>
      </c>
    </row>
    <row r="2423">
      <c r="A2423" t="inlineStr">
        <is>
          <t>מדי-מרקט</t>
        </is>
      </c>
      <c r="B2423" t="inlineStr">
        <is>
          <t>הרטמן -  LACTATED RINGER IV.HARTMAN 1L Bag</t>
        </is>
      </c>
      <c r="C2423" t="inlineStr">
        <is>
          <t>תמיסות לעירוי ושטיפה</t>
        </is>
      </c>
      <c r="D2423" t="inlineStr">
        <is>
          <t>1890</t>
        </is>
      </c>
      <c r="E2423" t="inlineStr">
        <is>
          <t>2026-06</t>
        </is>
      </c>
      <c r="F2423" t="n">
        <v>9.27</v>
      </c>
      <c r="G2423" t="n">
        <v>10.94</v>
      </c>
      <c r="H2423">
        <f>הגדרות!B7</f>
        <v/>
      </c>
      <c r="I2423">
        <f>F2423*(1-H2423/100)*1.18</f>
        <v/>
      </c>
      <c r="J2423">
        <f>הגדרות!C7</f>
        <v/>
      </c>
      <c r="K2423">
        <f>הגדרות!D7</f>
        <v/>
      </c>
      <c r="L2423">
        <f>I2423*(1+J2423/100)+K2423</f>
        <v/>
      </c>
    </row>
    <row r="2424">
      <c r="A2424" t="inlineStr">
        <is>
          <t>מדי-מרקט</t>
        </is>
      </c>
      <c r="B2424" t="inlineStr">
        <is>
          <t>הרטמן -  LACTATED RINGER IV.HARTMAN 500ML Bag</t>
        </is>
      </c>
      <c r="C2424" t="inlineStr">
        <is>
          <t>תמיסות לעירוי ושטיפה</t>
        </is>
      </c>
      <c r="D2424" t="inlineStr">
        <is>
          <t>1888</t>
        </is>
      </c>
      <c r="E2424" t="inlineStr">
        <is>
          <t>2026-06</t>
        </is>
      </c>
      <c r="F2424" t="n">
        <v>6.78</v>
      </c>
      <c r="G2424" t="n">
        <v>8</v>
      </c>
      <c r="H2424">
        <f>הגדרות!B7</f>
        <v/>
      </c>
      <c r="I2424">
        <f>F2424*(1-H2424/100)*1.18</f>
        <v/>
      </c>
      <c r="J2424">
        <f>הגדרות!C7</f>
        <v/>
      </c>
      <c r="K2424">
        <f>הגדרות!D7</f>
        <v/>
      </c>
      <c r="L2424">
        <f>I2424*(1+J2424/100)+K2424</f>
        <v/>
      </c>
    </row>
    <row r="2425">
      <c r="A2425" t="inlineStr">
        <is>
          <t>מדי-מרקט</t>
        </is>
      </c>
      <c r="B2425" t="inlineStr">
        <is>
          <t>וולוסט מדיקפרו 150 מ"ל ,1 יח' (ביורטה)</t>
        </is>
      </c>
      <c r="C2425" t="inlineStr">
        <is>
          <t>ציוד מתכלה</t>
        </is>
      </c>
      <c r="D2425" t="inlineStr">
        <is>
          <t>500-022</t>
        </is>
      </c>
      <c r="E2425" t="inlineStr">
        <is>
          <t>2026-06</t>
        </is>
      </c>
      <c r="F2425" t="n">
        <v>2.75</v>
      </c>
      <c r="G2425" t="n">
        <v>3.25</v>
      </c>
      <c r="H2425">
        <f>הגדרות!B7</f>
        <v/>
      </c>
      <c r="I2425">
        <f>F2425*(1-H2425/100)*1.18</f>
        <v/>
      </c>
      <c r="J2425">
        <f>הגדרות!C7</f>
        <v/>
      </c>
      <c r="K2425">
        <f>הגדרות!D7</f>
        <v/>
      </c>
      <c r="L2425">
        <f>I2425*(1+J2425/100)+K2425</f>
        <v/>
      </c>
    </row>
    <row r="2426">
      <c r="A2426" t="inlineStr">
        <is>
          <t>מדי-מרקט</t>
        </is>
      </c>
      <c r="B2426" t="inlineStr">
        <is>
          <t>ווסת לבלון חמצן מאלומניום, חיבור 3/4, דין VST 9 - עבור 9/10</t>
        </is>
      </c>
      <c r="C2426" t="inlineStr">
        <is>
          <t>ציוד ומכשור רפואי</t>
        </is>
      </c>
      <c r="D2426" t="inlineStr">
        <is>
          <t>143</t>
        </is>
      </c>
      <c r="E2426" t="inlineStr">
        <is>
          <t>2026-06</t>
        </is>
      </c>
      <c r="F2426" t="n">
        <v>211.86</v>
      </c>
      <c r="G2426" t="n">
        <v>250</v>
      </c>
      <c r="H2426">
        <f>הגדרות!B7</f>
        <v/>
      </c>
      <c r="I2426">
        <f>F2426*(1-H2426/100)*1.18</f>
        <v/>
      </c>
      <c r="J2426">
        <f>הגדרות!C7</f>
        <v/>
      </c>
      <c r="K2426">
        <f>הגדרות!D7</f>
        <v/>
      </c>
      <c r="L2426">
        <f>I2426*(1+J2426/100)+K2426</f>
        <v/>
      </c>
    </row>
    <row r="2427">
      <c r="A2427" t="inlineStr">
        <is>
          <t>מדי-מרקט</t>
        </is>
      </c>
      <c r="B2427" t="inlineStr">
        <is>
          <t>ווסת לבלון חמצן פליז - עבור בלון 3 ו5 ליטר</t>
        </is>
      </c>
      <c r="C2427" t="inlineStr">
        <is>
          <t>ציוד ומכשור רפואי</t>
        </is>
      </c>
      <c r="D2427" t="inlineStr">
        <is>
          <t>21426</t>
        </is>
      </c>
      <c r="E2427" t="inlineStr">
        <is>
          <t>2026-06</t>
        </is>
      </c>
      <c r="F2427" t="n">
        <v>105.93</v>
      </c>
      <c r="G2427" t="n">
        <v>125</v>
      </c>
      <c r="H2427">
        <f>הגדרות!B7</f>
        <v/>
      </c>
      <c r="I2427">
        <f>F2427*(1-H2427/100)*1.18</f>
        <v/>
      </c>
      <c r="J2427">
        <f>הגדרות!C7</f>
        <v/>
      </c>
      <c r="K2427">
        <f>הגדרות!D7</f>
        <v/>
      </c>
      <c r="L2427">
        <f>I2427*(1+J2427/100)+K2427</f>
        <v/>
      </c>
    </row>
    <row r="2428">
      <c r="A2428" t="inlineStr">
        <is>
          <t>מדי-מרקט</t>
        </is>
      </c>
      <c r="B2428" t="inlineStr">
        <is>
          <t>וזלין 100 גרם רפואי בשפופרת פלוריש</t>
        </is>
      </c>
      <c r="C2428" t="inlineStr">
        <is>
          <t>תרופות</t>
        </is>
      </c>
      <c r="D2428" t="inlineStr">
        <is>
          <t>26996</t>
        </is>
      </c>
      <c r="E2428" t="inlineStr">
        <is>
          <t>2026-06</t>
        </is>
      </c>
      <c r="F2428" t="n">
        <v>9.039999999999999</v>
      </c>
      <c r="G2428" t="n">
        <v>10.67</v>
      </c>
      <c r="H2428">
        <f>הגדרות!B7</f>
        <v/>
      </c>
      <c r="I2428">
        <f>F2428*(1-H2428/100)*1.18</f>
        <v/>
      </c>
      <c r="J2428">
        <f>הגדרות!C7</f>
        <v/>
      </c>
      <c r="K2428">
        <f>הגדרות!D7</f>
        <v/>
      </c>
      <c r="L2428">
        <f>I2428*(1+J2428/100)+K2428</f>
        <v/>
      </c>
    </row>
    <row r="2429">
      <c r="A2429" t="inlineStr">
        <is>
          <t>מדי-מרקט</t>
        </is>
      </c>
      <c r="B2429" t="inlineStr">
        <is>
          <t>וזלין 100 מ"ל בצנצנת פטרולום טהור</t>
        </is>
      </c>
      <c r="C2429" t="inlineStr">
        <is>
          <t>מוצרי חיטוי ואנטיספטיקה</t>
        </is>
      </c>
      <c r="D2429" t="inlineStr">
        <is>
          <t>26997</t>
        </is>
      </c>
      <c r="E2429" t="inlineStr">
        <is>
          <t>2026-06</t>
        </is>
      </c>
      <c r="F2429" t="n">
        <v>6.64</v>
      </c>
      <c r="G2429" t="n">
        <v>7.83</v>
      </c>
      <c r="H2429">
        <f>הגדרות!B7</f>
        <v/>
      </c>
      <c r="I2429">
        <f>F2429*(1-H2429/100)*1.18</f>
        <v/>
      </c>
      <c r="J2429">
        <f>הגדרות!C7</f>
        <v/>
      </c>
      <c r="K2429">
        <f>הגדרות!D7</f>
        <v/>
      </c>
      <c r="L2429">
        <f>I2429*(1+J2429/100)+K2429</f>
        <v/>
      </c>
    </row>
    <row r="2430">
      <c r="A2430" t="inlineStr">
        <is>
          <t>מדי-מרקט</t>
        </is>
      </c>
      <c r="B2430" t="inlineStr">
        <is>
          <t>וזלין לבן 1 ליטר פטרולום טהור</t>
        </is>
      </c>
      <c r="C2430" t="inlineStr">
        <is>
          <t>מוצרי חיטוי ואנטיספטיקה</t>
        </is>
      </c>
      <c r="D2430" t="inlineStr">
        <is>
          <t>2581</t>
        </is>
      </c>
      <c r="E2430" t="inlineStr">
        <is>
          <t>2026-06</t>
        </is>
      </c>
      <c r="F2430" t="n">
        <v>22.8</v>
      </c>
      <c r="G2430" t="n">
        <v>26.9</v>
      </c>
      <c r="H2430">
        <f>הגדרות!B7</f>
        <v/>
      </c>
      <c r="I2430">
        <f>F2430*(1-H2430/100)*1.18</f>
        <v/>
      </c>
      <c r="J2430">
        <f>הגדרות!C7</f>
        <v/>
      </c>
      <c r="K2430">
        <f>הגדרות!D7</f>
        <v/>
      </c>
      <c r="L2430">
        <f>I2430*(1+J2430/100)+K2430</f>
        <v/>
      </c>
    </row>
    <row r="2431">
      <c r="A2431" t="inlineStr">
        <is>
          <t>מדי-מרקט</t>
        </is>
      </c>
      <c r="B2431" t="inlineStr">
        <is>
          <t>ויטמין 10 D-200 מ"ל טיפות</t>
        </is>
      </c>
      <c r="C2431" t="inlineStr">
        <is>
          <t>תרופות</t>
        </is>
      </c>
      <c r="D2431" t="inlineStr">
        <is>
          <t>73753</t>
        </is>
      </c>
      <c r="E2431" t="inlineStr">
        <is>
          <t>2026-06</t>
        </is>
      </c>
      <c r="F2431" t="n">
        <v>5.25</v>
      </c>
      <c r="G2431" t="n">
        <v>6.2</v>
      </c>
      <c r="H2431">
        <f>הגדרות!B7</f>
        <v/>
      </c>
      <c r="I2431">
        <f>F2431*(1-H2431/100)*1.18</f>
        <v/>
      </c>
      <c r="J2431">
        <f>הגדרות!C7</f>
        <v/>
      </c>
      <c r="K2431">
        <f>הגדרות!D7</f>
        <v/>
      </c>
      <c r="L2431">
        <f>I2431*(1+J2431/100)+K2431</f>
        <v/>
      </c>
    </row>
    <row r="2432">
      <c r="A2432" t="inlineStr">
        <is>
          <t>מדי-מרקט</t>
        </is>
      </c>
      <c r="B2432" t="inlineStr">
        <is>
          <t>ויטמין 15  D-1000 מ"ל טיפות</t>
        </is>
      </c>
      <c r="C2432" t="inlineStr">
        <is>
          <t>תרופות</t>
        </is>
      </c>
      <c r="D2432" t="inlineStr">
        <is>
          <t>73752</t>
        </is>
      </c>
      <c r="E2432" t="inlineStr">
        <is>
          <t>2026-06</t>
        </is>
      </c>
      <c r="F2432" t="n">
        <v>13.21</v>
      </c>
      <c r="G2432" t="n">
        <v>15.59</v>
      </c>
      <c r="H2432">
        <f>הגדרות!B7</f>
        <v/>
      </c>
      <c r="I2432">
        <f>F2432*(1-H2432/100)*1.18</f>
        <v/>
      </c>
      <c r="J2432">
        <f>הגדרות!C7</f>
        <v/>
      </c>
      <c r="K2432">
        <f>הגדרות!D7</f>
        <v/>
      </c>
      <c r="L2432">
        <f>I2432*(1+J2432/100)+K2432</f>
        <v/>
      </c>
    </row>
    <row r="2433">
      <c r="A2433" t="inlineStr">
        <is>
          <t>מדי-מרקט</t>
        </is>
      </c>
      <c r="B2433" t="inlineStr">
        <is>
          <t>ויטמין 15 D3-400 מ"ל טיפות</t>
        </is>
      </c>
      <c r="C2433" t="inlineStr">
        <is>
          <t>תרופות</t>
        </is>
      </c>
      <c r="D2433" t="inlineStr">
        <is>
          <t>21676</t>
        </is>
      </c>
      <c r="E2433" t="inlineStr">
        <is>
          <t>2026-06</t>
        </is>
      </c>
      <c r="F2433" t="n">
        <v>10.19</v>
      </c>
      <c r="G2433" t="n">
        <v>12.02</v>
      </c>
      <c r="H2433">
        <f>הגדרות!B7</f>
        <v/>
      </c>
      <c r="I2433">
        <f>F2433*(1-H2433/100)*1.18</f>
        <v/>
      </c>
      <c r="J2433">
        <f>הגדרות!C7</f>
        <v/>
      </c>
      <c r="K2433">
        <f>הגדרות!D7</f>
        <v/>
      </c>
      <c r="L2433">
        <f>I2433*(1+J2433/100)+K2433</f>
        <v/>
      </c>
    </row>
    <row r="2434">
      <c r="A2434" t="inlineStr">
        <is>
          <t>מדי-מרקט</t>
        </is>
      </c>
      <c r="B2434" t="inlineStr">
        <is>
          <t>ויטמין 90 X D3-1000 טבליות</t>
        </is>
      </c>
      <c r="C2434" t="inlineStr">
        <is>
          <t>תרופות</t>
        </is>
      </c>
      <c r="D2434" t="inlineStr">
        <is>
          <t>21676-2</t>
        </is>
      </c>
      <c r="E2434" t="inlineStr">
        <is>
          <t>2026-06</t>
        </is>
      </c>
      <c r="F2434" t="n">
        <v>18.64</v>
      </c>
      <c r="G2434" t="n">
        <v>22</v>
      </c>
      <c r="H2434">
        <f>הגדרות!B7</f>
        <v/>
      </c>
      <c r="I2434">
        <f>F2434*(1-H2434/100)*1.18</f>
        <v/>
      </c>
      <c r="J2434">
        <f>הגדרות!C7</f>
        <v/>
      </c>
      <c r="K2434">
        <f>הגדרות!D7</f>
        <v/>
      </c>
      <c r="L2434">
        <f>I2434*(1+J2434/100)+K2434</f>
        <v/>
      </c>
    </row>
    <row r="2435">
      <c r="A2435" t="inlineStr">
        <is>
          <t>מדי-מרקט</t>
        </is>
      </c>
      <c r="B2435" t="inlineStr">
        <is>
          <t>ויטמין 90 X D3-1000 לעיסה</t>
        </is>
      </c>
      <c r="C2435" t="inlineStr">
        <is>
          <t>תרופות</t>
        </is>
      </c>
      <c r="D2435" t="inlineStr">
        <is>
          <t>21676-3</t>
        </is>
      </c>
      <c r="E2435" t="inlineStr">
        <is>
          <t>2026-06</t>
        </is>
      </c>
      <c r="F2435" t="n">
        <v>15.08</v>
      </c>
      <c r="G2435" t="n">
        <v>17.8</v>
      </c>
      <c r="H2435">
        <f>הגדרות!B7</f>
        <v/>
      </c>
      <c r="I2435">
        <f>F2435*(1-H2435/100)*1.18</f>
        <v/>
      </c>
      <c r="J2435">
        <f>הגדרות!C7</f>
        <v/>
      </c>
      <c r="K2435">
        <f>הגדרות!D7</f>
        <v/>
      </c>
      <c r="L2435">
        <f>I2435*(1+J2435/100)+K2435</f>
        <v/>
      </c>
    </row>
    <row r="2436">
      <c r="A2436" t="inlineStr">
        <is>
          <t>מדי-מרקט</t>
        </is>
      </c>
      <c r="B2436" t="inlineStr">
        <is>
          <t>ויטמין B12 + חומצה פולית 60  X טבליות</t>
        </is>
      </c>
      <c r="C2436" t="inlineStr">
        <is>
          <t>תרופות</t>
        </is>
      </c>
      <c r="D2436" t="inlineStr">
        <is>
          <t>6532136</t>
        </is>
      </c>
      <c r="E2436" t="inlineStr">
        <is>
          <t>2026-06</t>
        </is>
      </c>
      <c r="F2436" t="n">
        <v>16.53</v>
      </c>
      <c r="G2436" t="n">
        <v>19.5</v>
      </c>
      <c r="H2436">
        <f>הגדרות!B7</f>
        <v/>
      </c>
      <c r="I2436">
        <f>F2436*(1-H2436/100)*1.18</f>
        <v/>
      </c>
      <c r="J2436">
        <f>הגדרות!C7</f>
        <v/>
      </c>
      <c r="K2436">
        <f>הגדרות!D7</f>
        <v/>
      </c>
      <c r="L2436">
        <f>I2436*(1+J2436/100)+K2436</f>
        <v/>
      </c>
    </row>
    <row r="2437">
      <c r="A2437" t="inlineStr">
        <is>
          <t>מדי-מרקט</t>
        </is>
      </c>
      <c r="B2437" t="inlineStr">
        <is>
          <t>ויטמין B12 סטרופ 1מ"ג/מ"ל 10 X אמפולות</t>
        </is>
      </c>
      <c r="C2437" t="inlineStr">
        <is>
          <t>תרופות</t>
        </is>
      </c>
      <c r="D2437" t="inlineStr">
        <is>
          <t>2829-1</t>
        </is>
      </c>
      <c r="E2437" t="inlineStr">
        <is>
          <t>2026-06</t>
        </is>
      </c>
      <c r="F2437" t="n">
        <v>25.75</v>
      </c>
      <c r="G2437" t="n">
        <v>30.38</v>
      </c>
      <c r="H2437">
        <f>הגדרות!B7</f>
        <v/>
      </c>
      <c r="I2437">
        <f>F2437*(1-H2437/100)*1.18</f>
        <v/>
      </c>
      <c r="J2437">
        <f>הגדרות!C7</f>
        <v/>
      </c>
      <c r="K2437">
        <f>הגדרות!D7</f>
        <v/>
      </c>
      <c r="L2437">
        <f>I2437*(1+J2437/100)+K2437</f>
        <v/>
      </c>
    </row>
    <row r="2438">
      <c r="A2438" t="inlineStr">
        <is>
          <t>מדי-מרקט</t>
        </is>
      </c>
      <c r="B2438" t="inlineStr">
        <is>
          <t>ויטמין E  אוויג'ל 200 טרי אוף לייף* 30 כמוסות</t>
        </is>
      </c>
      <c r="C2438" t="inlineStr">
        <is>
          <t>ויטמינים ויטה יאנג</t>
        </is>
      </c>
      <c r="D2438" t="inlineStr">
        <is>
          <t>4984</t>
        </is>
      </c>
      <c r="E2438" t="inlineStr">
        <is>
          <t>2026-06</t>
        </is>
      </c>
      <c r="F2438" t="n">
        <v>11.02</v>
      </c>
      <c r="G2438" t="n">
        <v>13</v>
      </c>
      <c r="H2438">
        <f>הגדרות!B7</f>
        <v/>
      </c>
      <c r="I2438">
        <f>F2438*(1-H2438/100)*1.18</f>
        <v/>
      </c>
      <c r="J2438">
        <f>הגדרות!C7</f>
        <v/>
      </c>
      <c r="K2438">
        <f>הגדרות!D7</f>
        <v/>
      </c>
      <c r="L2438">
        <f>I2438*(1+J2438/100)+K2438</f>
        <v/>
      </c>
    </row>
    <row r="2439">
      <c r="A2439" t="inlineStr">
        <is>
          <t>מדי-מרקט</t>
        </is>
      </c>
      <c r="B2439" t="inlineStr">
        <is>
          <t>ונפלון אורגינל 24 צהוב B.D 391350</t>
        </is>
      </c>
      <c r="C2439" t="inlineStr">
        <is>
          <t>מזרקים,מחטים,ונפלונים,סקלפלים</t>
        </is>
      </c>
      <c r="D2439" t="inlineStr">
        <is>
          <t>5034</t>
        </is>
      </c>
      <c r="E2439" t="inlineStr">
        <is>
          <t>2026-06</t>
        </is>
      </c>
      <c r="F2439" t="n">
        <v>4.63</v>
      </c>
      <c r="G2439" t="n">
        <v>5.46</v>
      </c>
      <c r="H2439">
        <f>הגדרות!B7</f>
        <v/>
      </c>
      <c r="I2439">
        <f>F2439*(1-H2439/100)*1.18</f>
        <v/>
      </c>
      <c r="J2439">
        <f>הגדרות!C7</f>
        <v/>
      </c>
      <c r="K2439">
        <f>הגדרות!D7</f>
        <v/>
      </c>
      <c r="L2439">
        <f>I2439*(1+J2439/100)+K2439</f>
        <v/>
      </c>
    </row>
    <row r="2440">
      <c r="A2440" t="inlineStr">
        <is>
          <t>מדי-מרקט</t>
        </is>
      </c>
      <c r="B2440" t="inlineStr">
        <is>
          <t>ונפלון אורגינל 26 G  סגול B.D</t>
        </is>
      </c>
      <c r="C2440" t="inlineStr">
        <is>
          <t>מזרקים,מחטים,ונפלונים,סקלפלים</t>
        </is>
      </c>
      <c r="D2440" t="inlineStr">
        <is>
          <t>14036</t>
        </is>
      </c>
      <c r="E2440" t="inlineStr">
        <is>
          <t>2026-06</t>
        </is>
      </c>
      <c r="F2440" t="n">
        <v>5.93</v>
      </c>
      <c r="G2440" t="n">
        <v>7</v>
      </c>
      <c r="H2440">
        <f>הגדרות!B7</f>
        <v/>
      </c>
      <c r="I2440">
        <f>F2440*(1-H2440/100)*1.18</f>
        <v/>
      </c>
      <c r="J2440">
        <f>הגדרות!C7</f>
        <v/>
      </c>
      <c r="K2440">
        <f>הגדרות!D7</f>
        <v/>
      </c>
      <c r="L2440">
        <f>I2440*(1+J2440/100)+K2440</f>
        <v/>
      </c>
    </row>
    <row r="2441">
      <c r="A2441" t="inlineStr">
        <is>
          <t>מדי-מרקט</t>
        </is>
      </c>
      <c r="B2441" t="inlineStr">
        <is>
          <t>ונפלון אורגינל BD ורוד BD391892</t>
        </is>
      </c>
      <c r="C2441" t="inlineStr">
        <is>
          <t>מזרקים,מחטים,ונפלונים,סקלפלים</t>
        </is>
      </c>
      <c r="D2441" t="inlineStr">
        <is>
          <t>2972</t>
        </is>
      </c>
      <c r="E2441" t="inlineStr">
        <is>
          <t>2026-06</t>
        </is>
      </c>
      <c r="F2441" t="n">
        <v>2.19</v>
      </c>
      <c r="G2441" t="n">
        <v>2.58</v>
      </c>
      <c r="H2441">
        <f>הגדרות!B7</f>
        <v/>
      </c>
      <c r="I2441">
        <f>F2441*(1-H2441/100)*1.18</f>
        <v/>
      </c>
      <c r="J2441">
        <f>הגדרות!C7</f>
        <v/>
      </c>
      <c r="K2441">
        <f>הגדרות!D7</f>
        <v/>
      </c>
      <c r="L2441">
        <f>I2441*(1+J2441/100)+K2441</f>
        <v/>
      </c>
    </row>
    <row r="2442">
      <c r="A2442" t="inlineStr">
        <is>
          <t>מדי-מרקט</t>
        </is>
      </c>
      <c r="B2442" t="inlineStr">
        <is>
          <t>ונפלון אורגינל BD ירוק 18 מק"ט 3240800148</t>
        </is>
      </c>
      <c r="C2442" t="inlineStr">
        <is>
          <t>מזרקים,מחטים,ונפלונים,סקלפלים</t>
        </is>
      </c>
      <c r="D2442" t="inlineStr">
        <is>
          <t>2978</t>
        </is>
      </c>
      <c r="E2442" t="inlineStr">
        <is>
          <t>2026-06</t>
        </is>
      </c>
      <c r="F2442" t="n">
        <v>2.12</v>
      </c>
      <c r="G2442" t="n">
        <v>2.5</v>
      </c>
      <c r="H2442">
        <f>הגדרות!B7</f>
        <v/>
      </c>
      <c r="I2442">
        <f>F2442*(1-H2442/100)*1.18</f>
        <v/>
      </c>
      <c r="J2442">
        <f>הגדרות!C7</f>
        <v/>
      </c>
      <c r="K2442">
        <f>הגדרות!D7</f>
        <v/>
      </c>
      <c r="L2442">
        <f>I2442*(1+J2442/100)+K2442</f>
        <v/>
      </c>
    </row>
    <row r="2443">
      <c r="A2443" t="inlineStr">
        <is>
          <t>מדי-מרקט</t>
        </is>
      </c>
      <c r="B2443" t="inlineStr">
        <is>
          <t>ונפלון אורגינל BD כחול BD391451 22</t>
        </is>
      </c>
      <c r="C2443" t="inlineStr">
        <is>
          <t>מזרקים,מחטים,ונפלונים,סקלפלים</t>
        </is>
      </c>
      <c r="D2443" t="inlineStr">
        <is>
          <t>2971</t>
        </is>
      </c>
      <c r="E2443" t="inlineStr">
        <is>
          <t>2026-06</t>
        </is>
      </c>
      <c r="F2443" t="n">
        <v>2.41</v>
      </c>
      <c r="G2443" t="n">
        <v>2.84</v>
      </c>
      <c r="H2443">
        <f>הגדרות!B7</f>
        <v/>
      </c>
      <c r="I2443">
        <f>F2443*(1-H2443/100)*1.18</f>
        <v/>
      </c>
      <c r="J2443">
        <f>הגדרות!C7</f>
        <v/>
      </c>
      <c r="K2443">
        <f>הגדרות!D7</f>
        <v/>
      </c>
      <c r="L2443">
        <f>I2443*(1+J2443/100)+K2443</f>
        <v/>
      </c>
    </row>
    <row r="2444">
      <c r="A2444" t="inlineStr">
        <is>
          <t>מדי-מרקט</t>
        </is>
      </c>
      <c r="B2444" t="inlineStr">
        <is>
          <t>ונפלון דלתא 1 יח' אפור G16</t>
        </is>
      </c>
      <c r="C2444" t="inlineStr">
        <is>
          <t>מזרקים,מחטים,ונפלונים,סקלפלים</t>
        </is>
      </c>
      <c r="D2444" t="inlineStr">
        <is>
          <t>3366</t>
        </is>
      </c>
      <c r="E2444" t="inlineStr">
        <is>
          <t>2026-06</t>
        </is>
      </c>
      <c r="F2444" t="n">
        <v>1.11</v>
      </c>
      <c r="G2444" t="n">
        <v>1.31</v>
      </c>
      <c r="H2444">
        <f>הגדרות!B7</f>
        <v/>
      </c>
      <c r="I2444">
        <f>F2444*(1-H2444/100)*1.18</f>
        <v/>
      </c>
      <c r="J2444">
        <f>הגדרות!C7</f>
        <v/>
      </c>
      <c r="K2444">
        <f>הגדרות!D7</f>
        <v/>
      </c>
      <c r="L2444">
        <f>I2444*(1+J2444/100)+K2444</f>
        <v/>
      </c>
    </row>
    <row r="2445">
      <c r="A2445" t="inlineStr">
        <is>
          <t>מדי-מרקט</t>
        </is>
      </c>
      <c r="B2445" t="inlineStr">
        <is>
          <t>ונפלון דלתא 1 יח' ורוד 20G</t>
        </is>
      </c>
      <c r="C2445" t="inlineStr">
        <is>
          <t>מזרקים,מחטים,ונפלונים,סקלפלים</t>
        </is>
      </c>
      <c r="D2445" t="inlineStr">
        <is>
          <t>3082</t>
        </is>
      </c>
      <c r="E2445" t="inlineStr">
        <is>
          <t>2026-06</t>
        </is>
      </c>
      <c r="F2445" t="n">
        <v>2.19</v>
      </c>
      <c r="G2445" t="n">
        <v>2.59</v>
      </c>
      <c r="H2445">
        <f>הגדרות!B7</f>
        <v/>
      </c>
      <c r="I2445">
        <f>F2445*(1-H2445/100)*1.18</f>
        <v/>
      </c>
      <c r="J2445">
        <f>הגדרות!C7</f>
        <v/>
      </c>
      <c r="K2445">
        <f>הגדרות!D7</f>
        <v/>
      </c>
      <c r="L2445">
        <f>I2445*(1+J2445/100)+K2445</f>
        <v/>
      </c>
    </row>
    <row r="2446">
      <c r="A2446" t="inlineStr">
        <is>
          <t>מדי-מרקט</t>
        </is>
      </c>
      <c r="B2446" t="inlineStr">
        <is>
          <t>ונפלון דלתא 1 יח' ירוק 18G</t>
        </is>
      </c>
      <c r="C2446" t="inlineStr">
        <is>
          <t>מזרקים,מחטים,ונפלונים,סקלפלים</t>
        </is>
      </c>
      <c r="D2446" t="inlineStr">
        <is>
          <t>4503</t>
        </is>
      </c>
      <c r="E2446" t="inlineStr">
        <is>
          <t>2026-06</t>
        </is>
      </c>
      <c r="F2446" t="n">
        <v>1.11</v>
      </c>
      <c r="G2446" t="n">
        <v>1.31</v>
      </c>
      <c r="H2446">
        <f>הגדרות!B7</f>
        <v/>
      </c>
      <c r="I2446">
        <f>F2446*(1-H2446/100)*1.18</f>
        <v/>
      </c>
      <c r="J2446">
        <f>הגדרות!C7</f>
        <v/>
      </c>
      <c r="K2446">
        <f>הגדרות!D7</f>
        <v/>
      </c>
      <c r="L2446">
        <f>I2446*(1+J2446/100)+K2446</f>
        <v/>
      </c>
    </row>
    <row r="2447">
      <c r="A2447" t="inlineStr">
        <is>
          <t>מדי-מרקט</t>
        </is>
      </c>
      <c r="B2447" t="inlineStr">
        <is>
          <t>ונפלון דלתא 1 יח' כחול 22G</t>
        </is>
      </c>
      <c r="C2447" t="inlineStr">
        <is>
          <t>מזרקים,מחטים,ונפלונים,סקלפלים</t>
        </is>
      </c>
      <c r="D2447" t="inlineStr">
        <is>
          <t>3481</t>
        </is>
      </c>
      <c r="E2447" t="inlineStr">
        <is>
          <t>2026-06</t>
        </is>
      </c>
      <c r="F2447" t="n">
        <v>1.11</v>
      </c>
      <c r="G2447" t="n">
        <v>1.31</v>
      </c>
      <c r="H2447">
        <f>הגדרות!B7</f>
        <v/>
      </c>
      <c r="I2447">
        <f>F2447*(1-H2447/100)*1.18</f>
        <v/>
      </c>
      <c r="J2447">
        <f>הגדרות!C7</f>
        <v/>
      </c>
      <c r="K2447">
        <f>הגדרות!D7</f>
        <v/>
      </c>
      <c r="L2447">
        <f>I2447*(1+J2447/100)+K2447</f>
        <v/>
      </c>
    </row>
    <row r="2448">
      <c r="A2448" t="inlineStr">
        <is>
          <t>מדי-מרקט</t>
        </is>
      </c>
      <c r="B2448" t="inlineStr">
        <is>
          <t>ונפלון דלתא 1 יח' כתום 14G</t>
        </is>
      </c>
      <c r="C2448" t="inlineStr">
        <is>
          <t>מזרקים,מחטים,ונפלונים,סקלפלים</t>
        </is>
      </c>
      <c r="D2448" t="inlineStr">
        <is>
          <t>4517</t>
        </is>
      </c>
      <c r="E2448" t="inlineStr">
        <is>
          <t>2026-06</t>
        </is>
      </c>
      <c r="F2448" t="n">
        <v>1.11</v>
      </c>
      <c r="G2448" t="n">
        <v>1.31</v>
      </c>
      <c r="H2448">
        <f>הגדרות!B7</f>
        <v/>
      </c>
      <c r="I2448">
        <f>F2448*(1-H2448/100)*1.18</f>
        <v/>
      </c>
      <c r="J2448">
        <f>הגדרות!C7</f>
        <v/>
      </c>
      <c r="K2448">
        <f>הגדרות!D7</f>
        <v/>
      </c>
      <c r="L2448">
        <f>I2448*(1+J2448/100)+K2448</f>
        <v/>
      </c>
    </row>
    <row r="2449">
      <c r="A2449" t="inlineStr">
        <is>
          <t>מדי-מרקט</t>
        </is>
      </c>
      <c r="B2449" t="inlineStr">
        <is>
          <t>ונפלון דלתא 1 יח' צהוב 24G</t>
        </is>
      </c>
      <c r="C2449" t="inlineStr">
        <is>
          <t>מזרקים,מחטים,ונפלונים,סקלפלים</t>
        </is>
      </c>
      <c r="D2449" t="inlineStr">
        <is>
          <t>3099</t>
        </is>
      </c>
      <c r="E2449" t="inlineStr">
        <is>
          <t>2026-06</t>
        </is>
      </c>
      <c r="F2449" t="n">
        <v>1.11</v>
      </c>
      <c r="G2449" t="n">
        <v>1.31</v>
      </c>
      <c r="H2449">
        <f>הגדרות!B7</f>
        <v/>
      </c>
      <c r="I2449">
        <f>F2449*(1-H2449/100)*1.18</f>
        <v/>
      </c>
      <c r="J2449">
        <f>הגדרות!C7</f>
        <v/>
      </c>
      <c r="K2449">
        <f>הגדרות!D7</f>
        <v/>
      </c>
      <c r="L2449">
        <f>I2449*(1+J2449/100)+K2449</f>
        <v/>
      </c>
    </row>
    <row r="2450">
      <c r="A2450" t="inlineStr">
        <is>
          <t>מדי-מרקט</t>
        </is>
      </c>
      <c r="B2450" t="inlineStr">
        <is>
          <t>ונפלון מדיקפרו/ואנוקט 14G כתום, 1 יח'</t>
        </is>
      </c>
      <c r="C2450" t="inlineStr">
        <is>
          <t>מזרקים,מחטים,ונפלונים,סקלפלים</t>
        </is>
      </c>
      <c r="D2450" t="inlineStr">
        <is>
          <t>9010601</t>
        </is>
      </c>
      <c r="E2450" t="inlineStr">
        <is>
          <t>2026-06</t>
        </is>
      </c>
      <c r="F2450" t="n">
        <v>0.59</v>
      </c>
      <c r="G2450" t="n">
        <v>0.7</v>
      </c>
      <c r="H2450">
        <f>הגדרות!B7</f>
        <v/>
      </c>
      <c r="I2450">
        <f>F2450*(1-H2450/100)*1.18</f>
        <v/>
      </c>
      <c r="J2450">
        <f>הגדרות!C7</f>
        <v/>
      </c>
      <c r="K2450">
        <f>הגדרות!D7</f>
        <v/>
      </c>
      <c r="L2450">
        <f>I2450*(1+J2450/100)+K2450</f>
        <v/>
      </c>
    </row>
    <row r="2451">
      <c r="A2451" t="inlineStr">
        <is>
          <t>מדי-מרקט</t>
        </is>
      </c>
      <c r="B2451" t="inlineStr">
        <is>
          <t>ונפלון מדיקפרו/ואנוקט 16G אפור, 1 יח'</t>
        </is>
      </c>
      <c r="C2451" t="inlineStr">
        <is>
          <t>מזרקים,מחטים,ונפלונים,סקלפלים</t>
        </is>
      </c>
      <c r="D2451" t="inlineStr">
        <is>
          <t>9010602</t>
        </is>
      </c>
      <c r="E2451" t="inlineStr">
        <is>
          <t>2026-06</t>
        </is>
      </c>
      <c r="F2451" t="n">
        <v>0.59</v>
      </c>
      <c r="G2451" t="n">
        <v>0.7</v>
      </c>
      <c r="H2451">
        <f>הגדרות!B7</f>
        <v/>
      </c>
      <c r="I2451">
        <f>F2451*(1-H2451/100)*1.18</f>
        <v/>
      </c>
      <c r="J2451">
        <f>הגדרות!C7</f>
        <v/>
      </c>
      <c r="K2451">
        <f>הגדרות!D7</f>
        <v/>
      </c>
      <c r="L2451">
        <f>I2451*(1+J2451/100)+K2451</f>
        <v/>
      </c>
    </row>
    <row r="2452">
      <c r="A2452" t="inlineStr">
        <is>
          <t>מדי-מרקט</t>
        </is>
      </c>
      <c r="B2452" t="inlineStr">
        <is>
          <t>ונפלון מדיקפרו/ואנוקט 17G לבן, 1 יח'</t>
        </is>
      </c>
      <c r="C2452" t="inlineStr">
        <is>
          <t>מזרקים,מחטים,ונפלונים,סקלפלים</t>
        </is>
      </c>
      <c r="D2452" t="inlineStr">
        <is>
          <t>9010603</t>
        </is>
      </c>
      <c r="E2452" t="inlineStr">
        <is>
          <t>2026-06</t>
        </is>
      </c>
      <c r="F2452" t="n">
        <v>0.59</v>
      </c>
      <c r="G2452" t="n">
        <v>0.7</v>
      </c>
      <c r="H2452">
        <f>הגדרות!B7</f>
        <v/>
      </c>
      <c r="I2452">
        <f>F2452*(1-H2452/100)*1.18</f>
        <v/>
      </c>
      <c r="J2452">
        <f>הגדרות!C7</f>
        <v/>
      </c>
      <c r="K2452">
        <f>הגדרות!D7</f>
        <v/>
      </c>
      <c r="L2452">
        <f>I2452*(1+J2452/100)+K2452</f>
        <v/>
      </c>
    </row>
    <row r="2453">
      <c r="A2453" t="inlineStr">
        <is>
          <t>מדי-מרקט</t>
        </is>
      </c>
      <c r="B2453" t="inlineStr">
        <is>
          <t>ונפלון מדיקפרו/ואנוקט 18G ירוק 1 יח'</t>
        </is>
      </c>
      <c r="C2453" t="inlineStr">
        <is>
          <t>מזרקים,מחטים,ונפלונים,סקלפלים</t>
        </is>
      </c>
      <c r="D2453" t="inlineStr">
        <is>
          <t>9010604</t>
        </is>
      </c>
      <c r="E2453" t="inlineStr">
        <is>
          <t>2026-06</t>
        </is>
      </c>
      <c r="F2453" t="n">
        <v>0.59</v>
      </c>
      <c r="G2453" t="n">
        <v>0.7</v>
      </c>
      <c r="H2453">
        <f>הגדרות!B7</f>
        <v/>
      </c>
      <c r="I2453">
        <f>F2453*(1-H2453/100)*1.18</f>
        <v/>
      </c>
      <c r="J2453">
        <f>הגדרות!C7</f>
        <v/>
      </c>
      <c r="K2453">
        <f>הגדרות!D7</f>
        <v/>
      </c>
      <c r="L2453">
        <f>I2453*(1+J2453/100)+K2453</f>
        <v/>
      </c>
    </row>
    <row r="2454">
      <c r="A2454" t="inlineStr">
        <is>
          <t>מדי-מרקט</t>
        </is>
      </c>
      <c r="B2454" t="inlineStr">
        <is>
          <t>ונפלון מדיקפרו/ואנוקט 20G ורוד, 1 יח'</t>
        </is>
      </c>
      <c r="C2454" t="inlineStr">
        <is>
          <t>מזרקים,מחטים,ונפלונים,סקלפלים</t>
        </is>
      </c>
      <c r="D2454" t="inlineStr">
        <is>
          <t>9010605</t>
        </is>
      </c>
      <c r="E2454" t="inlineStr">
        <is>
          <t>2026-06</t>
        </is>
      </c>
      <c r="F2454" t="n">
        <v>0.59</v>
      </c>
      <c r="G2454" t="n">
        <v>0.7</v>
      </c>
      <c r="H2454">
        <f>הגדרות!B7</f>
        <v/>
      </c>
      <c r="I2454">
        <f>F2454*(1-H2454/100)*1.18</f>
        <v/>
      </c>
      <c r="J2454">
        <f>הגדרות!C7</f>
        <v/>
      </c>
      <c r="K2454">
        <f>הגדרות!D7</f>
        <v/>
      </c>
      <c r="L2454">
        <f>I2454*(1+J2454/100)+K2454</f>
        <v/>
      </c>
    </row>
    <row r="2455">
      <c r="A2455" t="inlineStr">
        <is>
          <t>מדי-מרקט</t>
        </is>
      </c>
      <c r="B2455" t="inlineStr">
        <is>
          <t>ונפלון מדיקפרו/ואנוקט 22G כחול , 1 יח'</t>
        </is>
      </c>
      <c r="C2455" t="inlineStr">
        <is>
          <t>מזרקים,מחטים,ונפלונים,סקלפלים</t>
        </is>
      </c>
      <c r="D2455" t="inlineStr">
        <is>
          <t>9010606</t>
        </is>
      </c>
      <c r="E2455" t="inlineStr">
        <is>
          <t>2026-06</t>
        </is>
      </c>
      <c r="F2455" t="n">
        <v>0.59</v>
      </c>
      <c r="G2455" t="n">
        <v>0.7</v>
      </c>
      <c r="H2455">
        <f>הגדרות!B7</f>
        <v/>
      </c>
      <c r="I2455">
        <f>F2455*(1-H2455/100)*1.18</f>
        <v/>
      </c>
      <c r="J2455">
        <f>הגדרות!C7</f>
        <v/>
      </c>
      <c r="K2455">
        <f>הגדרות!D7</f>
        <v/>
      </c>
      <c r="L2455">
        <f>I2455*(1+J2455/100)+K2455</f>
        <v/>
      </c>
    </row>
    <row r="2456">
      <c r="A2456" t="inlineStr">
        <is>
          <t>מדי-מרקט</t>
        </is>
      </c>
      <c r="B2456" t="inlineStr">
        <is>
          <t>ונפלון מדיקפרו/ואנוקט 24G צהוב , 1 יח'</t>
        </is>
      </c>
      <c r="C2456" t="inlineStr">
        <is>
          <t>מזרקים,מחטים,ונפלונים,סקלפלים</t>
        </is>
      </c>
      <c r="D2456" t="inlineStr">
        <is>
          <t>9010607</t>
        </is>
      </c>
      <c r="E2456" t="inlineStr">
        <is>
          <t>2026-06</t>
        </is>
      </c>
      <c r="F2456" t="n">
        <v>0.59</v>
      </c>
      <c r="G2456" t="n">
        <v>0.7</v>
      </c>
      <c r="H2456">
        <f>הגדרות!B7</f>
        <v/>
      </c>
      <c r="I2456">
        <f>F2456*(1-H2456/100)*1.18</f>
        <v/>
      </c>
      <c r="J2456">
        <f>הגדרות!C7</f>
        <v/>
      </c>
      <c r="K2456">
        <f>הגדרות!D7</f>
        <v/>
      </c>
      <c r="L2456">
        <f>I2456*(1+J2456/100)+K2456</f>
        <v/>
      </c>
    </row>
    <row r="2457">
      <c r="A2457" t="inlineStr">
        <is>
          <t>מדי-מרקט</t>
        </is>
      </c>
      <c r="B2457" t="inlineStr">
        <is>
          <t>זויתן לפולישר דנטלי LK-N12P-1</t>
        </is>
      </c>
      <c r="C2457" t="inlineStr">
        <is>
          <t>דנטלי</t>
        </is>
      </c>
      <c r="D2457" t="inlineStr">
        <is>
          <t>57079</t>
        </is>
      </c>
      <c r="E2457" t="inlineStr">
        <is>
          <t>2026-06</t>
        </is>
      </c>
      <c r="F2457" t="n">
        <v>82.75</v>
      </c>
      <c r="G2457" t="n">
        <v>97.65000000000001</v>
      </c>
      <c r="H2457">
        <f>הגדרות!B7</f>
        <v/>
      </c>
      <c r="I2457">
        <f>F2457*(1-H2457/100)*1.18</f>
        <v/>
      </c>
      <c r="J2457">
        <f>הגדרות!C7</f>
        <v/>
      </c>
      <c r="K2457">
        <f>הגדרות!D7</f>
        <v/>
      </c>
      <c r="L2457">
        <f>I2457*(1+J2457/100)+K2457</f>
        <v/>
      </c>
    </row>
    <row r="2458">
      <c r="A2458" t="inlineStr">
        <is>
          <t>מדי-מרקט</t>
        </is>
      </c>
      <c r="B2458" t="inlineStr">
        <is>
          <t>זונדה דאודונל 125 ס"מ X-RAY מס' 10 שחור</t>
        </is>
      </c>
      <c r="C2458" t="inlineStr">
        <is>
          <t>ציוד מתכלה</t>
        </is>
      </c>
      <c r="D2458" t="inlineStr">
        <is>
          <t>3273</t>
        </is>
      </c>
      <c r="E2458" t="inlineStr">
        <is>
          <t>2026-06</t>
        </is>
      </c>
      <c r="F2458" t="n">
        <v>2.54</v>
      </c>
      <c r="G2458" t="n">
        <v>3</v>
      </c>
      <c r="H2458">
        <f>הגדרות!B7</f>
        <v/>
      </c>
      <c r="I2458">
        <f>F2458*(1-H2458/100)*1.18</f>
        <v/>
      </c>
      <c r="J2458">
        <f>הגדרות!C7</f>
        <v/>
      </c>
      <c r="K2458">
        <f>הגדרות!D7</f>
        <v/>
      </c>
      <c r="L2458">
        <f>I2458*(1+J2458/100)+K2458</f>
        <v/>
      </c>
    </row>
    <row r="2459">
      <c r="A2459" t="inlineStr">
        <is>
          <t>מדי-מרקט</t>
        </is>
      </c>
      <c r="B2459" t="inlineStr">
        <is>
          <t>זונדה דאודונל 125 ס"מ X-RAY מס' 12 לבן</t>
        </is>
      </c>
      <c r="C2459" t="inlineStr">
        <is>
          <t>ציוד מתכלה</t>
        </is>
      </c>
      <c r="D2459" t="inlineStr">
        <is>
          <t>3275</t>
        </is>
      </c>
      <c r="E2459" t="inlineStr">
        <is>
          <t>2026-06</t>
        </is>
      </c>
      <c r="F2459" t="n">
        <v>0.98</v>
      </c>
      <c r="G2459" t="n">
        <v>1.16</v>
      </c>
      <c r="H2459">
        <f>הגדרות!B7</f>
        <v/>
      </c>
      <c r="I2459">
        <f>F2459*(1-H2459/100)*1.18</f>
        <v/>
      </c>
      <c r="J2459">
        <f>הגדרות!C7</f>
        <v/>
      </c>
      <c r="K2459">
        <f>הגדרות!D7</f>
        <v/>
      </c>
      <c r="L2459">
        <f>I2459*(1+J2459/100)+K2459</f>
        <v/>
      </c>
    </row>
    <row r="2460">
      <c r="A2460" t="inlineStr">
        <is>
          <t>מדי-מרקט</t>
        </is>
      </c>
      <c r="B2460" t="inlineStr">
        <is>
          <t>זונדה דאודונל 125 ס"מ X-RAY מס' 8 כחול</t>
        </is>
      </c>
      <c r="C2460" t="inlineStr">
        <is>
          <t>ציוד מתכלה</t>
        </is>
      </c>
      <c r="D2460" t="inlineStr">
        <is>
          <t>3272</t>
        </is>
      </c>
      <c r="E2460" t="inlineStr">
        <is>
          <t>2026-06</t>
        </is>
      </c>
      <c r="F2460" t="n">
        <v>1.89</v>
      </c>
      <c r="G2460" t="n">
        <v>2.23</v>
      </c>
      <c r="H2460">
        <f>הגדרות!B7</f>
        <v/>
      </c>
      <c r="I2460">
        <f>F2460*(1-H2460/100)*1.18</f>
        <v/>
      </c>
      <c r="J2460">
        <f>הגדרות!C7</f>
        <v/>
      </c>
      <c r="K2460">
        <f>הגדרות!D7</f>
        <v/>
      </c>
      <c r="L2460">
        <f>I2460*(1+J2460/100)+K2460</f>
        <v/>
      </c>
    </row>
    <row r="2461">
      <c r="A2461" t="inlineStr">
        <is>
          <t>מדי-מרקט</t>
        </is>
      </c>
      <c r="B2461" t="inlineStr">
        <is>
          <t>זינקוד Zincod 40G Oint</t>
        </is>
      </c>
      <c r="C2461" t="inlineStr">
        <is>
          <t>תרופות</t>
        </is>
      </c>
      <c r="D2461" t="inlineStr">
        <is>
          <t>45551</t>
        </is>
      </c>
      <c r="E2461" t="inlineStr">
        <is>
          <t>2026-06</t>
        </is>
      </c>
      <c r="F2461" t="n">
        <v>13.98</v>
      </c>
      <c r="G2461" t="n">
        <v>16.5</v>
      </c>
      <c r="H2461">
        <f>הגדרות!B7</f>
        <v/>
      </c>
      <c r="I2461">
        <f>F2461*(1-H2461/100)*1.18</f>
        <v/>
      </c>
      <c r="J2461">
        <f>הגדרות!C7</f>
        <v/>
      </c>
      <c r="K2461">
        <f>הגדרות!D7</f>
        <v/>
      </c>
      <c r="L2461">
        <f>I2461*(1+J2461/100)+K2461</f>
        <v/>
      </c>
    </row>
    <row r="2462">
      <c r="A2462" t="inlineStr">
        <is>
          <t>מדי-מרקט</t>
        </is>
      </c>
      <c r="B2462" t="inlineStr">
        <is>
          <t>זכוכית מכסה למיקרוסקופ 22*22 1000 יח'</t>
        </is>
      </c>
      <c r="C2462" t="inlineStr">
        <is>
          <t>ציוד מעבדתי</t>
        </is>
      </c>
      <c r="D2462" t="inlineStr">
        <is>
          <t>3095</t>
        </is>
      </c>
      <c r="E2462" t="inlineStr">
        <is>
          <t>2026-06</t>
        </is>
      </c>
      <c r="F2462" t="n">
        <v>13.88</v>
      </c>
      <c r="G2462" t="n">
        <v>16.38</v>
      </c>
      <c r="H2462">
        <f>הגדרות!B7</f>
        <v/>
      </c>
      <c r="I2462">
        <f>F2462*(1-H2462/100)*1.18</f>
        <v/>
      </c>
      <c r="J2462">
        <f>הגדרות!C7</f>
        <v/>
      </c>
      <c r="K2462">
        <f>הגדרות!D7</f>
        <v/>
      </c>
      <c r="L2462">
        <f>I2462*(1+J2462/100)+K2462</f>
        <v/>
      </c>
    </row>
    <row r="2463">
      <c r="A2463" t="inlineStr">
        <is>
          <t>מדי-מרקט</t>
        </is>
      </c>
      <c r="B2463" t="inlineStr">
        <is>
          <t>זכוכית נושא סטאר פרוסט פס לבן 50 יח'</t>
        </is>
      </c>
      <c r="C2463" t="inlineStr">
        <is>
          <t>ציוד מעבדתי</t>
        </is>
      </c>
      <c r="D2463" t="inlineStr">
        <is>
          <t>50-190</t>
        </is>
      </c>
      <c r="E2463" t="inlineStr">
        <is>
          <t>2026-06</t>
        </is>
      </c>
      <c r="F2463" t="n">
        <v>13.73</v>
      </c>
      <c r="G2463" t="n">
        <v>16.2</v>
      </c>
      <c r="H2463">
        <f>הגדרות!B7</f>
        <v/>
      </c>
      <c r="I2463">
        <f>F2463*(1-H2463/100)*1.18</f>
        <v/>
      </c>
      <c r="J2463">
        <f>הגדרות!C7</f>
        <v/>
      </c>
      <c r="K2463">
        <f>הגדרות!D7</f>
        <v/>
      </c>
      <c r="L2463">
        <f>I2463*(1+J2463/100)+K2463</f>
        <v/>
      </c>
    </row>
    <row r="2464">
      <c r="A2464" t="inlineStr">
        <is>
          <t>מדי-מרקט</t>
        </is>
      </c>
      <c r="B2464" t="inlineStr">
        <is>
          <t>חבישת הידרוקולואיד  10*10</t>
        </is>
      </c>
      <c r="C2464" t="inlineStr">
        <is>
          <t>ציוד ומכשור רפואי</t>
        </is>
      </c>
      <c r="D2464" t="inlineStr">
        <is>
          <t>3100213224</t>
        </is>
      </c>
      <c r="E2464" t="inlineStr">
        <is>
          <t>2026-06</t>
        </is>
      </c>
      <c r="F2464" t="n">
        <v>21.24</v>
      </c>
      <c r="G2464" t="n">
        <v>25.06</v>
      </c>
      <c r="H2464">
        <f>הגדרות!B7</f>
        <v/>
      </c>
      <c r="I2464">
        <f>F2464*(1-H2464/100)*1.18</f>
        <v/>
      </c>
      <c r="J2464">
        <f>הגדרות!C7</f>
        <v/>
      </c>
      <c r="K2464">
        <f>הגדרות!D7</f>
        <v/>
      </c>
      <c r="L2464">
        <f>I2464*(1+J2464/100)+K2464</f>
        <v/>
      </c>
    </row>
    <row r="2465">
      <c r="A2465" t="inlineStr">
        <is>
          <t>מדי-מרקט</t>
        </is>
      </c>
      <c r="B2465" t="inlineStr">
        <is>
          <t>חבישת חזה יבוא לביב</t>
        </is>
      </c>
      <c r="C2465" t="inlineStr">
        <is>
          <t>ציוד ומכשור רפואי</t>
        </is>
      </c>
      <c r="D2465" t="inlineStr">
        <is>
          <t>311045</t>
        </is>
      </c>
      <c r="E2465" t="inlineStr">
        <is>
          <t>2026-06</t>
        </is>
      </c>
      <c r="F2465" t="n">
        <v>65.25</v>
      </c>
      <c r="G2465" t="n">
        <v>77</v>
      </c>
      <c r="H2465">
        <f>הגדרות!B7</f>
        <v/>
      </c>
      <c r="I2465">
        <f>F2465*(1-H2465/100)*1.18</f>
        <v/>
      </c>
      <c r="J2465">
        <f>הגדרות!C7</f>
        <v/>
      </c>
      <c r="K2465">
        <f>הגדרות!D7</f>
        <v/>
      </c>
      <c r="L2465">
        <f>I2465*(1+J2465/100)+K2465</f>
        <v/>
      </c>
    </row>
    <row r="2466">
      <c r="A2466" t="inlineStr">
        <is>
          <t>מדי-מרקט</t>
        </is>
      </c>
      <c r="B2466" t="inlineStr">
        <is>
          <t>חגורת Cansin מגן ותומך בטן ומותניים מידה M יח' 1</t>
        </is>
      </c>
      <c r="C2466" t="inlineStr">
        <is>
          <t>מוצרי חבישה ופלסטרים</t>
        </is>
      </c>
      <c r="D2466" t="inlineStr">
        <is>
          <t>80-701</t>
        </is>
      </c>
      <c r="E2466" t="inlineStr">
        <is>
          <t>2026-06</t>
        </is>
      </c>
      <c r="F2466" t="n">
        <v>14.19</v>
      </c>
      <c r="G2466" t="n">
        <v>16.74</v>
      </c>
      <c r="H2466">
        <f>הגדרות!B7</f>
        <v/>
      </c>
      <c r="I2466">
        <f>F2466*(1-H2466/100)*1.18</f>
        <v/>
      </c>
      <c r="J2466">
        <f>הגדרות!C7</f>
        <v/>
      </c>
      <c r="K2466">
        <f>הגדרות!D7</f>
        <v/>
      </c>
      <c r="L2466">
        <f>I2466*(1+J2466/100)+K2466</f>
        <v/>
      </c>
    </row>
    <row r="2467">
      <c r="A2467" t="inlineStr">
        <is>
          <t>מדי-מרקט</t>
        </is>
      </c>
      <c r="B2467" t="inlineStr">
        <is>
          <t>חגורת אלקטרודות חזה דגם אוניברסלי תפוז ל-א.ק.ג</t>
        </is>
      </c>
      <c r="C2467" t="inlineStr">
        <is>
          <t>ציוד ומכשור רפואי</t>
        </is>
      </c>
      <c r="D2467" t="inlineStr">
        <is>
          <t>700039</t>
        </is>
      </c>
      <c r="E2467" t="inlineStr">
        <is>
          <t>2026-06</t>
        </is>
      </c>
      <c r="F2467" t="n">
        <v>1830.51</v>
      </c>
      <c r="G2467" t="n">
        <v>2160</v>
      </c>
      <c r="H2467">
        <f>הגדרות!B7</f>
        <v/>
      </c>
      <c r="I2467">
        <f>F2467*(1-H2467/100)*1.18</f>
        <v/>
      </c>
      <c r="J2467">
        <f>הגדרות!C7</f>
        <v/>
      </c>
      <c r="K2467">
        <f>הגדרות!D7</f>
        <v/>
      </c>
      <c r="L2467">
        <f>I2467*(1+J2467/100)+K2467</f>
        <v/>
      </c>
    </row>
    <row r="2468">
      <c r="A2468" t="inlineStr">
        <is>
          <t>מדי-מרקט</t>
        </is>
      </c>
      <c r="B2468" t="inlineStr">
        <is>
          <t>חוט תפירה כרומיק בקסטה 0 נמס 100 SMI מטר</t>
        </is>
      </c>
      <c r="C2468" t="inlineStr">
        <is>
          <t>חוטי תפירה ASSUT + SMI</t>
        </is>
      </c>
      <c r="D2468" t="inlineStr">
        <is>
          <t>4644</t>
        </is>
      </c>
      <c r="E2468" t="inlineStr">
        <is>
          <t>2026-06</t>
        </is>
      </c>
      <c r="F2468" t="n">
        <v>296.61</v>
      </c>
      <c r="G2468" t="n">
        <v>350</v>
      </c>
      <c r="H2468">
        <f>הגדרות!B7</f>
        <v/>
      </c>
      <c r="I2468">
        <f>F2468*(1-H2468/100)*1.18</f>
        <v/>
      </c>
      <c r="J2468">
        <f>הגדרות!C7</f>
        <v/>
      </c>
      <c r="K2468">
        <f>הגדרות!D7</f>
        <v/>
      </c>
      <c r="L2468">
        <f>I2468*(1+J2468/100)+K2468</f>
        <v/>
      </c>
    </row>
    <row r="2469">
      <c r="A2469" t="inlineStr">
        <is>
          <t>מדי-מרקט</t>
        </is>
      </c>
      <c r="B2469" t="inlineStr">
        <is>
          <t>חוט תפירה כרומיק בקסטה 1 נמס 75 SMI מטר</t>
        </is>
      </c>
      <c r="C2469" t="inlineStr">
        <is>
          <t>חוטי תפירה ASSUT + SMI</t>
        </is>
      </c>
      <c r="D2469" t="inlineStr">
        <is>
          <t>4642</t>
        </is>
      </c>
      <c r="E2469" t="inlineStr">
        <is>
          <t>2026-06</t>
        </is>
      </c>
      <c r="F2469" t="n">
        <v>296.61</v>
      </c>
      <c r="G2469" t="n">
        <v>350</v>
      </c>
      <c r="H2469">
        <f>הגדרות!B7</f>
        <v/>
      </c>
      <c r="I2469">
        <f>F2469*(1-H2469/100)*1.18</f>
        <v/>
      </c>
      <c r="J2469">
        <f>הגדרות!C7</f>
        <v/>
      </c>
      <c r="K2469">
        <f>הגדרות!D7</f>
        <v/>
      </c>
      <c r="L2469">
        <f>I2469*(1+J2469/100)+K2469</f>
        <v/>
      </c>
    </row>
    <row r="2470">
      <c r="A2470" t="inlineStr">
        <is>
          <t>מדי-מרקט</t>
        </is>
      </c>
      <c r="B2470" t="inlineStr">
        <is>
          <t>חוט תפירה כרומיק בקסטה 2 נמס 50 SMI מטר</t>
        </is>
      </c>
      <c r="C2470" t="inlineStr">
        <is>
          <t>חוטי תפירה ASSUT + SMI</t>
        </is>
      </c>
      <c r="D2470" t="inlineStr">
        <is>
          <t>4641</t>
        </is>
      </c>
      <c r="E2470" t="inlineStr">
        <is>
          <t>2026-06</t>
        </is>
      </c>
      <c r="F2470" t="n">
        <v>296.61</v>
      </c>
      <c r="G2470" t="n">
        <v>350</v>
      </c>
      <c r="H2470">
        <f>הגדרות!B7</f>
        <v/>
      </c>
      <c r="I2470">
        <f>F2470*(1-H2470/100)*1.18</f>
        <v/>
      </c>
      <c r="J2470">
        <f>הגדרות!C7</f>
        <v/>
      </c>
      <c r="K2470">
        <f>הגדרות!D7</f>
        <v/>
      </c>
      <c r="L2470">
        <f>I2470*(1+J2470/100)+K2470</f>
        <v/>
      </c>
    </row>
    <row r="2471">
      <c r="A2471" t="inlineStr">
        <is>
          <t>מדי-מרקט</t>
        </is>
      </c>
      <c r="B2471" t="inlineStr">
        <is>
          <t>חוט תפירה כרומיק בקסטה 2/0 נמס 100 SMI מטר</t>
        </is>
      </c>
      <c r="C2471" t="inlineStr">
        <is>
          <t>חוטי תפירה ASSUT + SMI</t>
        </is>
      </c>
      <c r="D2471" t="inlineStr">
        <is>
          <t>4643</t>
        </is>
      </c>
      <c r="E2471" t="inlineStr">
        <is>
          <t>2026-06</t>
        </is>
      </c>
      <c r="F2471" t="n">
        <v>305.08</v>
      </c>
      <c r="G2471" t="n">
        <v>360</v>
      </c>
      <c r="H2471">
        <f>הגדרות!B7</f>
        <v/>
      </c>
      <c r="I2471">
        <f>F2471*(1-H2471/100)*1.18</f>
        <v/>
      </c>
      <c r="J2471">
        <f>הגדרות!C7</f>
        <v/>
      </c>
      <c r="K2471">
        <f>הגדרות!D7</f>
        <v/>
      </c>
      <c r="L2471">
        <f>I2471*(1+J2471/100)+K2471</f>
        <v/>
      </c>
    </row>
    <row r="2472">
      <c r="A2472" t="inlineStr">
        <is>
          <t>מדי-מרקט</t>
        </is>
      </c>
      <c r="B2472" t="inlineStr">
        <is>
          <t>חוט תפירה כרומיק בקסטה 3/0 נמס 100 SMI מטר</t>
        </is>
      </c>
      <c r="C2472" t="inlineStr">
        <is>
          <t>חוטי תפירה ASSUT + SMI</t>
        </is>
      </c>
      <c r="D2472" t="inlineStr">
        <is>
          <t>464</t>
        </is>
      </c>
      <c r="E2472" t="inlineStr">
        <is>
          <t>2026-06</t>
        </is>
      </c>
      <c r="F2472" t="n">
        <v>296.61</v>
      </c>
      <c r="G2472" t="n">
        <v>350</v>
      </c>
      <c r="H2472">
        <f>הגדרות!B7</f>
        <v/>
      </c>
      <c r="I2472">
        <f>F2472*(1-H2472/100)*1.18</f>
        <v/>
      </c>
      <c r="J2472">
        <f>הגדרות!C7</f>
        <v/>
      </c>
      <c r="K2472">
        <f>הגדרות!D7</f>
        <v/>
      </c>
      <c r="L2472">
        <f>I2472*(1+J2472/100)+K2472</f>
        <v/>
      </c>
    </row>
    <row r="2473">
      <c r="A2473" t="inlineStr">
        <is>
          <t>מדי-מרקט</t>
        </is>
      </c>
      <c r="B2473" t="inlineStr">
        <is>
          <t>חוט תפירה ניילון 4/0+ מחט 1/12 (מדי)</t>
        </is>
      </c>
      <c r="C2473" t="inlineStr">
        <is>
          <t>חוטי תפירה ASSUT + SMI</t>
        </is>
      </c>
      <c r="D2473" t="inlineStr">
        <is>
          <t>3110-40</t>
        </is>
      </c>
      <c r="E2473" t="inlineStr">
        <is>
          <t>2026-06</t>
        </is>
      </c>
      <c r="F2473" t="n">
        <v>50.34</v>
      </c>
      <c r="G2473" t="n">
        <v>59.4</v>
      </c>
      <c r="H2473">
        <f>הגדרות!B7</f>
        <v/>
      </c>
      <c r="I2473">
        <f>F2473*(1-H2473/100)*1.18</f>
        <v/>
      </c>
      <c r="J2473">
        <f>הגדרות!C7</f>
        <v/>
      </c>
      <c r="K2473">
        <f>הגדרות!D7</f>
        <v/>
      </c>
      <c r="L2473">
        <f>I2473*(1+J2473/100)+K2473</f>
        <v/>
      </c>
    </row>
    <row r="2474">
      <c r="A2474" t="inlineStr">
        <is>
          <t>מדי-מרקט</t>
        </is>
      </c>
      <c r="B2474" t="inlineStr">
        <is>
          <t>חוט תפירה ניילון 5/0+ מחט 1/12 (מדי)</t>
        </is>
      </c>
      <c r="C2474" t="inlineStr">
        <is>
          <t>חוטי תפירה ASSUT + SMI</t>
        </is>
      </c>
      <c r="D2474" t="inlineStr">
        <is>
          <t>3110-50</t>
        </is>
      </c>
      <c r="E2474" t="inlineStr">
        <is>
          <t>2026-06</t>
        </is>
      </c>
      <c r="F2474" t="n">
        <v>63.56</v>
      </c>
      <c r="G2474" t="n">
        <v>75</v>
      </c>
      <c r="H2474">
        <f>הגדרות!B7</f>
        <v/>
      </c>
      <c r="I2474">
        <f>F2474*(1-H2474/100)*1.18</f>
        <v/>
      </c>
      <c r="J2474">
        <f>הגדרות!C7</f>
        <v/>
      </c>
      <c r="K2474">
        <f>הגדרות!D7</f>
        <v/>
      </c>
      <c r="L2474">
        <f>I2474*(1+J2474/100)+K2474</f>
        <v/>
      </c>
    </row>
    <row r="2475">
      <c r="A2475" t="inlineStr">
        <is>
          <t>מדי-מרקט</t>
        </is>
      </c>
      <c r="B2475" t="inlineStr">
        <is>
          <t>חולץ סיכות סטרילי מפלסטיק, קצה מתכת, מדיקפרו</t>
        </is>
      </c>
      <c r="C2475" t="inlineStr">
        <is>
          <t>אקדחי סיכות וחולצים</t>
        </is>
      </c>
      <c r="D2475" t="inlineStr">
        <is>
          <t>100-306</t>
        </is>
      </c>
      <c r="E2475" t="inlineStr">
        <is>
          <t>2026-06</t>
        </is>
      </c>
      <c r="F2475" t="n">
        <v>2.53</v>
      </c>
      <c r="G2475" t="n">
        <v>2.98</v>
      </c>
      <c r="H2475">
        <f>הגדרות!B7</f>
        <v/>
      </c>
      <c r="I2475">
        <f>F2475*(1-H2475/100)*1.18</f>
        <v/>
      </c>
      <c r="J2475">
        <f>הגדרות!C7</f>
        <v/>
      </c>
      <c r="K2475">
        <f>הגדרות!D7</f>
        <v/>
      </c>
      <c r="L2475">
        <f>I2475*(1+J2475/100)+K2475</f>
        <v/>
      </c>
    </row>
    <row r="2476">
      <c r="A2476" t="inlineStr">
        <is>
          <t>מדי-מרקט</t>
        </is>
      </c>
      <c r="B2476" t="inlineStr">
        <is>
          <t>חולצה לרופא מבד  כחול רויאל M</t>
        </is>
      </c>
      <c r="C2476" t="inlineStr">
        <is>
          <t>ביגוד ח.פ. ורב פעמי</t>
        </is>
      </c>
      <c r="D2476" t="inlineStr">
        <is>
          <t>6193</t>
        </is>
      </c>
      <c r="E2476" t="inlineStr">
        <is>
          <t>2026-06</t>
        </is>
      </c>
      <c r="F2476" t="n">
        <v>55.93</v>
      </c>
      <c r="G2476" t="n">
        <v>66</v>
      </c>
      <c r="H2476">
        <f>הגדרות!B7</f>
        <v/>
      </c>
      <c r="I2476">
        <f>F2476*(1-H2476/100)*1.18</f>
        <v/>
      </c>
      <c r="J2476">
        <f>הגדרות!C7</f>
        <v/>
      </c>
      <c r="K2476">
        <f>הגדרות!D7</f>
        <v/>
      </c>
      <c r="L2476">
        <f>I2476*(1+J2476/100)+K2476</f>
        <v/>
      </c>
    </row>
    <row r="2477">
      <c r="A2477" t="inlineStr">
        <is>
          <t>מדי-מרקט</t>
        </is>
      </c>
      <c r="B2477" t="inlineStr">
        <is>
          <t>חומר פרפין למילוי בריח נטורל משקל 2.7 ק"ג</t>
        </is>
      </c>
      <c r="C2477" t="inlineStr">
        <is>
          <t>ציוד ומכשור רפואי</t>
        </is>
      </c>
      <c r="D2477" t="inlineStr">
        <is>
          <t>10255N</t>
        </is>
      </c>
      <c r="E2477" t="inlineStr">
        <is>
          <t>2026-06</t>
        </is>
      </c>
      <c r="F2477" t="n">
        <v>83.05</v>
      </c>
      <c r="G2477" t="n">
        <v>98</v>
      </c>
      <c r="H2477">
        <f>הגדרות!B7</f>
        <v/>
      </c>
      <c r="I2477">
        <f>F2477*(1-H2477/100)*1.18</f>
        <v/>
      </c>
      <c r="J2477">
        <f>הגדרות!C7</f>
        <v/>
      </c>
      <c r="K2477">
        <f>הגדרות!D7</f>
        <v/>
      </c>
      <c r="L2477">
        <f>I2477*(1+J2477/100)+K2477</f>
        <v/>
      </c>
    </row>
    <row r="2478">
      <c r="A2478" t="inlineStr">
        <is>
          <t>מדי-מרקט</t>
        </is>
      </c>
      <c r="B2478" t="inlineStr">
        <is>
          <t>חוסם וריד פטנט מבד, כחול, מדיקפרו</t>
        </is>
      </c>
      <c r="C2478" t="inlineStr">
        <is>
          <t>ציוד ומכשור רפואי</t>
        </is>
      </c>
      <c r="D2478" t="inlineStr">
        <is>
          <t>300-101</t>
        </is>
      </c>
      <c r="E2478" t="inlineStr">
        <is>
          <t>2026-06</t>
        </is>
      </c>
      <c r="F2478" t="n">
        <v>1.73</v>
      </c>
      <c r="G2478" t="n">
        <v>2.04</v>
      </c>
      <c r="H2478">
        <f>הגדרות!B7</f>
        <v/>
      </c>
      <c r="I2478">
        <f>F2478*(1-H2478/100)*1.18</f>
        <v/>
      </c>
      <c r="J2478">
        <f>הגדרות!C7</f>
        <v/>
      </c>
      <c r="K2478">
        <f>הגדרות!D7</f>
        <v/>
      </c>
      <c r="L2478">
        <f>I2478*(1+J2478/100)+K2478</f>
        <v/>
      </c>
    </row>
    <row r="2479">
      <c r="A2479" t="inlineStr">
        <is>
          <t>מדי-מרקט</t>
        </is>
      </c>
      <c r="B2479" t="inlineStr">
        <is>
          <t>חוסם ורידים ווטרינרי חכם, שחרור מהיר, 5 יח' MDC</t>
        </is>
      </c>
      <c r="C2479" t="inlineStr">
        <is>
          <t>MDC</t>
        </is>
      </c>
      <c r="D2479" t="inlineStr">
        <is>
          <t>A211-109</t>
        </is>
      </c>
      <c r="E2479" t="inlineStr">
        <is>
          <t>2026-06</t>
        </is>
      </c>
      <c r="F2479" t="n">
        <v>30.51</v>
      </c>
      <c r="G2479" t="n">
        <v>36</v>
      </c>
      <c r="H2479">
        <f>הגדרות!B7</f>
        <v/>
      </c>
      <c r="I2479">
        <f>F2479*(1-H2479/100)*1.18</f>
        <v/>
      </c>
      <c r="J2479">
        <f>הגדרות!C7</f>
        <v/>
      </c>
      <c r="K2479">
        <f>הגדרות!D7</f>
        <v/>
      </c>
      <c r="L2479">
        <f>I2479*(1+J2479/100)+K2479</f>
        <v/>
      </c>
    </row>
    <row r="2480">
      <c r="A2480" t="inlineStr">
        <is>
          <t>מדי-מרקט</t>
        </is>
      </c>
      <c r="B2480" t="inlineStr">
        <is>
          <t>חוסם ורידים כחול ללא לטקס 25 רצועות, מדיקפרו</t>
        </is>
      </c>
      <c r="C2480" t="inlineStr">
        <is>
          <t>ציוד מתכלה</t>
        </is>
      </c>
      <c r="D2480" t="inlineStr">
        <is>
          <t>300-199</t>
        </is>
      </c>
      <c r="E2480" t="inlineStr">
        <is>
          <t>2026-06</t>
        </is>
      </c>
      <c r="F2480" t="n">
        <v>4.61</v>
      </c>
      <c r="G2480" t="n">
        <v>5.44</v>
      </c>
      <c r="H2480">
        <f>הגדרות!B7</f>
        <v/>
      </c>
      <c r="I2480">
        <f>F2480*(1-H2480/100)*1.18</f>
        <v/>
      </c>
      <c r="J2480">
        <f>הגדרות!C7</f>
        <v/>
      </c>
      <c r="K2480">
        <f>הגדרות!D7</f>
        <v/>
      </c>
      <c r="L2480">
        <f>I2480*(1+J2480/100)+K2480</f>
        <v/>
      </c>
    </row>
    <row r="2481">
      <c r="A2481" t="inlineStr">
        <is>
          <t>מדי-מרקט</t>
        </is>
      </c>
      <c r="B2481" t="inlineStr">
        <is>
          <t>חוסם עורקים דמוי סיליקון 6 ס"מ 2 X מטר, מדיקפרו</t>
        </is>
      </c>
      <c r="C2481" t="inlineStr">
        <is>
          <t>ציוד ומכשור רפואי</t>
        </is>
      </c>
      <c r="D2481" t="inlineStr">
        <is>
          <t>8-1364</t>
        </is>
      </c>
      <c r="E2481" t="inlineStr">
        <is>
          <t>2026-06</t>
        </is>
      </c>
      <c r="F2481" t="n">
        <v>2.54</v>
      </c>
      <c r="G2481" t="n">
        <v>3</v>
      </c>
      <c r="H2481">
        <f>הגדרות!B7</f>
        <v/>
      </c>
      <c r="I2481">
        <f>F2481*(1-H2481/100)*1.18</f>
        <v/>
      </c>
      <c r="J2481">
        <f>הגדרות!C7</f>
        <v/>
      </c>
      <c r="K2481">
        <f>הגדרות!D7</f>
        <v/>
      </c>
      <c r="L2481">
        <f>I2481*(1+J2481/100)+K2481</f>
        <v/>
      </c>
    </row>
    <row r="2482">
      <c r="A2482" t="inlineStr">
        <is>
          <t>מדי-מרקט</t>
        </is>
      </c>
      <c r="B2482" t="inlineStr">
        <is>
          <t>חוסם עורקים מתקדם MIC CAT, מדיקפרו</t>
        </is>
      </c>
      <c r="C2482" t="inlineStr">
        <is>
          <t>ציוד ומכשור רפואי</t>
        </is>
      </c>
      <c r="D2482" t="inlineStr">
        <is>
          <t>8-1368</t>
        </is>
      </c>
      <c r="E2482" t="inlineStr">
        <is>
          <t>2026-06</t>
        </is>
      </c>
      <c r="F2482" t="n">
        <v>15.4</v>
      </c>
      <c r="G2482" t="n">
        <v>18.17</v>
      </c>
      <c r="H2482">
        <f>הגדרות!B7</f>
        <v/>
      </c>
      <c r="I2482">
        <f>F2482*(1-H2482/100)*1.18</f>
        <v/>
      </c>
      <c r="J2482">
        <f>הגדרות!C7</f>
        <v/>
      </c>
      <c r="K2482">
        <f>הגדרות!D7</f>
        <v/>
      </c>
      <c r="L2482">
        <f>I2482*(1+J2482/100)+K2482</f>
        <v/>
      </c>
    </row>
    <row r="2483">
      <c r="A2483" t="inlineStr">
        <is>
          <t>מדי-מרקט</t>
        </is>
      </c>
      <c r="B2483" t="inlineStr">
        <is>
          <t>חוצה כדורים, VITA+ LONDON</t>
        </is>
      </c>
      <c r="C2483" t="inlineStr">
        <is>
          <t>ציוד ומכשור רפואי</t>
        </is>
      </c>
      <c r="D2483" t="inlineStr">
        <is>
          <t>700-001</t>
        </is>
      </c>
      <c r="E2483" t="inlineStr">
        <is>
          <t>2026-06</t>
        </is>
      </c>
      <c r="F2483" t="n">
        <v>2.65</v>
      </c>
      <c r="G2483" t="n">
        <v>3.13</v>
      </c>
      <c r="H2483">
        <f>הגדרות!B7</f>
        <v/>
      </c>
      <c r="I2483">
        <f>F2483*(1-H2483/100)*1.18</f>
        <v/>
      </c>
      <c r="J2483">
        <f>הגדרות!C7</f>
        <v/>
      </c>
      <c r="K2483">
        <f>הגדרות!D7</f>
        <v/>
      </c>
      <c r="L2483">
        <f>I2483*(1+J2483/100)+K2483</f>
        <v/>
      </c>
    </row>
    <row r="2484">
      <c r="A2484" t="inlineStr">
        <is>
          <t>מדי-מרקט</t>
        </is>
      </c>
      <c r="B2484" t="inlineStr">
        <is>
          <t>חותך + כותש כדורים, VITA+ LONDON</t>
        </is>
      </c>
      <c r="C2484" t="inlineStr">
        <is>
          <t>ציוד ומכשור רפואי</t>
        </is>
      </c>
      <c r="D2484" t="inlineStr">
        <is>
          <t>700-004</t>
        </is>
      </c>
      <c r="E2484" t="inlineStr">
        <is>
          <t>2026-06</t>
        </is>
      </c>
      <c r="F2484" t="n">
        <v>6.44</v>
      </c>
      <c r="G2484" t="n">
        <v>7.6</v>
      </c>
      <c r="H2484">
        <f>הגדרות!B7</f>
        <v/>
      </c>
      <c r="I2484">
        <f>F2484*(1-H2484/100)*1.18</f>
        <v/>
      </c>
      <c r="J2484">
        <f>הגדרות!C7</f>
        <v/>
      </c>
      <c r="K2484">
        <f>הגדרות!D7</f>
        <v/>
      </c>
      <c r="L2484">
        <f>I2484*(1+J2484/100)+K2484</f>
        <v/>
      </c>
    </row>
    <row r="2485">
      <c r="A2485" t="inlineStr">
        <is>
          <t>מדי-מרקט</t>
        </is>
      </c>
      <c r="B2485" t="inlineStr">
        <is>
          <t>חיישן ACC KIT למוניטור SpO2 7 pin umec12 vet</t>
        </is>
      </c>
      <c r="C2485" t="inlineStr">
        <is>
          <t>Mindray</t>
        </is>
      </c>
      <c r="D2485" t="inlineStr">
        <is>
          <t>115-017456-00</t>
        </is>
      </c>
      <c r="E2485" t="inlineStr">
        <is>
          <t>2026-06</t>
        </is>
      </c>
      <c r="F2485" t="n">
        <v>500</v>
      </c>
      <c r="G2485" t="n">
        <v>590</v>
      </c>
      <c r="H2485">
        <f>הגדרות!B7</f>
        <v/>
      </c>
      <c r="I2485">
        <f>F2485*(1-H2485/100)*1.18</f>
        <v/>
      </c>
      <c r="J2485">
        <f>הגדרות!C7</f>
        <v/>
      </c>
      <c r="K2485">
        <f>הגדרות!D7</f>
        <v/>
      </c>
      <c r="L2485">
        <f>I2485*(1+J2485/100)+K2485</f>
        <v/>
      </c>
    </row>
    <row r="2486">
      <c r="A2486" t="inlineStr">
        <is>
          <t>מדי-מרקט</t>
        </is>
      </c>
      <c r="B2486" t="inlineStr">
        <is>
          <t>חיישן מד חום פדיאטרי/תינוקות למוניטור UMEC 12 VET</t>
        </is>
      </c>
      <c r="C2486" t="inlineStr">
        <is>
          <t>Mindray</t>
        </is>
      </c>
      <c r="D2486" t="inlineStr">
        <is>
          <t>10011-30-37394</t>
        </is>
      </c>
      <c r="E2486" t="inlineStr">
        <is>
          <t>2026-06</t>
        </is>
      </c>
      <c r="F2486" t="n">
        <v>237.29</v>
      </c>
      <c r="G2486" t="n">
        <v>280</v>
      </c>
      <c r="H2486">
        <f>הגדרות!B7</f>
        <v/>
      </c>
      <c r="I2486">
        <f>F2486*(1-H2486/100)*1.18</f>
        <v/>
      </c>
      <c r="J2486">
        <f>הגדרות!C7</f>
        <v/>
      </c>
      <c r="K2486">
        <f>הגדרות!D7</f>
        <v/>
      </c>
      <c r="L2486">
        <f>I2486*(1+J2486/100)+K2486</f>
        <v/>
      </c>
    </row>
    <row r="2487">
      <c r="A2487" t="inlineStr">
        <is>
          <t>מדי-מרקט</t>
        </is>
      </c>
      <c r="B2487" t="inlineStr">
        <is>
          <t>חיסון שפעת - INFLUENZA VACCINE 3 TYPES -VAXIGRIP</t>
        </is>
      </c>
      <c r="C2487" t="inlineStr">
        <is>
          <t>תרופות</t>
        </is>
      </c>
      <c r="D2487" t="inlineStr">
        <is>
          <t>1801200013</t>
        </is>
      </c>
      <c r="E2487" t="inlineStr">
        <is>
          <t>2026-06</t>
        </is>
      </c>
      <c r="F2487" t="n">
        <v>18.64</v>
      </c>
      <c r="G2487" t="n">
        <v>22</v>
      </c>
      <c r="H2487">
        <f>הגדרות!B7</f>
        <v/>
      </c>
      <c r="I2487">
        <f>F2487*(1-H2487/100)*1.18</f>
        <v/>
      </c>
      <c r="J2487">
        <f>הגדרות!C7</f>
        <v/>
      </c>
      <c r="K2487">
        <f>הגדרות!D7</f>
        <v/>
      </c>
      <c r="L2487">
        <f>I2487*(1+J2487/100)+K2487</f>
        <v/>
      </c>
    </row>
    <row r="2488">
      <c r="A2488" t="inlineStr">
        <is>
          <t>מדי-מרקט</t>
        </is>
      </c>
      <c r="B2488" t="inlineStr">
        <is>
          <t>חלוק לניתוח + 2 מגבות (סטרילי) מדיקפרו</t>
        </is>
      </c>
      <c r="C2488" t="inlineStr">
        <is>
          <t>ביגוד ח.פ. ורב פעמי</t>
        </is>
      </c>
      <c r="D2488" t="inlineStr">
        <is>
          <t>500-090</t>
        </is>
      </c>
      <c r="E2488" t="inlineStr">
        <is>
          <t>2026-06</t>
        </is>
      </c>
      <c r="F2488" t="n">
        <v>4.66</v>
      </c>
      <c r="G2488" t="n">
        <v>5.5</v>
      </c>
      <c r="H2488">
        <f>הגדרות!B7</f>
        <v/>
      </c>
      <c r="I2488">
        <f>F2488*(1-H2488/100)*1.18</f>
        <v/>
      </c>
      <c r="J2488">
        <f>הגדרות!C7</f>
        <v/>
      </c>
      <c r="K2488">
        <f>הגדרות!D7</f>
        <v/>
      </c>
      <c r="L2488">
        <f>I2488*(1+J2488/100)+K2488</f>
        <v/>
      </c>
    </row>
    <row r="2489">
      <c r="A2489" t="inlineStr">
        <is>
          <t>מדי-מרקט</t>
        </is>
      </c>
      <c r="B2489" t="inlineStr">
        <is>
          <t>חלוק לצוות רפואי כחול, קשירה מאחור+גומי,מדיקפרו</t>
        </is>
      </c>
      <c r="C2489" t="inlineStr">
        <is>
          <t>ביגוד ח.פ. ורב פעמי</t>
        </is>
      </c>
      <c r="D2489" t="inlineStr">
        <is>
          <t>500-0090</t>
        </is>
      </c>
      <c r="E2489" t="inlineStr">
        <is>
          <t>2026-06</t>
        </is>
      </c>
      <c r="F2489" t="n">
        <v>0.78</v>
      </c>
      <c r="G2489" t="n">
        <v>0.92</v>
      </c>
      <c r="H2489">
        <f>הגדרות!B7</f>
        <v/>
      </c>
      <c r="I2489">
        <f>F2489*(1-H2489/100)*1.18</f>
        <v/>
      </c>
      <c r="J2489">
        <f>הגדרות!C7</f>
        <v/>
      </c>
      <c r="K2489">
        <f>הגדרות!D7</f>
        <v/>
      </c>
      <c r="L2489">
        <f>I2489*(1+J2489/100)+K2489</f>
        <v/>
      </c>
    </row>
    <row r="2490">
      <c r="A2490" t="inlineStr">
        <is>
          <t>מדי-מרקט</t>
        </is>
      </c>
      <c r="B2490" t="inlineStr">
        <is>
          <t>חלוק לצוות רפואי כחול,קשירה מאחור+מנג'טה,מדיקפרו</t>
        </is>
      </c>
      <c r="C2490" t="inlineStr">
        <is>
          <t>ביגוד ח.פ. ורב פעמי</t>
        </is>
      </c>
      <c r="D2490" t="inlineStr">
        <is>
          <t>500-009</t>
        </is>
      </c>
      <c r="E2490" t="inlineStr">
        <is>
          <t>2026-06</t>
        </is>
      </c>
      <c r="F2490" t="n">
        <v>0.75</v>
      </c>
      <c r="G2490" t="n">
        <v>0.88</v>
      </c>
      <c r="H2490">
        <f>הגדרות!B7</f>
        <v/>
      </c>
      <c r="I2490">
        <f>F2490*(1-H2490/100)*1.18</f>
        <v/>
      </c>
      <c r="J2490">
        <f>הגדרות!C7</f>
        <v/>
      </c>
      <c r="K2490">
        <f>הגדרות!D7</f>
        <v/>
      </c>
      <c r="L2490">
        <f>I2490*(1+J2490/100)+K2490</f>
        <v/>
      </c>
    </row>
    <row r="2491">
      <c r="A2491" t="inlineStr">
        <is>
          <t>מדי-מרקט</t>
        </is>
      </c>
      <c r="B2491" t="inlineStr">
        <is>
          <t>טבעת לדלי מחטים - 7 ליטר</t>
        </is>
      </c>
      <c r="C2491" t="inlineStr">
        <is>
          <t>ציוד ומכשור רפואי</t>
        </is>
      </c>
      <c r="D2491" t="inlineStr">
        <is>
          <t>193694</t>
        </is>
      </c>
      <c r="E2491" t="inlineStr">
        <is>
          <t>2026-06</t>
        </is>
      </c>
      <c r="F2491" t="n">
        <v>21.36</v>
      </c>
      <c r="G2491" t="n">
        <v>25.2</v>
      </c>
      <c r="H2491">
        <f>הגדרות!B7</f>
        <v/>
      </c>
      <c r="I2491">
        <f>F2491*(1-H2491/100)*1.18</f>
        <v/>
      </c>
      <c r="J2491">
        <f>הגדרות!C7</f>
        <v/>
      </c>
      <c r="K2491">
        <f>הגדרות!D7</f>
        <v/>
      </c>
      <c r="L2491">
        <f>I2491*(1+J2491/100)+K2491</f>
        <v/>
      </c>
    </row>
    <row r="2492">
      <c r="A2492" t="inlineStr">
        <is>
          <t>מדי-מרקט</t>
        </is>
      </c>
      <c r="B2492" t="inlineStr">
        <is>
          <t>טובוס + בלון, מידה 10, מדיקפרו</t>
        </is>
      </c>
      <c r="C2492" t="inlineStr">
        <is>
          <t>ציוד מתכלה</t>
        </is>
      </c>
      <c r="D2492" t="inlineStr">
        <is>
          <t>700-010</t>
        </is>
      </c>
      <c r="E2492" t="inlineStr">
        <is>
          <t>2026-06</t>
        </is>
      </c>
      <c r="F2492" t="n">
        <v>8.470000000000001</v>
      </c>
      <c r="G2492" t="n">
        <v>10</v>
      </c>
      <c r="H2492">
        <f>הגדרות!B7</f>
        <v/>
      </c>
      <c r="I2492">
        <f>F2492*(1-H2492/100)*1.18</f>
        <v/>
      </c>
      <c r="J2492">
        <f>הגדרות!C7</f>
        <v/>
      </c>
      <c r="K2492">
        <f>הגדרות!D7</f>
        <v/>
      </c>
      <c r="L2492">
        <f>I2492*(1+J2492/100)+K2492</f>
        <v/>
      </c>
    </row>
    <row r="2493">
      <c r="A2493" t="inlineStr">
        <is>
          <t>מדי-מרקט</t>
        </is>
      </c>
      <c r="B2493" t="inlineStr">
        <is>
          <t>טובוס + בלון, מידה 11, מדיקפרו</t>
        </is>
      </c>
      <c r="C2493" t="inlineStr">
        <is>
          <t>ציוד מתכלה</t>
        </is>
      </c>
      <c r="D2493" t="inlineStr">
        <is>
          <t>700-011</t>
        </is>
      </c>
      <c r="E2493" t="inlineStr">
        <is>
          <t>2026-06</t>
        </is>
      </c>
      <c r="F2493" t="n">
        <v>8.470000000000001</v>
      </c>
      <c r="G2493" t="n">
        <v>10</v>
      </c>
      <c r="H2493">
        <f>הגדרות!B7</f>
        <v/>
      </c>
      <c r="I2493">
        <f>F2493*(1-H2493/100)*1.18</f>
        <v/>
      </c>
      <c r="J2493">
        <f>הגדרות!C7</f>
        <v/>
      </c>
      <c r="K2493">
        <f>הגדרות!D7</f>
        <v/>
      </c>
      <c r="L2493">
        <f>I2493*(1+J2493/100)+K2493</f>
        <v/>
      </c>
    </row>
    <row r="2494">
      <c r="A2494" t="inlineStr">
        <is>
          <t>מדי-מרקט</t>
        </is>
      </c>
      <c r="B2494" t="inlineStr">
        <is>
          <t>טובוס + בלון, מידה 12, מדיקפרו</t>
        </is>
      </c>
      <c r="C2494" t="inlineStr">
        <is>
          <t>ציוד מתכלה</t>
        </is>
      </c>
      <c r="D2494" t="inlineStr">
        <is>
          <t>700-012</t>
        </is>
      </c>
      <c r="E2494" t="inlineStr">
        <is>
          <t>2026-06</t>
        </is>
      </c>
      <c r="F2494" t="n">
        <v>8.470000000000001</v>
      </c>
      <c r="G2494" t="n">
        <v>10</v>
      </c>
      <c r="H2494">
        <f>הגדרות!B7</f>
        <v/>
      </c>
      <c r="I2494">
        <f>F2494*(1-H2494/100)*1.18</f>
        <v/>
      </c>
      <c r="J2494">
        <f>הגדרות!C7</f>
        <v/>
      </c>
      <c r="K2494">
        <f>הגדרות!D7</f>
        <v/>
      </c>
      <c r="L2494">
        <f>I2494*(1+J2494/100)+K2494</f>
        <v/>
      </c>
    </row>
    <row r="2495">
      <c r="A2495" t="inlineStr">
        <is>
          <t>מדי-מרקט</t>
        </is>
      </c>
      <c r="B2495" t="inlineStr">
        <is>
          <t>טובוס ללא בלון גודל 2, מדיקפרו</t>
        </is>
      </c>
      <c r="C2495" t="inlineStr">
        <is>
          <t>ציוד מתכלה</t>
        </is>
      </c>
      <c r="D2495" t="inlineStr">
        <is>
          <t>400-994</t>
        </is>
      </c>
      <c r="E2495" t="inlineStr">
        <is>
          <t>2026-06</t>
        </is>
      </c>
      <c r="F2495" t="n">
        <v>1.53</v>
      </c>
      <c r="G2495" t="n">
        <v>1.81</v>
      </c>
      <c r="H2495">
        <f>הגדרות!B7</f>
        <v/>
      </c>
      <c r="I2495">
        <f>F2495*(1-H2495/100)*1.18</f>
        <v/>
      </c>
      <c r="J2495">
        <f>הגדרות!C7</f>
        <v/>
      </c>
      <c r="K2495">
        <f>הגדרות!D7</f>
        <v/>
      </c>
      <c r="L2495">
        <f>I2495*(1+J2495/100)+K2495</f>
        <v/>
      </c>
    </row>
    <row r="2496">
      <c r="A2496" t="inlineStr">
        <is>
          <t>מדי-מרקט</t>
        </is>
      </c>
      <c r="B2496" t="inlineStr">
        <is>
          <t>טובוס ללא בלון מס' 3.5</t>
        </is>
      </c>
      <c r="C2496" t="inlineStr">
        <is>
          <t>ציוד מתכלה</t>
        </is>
      </c>
      <c r="D2496" t="inlineStr">
        <is>
          <t>3131-5</t>
        </is>
      </c>
      <c r="E2496" t="inlineStr">
        <is>
          <t>2026-06</t>
        </is>
      </c>
      <c r="F2496" t="n">
        <v>2.58</v>
      </c>
      <c r="G2496" t="n">
        <v>3.05</v>
      </c>
      <c r="H2496">
        <f>הגדרות!B7</f>
        <v/>
      </c>
      <c r="I2496">
        <f>F2496*(1-H2496/100)*1.18</f>
        <v/>
      </c>
      <c r="J2496">
        <f>הגדרות!C7</f>
        <v/>
      </c>
      <c r="K2496">
        <f>הגדרות!D7</f>
        <v/>
      </c>
      <c r="L2496">
        <f>I2496*(1+J2496/100)+K2496</f>
        <v/>
      </c>
    </row>
    <row r="2497">
      <c r="A2497" t="inlineStr">
        <is>
          <t>מדי-מרקט</t>
        </is>
      </c>
      <c r="B2497" t="inlineStr">
        <is>
          <t>טובוס נזל CURVED HIGH V 119 מידה IVORY  1/10 7.5</t>
        </is>
      </c>
      <c r="C2497" t="inlineStr">
        <is>
          <t>ציוד מתכלה</t>
        </is>
      </c>
      <c r="D2497" t="inlineStr">
        <is>
          <t>11679</t>
        </is>
      </c>
      <c r="E2497" t="inlineStr">
        <is>
          <t>2026-06</t>
        </is>
      </c>
      <c r="F2497" t="n">
        <v>258.47</v>
      </c>
      <c r="G2497" t="n">
        <v>305</v>
      </c>
      <c r="H2497">
        <f>הגדרות!B7</f>
        <v/>
      </c>
      <c r="I2497">
        <f>F2497*(1-H2497/100)*1.18</f>
        <v/>
      </c>
      <c r="J2497">
        <f>הגדרות!C7</f>
        <v/>
      </c>
      <c r="K2497">
        <f>הגדרות!D7</f>
        <v/>
      </c>
      <c r="L2497">
        <f>I2497*(1+J2497/100)+K2497</f>
        <v/>
      </c>
    </row>
    <row r="2498">
      <c r="A2498" t="inlineStr">
        <is>
          <t>מדי-מרקט</t>
        </is>
      </c>
      <c r="B2498" t="inlineStr">
        <is>
          <t>טובוס נזל CURVED HIGH V 119 מידה IVORY 6 - מארז 10 יחידות</t>
        </is>
      </c>
      <c r="C2498" t="inlineStr">
        <is>
          <t>ציוד מתכלה</t>
        </is>
      </c>
      <c r="D2498" t="inlineStr">
        <is>
          <t>11678</t>
        </is>
      </c>
      <c r="E2498" t="inlineStr">
        <is>
          <t>2026-06</t>
        </is>
      </c>
      <c r="F2498" t="n">
        <v>258.47</v>
      </c>
      <c r="G2498" t="n">
        <v>305</v>
      </c>
      <c r="H2498">
        <f>הגדרות!B7</f>
        <v/>
      </c>
      <c r="I2498">
        <f>F2498*(1-H2498/100)*1.18</f>
        <v/>
      </c>
      <c r="J2498">
        <f>הגדרות!C7</f>
        <v/>
      </c>
      <c r="K2498">
        <f>הגדרות!D7</f>
        <v/>
      </c>
      <c r="L2498">
        <f>I2498*(1+J2498/100)+K2498</f>
        <v/>
      </c>
    </row>
    <row r="2499">
      <c r="A2499" t="inlineStr">
        <is>
          <t>מדי-מרקט</t>
        </is>
      </c>
      <c r="B2499" t="inlineStr">
        <is>
          <t>טובוס נזל CURVED HIGH V 119 מידה IVORY 6.5-מארז 10 יחידות</t>
        </is>
      </c>
      <c r="C2499" t="inlineStr">
        <is>
          <t>ציוד מתכלה</t>
        </is>
      </c>
      <c r="D2499" t="inlineStr">
        <is>
          <t>11678-1</t>
        </is>
      </c>
      <c r="E2499" t="inlineStr">
        <is>
          <t>2026-06</t>
        </is>
      </c>
      <c r="F2499" t="n">
        <v>256.95</v>
      </c>
      <c r="G2499" t="n">
        <v>303.2</v>
      </c>
      <c r="H2499">
        <f>הגדרות!B7</f>
        <v/>
      </c>
      <c r="I2499">
        <f>F2499*(1-H2499/100)*1.18</f>
        <v/>
      </c>
      <c r="J2499">
        <f>הגדרות!C7</f>
        <v/>
      </c>
      <c r="K2499">
        <f>הגדרות!D7</f>
        <v/>
      </c>
      <c r="L2499">
        <f>I2499*(1+J2499/100)+K2499</f>
        <v/>
      </c>
    </row>
    <row r="2500">
      <c r="A2500" t="inlineStr">
        <is>
          <t>מדי-מרקט</t>
        </is>
      </c>
      <c r="B2500" t="inlineStr">
        <is>
          <t>טובוס נזל CURVED HIGH V 119 מידה IVORY 7 - מארז 10 יחידות</t>
        </is>
      </c>
      <c r="C2500" t="inlineStr">
        <is>
          <t>ציוד מתכלה</t>
        </is>
      </c>
      <c r="D2500" t="inlineStr">
        <is>
          <t>11675</t>
        </is>
      </c>
      <c r="E2500" t="inlineStr">
        <is>
          <t>2026-06</t>
        </is>
      </c>
      <c r="F2500" t="n">
        <v>212.71</v>
      </c>
      <c r="G2500" t="n">
        <v>251</v>
      </c>
      <c r="H2500">
        <f>הגדרות!B7</f>
        <v/>
      </c>
      <c r="I2500">
        <f>F2500*(1-H2500/100)*1.18</f>
        <v/>
      </c>
      <c r="J2500">
        <f>הגדרות!C7</f>
        <v/>
      </c>
      <c r="K2500">
        <f>הגדרות!D7</f>
        <v/>
      </c>
      <c r="L2500">
        <f>I2500*(1+J2500/100)+K2500</f>
        <v/>
      </c>
    </row>
    <row r="2501">
      <c r="A2501" t="inlineStr">
        <is>
          <t>מדי-מרקט</t>
        </is>
      </c>
      <c r="B2501" t="inlineStr">
        <is>
          <t>טובוס נזלי 10*AIRWAY NASOPHARYNGEAL 6 60-125410-0002400</t>
        </is>
      </c>
      <c r="C2501" t="inlineStr">
        <is>
          <t>ציוד ומכשור רפואי</t>
        </is>
      </c>
      <c r="D2501" t="inlineStr">
        <is>
          <t>3060252918</t>
        </is>
      </c>
      <c r="E2501" t="inlineStr">
        <is>
          <t>2026-06</t>
        </is>
      </c>
      <c r="F2501" t="n">
        <v>121.4</v>
      </c>
      <c r="G2501" t="n">
        <v>143.25</v>
      </c>
      <c r="H2501">
        <f>הגדרות!B7</f>
        <v/>
      </c>
      <c r="I2501">
        <f>F2501*(1-H2501/100)*1.18</f>
        <v/>
      </c>
      <c r="J2501">
        <f>הגדרות!C7</f>
        <v/>
      </c>
      <c r="K2501">
        <f>הגדרות!D7</f>
        <v/>
      </c>
      <c r="L2501">
        <f>I2501*(1+J2501/100)+K2501</f>
        <v/>
      </c>
    </row>
    <row r="2502">
      <c r="A2502" t="inlineStr">
        <is>
          <t>מדי-מרקט</t>
        </is>
      </c>
      <c r="B2502" t="inlineStr">
        <is>
          <t>טובוס נזלי 10*AIRWAY NASOPHARYNGEAL 7 60-125410-000280</t>
        </is>
      </c>
      <c r="C2502" t="inlineStr">
        <is>
          <t>ציוד ומכשור רפואי</t>
        </is>
      </c>
      <c r="D2502" t="inlineStr">
        <is>
          <t>3060252925</t>
        </is>
      </c>
      <c r="E2502" t="inlineStr">
        <is>
          <t>2026-06</t>
        </is>
      </c>
      <c r="F2502" t="n">
        <v>118.64</v>
      </c>
      <c r="G2502" t="n">
        <v>140</v>
      </c>
      <c r="H2502">
        <f>הגדרות!B7</f>
        <v/>
      </c>
      <c r="I2502">
        <f>F2502*(1-H2502/100)*1.18</f>
        <v/>
      </c>
      <c r="J2502">
        <f>הגדרות!C7</f>
        <v/>
      </c>
      <c r="K2502">
        <f>הגדרות!D7</f>
        <v/>
      </c>
      <c r="L2502">
        <f>I2502*(1+J2502/100)+K2502</f>
        <v/>
      </c>
    </row>
    <row r="2503">
      <c r="A2503" t="inlineStr">
        <is>
          <t>מדי-מרקט</t>
        </is>
      </c>
      <c r="B2503" t="inlineStr">
        <is>
          <t>טובוס נזלי 10*AIRWAY NASOPHARYNGEAL 8 60-125410-000320</t>
        </is>
      </c>
      <c r="C2503" t="inlineStr">
        <is>
          <t>ציוד ומכשור רפואי</t>
        </is>
      </c>
      <c r="D2503" t="inlineStr">
        <is>
          <t>3069912186</t>
        </is>
      </c>
      <c r="E2503" t="inlineStr">
        <is>
          <t>2026-06</t>
        </is>
      </c>
      <c r="F2503" t="n">
        <v>118.64</v>
      </c>
      <c r="G2503" t="n">
        <v>140</v>
      </c>
      <c r="H2503">
        <f>הגדרות!B7</f>
        <v/>
      </c>
      <c r="I2503">
        <f>F2503*(1-H2503/100)*1.18</f>
        <v/>
      </c>
      <c r="J2503">
        <f>הגדרות!C7</f>
        <v/>
      </c>
      <c r="K2503">
        <f>הגדרות!D7</f>
        <v/>
      </c>
      <c r="L2503">
        <f>I2503*(1+J2503/100)+K2503</f>
        <v/>
      </c>
    </row>
    <row r="2504">
      <c r="A2504" t="inlineStr">
        <is>
          <t>מדי-מרקט</t>
        </is>
      </c>
      <c r="B2504" t="inlineStr">
        <is>
          <t>טובוס עם בלון מס'6.5</t>
        </is>
      </c>
      <c r="C2504" t="inlineStr">
        <is>
          <t>ציוד מתכלה</t>
        </is>
      </c>
      <c r="D2504" t="inlineStr">
        <is>
          <t>5590</t>
        </is>
      </c>
      <c r="E2504" t="inlineStr">
        <is>
          <t>2026-06</t>
        </is>
      </c>
      <c r="F2504" t="n">
        <v>4.24</v>
      </c>
      <c r="G2504" t="n">
        <v>5</v>
      </c>
      <c r="H2504">
        <f>הגדרות!B7</f>
        <v/>
      </c>
      <c r="I2504">
        <f>F2504*(1-H2504/100)*1.18</f>
        <v/>
      </c>
      <c r="J2504">
        <f>הגדרות!C7</f>
        <v/>
      </c>
      <c r="K2504">
        <f>הגדרות!D7</f>
        <v/>
      </c>
      <c r="L2504">
        <f>I2504*(1+J2504/100)+K2504</f>
        <v/>
      </c>
    </row>
    <row r="2505">
      <c r="A2505" t="inlineStr">
        <is>
          <t>מדי-מרקט</t>
        </is>
      </c>
      <c r="B2505" t="inlineStr">
        <is>
          <t>טובוס עם בלון מס'9.5</t>
        </is>
      </c>
      <c r="C2505" t="inlineStr">
        <is>
          <t>ציוד מתכלה</t>
        </is>
      </c>
      <c r="D2505" t="inlineStr">
        <is>
          <t>5596</t>
        </is>
      </c>
      <c r="E2505" t="inlineStr">
        <is>
          <t>2026-06</t>
        </is>
      </c>
      <c r="F2505" t="n">
        <v>2.52</v>
      </c>
      <c r="G2505" t="n">
        <v>2.97</v>
      </c>
      <c r="H2505">
        <f>הגדרות!B7</f>
        <v/>
      </c>
      <c r="I2505">
        <f>F2505*(1-H2505/100)*1.18</f>
        <v/>
      </c>
      <c r="J2505">
        <f>הגדרות!C7</f>
        <v/>
      </c>
      <c r="K2505">
        <f>הגדרות!D7</f>
        <v/>
      </c>
      <c r="L2505">
        <f>I2505*(1+J2505/100)+K2505</f>
        <v/>
      </c>
    </row>
    <row r="2506">
      <c r="A2506" t="inlineStr">
        <is>
          <t>מדי-מרקט</t>
        </is>
      </c>
      <c r="B2506" t="inlineStr">
        <is>
          <t>טובוס+ בלון גודל 3 , מדיקפרו</t>
        </is>
      </c>
      <c r="C2506" t="inlineStr">
        <is>
          <t>ציוד מתכלה</t>
        </is>
      </c>
      <c r="D2506" t="inlineStr">
        <is>
          <t>400-995</t>
        </is>
      </c>
      <c r="E2506" t="inlineStr">
        <is>
          <t>2026-06</t>
        </is>
      </c>
      <c r="F2506" t="n">
        <v>1.59</v>
      </c>
      <c r="G2506" t="n">
        <v>1.88</v>
      </c>
      <c r="H2506">
        <f>הגדרות!B7</f>
        <v/>
      </c>
      <c r="I2506">
        <f>F2506*(1-H2506/100)*1.18</f>
        <v/>
      </c>
      <c r="J2506">
        <f>הגדרות!C7</f>
        <v/>
      </c>
      <c r="K2506">
        <f>הגדרות!D7</f>
        <v/>
      </c>
      <c r="L2506">
        <f>I2506*(1+J2506/100)+K2506</f>
        <v/>
      </c>
    </row>
    <row r="2507">
      <c r="A2507" t="inlineStr">
        <is>
          <t>מדי-מרקט</t>
        </is>
      </c>
      <c r="B2507" t="inlineStr">
        <is>
          <t>טובוס+ בלון גודל 3.5 , מדיקפרו</t>
        </is>
      </c>
      <c r="C2507" t="inlineStr">
        <is>
          <t>ציוד מתכלה</t>
        </is>
      </c>
      <c r="D2507" t="inlineStr">
        <is>
          <t>400-996</t>
        </is>
      </c>
      <c r="E2507" t="inlineStr">
        <is>
          <t>2026-06</t>
        </is>
      </c>
      <c r="F2507" t="n">
        <v>1.61</v>
      </c>
      <c r="G2507" t="n">
        <v>1.9</v>
      </c>
      <c r="H2507">
        <f>הגדרות!B7</f>
        <v/>
      </c>
      <c r="I2507">
        <f>F2507*(1-H2507/100)*1.18</f>
        <v/>
      </c>
      <c r="J2507">
        <f>הגדרות!C7</f>
        <v/>
      </c>
      <c r="K2507">
        <f>הגדרות!D7</f>
        <v/>
      </c>
      <c r="L2507">
        <f>I2507*(1+J2507/100)+K2507</f>
        <v/>
      </c>
    </row>
    <row r="2508">
      <c r="A2508" t="inlineStr">
        <is>
          <t>מדי-מרקט</t>
        </is>
      </c>
      <c r="B2508" t="inlineStr">
        <is>
          <t>טובוס+ בלון גודל 4 , מדיקפרו</t>
        </is>
      </c>
      <c r="C2508" t="inlineStr">
        <is>
          <t>ציוד מתכלה</t>
        </is>
      </c>
      <c r="D2508" t="inlineStr">
        <is>
          <t>400-997</t>
        </is>
      </c>
      <c r="E2508" t="inlineStr">
        <is>
          <t>2026-06</t>
        </is>
      </c>
      <c r="F2508" t="n">
        <v>1.57</v>
      </c>
      <c r="G2508" t="n">
        <v>1.85</v>
      </c>
      <c r="H2508">
        <f>הגדרות!B7</f>
        <v/>
      </c>
      <c r="I2508">
        <f>F2508*(1-H2508/100)*1.18</f>
        <v/>
      </c>
      <c r="J2508">
        <f>הגדרות!C7</f>
        <v/>
      </c>
      <c r="K2508">
        <f>הגדרות!D7</f>
        <v/>
      </c>
      <c r="L2508">
        <f>I2508*(1+J2508/100)+K2508</f>
        <v/>
      </c>
    </row>
    <row r="2509">
      <c r="A2509" t="inlineStr">
        <is>
          <t>מדי-מרקט</t>
        </is>
      </c>
      <c r="B2509" t="inlineStr">
        <is>
          <t>טובוס+ בלון גודל 4.5 , מדיקפרו</t>
        </is>
      </c>
      <c r="C2509" t="inlineStr">
        <is>
          <t>ציוד מתכלה</t>
        </is>
      </c>
      <c r="D2509" t="inlineStr">
        <is>
          <t>400-998</t>
        </is>
      </c>
      <c r="E2509" t="inlineStr">
        <is>
          <t>2026-06</t>
        </is>
      </c>
      <c r="F2509" t="n">
        <v>1.44</v>
      </c>
      <c r="G2509" t="n">
        <v>1.7</v>
      </c>
      <c r="H2509">
        <f>הגדרות!B7</f>
        <v/>
      </c>
      <c r="I2509">
        <f>F2509*(1-H2509/100)*1.18</f>
        <v/>
      </c>
      <c r="J2509">
        <f>הגדרות!C7</f>
        <v/>
      </c>
      <c r="K2509">
        <f>הגדרות!D7</f>
        <v/>
      </c>
      <c r="L2509">
        <f>I2509*(1+J2509/100)+K2509</f>
        <v/>
      </c>
    </row>
    <row r="2510">
      <c r="A2510" t="inlineStr">
        <is>
          <t>מדי-מרקט</t>
        </is>
      </c>
      <c r="B2510" t="inlineStr">
        <is>
          <t>טובוס+ בלון גודל 5 , מדיקפרו</t>
        </is>
      </c>
      <c r="C2510" t="inlineStr">
        <is>
          <t>ציוד מתכלה</t>
        </is>
      </c>
      <c r="D2510" t="inlineStr">
        <is>
          <t>400-999</t>
        </is>
      </c>
      <c r="E2510" t="inlineStr">
        <is>
          <t>2026-06</t>
        </is>
      </c>
      <c r="F2510" t="n">
        <v>1.59</v>
      </c>
      <c r="G2510" t="n">
        <v>1.88</v>
      </c>
      <c r="H2510">
        <f>הגדרות!B7</f>
        <v/>
      </c>
      <c r="I2510">
        <f>F2510*(1-H2510/100)*1.18</f>
        <v/>
      </c>
      <c r="J2510">
        <f>הגדרות!C7</f>
        <v/>
      </c>
      <c r="K2510">
        <f>הגדרות!D7</f>
        <v/>
      </c>
      <c r="L2510">
        <f>I2510*(1+J2510/100)+K2510</f>
        <v/>
      </c>
    </row>
    <row r="2511">
      <c r="A2511" t="inlineStr">
        <is>
          <t>מדי-מרקט</t>
        </is>
      </c>
      <c r="B2511" t="inlineStr">
        <is>
          <t>טובוס+ בלון גודל 5.5 , מדיקפרו</t>
        </is>
      </c>
      <c r="C2511" t="inlineStr">
        <is>
          <t>ציוד מתכלה</t>
        </is>
      </c>
      <c r="D2511" t="inlineStr">
        <is>
          <t>500-000</t>
        </is>
      </c>
      <c r="E2511" t="inlineStr">
        <is>
          <t>2026-06</t>
        </is>
      </c>
      <c r="F2511" t="n">
        <v>1.44</v>
      </c>
      <c r="G2511" t="n">
        <v>1.7</v>
      </c>
      <c r="H2511">
        <f>הגדרות!B7</f>
        <v/>
      </c>
      <c r="I2511">
        <f>F2511*(1-H2511/100)*1.18</f>
        <v/>
      </c>
      <c r="J2511">
        <f>הגדרות!C7</f>
        <v/>
      </c>
      <c r="K2511">
        <f>הגדרות!D7</f>
        <v/>
      </c>
      <c r="L2511">
        <f>I2511*(1+J2511/100)+K2511</f>
        <v/>
      </c>
    </row>
    <row r="2512">
      <c r="A2512" t="inlineStr">
        <is>
          <t>מדי-מרקט</t>
        </is>
      </c>
      <c r="B2512" t="inlineStr">
        <is>
          <t>טובוס+ בלון גודל 6 ,מדיקפרו</t>
        </is>
      </c>
      <c r="C2512" t="inlineStr">
        <is>
          <t>ציוד מתכלה</t>
        </is>
      </c>
      <c r="D2512" t="inlineStr">
        <is>
          <t>500-001</t>
        </is>
      </c>
      <c r="E2512" t="inlineStr">
        <is>
          <t>2026-06</t>
        </is>
      </c>
      <c r="F2512" t="n">
        <v>1.47</v>
      </c>
      <c r="G2512" t="n">
        <v>1.74</v>
      </c>
      <c r="H2512">
        <f>הגדרות!B7</f>
        <v/>
      </c>
      <c r="I2512">
        <f>F2512*(1-H2512/100)*1.18</f>
        <v/>
      </c>
      <c r="J2512">
        <f>הגדרות!C7</f>
        <v/>
      </c>
      <c r="K2512">
        <f>הגדרות!D7</f>
        <v/>
      </c>
      <c r="L2512">
        <f>I2512*(1+J2512/100)+K2512</f>
        <v/>
      </c>
    </row>
    <row r="2513">
      <c r="A2513" t="inlineStr">
        <is>
          <t>מדי-מרקט</t>
        </is>
      </c>
      <c r="B2513" t="inlineStr">
        <is>
          <t>טובוס+ בלון גודל 6.5 , מדיקפרו</t>
        </is>
      </c>
      <c r="C2513" t="inlineStr">
        <is>
          <t>ציוד מתכלה</t>
        </is>
      </c>
      <c r="D2513" t="inlineStr">
        <is>
          <t>500-002</t>
        </is>
      </c>
      <c r="E2513" t="inlineStr">
        <is>
          <t>2026-06</t>
        </is>
      </c>
      <c r="F2513" t="n">
        <v>1.45</v>
      </c>
      <c r="G2513" t="n">
        <v>1.71</v>
      </c>
      <c r="H2513">
        <f>הגדרות!B7</f>
        <v/>
      </c>
      <c r="I2513">
        <f>F2513*(1-H2513/100)*1.18</f>
        <v/>
      </c>
      <c r="J2513">
        <f>הגדרות!C7</f>
        <v/>
      </c>
      <c r="K2513">
        <f>הגדרות!D7</f>
        <v/>
      </c>
      <c r="L2513">
        <f>I2513*(1+J2513/100)+K2513</f>
        <v/>
      </c>
    </row>
    <row r="2514">
      <c r="A2514" t="inlineStr">
        <is>
          <t>מדי-מרקט</t>
        </is>
      </c>
      <c r="B2514" t="inlineStr">
        <is>
          <t>טובוס+ בלון גודל 7 , מדיקפרו</t>
        </is>
      </c>
      <c r="C2514" t="inlineStr">
        <is>
          <t>ציוד מתכלה</t>
        </is>
      </c>
      <c r="D2514" t="inlineStr">
        <is>
          <t>500-003</t>
        </is>
      </c>
      <c r="E2514" t="inlineStr">
        <is>
          <t>2026-06</t>
        </is>
      </c>
      <c r="F2514" t="n">
        <v>1.69</v>
      </c>
      <c r="G2514" t="n">
        <v>2</v>
      </c>
      <c r="H2514">
        <f>הגדרות!B7</f>
        <v/>
      </c>
      <c r="I2514">
        <f>F2514*(1-H2514/100)*1.18</f>
        <v/>
      </c>
      <c r="J2514">
        <f>הגדרות!C7</f>
        <v/>
      </c>
      <c r="K2514">
        <f>הגדרות!D7</f>
        <v/>
      </c>
      <c r="L2514">
        <f>I2514*(1+J2514/100)+K2514</f>
        <v/>
      </c>
    </row>
    <row r="2515">
      <c r="A2515" t="inlineStr">
        <is>
          <t>מדי-מרקט</t>
        </is>
      </c>
      <c r="B2515" t="inlineStr">
        <is>
          <t>טובוס+ בלון גודל 7.5, מדיקפרו</t>
        </is>
      </c>
      <c r="C2515" t="inlineStr">
        <is>
          <t>ציוד מתכלה</t>
        </is>
      </c>
      <c r="D2515" t="inlineStr">
        <is>
          <t>500-004</t>
        </is>
      </c>
      <c r="E2515" t="inlineStr">
        <is>
          <t>2026-06</t>
        </is>
      </c>
      <c r="F2515" t="n">
        <v>1.69</v>
      </c>
      <c r="G2515" t="n">
        <v>2</v>
      </c>
      <c r="H2515">
        <f>הגדרות!B7</f>
        <v/>
      </c>
      <c r="I2515">
        <f>F2515*(1-H2515/100)*1.18</f>
        <v/>
      </c>
      <c r="J2515">
        <f>הגדרות!C7</f>
        <v/>
      </c>
      <c r="K2515">
        <f>הגדרות!D7</f>
        <v/>
      </c>
      <c r="L2515">
        <f>I2515*(1+J2515/100)+K2515</f>
        <v/>
      </c>
    </row>
    <row r="2516">
      <c r="A2516" t="inlineStr">
        <is>
          <t>מדי-מרקט</t>
        </is>
      </c>
      <c r="B2516" t="inlineStr">
        <is>
          <t>טובוס+ בלון גודל 8 , מדיקפרו</t>
        </is>
      </c>
      <c r="C2516" t="inlineStr">
        <is>
          <t>ציוד מתכלה</t>
        </is>
      </c>
      <c r="D2516" t="inlineStr">
        <is>
          <t>500-005</t>
        </is>
      </c>
      <c r="E2516" t="inlineStr">
        <is>
          <t>2026-06</t>
        </is>
      </c>
      <c r="F2516" t="n">
        <v>1.59</v>
      </c>
      <c r="G2516" t="n">
        <v>1.88</v>
      </c>
      <c r="H2516">
        <f>הגדרות!B7</f>
        <v/>
      </c>
      <c r="I2516">
        <f>F2516*(1-H2516/100)*1.18</f>
        <v/>
      </c>
      <c r="J2516">
        <f>הגדרות!C7</f>
        <v/>
      </c>
      <c r="K2516">
        <f>הגדרות!D7</f>
        <v/>
      </c>
      <c r="L2516">
        <f>I2516*(1+J2516/100)+K2516</f>
        <v/>
      </c>
    </row>
    <row r="2517">
      <c r="A2517" t="inlineStr">
        <is>
          <t>מדי-מרקט</t>
        </is>
      </c>
      <c r="B2517" t="inlineStr">
        <is>
          <t>טובוס+ בלון גודל 8.5, מדיקפרו</t>
        </is>
      </c>
      <c r="C2517" t="inlineStr">
        <is>
          <t>ציוד מתכלה</t>
        </is>
      </c>
      <c r="D2517" t="inlineStr">
        <is>
          <t>500-006</t>
        </is>
      </c>
      <c r="E2517" t="inlineStr">
        <is>
          <t>2026-06</t>
        </is>
      </c>
      <c r="F2517" t="n">
        <v>1.6</v>
      </c>
      <c r="G2517" t="n">
        <v>1.89</v>
      </c>
      <c r="H2517">
        <f>הגדרות!B7</f>
        <v/>
      </c>
      <c r="I2517">
        <f>F2517*(1-H2517/100)*1.18</f>
        <v/>
      </c>
      <c r="J2517">
        <f>הגדרות!C7</f>
        <v/>
      </c>
      <c r="K2517">
        <f>הגדרות!D7</f>
        <v/>
      </c>
      <c r="L2517">
        <f>I2517*(1+J2517/100)+K2517</f>
        <v/>
      </c>
    </row>
    <row r="2518">
      <c r="A2518" t="inlineStr">
        <is>
          <t>מדי-מרקט</t>
        </is>
      </c>
      <c r="B2518" t="inlineStr">
        <is>
          <t>טובוס+ בלון גודל 9 , מדיקפרו</t>
        </is>
      </c>
      <c r="C2518" t="inlineStr">
        <is>
          <t>ציוד מתכלה</t>
        </is>
      </c>
      <c r="D2518" t="inlineStr">
        <is>
          <t>500-007</t>
        </is>
      </c>
      <c r="E2518" t="inlineStr">
        <is>
          <t>2026-06</t>
        </is>
      </c>
      <c r="F2518" t="n">
        <v>1.77</v>
      </c>
      <c r="G2518" t="n">
        <v>2.09</v>
      </c>
      <c r="H2518">
        <f>הגדרות!B7</f>
        <v/>
      </c>
      <c r="I2518">
        <f>F2518*(1-H2518/100)*1.18</f>
        <v/>
      </c>
      <c r="J2518">
        <f>הגדרות!C7</f>
        <v/>
      </c>
      <c r="K2518">
        <f>הגדרות!D7</f>
        <v/>
      </c>
      <c r="L2518">
        <f>I2518*(1+J2518/100)+K2518</f>
        <v/>
      </c>
    </row>
    <row r="2519">
      <c r="A2519" t="inlineStr">
        <is>
          <t>מדי-מרקט</t>
        </is>
      </c>
      <c r="B2519" t="inlineStr">
        <is>
          <t>טורבינה דנטלית LK-M71</t>
        </is>
      </c>
      <c r="C2519" t="inlineStr">
        <is>
          <t>דנטלי</t>
        </is>
      </c>
      <c r="D2519" t="inlineStr">
        <is>
          <t>10118</t>
        </is>
      </c>
      <c r="E2519" t="inlineStr">
        <is>
          <t>2026-06</t>
        </is>
      </c>
      <c r="F2519" t="n">
        <v>294.64</v>
      </c>
      <c r="G2519" t="n">
        <v>347.67</v>
      </c>
      <c r="H2519">
        <f>הגדרות!B7</f>
        <v/>
      </c>
      <c r="I2519">
        <f>F2519*(1-H2519/100)*1.18</f>
        <v/>
      </c>
      <c r="J2519">
        <f>הגדרות!C7</f>
        <v/>
      </c>
      <c r="K2519">
        <f>הגדרות!D7</f>
        <v/>
      </c>
      <c r="L2519">
        <f>I2519*(1+J2519/100)+K2519</f>
        <v/>
      </c>
    </row>
    <row r="2520">
      <c r="A2520" t="inlineStr">
        <is>
          <t>מדי-מרקט</t>
        </is>
      </c>
      <c r="B2520" t="inlineStr">
        <is>
          <t>טטנוס Dipht.Tet.Prefilled Adult Vacc Imovax D.T</t>
        </is>
      </c>
      <c r="C2520" t="inlineStr">
        <is>
          <t>תרופות</t>
        </is>
      </c>
      <c r="D2520" t="inlineStr">
        <is>
          <t>200336</t>
        </is>
      </c>
      <c r="E2520" t="inlineStr">
        <is>
          <t>2026-06</t>
        </is>
      </c>
      <c r="F2520" t="n">
        <v>41.53</v>
      </c>
      <c r="G2520" t="n">
        <v>49</v>
      </c>
      <c r="H2520">
        <f>הגדרות!B7</f>
        <v/>
      </c>
      <c r="I2520">
        <f>F2520*(1-H2520/100)*1.18</f>
        <v/>
      </c>
      <c r="J2520">
        <f>הגדרות!C7</f>
        <v/>
      </c>
      <c r="K2520">
        <f>הגדרות!D7</f>
        <v/>
      </c>
      <c r="L2520">
        <f>I2520*(1+J2520/100)+K2520</f>
        <v/>
      </c>
    </row>
    <row r="2521">
      <c r="A2521" t="inlineStr">
        <is>
          <t>מדי-מרקט</t>
        </is>
      </c>
      <c r="B2521" t="inlineStr">
        <is>
          <t>טייפ קינזיולוגי , 5X5 ס"מ , ורוד , MX LONDON</t>
        </is>
      </c>
      <c r="C2521" t="inlineStr">
        <is>
          <t>תחבושות אורטופדיות</t>
        </is>
      </c>
      <c r="D2521" t="inlineStr">
        <is>
          <t>MX79011</t>
        </is>
      </c>
      <c r="E2521" t="inlineStr">
        <is>
          <t>2026-06</t>
        </is>
      </c>
      <c r="F2521" t="n">
        <v>12.71</v>
      </c>
      <c r="G2521" t="n">
        <v>15</v>
      </c>
      <c r="H2521">
        <f>הגדרות!B7</f>
        <v/>
      </c>
      <c r="I2521">
        <f>F2521*(1-H2521/100)*1.18</f>
        <v/>
      </c>
      <c r="J2521">
        <f>הגדרות!C7</f>
        <v/>
      </c>
      <c r="K2521">
        <f>הגדרות!D7</f>
        <v/>
      </c>
      <c r="L2521">
        <f>I2521*(1+J2521/100)+K2521</f>
        <v/>
      </c>
    </row>
    <row r="2522">
      <c r="A2522" t="inlineStr">
        <is>
          <t>מדי-מרקט</t>
        </is>
      </c>
      <c r="B2522" t="inlineStr">
        <is>
          <t>טייפ קינזיולוגי , 5X5 ס"מ , כחול , MX LONDON</t>
        </is>
      </c>
      <c r="C2522" t="inlineStr">
        <is>
          <t>תחבושות אורטופדיות</t>
        </is>
      </c>
      <c r="D2522" t="inlineStr">
        <is>
          <t>MX79031</t>
        </is>
      </c>
      <c r="E2522" t="inlineStr">
        <is>
          <t>2026-06</t>
        </is>
      </c>
      <c r="F2522" t="n">
        <v>12.71</v>
      </c>
      <c r="G2522" t="n">
        <v>15</v>
      </c>
      <c r="H2522">
        <f>הגדרות!B7</f>
        <v/>
      </c>
      <c r="I2522">
        <f>F2522*(1-H2522/100)*1.18</f>
        <v/>
      </c>
      <c r="J2522">
        <f>הגדרות!C7</f>
        <v/>
      </c>
      <c r="K2522">
        <f>הגדרות!D7</f>
        <v/>
      </c>
      <c r="L2522">
        <f>I2522*(1+J2522/100)+K2522</f>
        <v/>
      </c>
    </row>
    <row r="2523">
      <c r="A2523" t="inlineStr">
        <is>
          <t>מדי-מרקט</t>
        </is>
      </c>
      <c r="B2523" t="inlineStr">
        <is>
          <t>טייפ קינזיולוגי , 5X5 ס"מ , שחור , MX LONDON</t>
        </is>
      </c>
      <c r="C2523" t="inlineStr">
        <is>
          <t>תחבושות אורטופדיות</t>
        </is>
      </c>
      <c r="D2523" t="inlineStr">
        <is>
          <t>MX79021</t>
        </is>
      </c>
      <c r="E2523" t="inlineStr">
        <is>
          <t>2026-06</t>
        </is>
      </c>
      <c r="F2523" t="n">
        <v>12.71</v>
      </c>
      <c r="G2523" t="n">
        <v>15</v>
      </c>
      <c r="H2523">
        <f>הגדרות!B7</f>
        <v/>
      </c>
      <c r="I2523">
        <f>F2523*(1-H2523/100)*1.18</f>
        <v/>
      </c>
      <c r="J2523">
        <f>הגדרות!C7</f>
        <v/>
      </c>
      <c r="K2523">
        <f>הגדרות!D7</f>
        <v/>
      </c>
      <c r="L2523">
        <f>I2523*(1+J2523/100)+K2523</f>
        <v/>
      </c>
    </row>
    <row r="2524">
      <c r="A2524" t="inlineStr">
        <is>
          <t>מדי-מרקט</t>
        </is>
      </c>
      <c r="B2524" t="inlineStr">
        <is>
          <t>טלק 200 גר</t>
        </is>
      </c>
      <c r="C2524" t="inlineStr">
        <is>
          <t>תרופות</t>
        </is>
      </c>
      <c r="D2524" t="inlineStr">
        <is>
          <t>1205103</t>
        </is>
      </c>
      <c r="E2524" t="inlineStr">
        <is>
          <t>2026-06</t>
        </is>
      </c>
      <c r="F2524" t="n">
        <v>11.02</v>
      </c>
      <c r="G2524" t="n">
        <v>13</v>
      </c>
      <c r="H2524">
        <f>הגדרות!B7</f>
        <v/>
      </c>
      <c r="I2524">
        <f>F2524*(1-H2524/100)*1.18</f>
        <v/>
      </c>
      <c r="J2524">
        <f>הגדרות!C7</f>
        <v/>
      </c>
      <c r="K2524">
        <f>הגדרות!D7</f>
        <v/>
      </c>
      <c r="L2524">
        <f>I2524*(1+J2524/100)+K2524</f>
        <v/>
      </c>
    </row>
    <row r="2525">
      <c r="A2525" t="inlineStr">
        <is>
          <t>מדי-מרקט</t>
        </is>
      </c>
      <c r="B2525" t="inlineStr">
        <is>
          <t>ידית לאוטוסקופ עם סוללת ליטיום W.A</t>
        </is>
      </c>
      <c r="C2525" t="inlineStr">
        <is>
          <t>ציוד ומכשור רפואי</t>
        </is>
      </c>
      <c r="D2525" t="inlineStr">
        <is>
          <t>WLA71910</t>
        </is>
      </c>
      <c r="E2525" t="inlineStr">
        <is>
          <t>2026-06</t>
        </is>
      </c>
      <c r="F2525" t="n">
        <v>796.61</v>
      </c>
      <c r="G2525" t="n">
        <v>940</v>
      </c>
      <c r="H2525">
        <f>הגדרות!B7</f>
        <v/>
      </c>
      <c r="I2525">
        <f>F2525*(1-H2525/100)*1.18</f>
        <v/>
      </c>
      <c r="J2525">
        <f>הגדרות!C7</f>
        <v/>
      </c>
      <c r="K2525">
        <f>הגדרות!D7</f>
        <v/>
      </c>
      <c r="L2525">
        <f>I2525*(1+J2525/100)+K2525</f>
        <v/>
      </c>
    </row>
    <row r="2526">
      <c r="A2526" t="inlineStr">
        <is>
          <t>מדי-מרקט</t>
        </is>
      </c>
      <c r="B2526" t="inlineStr">
        <is>
          <t>ידית לרינגוסקופ להבים ישרים מילר</t>
        </is>
      </c>
      <c r="C2526" t="inlineStr">
        <is>
          <t>ציוד ומכשור רפואי</t>
        </is>
      </c>
      <c r="D2526" t="inlineStr">
        <is>
          <t>2927</t>
        </is>
      </c>
      <c r="E2526" t="inlineStr">
        <is>
          <t>2026-06</t>
        </is>
      </c>
      <c r="F2526" t="n">
        <v>483.05</v>
      </c>
      <c r="G2526" t="n">
        <v>570</v>
      </c>
      <c r="H2526">
        <f>הגדרות!B7</f>
        <v/>
      </c>
      <c r="I2526">
        <f>F2526*(1-H2526/100)*1.18</f>
        <v/>
      </c>
      <c r="J2526">
        <f>הגדרות!C7</f>
        <v/>
      </c>
      <c r="K2526">
        <f>הגדרות!D7</f>
        <v/>
      </c>
      <c r="L2526">
        <f>I2526*(1+J2526/100)+K2526</f>
        <v/>
      </c>
    </row>
    <row r="2527">
      <c r="A2527" t="inlineStr">
        <is>
          <t>מדי-מרקט</t>
        </is>
      </c>
      <c r="B2527" t="inlineStr">
        <is>
          <t>ידית מתכת כחולה דגם חדש (מנורת ניתוח)</t>
        </is>
      </c>
      <c r="C2527" t="inlineStr">
        <is>
          <t>ציוד ומכשור רפואי</t>
        </is>
      </c>
      <c r="D2527" t="inlineStr">
        <is>
          <t>70398-6</t>
        </is>
      </c>
      <c r="E2527" t="inlineStr">
        <is>
          <t>2026-06</t>
        </is>
      </c>
      <c r="F2527" t="n">
        <v>97.45999999999999</v>
      </c>
      <c r="G2527" t="n">
        <v>115</v>
      </c>
      <c r="H2527">
        <f>הגדרות!B7</f>
        <v/>
      </c>
      <c r="I2527">
        <f>F2527*(1-H2527/100)*1.18</f>
        <v/>
      </c>
      <c r="J2527">
        <f>הגדרות!C7</f>
        <v/>
      </c>
      <c r="K2527">
        <f>הגדרות!D7</f>
        <v/>
      </c>
      <c r="L2527">
        <f>I2527*(1+J2527/100)+K2527</f>
        <v/>
      </c>
    </row>
    <row r="2528">
      <c r="A2528" t="inlineStr">
        <is>
          <t>מדי-מרקט</t>
        </is>
      </c>
      <c r="B2528" t="inlineStr">
        <is>
          <t>כבל אקג 12 לידים למכשיר SE3/SE301 חיבור בננה</t>
        </is>
      </c>
      <c r="C2528" t="inlineStr">
        <is>
          <t>ציוד ומכשור רפואי</t>
        </is>
      </c>
      <c r="D2528" t="inlineStr">
        <is>
          <t>10740</t>
        </is>
      </c>
      <c r="E2528" t="inlineStr">
        <is>
          <t>2026-06</t>
        </is>
      </c>
      <c r="F2528" t="n">
        <v>360.17</v>
      </c>
      <c r="G2528" t="n">
        <v>425</v>
      </c>
      <c r="H2528">
        <f>הגדרות!B7</f>
        <v/>
      </c>
      <c r="I2528">
        <f>F2528*(1-H2528/100)*1.18</f>
        <v/>
      </c>
      <c r="J2528">
        <f>הגדרות!C7</f>
        <v/>
      </c>
      <c r="K2528">
        <f>הגדרות!D7</f>
        <v/>
      </c>
      <c r="L2528">
        <f>I2528*(1+J2528/100)+K2528</f>
        <v/>
      </c>
    </row>
    <row r="2529">
      <c r="A2529" t="inlineStr">
        <is>
          <t>מדי-מרקט</t>
        </is>
      </c>
      <c r="B2529" t="inlineStr">
        <is>
          <t>כבל מאריך 7 פינים למד לחץ דם</t>
        </is>
      </c>
      <c r="C2529" t="inlineStr">
        <is>
          <t>ציוד ומכשור רפואי</t>
        </is>
      </c>
      <c r="D2529" t="inlineStr">
        <is>
          <t>859532</t>
        </is>
      </c>
      <c r="E2529" t="inlineStr">
        <is>
          <t>2026-06</t>
        </is>
      </c>
      <c r="F2529" t="n">
        <v>156.78</v>
      </c>
      <c r="G2529" t="n">
        <v>185</v>
      </c>
      <c r="H2529">
        <f>הגדרות!B7</f>
        <v/>
      </c>
      <c r="I2529">
        <f>F2529*(1-H2529/100)*1.18</f>
        <v/>
      </c>
      <c r="J2529">
        <f>הגדרות!C7</f>
        <v/>
      </c>
      <c r="K2529">
        <f>הגדרות!D7</f>
        <v/>
      </c>
      <c r="L2529">
        <f>I2529*(1+J2529/100)+K2529</f>
        <v/>
      </c>
    </row>
    <row r="2530">
      <c r="A2530" t="inlineStr">
        <is>
          <t>מדי-מרקט</t>
        </is>
      </c>
      <c r="B2530" t="inlineStr">
        <is>
          <t>כבל מאריך spo2 מטר edan - פרוב סטורציה</t>
        </is>
      </c>
      <c r="C2530" t="inlineStr">
        <is>
          <t>ציוד מתכלה</t>
        </is>
      </c>
      <c r="D2530" t="inlineStr">
        <is>
          <t>369874</t>
        </is>
      </c>
      <c r="E2530" t="inlineStr">
        <is>
          <t>2026-06</t>
        </is>
      </c>
      <c r="F2530" t="n">
        <v>326.27</v>
      </c>
      <c r="G2530" t="n">
        <v>385</v>
      </c>
      <c r="H2530">
        <f>הגדרות!B7</f>
        <v/>
      </c>
      <c r="I2530">
        <f>F2530*(1-H2530/100)*1.18</f>
        <v/>
      </c>
      <c r="J2530">
        <f>הגדרות!C7</f>
        <v/>
      </c>
      <c r="K2530">
        <f>הגדרות!D7</f>
        <v/>
      </c>
      <c r="L2530">
        <f>I2530*(1+J2530/100)+K2530</f>
        <v/>
      </c>
    </row>
    <row r="2531">
      <c r="A2531" t="inlineStr">
        <is>
          <t>מדי-מרקט</t>
        </is>
      </c>
      <c r="B2531" t="inlineStr">
        <is>
          <t>כבל מאריך לסטורציה  7 פינים EDAN-01.57.471068013</t>
        </is>
      </c>
      <c r="C2531" t="inlineStr">
        <is>
          <t>ציוד ומכשור רפואי</t>
        </is>
      </c>
      <c r="D2531" t="inlineStr">
        <is>
          <t>536241</t>
        </is>
      </c>
      <c r="E2531" t="inlineStr">
        <is>
          <t>2026-06</t>
        </is>
      </c>
      <c r="F2531" t="n">
        <v>241.53</v>
      </c>
      <c r="G2531" t="n">
        <v>285</v>
      </c>
      <c r="H2531">
        <f>הגדרות!B7</f>
        <v/>
      </c>
      <c r="I2531">
        <f>F2531*(1-H2531/100)*1.18</f>
        <v/>
      </c>
      <c r="J2531">
        <f>הגדרות!C7</f>
        <v/>
      </c>
      <c r="K2531">
        <f>הגדרות!D7</f>
        <v/>
      </c>
      <c r="L2531">
        <f>I2531*(1+J2531/100)+K2531</f>
        <v/>
      </c>
    </row>
    <row r="2532">
      <c r="A2532" t="inlineStr">
        <is>
          <t>מדי-מרקט</t>
        </is>
      </c>
      <c r="B2532" t="inlineStr">
        <is>
          <t>כדורי גזה 20*20  1/500, מדיקפרו</t>
        </is>
      </c>
      <c r="C2532" t="inlineStr">
        <is>
          <t>מוצרי חבישה ופלסטרים</t>
        </is>
      </c>
      <c r="D2532" t="inlineStr">
        <is>
          <t>3006</t>
        </is>
      </c>
      <c r="E2532" t="inlineStr">
        <is>
          <t>2026-06</t>
        </is>
      </c>
      <c r="F2532" t="n">
        <v>49.24</v>
      </c>
      <c r="G2532" t="n">
        <v>58.1</v>
      </c>
      <c r="H2532">
        <f>הגדרות!B7</f>
        <v/>
      </c>
      <c r="I2532">
        <f>F2532*(1-H2532/100)*1.18</f>
        <v/>
      </c>
      <c r="J2532">
        <f>הגדרות!C7</f>
        <v/>
      </c>
      <c r="K2532">
        <f>הגדרות!D7</f>
        <v/>
      </c>
      <c r="L2532">
        <f>I2532*(1+J2532/100)+K2532</f>
        <v/>
      </c>
    </row>
    <row r="2533">
      <c r="A2533" t="inlineStr">
        <is>
          <t>מדי-מרקט</t>
        </is>
      </c>
      <c r="B2533" t="inlineStr">
        <is>
          <t>כדורי כלור אקטי כלור 200 יח' 1.7 גרם, Klorkleen</t>
        </is>
      </c>
      <c r="C2533" t="inlineStr">
        <is>
          <t>מוצרי חיטוי ואנטיספטיקה</t>
        </is>
      </c>
      <c r="D2533" t="inlineStr">
        <is>
          <t>2614</t>
        </is>
      </c>
      <c r="E2533" t="inlineStr">
        <is>
          <t>2026-06</t>
        </is>
      </c>
      <c r="F2533" t="n">
        <v>34.32</v>
      </c>
      <c r="G2533" t="n">
        <v>40.5</v>
      </c>
      <c r="H2533">
        <f>הגדרות!B7</f>
        <v/>
      </c>
      <c r="I2533">
        <f>F2533*(1-H2533/100)*1.18</f>
        <v/>
      </c>
      <c r="J2533">
        <f>הגדרות!C7</f>
        <v/>
      </c>
      <c r="K2533">
        <f>הגדרות!D7</f>
        <v/>
      </c>
      <c r="L2533">
        <f>I2533*(1+J2533/100)+K2533</f>
        <v/>
      </c>
    </row>
    <row r="2534">
      <c r="A2534" t="inlineStr">
        <is>
          <t>מדי-מרקט</t>
        </is>
      </c>
      <c r="B2534" t="inlineStr">
        <is>
          <t>כדורי כלור אקטי כלור 200 יח' 1.7 גרם, Klorkleen(ירוק)</t>
        </is>
      </c>
      <c r="C2534" t="inlineStr">
        <is>
          <t>מוצרי חיטוי ואנטיספטיקה</t>
        </is>
      </c>
      <c r="D2534" t="inlineStr">
        <is>
          <t>2614-1</t>
        </is>
      </c>
      <c r="E2534" t="inlineStr">
        <is>
          <t>2026-06</t>
        </is>
      </c>
      <c r="F2534" t="n">
        <v>36.86</v>
      </c>
      <c r="G2534" t="n">
        <v>43.5</v>
      </c>
      <c r="H2534">
        <f>הגדרות!B7</f>
        <v/>
      </c>
      <c r="I2534">
        <f>F2534*(1-H2534/100)*1.18</f>
        <v/>
      </c>
      <c r="J2534">
        <f>הגדרות!C7</f>
        <v/>
      </c>
      <c r="K2534">
        <f>הגדרות!D7</f>
        <v/>
      </c>
      <c r="L2534">
        <f>I2534*(1+J2534/100)+K2534</f>
        <v/>
      </c>
    </row>
    <row r="2535">
      <c r="A2535" t="inlineStr">
        <is>
          <t>מדי-מרקט</t>
        </is>
      </c>
      <c r="B2535" t="inlineStr">
        <is>
          <t>כדורי צמר גפן   2000 יח', מדיקפרו</t>
        </is>
      </c>
      <c r="C2535" t="inlineStr">
        <is>
          <t>ציוד מתכלה</t>
        </is>
      </c>
      <c r="D2535" t="inlineStr">
        <is>
          <t>40256</t>
        </is>
      </c>
      <c r="E2535" t="inlineStr">
        <is>
          <t>2026-06</t>
        </is>
      </c>
      <c r="F2535" t="n">
        <v>21.93</v>
      </c>
      <c r="G2535" t="n">
        <v>25.88</v>
      </c>
      <c r="H2535">
        <f>הגדרות!B7</f>
        <v/>
      </c>
      <c r="I2535">
        <f>F2535*(1-H2535/100)*1.18</f>
        <v/>
      </c>
      <c r="J2535">
        <f>הגדרות!C7</f>
        <v/>
      </c>
      <c r="K2535">
        <f>הגדרות!D7</f>
        <v/>
      </c>
      <c r="L2535">
        <f>I2535*(1+J2535/100)+K2535</f>
        <v/>
      </c>
    </row>
    <row r="2536">
      <c r="A2536" t="inlineStr">
        <is>
          <t>מדי-מרקט</t>
        </is>
      </c>
      <c r="B2536" t="inlineStr">
        <is>
          <t>כדורי רני בטעם מנטה 96 יח'Rennie</t>
        </is>
      </c>
      <c r="C2536" t="inlineStr">
        <is>
          <t>תרופות</t>
        </is>
      </c>
      <c r="D2536" t="inlineStr">
        <is>
          <t>25441</t>
        </is>
      </c>
      <c r="E2536" t="inlineStr">
        <is>
          <t>2026-06</t>
        </is>
      </c>
      <c r="F2536" t="n">
        <v>35.42</v>
      </c>
      <c r="G2536" t="n">
        <v>41.8</v>
      </c>
      <c r="H2536">
        <f>הגדרות!B7</f>
        <v/>
      </c>
      <c r="I2536">
        <f>F2536*(1-H2536/100)*1.18</f>
        <v/>
      </c>
      <c r="J2536">
        <f>הגדרות!C7</f>
        <v/>
      </c>
      <c r="K2536">
        <f>הגדרות!D7</f>
        <v/>
      </c>
      <c r="L2536">
        <f>I2536*(1+J2536/100)+K2536</f>
        <v/>
      </c>
    </row>
    <row r="2537">
      <c r="A2537" t="inlineStr">
        <is>
          <t>מדי-מרקט</t>
        </is>
      </c>
      <c r="B2537" t="inlineStr">
        <is>
          <t>כובע פיתה לאחות ,ירוק, מדיקפרו , 100 יח'</t>
        </is>
      </c>
      <c r="C2537" t="inlineStr">
        <is>
          <t>ביגוד ח.פ. ורב פעמי</t>
        </is>
      </c>
      <c r="D2537" t="inlineStr">
        <is>
          <t>500-0651</t>
        </is>
      </c>
      <c r="E2537" t="inlineStr">
        <is>
          <t>2026-06</t>
        </is>
      </c>
      <c r="F2537" t="n">
        <v>6.27</v>
      </c>
      <c r="G2537" t="n">
        <v>7.4</v>
      </c>
      <c r="H2537">
        <f>הגדרות!B7</f>
        <v/>
      </c>
      <c r="I2537">
        <f>F2537*(1-H2537/100)*1.18</f>
        <v/>
      </c>
      <c r="J2537">
        <f>הגדרות!C7</f>
        <v/>
      </c>
      <c r="K2537">
        <f>הגדרות!D7</f>
        <v/>
      </c>
      <c r="L2537">
        <f>I2537*(1+J2537/100)+K2537</f>
        <v/>
      </c>
    </row>
    <row r="2538">
      <c r="A2538" t="inlineStr">
        <is>
          <t>מדי-מרקט</t>
        </is>
      </c>
      <c r="B2538" t="inlineStr">
        <is>
          <t>כובע פיתה לאחות ,לבן, מדיקפרו , 100 יח'</t>
        </is>
      </c>
      <c r="C2538" t="inlineStr">
        <is>
          <t>ביגוד ח.פ. ורב פעמי</t>
        </is>
      </c>
      <c r="D2538" t="inlineStr">
        <is>
          <t>500-065</t>
        </is>
      </c>
      <c r="E2538" t="inlineStr">
        <is>
          <t>2026-06</t>
        </is>
      </c>
      <c r="F2538" t="n">
        <v>6.89</v>
      </c>
      <c r="G2538" t="n">
        <v>8.130000000000001</v>
      </c>
      <c r="H2538">
        <f>הגדרות!B7</f>
        <v/>
      </c>
      <c r="I2538">
        <f>F2538*(1-H2538/100)*1.18</f>
        <v/>
      </c>
      <c r="J2538">
        <f>הגדרות!C7</f>
        <v/>
      </c>
      <c r="K2538">
        <f>הגדרות!D7</f>
        <v/>
      </c>
      <c r="L2538">
        <f>I2538*(1+J2538/100)+K2538</f>
        <v/>
      </c>
    </row>
    <row r="2539">
      <c r="A2539" t="inlineStr">
        <is>
          <t>מדי-מרקט</t>
        </is>
      </c>
      <c r="B2539" t="inlineStr">
        <is>
          <t>כובע רופא עם קשירה מאחור, ירוק, מדיקפרו, 50 יח'</t>
        </is>
      </c>
      <c r="C2539" t="inlineStr">
        <is>
          <t>ביגוד ח.פ. ורב פעמי</t>
        </is>
      </c>
      <c r="D2539" t="inlineStr">
        <is>
          <t>500-066</t>
        </is>
      </c>
      <c r="E2539" t="inlineStr">
        <is>
          <t>2026-06</t>
        </is>
      </c>
      <c r="F2539" t="n">
        <v>8.9</v>
      </c>
      <c r="G2539" t="n">
        <v>10.5</v>
      </c>
      <c r="H2539">
        <f>הגדרות!B7</f>
        <v/>
      </c>
      <c r="I2539">
        <f>F2539*(1-H2539/100)*1.18</f>
        <v/>
      </c>
      <c r="J2539">
        <f>הגדרות!C7</f>
        <v/>
      </c>
      <c r="K2539">
        <f>הגדרות!D7</f>
        <v/>
      </c>
      <c r="L2539">
        <f>I2539*(1+J2539/100)+K2539</f>
        <v/>
      </c>
    </row>
    <row r="2540">
      <c r="A2540" t="inlineStr">
        <is>
          <t>מדי-מרקט</t>
        </is>
      </c>
      <c r="B2540" t="inlineStr">
        <is>
          <t>כוס לאנהלציה Nebulizer cup 6cc non sterile</t>
        </is>
      </c>
      <c r="C2540" t="inlineStr">
        <is>
          <t>ציוד מתכלה</t>
        </is>
      </c>
      <c r="D2540" t="inlineStr">
        <is>
          <t>654694</t>
        </is>
      </c>
      <c r="E2540" t="inlineStr">
        <is>
          <t>2026-06</t>
        </is>
      </c>
      <c r="F2540" t="n">
        <v>1.67</v>
      </c>
      <c r="G2540" t="n">
        <v>1.97</v>
      </c>
      <c r="H2540">
        <f>הגדרות!B7</f>
        <v/>
      </c>
      <c r="I2540">
        <f>F2540*(1-H2540/100)*1.18</f>
        <v/>
      </c>
      <c r="J2540">
        <f>הגדרות!C7</f>
        <v/>
      </c>
      <c r="K2540">
        <f>הגדרות!D7</f>
        <v/>
      </c>
      <c r="L2540">
        <f>I2540*(1+J2540/100)+K2540</f>
        <v/>
      </c>
    </row>
    <row r="2541">
      <c r="A2541" t="inlineStr">
        <is>
          <t>מדי-מרקט</t>
        </is>
      </c>
      <c r="B2541" t="inlineStr">
        <is>
          <t>כוס לבדיקת צואה</t>
        </is>
      </c>
      <c r="C2541" t="inlineStr">
        <is>
          <t>ציוד מעבדתי</t>
        </is>
      </c>
      <c r="D2541" t="inlineStr">
        <is>
          <t>3146</t>
        </is>
      </c>
      <c r="E2541" t="inlineStr">
        <is>
          <t>2026-06</t>
        </is>
      </c>
      <c r="F2541" t="n">
        <v>0.29</v>
      </c>
      <c r="G2541" t="n">
        <v>0.34</v>
      </c>
      <c r="H2541">
        <f>הגדרות!B7</f>
        <v/>
      </c>
      <c r="I2541">
        <f>F2541*(1-H2541/100)*1.18</f>
        <v/>
      </c>
      <c r="J2541">
        <f>הגדרות!C7</f>
        <v/>
      </c>
      <c r="K2541">
        <f>הגדרות!D7</f>
        <v/>
      </c>
      <c r="L2541">
        <f>I2541*(1+J2541/100)+K2541</f>
        <v/>
      </c>
    </row>
    <row r="2542">
      <c r="A2542" t="inlineStr">
        <is>
          <t>מדי-מרקט</t>
        </is>
      </c>
      <c r="B2542" t="inlineStr">
        <is>
          <t>כוס לחלוקת תרופות - שקוף 100 יח' מדיקפרו</t>
        </is>
      </c>
      <c r="C2542" t="inlineStr">
        <is>
          <t>ציוד ומכשור רפואי</t>
        </is>
      </c>
      <c r="D2542" t="inlineStr">
        <is>
          <t>300-100</t>
        </is>
      </c>
      <c r="E2542" t="inlineStr">
        <is>
          <t>2026-06</t>
        </is>
      </c>
      <c r="F2542" t="n">
        <v>1.72</v>
      </c>
      <c r="G2542" t="n">
        <v>2.03</v>
      </c>
      <c r="H2542">
        <f>הגדרות!B7</f>
        <v/>
      </c>
      <c r="I2542">
        <f>F2542*(1-H2542/100)*1.18</f>
        <v/>
      </c>
      <c r="J2542">
        <f>הגדרות!C7</f>
        <v/>
      </c>
      <c r="K2542">
        <f>הגדרות!D7</f>
        <v/>
      </c>
      <c r="L2542">
        <f>I2542*(1+J2542/100)+K2542</f>
        <v/>
      </c>
    </row>
    <row r="2543">
      <c r="A2543" t="inlineStr">
        <is>
          <t>מדי-מרקט</t>
        </is>
      </c>
      <c r="B2543" t="inlineStr">
        <is>
          <t>כוס לצביעת זכוכית עגולה ל10 סליידים (לדיפ קוויק)</t>
        </is>
      </c>
      <c r="C2543" t="inlineStr">
        <is>
          <t>ציוד מעבדתי</t>
        </is>
      </c>
      <c r="D2543" t="inlineStr">
        <is>
          <t>3144</t>
        </is>
      </c>
      <c r="E2543" t="inlineStr">
        <is>
          <t>2026-06</t>
        </is>
      </c>
      <c r="F2543" t="n">
        <v>84.75</v>
      </c>
      <c r="G2543" t="n">
        <v>100</v>
      </c>
      <c r="H2543">
        <f>הגדרות!B7</f>
        <v/>
      </c>
      <c r="I2543">
        <f>F2543*(1-H2543/100)*1.18</f>
        <v/>
      </c>
      <c r="J2543">
        <f>הגדרות!C7</f>
        <v/>
      </c>
      <c r="K2543">
        <f>הגדרות!D7</f>
        <v/>
      </c>
      <c r="L2543">
        <f>I2543*(1+J2543/100)+K2543</f>
        <v/>
      </c>
    </row>
    <row r="2544">
      <c r="A2544" t="inlineStr">
        <is>
          <t>מדי-מרקט</t>
        </is>
      </c>
      <c r="B2544" t="inlineStr">
        <is>
          <t>כוס לתרבית שתן (פקק כחול) 1 יח' מק"ט 3329902000</t>
        </is>
      </c>
      <c r="C2544" t="inlineStr">
        <is>
          <t>ציוד מעבדתי</t>
        </is>
      </c>
      <c r="D2544" t="inlineStr">
        <is>
          <t>258888</t>
        </is>
      </c>
      <c r="E2544" t="inlineStr">
        <is>
          <t>2026-06</t>
        </is>
      </c>
      <c r="F2544" t="n">
        <v>0.6</v>
      </c>
      <c r="G2544" t="n">
        <v>0.71</v>
      </c>
      <c r="H2544">
        <f>הגדרות!B7</f>
        <v/>
      </c>
      <c r="I2544">
        <f>F2544*(1-H2544/100)*1.18</f>
        <v/>
      </c>
      <c r="J2544">
        <f>הגדרות!C7</f>
        <v/>
      </c>
      <c r="K2544">
        <f>הגדרות!D7</f>
        <v/>
      </c>
      <c r="L2544">
        <f>I2544*(1+J2544/100)+K2544</f>
        <v/>
      </c>
    </row>
    <row r="2545">
      <c r="A2545" t="inlineStr">
        <is>
          <t>מדי-מרקט</t>
        </is>
      </c>
      <c r="B2545" t="inlineStr">
        <is>
          <t>כוס שתן + פקק לחיץ לא סטר' 1 יח'</t>
        </is>
      </c>
      <c r="C2545" t="inlineStr">
        <is>
          <t>ציוד מעבדתי</t>
        </is>
      </c>
      <c r="D2545" t="inlineStr">
        <is>
          <t>3145</t>
        </is>
      </c>
      <c r="E2545" t="inlineStr">
        <is>
          <t>2026-06</t>
        </is>
      </c>
      <c r="F2545" t="n">
        <v>0.39</v>
      </c>
      <c r="G2545" t="n">
        <v>0.46</v>
      </c>
      <c r="H2545">
        <f>הגדרות!B7</f>
        <v/>
      </c>
      <c r="I2545">
        <f>F2545*(1-H2545/100)*1.18</f>
        <v/>
      </c>
      <c r="J2545">
        <f>הגדרות!C7</f>
        <v/>
      </c>
      <c r="K2545">
        <f>הגדרות!D7</f>
        <v/>
      </c>
      <c r="L2545">
        <f>I2545*(1+J2545/100)+K2545</f>
        <v/>
      </c>
    </row>
    <row r="2546">
      <c r="A2546" t="inlineStr">
        <is>
          <t>מדי-מרקט</t>
        </is>
      </c>
      <c r="B2546" t="inlineStr">
        <is>
          <t>כוס שתן סטר' +פקק אדום מתברג 1 יח מדיקפרו</t>
        </is>
      </c>
      <c r="C2546" t="inlineStr">
        <is>
          <t>ציוד מתכלה</t>
        </is>
      </c>
      <c r="D2546" t="inlineStr">
        <is>
          <t>25566</t>
        </is>
      </c>
      <c r="E2546" t="inlineStr">
        <is>
          <t>2026-06</t>
        </is>
      </c>
      <c r="F2546" t="n">
        <v>0.25</v>
      </c>
      <c r="G2546" t="n">
        <v>0.3</v>
      </c>
      <c r="H2546">
        <f>הגדרות!B7</f>
        <v/>
      </c>
      <c r="I2546">
        <f>F2546*(1-H2546/100)*1.18</f>
        <v/>
      </c>
      <c r="J2546">
        <f>הגדרות!C7</f>
        <v/>
      </c>
      <c r="K2546">
        <f>הגדרות!D7</f>
        <v/>
      </c>
      <c r="L2546">
        <f>I2546*(1+J2546/100)+K2546</f>
        <v/>
      </c>
    </row>
    <row r="2547">
      <c r="A2547" t="inlineStr">
        <is>
          <t>מדי-מרקט</t>
        </is>
      </c>
      <c r="B2547" t="inlineStr">
        <is>
          <t>כורסא גיריאטרית עם 4 גלגלי מסתובבים ושולחן ריפוד</t>
        </is>
      </c>
      <c r="C2547" t="inlineStr">
        <is>
          <t>ציוד ומכשור רפואי</t>
        </is>
      </c>
      <c r="D2547" t="inlineStr">
        <is>
          <t>656111</t>
        </is>
      </c>
      <c r="E2547" t="inlineStr">
        <is>
          <t>2026-06</t>
        </is>
      </c>
      <c r="F2547" t="n">
        <v>2013.56</v>
      </c>
      <c r="G2547" t="n">
        <v>2376</v>
      </c>
      <c r="H2547">
        <f>הגדרות!B7</f>
        <v/>
      </c>
      <c r="I2547">
        <f>F2547*(1-H2547/100)*1.18</f>
        <v/>
      </c>
      <c r="J2547">
        <f>הגדרות!C7</f>
        <v/>
      </c>
      <c r="K2547">
        <f>הגדרות!D7</f>
        <v/>
      </c>
      <c r="L2547">
        <f>I2547*(1+J2547/100)+K2547</f>
        <v/>
      </c>
    </row>
    <row r="2548">
      <c r="A2548" t="inlineStr">
        <is>
          <t>מדי-מרקט</t>
        </is>
      </c>
      <c r="B2548" t="inlineStr">
        <is>
          <t>כיליה מפלסטיק עמידה באוטוקלאב 21 ס"מ</t>
        </is>
      </c>
      <c r="C2548" t="inlineStr">
        <is>
          <t>ציוד מתכלה</t>
        </is>
      </c>
      <c r="D2548" t="inlineStr">
        <is>
          <t>2966</t>
        </is>
      </c>
      <c r="E2548" t="inlineStr">
        <is>
          <t>2026-06</t>
        </is>
      </c>
      <c r="F2548" t="n">
        <v>12.71</v>
      </c>
      <c r="G2548" t="n">
        <v>15</v>
      </c>
      <c r="H2548">
        <f>הגדרות!B7</f>
        <v/>
      </c>
      <c r="I2548">
        <f>F2548*(1-H2548/100)*1.18</f>
        <v/>
      </c>
      <c r="J2548">
        <f>הגדרות!C7</f>
        <v/>
      </c>
      <c r="K2548">
        <f>הגדרות!D7</f>
        <v/>
      </c>
      <c r="L2548">
        <f>I2548*(1+J2548/100)+K2548</f>
        <v/>
      </c>
    </row>
    <row r="2549">
      <c r="A2549" t="inlineStr">
        <is>
          <t>מדי-מרקט</t>
        </is>
      </c>
      <c r="B2549" t="inlineStr">
        <is>
          <t>כילייה מנירוסטה 550 מ"ל</t>
        </is>
      </c>
      <c r="C2549" t="inlineStr">
        <is>
          <t>ציוד ומכשור רפואי</t>
        </is>
      </c>
      <c r="D2549" t="inlineStr">
        <is>
          <t>2964</t>
        </is>
      </c>
      <c r="E2549" t="inlineStr">
        <is>
          <t>2026-06</t>
        </is>
      </c>
      <c r="F2549" t="n">
        <v>28.81</v>
      </c>
      <c r="G2549" t="n">
        <v>34</v>
      </c>
      <c r="H2549">
        <f>הגדרות!B7</f>
        <v/>
      </c>
      <c r="I2549">
        <f>F2549*(1-H2549/100)*1.18</f>
        <v/>
      </c>
      <c r="J2549">
        <f>הגדרות!C7</f>
        <v/>
      </c>
      <c r="K2549">
        <f>הגדרות!D7</f>
        <v/>
      </c>
      <c r="L2549">
        <f>I2549*(1+J2549/100)+K2549</f>
        <v/>
      </c>
    </row>
    <row r="2550">
      <c r="A2550" t="inlineStr">
        <is>
          <t>מדי-מרקט</t>
        </is>
      </c>
      <c r="B2550" t="inlineStr">
        <is>
          <t>כיסוי למד חום  1/20 FILAC 3000 PROBE COVERS</t>
        </is>
      </c>
      <c r="C2550" t="inlineStr">
        <is>
          <t>ציוד מתכלה</t>
        </is>
      </c>
      <c r="D2550" t="inlineStr">
        <is>
          <t>3280400653</t>
        </is>
      </c>
      <c r="E2550" t="inlineStr">
        <is>
          <t>2026-06</t>
        </is>
      </c>
      <c r="F2550" t="n">
        <v>3.43</v>
      </c>
      <c r="G2550" t="n">
        <v>4.05</v>
      </c>
      <c r="H2550">
        <f>הגדרות!B7</f>
        <v/>
      </c>
      <c r="I2550">
        <f>F2550*(1-H2550/100)*1.18</f>
        <v/>
      </c>
      <c r="J2550">
        <f>הגדרות!C7</f>
        <v/>
      </c>
      <c r="K2550">
        <f>הגדרות!D7</f>
        <v/>
      </c>
      <c r="L2550">
        <f>I2550*(1+J2550/100)+K2550</f>
        <v/>
      </c>
    </row>
    <row r="2551">
      <c r="A2551" t="inlineStr">
        <is>
          <t>מדי-מרקט</t>
        </is>
      </c>
      <c r="B2551" t="inlineStr">
        <is>
          <t>כיסוי למד חום  ח.פ. W.A 1000 יח'</t>
        </is>
      </c>
      <c r="C2551" t="inlineStr">
        <is>
          <t>ציוד מתכלה</t>
        </is>
      </c>
      <c r="D2551" t="inlineStr">
        <is>
          <t>7133</t>
        </is>
      </c>
      <c r="E2551" t="inlineStr">
        <is>
          <t>2026-06</t>
        </is>
      </c>
      <c r="F2551" t="n">
        <v>201.1</v>
      </c>
      <c r="G2551" t="n">
        <v>237.3</v>
      </c>
      <c r="H2551">
        <f>הגדרות!B7</f>
        <v/>
      </c>
      <c r="I2551">
        <f>F2551*(1-H2551/100)*1.18</f>
        <v/>
      </c>
      <c r="J2551">
        <f>הגדרות!C7</f>
        <v/>
      </c>
      <c r="K2551">
        <f>הגדרות!D7</f>
        <v/>
      </c>
      <c r="L2551">
        <f>I2551*(1+J2551/100)+K2551</f>
        <v/>
      </c>
    </row>
    <row r="2552">
      <c r="A2552" t="inlineStr">
        <is>
          <t>מדי-מרקט</t>
        </is>
      </c>
      <c r="B2552" t="inlineStr">
        <is>
          <t>כיסוי למד חום קליני ללא שמן 1/100 כחול, מדיקפרו</t>
        </is>
      </c>
      <c r="C2552" t="inlineStr">
        <is>
          <t>ציוד מתכלה</t>
        </is>
      </c>
      <c r="D2552" t="inlineStr">
        <is>
          <t>2960</t>
        </is>
      </c>
      <c r="E2552" t="inlineStr">
        <is>
          <t>2026-06</t>
        </is>
      </c>
      <c r="F2552" t="n">
        <v>10.47</v>
      </c>
      <c r="G2552" t="n">
        <v>12.35</v>
      </c>
      <c r="H2552">
        <f>הגדרות!B7</f>
        <v/>
      </c>
      <c r="I2552">
        <f>F2552*(1-H2552/100)*1.18</f>
        <v/>
      </c>
      <c r="J2552">
        <f>הגדרות!C7</f>
        <v/>
      </c>
      <c r="K2552">
        <f>הגדרות!D7</f>
        <v/>
      </c>
      <c r="L2552">
        <f>I2552*(1+J2552/100)+K2552</f>
        <v/>
      </c>
    </row>
    <row r="2553">
      <c r="A2553" t="inlineStr">
        <is>
          <t>מדי-מרקט</t>
        </is>
      </c>
      <c r="B2553" t="inlineStr">
        <is>
          <t>כיסוי לנעל מבד לא ארוג 1/100</t>
        </is>
      </c>
      <c r="C2553" t="inlineStr">
        <is>
          <t>ביגוד ח.פ. ורב פעמי</t>
        </is>
      </c>
      <c r="D2553" t="inlineStr">
        <is>
          <t>2962</t>
        </is>
      </c>
      <c r="E2553" t="inlineStr">
        <is>
          <t>2026-06</t>
        </is>
      </c>
      <c r="F2553" t="n">
        <v>15.25</v>
      </c>
      <c r="G2553" t="n">
        <v>18</v>
      </c>
      <c r="H2553">
        <f>הגדרות!B7</f>
        <v/>
      </c>
      <c r="I2553">
        <f>F2553*(1-H2553/100)*1.18</f>
        <v/>
      </c>
      <c r="J2553">
        <f>הגדרות!C7</f>
        <v/>
      </c>
      <c r="K2553">
        <f>הגדרות!D7</f>
        <v/>
      </c>
      <c r="L2553">
        <f>I2553*(1+J2553/100)+K2553</f>
        <v/>
      </c>
    </row>
    <row r="2554">
      <c r="A2554" t="inlineStr">
        <is>
          <t>מדי-מרקט</t>
        </is>
      </c>
      <c r="B2554" t="inlineStr">
        <is>
          <t>כיסוי לנעל מניילון 100 יח', מדיקפרו, כחול</t>
        </is>
      </c>
      <c r="C2554" t="inlineStr">
        <is>
          <t>ביגוד ח.פ. ורב פעמי</t>
        </is>
      </c>
      <c r="D2554" t="inlineStr">
        <is>
          <t>500-067</t>
        </is>
      </c>
      <c r="E2554" t="inlineStr">
        <is>
          <t>2026-06</t>
        </is>
      </c>
      <c r="F2554" t="n">
        <v>4.78</v>
      </c>
      <c r="G2554" t="n">
        <v>5.64</v>
      </c>
      <c r="H2554">
        <f>הגדרות!B7</f>
        <v/>
      </c>
      <c r="I2554">
        <f>F2554*(1-H2554/100)*1.18</f>
        <v/>
      </c>
      <c r="J2554">
        <f>הגדרות!C7</f>
        <v/>
      </c>
      <c r="K2554">
        <f>הגדרות!D7</f>
        <v/>
      </c>
      <c r="L2554">
        <f>I2554*(1+J2554/100)+K2554</f>
        <v/>
      </c>
    </row>
    <row r="2555">
      <c r="A2555" t="inlineStr">
        <is>
          <t>מדי-מרקט</t>
        </is>
      </c>
      <c r="B2555" t="inlineStr">
        <is>
          <t>כיסוי/שק לנפטרים בצבע שחור, עם רוכסן 78X200 ס"מ - מדיקפרו</t>
        </is>
      </c>
      <c r="C2555" t="inlineStr">
        <is>
          <t>ציוד מתכלה</t>
        </is>
      </c>
      <c r="D2555" t="inlineStr">
        <is>
          <t>300-212</t>
        </is>
      </c>
      <c r="E2555" t="inlineStr">
        <is>
          <t>2026-06</t>
        </is>
      </c>
      <c r="F2555" t="n">
        <v>11.79</v>
      </c>
      <c r="G2555" t="n">
        <v>13.91</v>
      </c>
      <c r="H2555">
        <f>הגדרות!B7</f>
        <v/>
      </c>
      <c r="I2555">
        <f>F2555*(1-H2555/100)*1.18</f>
        <v/>
      </c>
      <c r="J2555">
        <f>הגדרות!C7</f>
        <v/>
      </c>
      <c r="K2555">
        <f>הגדרות!D7</f>
        <v/>
      </c>
      <c r="L2555">
        <f>I2555*(1+J2555/100)+K2555</f>
        <v/>
      </c>
    </row>
    <row r="2556">
      <c r="A2556" t="inlineStr">
        <is>
          <t>מדי-מרקט</t>
        </is>
      </c>
      <c r="B2556" t="inlineStr">
        <is>
          <t>כלוב דחיקה 2 פתחים (לחיצה סקוויז) אדום לבן MDC</t>
        </is>
      </c>
      <c r="C2556" t="inlineStr">
        <is>
          <t>MDC</t>
        </is>
      </c>
      <c r="D2556" t="inlineStr">
        <is>
          <t>A236-354</t>
        </is>
      </c>
      <c r="E2556" t="inlineStr">
        <is>
          <t>2026-06</t>
        </is>
      </c>
      <c r="F2556" t="n">
        <v>470.34</v>
      </c>
      <c r="G2556" t="n">
        <v>555</v>
      </c>
      <c r="H2556">
        <f>הגדרות!B7</f>
        <v/>
      </c>
      <c r="I2556">
        <f>F2556*(1-H2556/100)*1.18</f>
        <v/>
      </c>
      <c r="J2556">
        <f>הגדרות!C7</f>
        <v/>
      </c>
      <c r="K2556">
        <f>הגדרות!D7</f>
        <v/>
      </c>
      <c r="L2556">
        <f>I2556*(1+J2556/100)+K2556</f>
        <v/>
      </c>
    </row>
    <row r="2557">
      <c r="A2557" t="inlineStr">
        <is>
          <t>מדי-מרקט</t>
        </is>
      </c>
      <c r="B2557" t="inlineStr">
        <is>
          <t>כלוב העברת חתולים עם 2 פתחים MDC</t>
        </is>
      </c>
      <c r="C2557" t="inlineStr">
        <is>
          <t>MDC</t>
        </is>
      </c>
      <c r="D2557" t="inlineStr">
        <is>
          <t>A236-354H</t>
        </is>
      </c>
      <c r="E2557" t="inlineStr">
        <is>
          <t>2026-06</t>
        </is>
      </c>
      <c r="F2557" t="n">
        <v>279.66</v>
      </c>
      <c r="G2557" t="n">
        <v>330</v>
      </c>
      <c r="H2557">
        <f>הגדרות!B7</f>
        <v/>
      </c>
      <c r="I2557">
        <f>F2557*(1-H2557/100)*1.18</f>
        <v/>
      </c>
      <c r="J2557">
        <f>הגדרות!C7</f>
        <v/>
      </c>
      <c r="K2557">
        <f>הגדרות!D7</f>
        <v/>
      </c>
      <c r="L2557">
        <f>I2557*(1+J2557/100)+K2557</f>
        <v/>
      </c>
    </row>
    <row r="2558">
      <c r="A2558" t="inlineStr">
        <is>
          <t>מדי-מרקט</t>
        </is>
      </c>
      <c r="B2558" t="inlineStr">
        <is>
          <t>כלוב לכידה איכותי לחתולים דלת רשת +דלת שקופה MDC</t>
        </is>
      </c>
      <c r="C2558" t="inlineStr">
        <is>
          <t>MDC</t>
        </is>
      </c>
      <c r="D2558" t="inlineStr">
        <is>
          <t>A178-340</t>
        </is>
      </c>
      <c r="E2558" t="inlineStr">
        <is>
          <t>2026-06</t>
        </is>
      </c>
      <c r="F2558" t="n">
        <v>466.1</v>
      </c>
      <c r="G2558" t="n">
        <v>550</v>
      </c>
      <c r="H2558">
        <f>הגדרות!B7</f>
        <v/>
      </c>
      <c r="I2558">
        <f>F2558*(1-H2558/100)*1.18</f>
        <v/>
      </c>
      <c r="J2558">
        <f>הגדרות!C7</f>
        <v/>
      </c>
      <c r="K2558">
        <f>הגדרות!D7</f>
        <v/>
      </c>
      <c r="L2558">
        <f>I2558*(1+J2558/100)+K2558</f>
        <v/>
      </c>
    </row>
    <row r="2559">
      <c r="A2559" t="inlineStr">
        <is>
          <t>מדי-מרקט</t>
        </is>
      </c>
      <c r="B2559" t="inlineStr">
        <is>
          <t>כלודין -תרסיס כלורהקסדין תרסיס טיפולי להרגעת העור</t>
        </is>
      </c>
      <c r="C2559" t="inlineStr">
        <is>
          <t>ציוד ומכשור רפואי</t>
        </is>
      </c>
      <c r="D2559" t="inlineStr">
        <is>
          <t>523695</t>
        </is>
      </c>
      <c r="E2559" t="inlineStr">
        <is>
          <t>2026-06</t>
        </is>
      </c>
      <c r="F2559" t="n">
        <v>15.25</v>
      </c>
      <c r="G2559" t="n">
        <v>18</v>
      </c>
      <c r="H2559">
        <f>הגדרות!B7</f>
        <v/>
      </c>
      <c r="I2559">
        <f>F2559*(1-H2559/100)*1.18</f>
        <v/>
      </c>
      <c r="J2559">
        <f>הגדרות!C7</f>
        <v/>
      </c>
      <c r="K2559">
        <f>הגדרות!D7</f>
        <v/>
      </c>
      <c r="L2559">
        <f>I2559*(1+J2559/100)+K2559</f>
        <v/>
      </c>
    </row>
    <row r="2560">
      <c r="A2560" t="inlineStr">
        <is>
          <t>מדי-מרקט</t>
        </is>
      </c>
      <c r="B2560" t="inlineStr">
        <is>
          <t>כליה חד פעמית מקרטון, 700 מל, 50 יח',מדיקפרו</t>
        </is>
      </c>
      <c r="C2560" t="inlineStr">
        <is>
          <t>ציוד מתכלה</t>
        </is>
      </c>
      <c r="D2560" t="inlineStr">
        <is>
          <t>1312</t>
        </is>
      </c>
      <c r="E2560" t="inlineStr">
        <is>
          <t>2026-06</t>
        </is>
      </c>
      <c r="F2560" t="n">
        <v>21.19</v>
      </c>
      <c r="G2560" t="n">
        <v>25</v>
      </c>
      <c r="H2560">
        <f>הגדרות!B7</f>
        <v/>
      </c>
      <c r="I2560">
        <f>F2560*(1-H2560/100)*1.18</f>
        <v/>
      </c>
      <c r="J2560">
        <f>הגדרות!C7</f>
        <v/>
      </c>
      <c r="K2560">
        <f>הגדרות!D7</f>
        <v/>
      </c>
      <c r="L2560">
        <f>I2560*(1+J2560/100)+K2560</f>
        <v/>
      </c>
    </row>
    <row r="2561">
      <c r="A2561" t="inlineStr">
        <is>
          <t>מדי-מרקט</t>
        </is>
      </c>
      <c r="B2561" t="inlineStr">
        <is>
          <t>כסא גלגלים 40*40, מדיקפרו</t>
        </is>
      </c>
      <c r="C2561" t="inlineStr">
        <is>
          <t>ציוד ומכשור רפואי</t>
        </is>
      </c>
      <c r="D2561" t="inlineStr">
        <is>
          <t>700-100</t>
        </is>
      </c>
      <c r="E2561" t="inlineStr">
        <is>
          <t>2026-06</t>
        </is>
      </c>
      <c r="F2561" t="n">
        <v>508.47</v>
      </c>
      <c r="G2561" t="n">
        <v>600</v>
      </c>
      <c r="H2561">
        <f>הגדרות!B7</f>
        <v/>
      </c>
      <c r="I2561">
        <f>F2561*(1-H2561/100)*1.18</f>
        <v/>
      </c>
      <c r="J2561">
        <f>הגדרות!C7</f>
        <v/>
      </c>
      <c r="K2561">
        <f>הגדרות!D7</f>
        <v/>
      </c>
      <c r="L2561">
        <f>I2561*(1+J2561/100)+K2561</f>
        <v/>
      </c>
    </row>
    <row r="2562">
      <c r="A2562" t="inlineStr">
        <is>
          <t>מדי-מרקט</t>
        </is>
      </c>
      <c r="B2562" t="inlineStr">
        <is>
          <t>כסא גלגלים 45*45, מדיקפרו</t>
        </is>
      </c>
      <c r="C2562" t="inlineStr">
        <is>
          <t>ציוד ומכשור רפואי</t>
        </is>
      </c>
      <c r="D2562" t="inlineStr">
        <is>
          <t>700-101</t>
        </is>
      </c>
      <c r="E2562" t="inlineStr">
        <is>
          <t>2026-06</t>
        </is>
      </c>
      <c r="F2562" t="n">
        <v>508.47</v>
      </c>
      <c r="G2562" t="n">
        <v>600</v>
      </c>
      <c r="H2562">
        <f>הגדרות!B7</f>
        <v/>
      </c>
      <c r="I2562">
        <f>F2562*(1-H2562/100)*1.18</f>
        <v/>
      </c>
      <c r="J2562">
        <f>הגדרות!C7</f>
        <v/>
      </c>
      <c r="K2562">
        <f>הגדרות!D7</f>
        <v/>
      </c>
      <c r="L2562">
        <f>I2562*(1+J2562/100)+K2562</f>
        <v/>
      </c>
    </row>
    <row r="2563">
      <c r="A2563" t="inlineStr">
        <is>
          <t>מדי-מרקט</t>
        </is>
      </c>
      <c r="B2563" t="inlineStr">
        <is>
          <t>כסא גלגלים 50*50, מדיקפרו</t>
        </is>
      </c>
      <c r="C2563" t="inlineStr">
        <is>
          <t>ציוד ומכשור רפואי</t>
        </is>
      </c>
      <c r="D2563" t="inlineStr">
        <is>
          <t>700-102</t>
        </is>
      </c>
      <c r="E2563" t="inlineStr">
        <is>
          <t>2026-06</t>
        </is>
      </c>
      <c r="F2563" t="n">
        <v>508.47</v>
      </c>
      <c r="G2563" t="n">
        <v>600</v>
      </c>
      <c r="H2563">
        <f>הגדרות!B7</f>
        <v/>
      </c>
      <c r="I2563">
        <f>F2563*(1-H2563/100)*1.18</f>
        <v/>
      </c>
      <c r="J2563">
        <f>הגדרות!C7</f>
        <v/>
      </c>
      <c r="K2563">
        <f>הגדרות!D7</f>
        <v/>
      </c>
      <c r="L2563">
        <f>I2563*(1+J2563/100)+K2563</f>
        <v/>
      </c>
    </row>
    <row r="2564">
      <c r="A2564" t="inlineStr">
        <is>
          <t>מדי-מרקט</t>
        </is>
      </c>
      <c r="B2564" t="inlineStr">
        <is>
          <t>כסא גלגלים עם הטייה גב, מדיקפרו</t>
        </is>
      </c>
      <c r="C2564" t="inlineStr">
        <is>
          <t>ציוד ומכשור רפואי</t>
        </is>
      </c>
      <c r="D2564" t="inlineStr">
        <is>
          <t>700-103</t>
        </is>
      </c>
      <c r="E2564" t="inlineStr">
        <is>
          <t>2026-06</t>
        </is>
      </c>
      <c r="F2564" t="n">
        <v>805.08</v>
      </c>
      <c r="G2564" t="n">
        <v>950</v>
      </c>
      <c r="H2564">
        <f>הגדרות!B7</f>
        <v/>
      </c>
      <c r="I2564">
        <f>F2564*(1-H2564/100)*1.18</f>
        <v/>
      </c>
      <c r="J2564">
        <f>הגדרות!C7</f>
        <v/>
      </c>
      <c r="K2564">
        <f>הגדרות!D7</f>
        <v/>
      </c>
      <c r="L2564">
        <f>I2564*(1+J2564/100)+K2564</f>
        <v/>
      </c>
    </row>
    <row r="2565">
      <c r="A2565" t="inlineStr">
        <is>
          <t>מדי-מרקט</t>
        </is>
      </c>
      <c r="B2565" t="inlineStr">
        <is>
          <t>כסא רופא מושב אוכף כחול עם משענת גב</t>
        </is>
      </c>
      <c r="C2565" t="inlineStr">
        <is>
          <t>חדר ניתוח</t>
        </is>
      </c>
      <c r="D2565" t="inlineStr">
        <is>
          <t>101411</t>
        </is>
      </c>
      <c r="E2565" t="inlineStr">
        <is>
          <t>2026-06</t>
        </is>
      </c>
      <c r="F2565" t="n">
        <v>584.75</v>
      </c>
      <c r="G2565" t="n">
        <v>690</v>
      </c>
      <c r="H2565">
        <f>הגדרות!B7</f>
        <v/>
      </c>
      <c r="I2565">
        <f>F2565*(1-H2565/100)*1.18</f>
        <v/>
      </c>
      <c r="J2565">
        <f>הגדרות!C7</f>
        <v/>
      </c>
      <c r="K2565">
        <f>הגדרות!D7</f>
        <v/>
      </c>
      <c r="L2565">
        <f>I2565*(1+J2565/100)+K2565</f>
        <v/>
      </c>
    </row>
    <row r="2566">
      <c r="A2566" t="inlineStr">
        <is>
          <t>מדי-מרקט</t>
        </is>
      </c>
      <c r="B2566" t="inlineStr">
        <is>
          <t>כסא רופא מושב אוכף צבע שחור עם מעמד לרגליים</t>
        </is>
      </c>
      <c r="C2566" t="inlineStr">
        <is>
          <t>חדר ניתוח</t>
        </is>
      </c>
      <c r="D2566" t="inlineStr">
        <is>
          <t>10142-1</t>
        </is>
      </c>
      <c r="E2566" t="inlineStr">
        <is>
          <t>2026-06</t>
        </is>
      </c>
      <c r="F2566" t="n">
        <v>415.25</v>
      </c>
      <c r="G2566" t="n">
        <v>490</v>
      </c>
      <c r="H2566">
        <f>הגדרות!B7</f>
        <v/>
      </c>
      <c r="I2566">
        <f>F2566*(1-H2566/100)*1.18</f>
        <v/>
      </c>
      <c r="J2566">
        <f>הגדרות!C7</f>
        <v/>
      </c>
      <c r="K2566">
        <f>הגדרות!D7</f>
        <v/>
      </c>
      <c r="L2566">
        <f>I2566*(1+J2566/100)+K2566</f>
        <v/>
      </c>
    </row>
    <row r="2567">
      <c r="A2567" t="inlineStr">
        <is>
          <t>מדי-מרקט</t>
        </is>
      </c>
      <c r="B2567" t="inlineStr">
        <is>
          <t>כסא רחצה פלסטיק+ידית נעילה+רצועות קשירה(ל)55 ס"מ</t>
        </is>
      </c>
      <c r="C2567" t="inlineStr">
        <is>
          <t>ציוד ומכשור רפואי</t>
        </is>
      </c>
      <c r="D2567" t="inlineStr">
        <is>
          <t>125654</t>
        </is>
      </c>
      <c r="E2567" t="inlineStr">
        <is>
          <t>2026-06</t>
        </is>
      </c>
      <c r="F2567" t="n">
        <v>1118.64</v>
      </c>
      <c r="G2567" t="n">
        <v>1320</v>
      </c>
      <c r="H2567">
        <f>הגדרות!B7</f>
        <v/>
      </c>
      <c r="I2567">
        <f>F2567*(1-H2567/100)*1.18</f>
        <v/>
      </c>
      <c r="J2567">
        <f>הגדרות!C7</f>
        <v/>
      </c>
      <c r="K2567">
        <f>הגדרות!D7</f>
        <v/>
      </c>
      <c r="L2567">
        <f>I2567*(1+J2567/100)+K2567</f>
        <v/>
      </c>
    </row>
    <row r="2568">
      <c r="A2568" t="inlineStr">
        <is>
          <t>מדי-מרקט</t>
        </is>
      </c>
      <c r="B2568" t="inlineStr">
        <is>
          <t>כפפות ויניל ללא טלק 1/100  INTCO ,L</t>
        </is>
      </c>
      <c r="C2568" t="inlineStr">
        <is>
          <t>כפפות</t>
        </is>
      </c>
      <c r="D2568" t="inlineStr">
        <is>
          <t>200-126</t>
        </is>
      </c>
      <c r="E2568" t="inlineStr">
        <is>
          <t>2026-06</t>
        </is>
      </c>
      <c r="F2568" t="n">
        <v>7.63</v>
      </c>
      <c r="G2568" t="n">
        <v>9</v>
      </c>
      <c r="H2568">
        <f>הגדרות!B7</f>
        <v/>
      </c>
      <c r="I2568">
        <f>F2568*(1-H2568/100)*1.18</f>
        <v/>
      </c>
      <c r="J2568">
        <f>הגדרות!C7</f>
        <v/>
      </c>
      <c r="K2568">
        <f>הגדרות!D7</f>
        <v/>
      </c>
      <c r="L2568">
        <f>I2568*(1+J2568/100)+K2568</f>
        <v/>
      </c>
    </row>
    <row r="2569">
      <c r="A2569" t="inlineStr">
        <is>
          <t>מדי-מרקט</t>
        </is>
      </c>
      <c r="B2569" t="inlineStr">
        <is>
          <t>כפפות ויניל ללא טלק 1/100  INTCO ,M</t>
        </is>
      </c>
      <c r="C2569" t="inlineStr">
        <is>
          <t>כפפות</t>
        </is>
      </c>
      <c r="D2569" t="inlineStr">
        <is>
          <t>200-125</t>
        </is>
      </c>
      <c r="E2569" t="inlineStr">
        <is>
          <t>2026-06</t>
        </is>
      </c>
      <c r="F2569" t="n">
        <v>7.63</v>
      </c>
      <c r="G2569" t="n">
        <v>9</v>
      </c>
      <c r="H2569">
        <f>הגדרות!B7</f>
        <v/>
      </c>
      <c r="I2569">
        <f>F2569*(1-H2569/100)*1.18</f>
        <v/>
      </c>
      <c r="J2569">
        <f>הגדרות!C7</f>
        <v/>
      </c>
      <c r="K2569">
        <f>הגדרות!D7</f>
        <v/>
      </c>
      <c r="L2569">
        <f>I2569*(1+J2569/100)+K2569</f>
        <v/>
      </c>
    </row>
    <row r="2570">
      <c r="A2570" t="inlineStr">
        <is>
          <t>מדי-מרקט</t>
        </is>
      </c>
      <c r="B2570" t="inlineStr">
        <is>
          <t>כפפות ויניל ללא טלק 1/100  INTCO ,S</t>
        </is>
      </c>
      <c r="C2570" t="inlineStr">
        <is>
          <t>כפפות</t>
        </is>
      </c>
      <c r="D2570" t="inlineStr">
        <is>
          <t>200-124</t>
        </is>
      </c>
      <c r="E2570" t="inlineStr">
        <is>
          <t>2026-06</t>
        </is>
      </c>
      <c r="F2570" t="n">
        <v>7.63</v>
      </c>
      <c r="G2570" t="n">
        <v>9</v>
      </c>
      <c r="H2570">
        <f>הגדרות!B7</f>
        <v/>
      </c>
      <c r="I2570">
        <f>F2570*(1-H2570/100)*1.18</f>
        <v/>
      </c>
      <c r="J2570">
        <f>הגדרות!C7</f>
        <v/>
      </c>
      <c r="K2570">
        <f>הגדרות!D7</f>
        <v/>
      </c>
      <c r="L2570">
        <f>I2570*(1+J2570/100)+K2570</f>
        <v/>
      </c>
    </row>
    <row r="2571">
      <c r="A2571" t="inlineStr">
        <is>
          <t>מדי-מרקט</t>
        </is>
      </c>
      <c r="B2571" t="inlineStr">
        <is>
          <t>כפפות ויניל ללא טלק 1/100 INTCO ,XL</t>
        </is>
      </c>
      <c r="C2571" t="inlineStr">
        <is>
          <t>כפפות</t>
        </is>
      </c>
      <c r="D2571" t="inlineStr">
        <is>
          <t>200-127</t>
        </is>
      </c>
      <c r="E2571" t="inlineStr">
        <is>
          <t>2026-06</t>
        </is>
      </c>
      <c r="F2571" t="n">
        <v>7.63</v>
      </c>
      <c r="G2571" t="n">
        <v>9</v>
      </c>
      <c r="H2571">
        <f>הגדרות!B7</f>
        <v/>
      </c>
      <c r="I2571">
        <f>F2571*(1-H2571/100)*1.18</f>
        <v/>
      </c>
      <c r="J2571">
        <f>הגדרות!C7</f>
        <v/>
      </c>
      <c r="K2571">
        <f>הגדרות!D7</f>
        <v/>
      </c>
      <c r="L2571">
        <f>I2571*(1+J2571/100)+K2571</f>
        <v/>
      </c>
    </row>
    <row r="2572">
      <c r="A2572" t="inlineStr">
        <is>
          <t>מדי-מרקט</t>
        </is>
      </c>
      <c r="B2572" t="inlineStr">
        <is>
          <t>כפפות ויניל ללא טלק XL מדיקפרו גרין  1/100</t>
        </is>
      </c>
      <c r="C2572" t="inlineStr">
        <is>
          <t>כפפות</t>
        </is>
      </c>
      <c r="D2572" t="inlineStr">
        <is>
          <t>200-123</t>
        </is>
      </c>
      <c r="E2572" t="inlineStr">
        <is>
          <t>2026-06</t>
        </is>
      </c>
      <c r="F2572" t="n">
        <v>5.62</v>
      </c>
      <c r="G2572" t="n">
        <v>6.63</v>
      </c>
      <c r="H2572">
        <f>הגדרות!B7</f>
        <v/>
      </c>
      <c r="I2572">
        <f>F2572*(1-H2572/100)*1.18</f>
        <v/>
      </c>
      <c r="J2572">
        <f>הגדרות!C7</f>
        <v/>
      </c>
      <c r="K2572">
        <f>הגדרות!D7</f>
        <v/>
      </c>
      <c r="L2572">
        <f>I2572*(1+J2572/100)+K2572</f>
        <v/>
      </c>
    </row>
    <row r="2573">
      <c r="A2573" t="inlineStr">
        <is>
          <t>מדי-מרקט</t>
        </is>
      </c>
      <c r="B2573" t="inlineStr">
        <is>
          <t>כפפות לטקס M  ללא טלק 1/100</t>
        </is>
      </c>
      <c r="C2573" t="inlineStr">
        <is>
          <t>כפפות</t>
        </is>
      </c>
      <c r="D2573" t="inlineStr">
        <is>
          <t>5586</t>
        </is>
      </c>
      <c r="E2573" t="inlineStr">
        <is>
          <t>2026-06</t>
        </is>
      </c>
      <c r="F2573" t="n">
        <v>15.25</v>
      </c>
      <c r="G2573" t="n">
        <v>18</v>
      </c>
      <c r="H2573">
        <f>הגדרות!B7</f>
        <v/>
      </c>
      <c r="I2573">
        <f>F2573*(1-H2573/100)*1.18</f>
        <v/>
      </c>
      <c r="J2573">
        <f>הגדרות!C7</f>
        <v/>
      </c>
      <c r="K2573">
        <f>הגדרות!D7</f>
        <v/>
      </c>
      <c r="L2573">
        <f>I2573*(1+J2573/100)+K2573</f>
        <v/>
      </c>
    </row>
    <row r="2574">
      <c r="A2574" t="inlineStr">
        <is>
          <t>מדי-מרקט</t>
        </is>
      </c>
      <c r="B2574" t="inlineStr">
        <is>
          <t>כפפות לטקס TAGUM מידה L ללא אבקה 100 יח'</t>
        </is>
      </c>
      <c r="C2574" t="inlineStr">
        <is>
          <t>כפפות</t>
        </is>
      </c>
      <c r="D2574" t="inlineStr">
        <is>
          <t>600-502</t>
        </is>
      </c>
      <c r="E2574" t="inlineStr">
        <is>
          <t>2026-06</t>
        </is>
      </c>
      <c r="F2574" t="n">
        <v>20</v>
      </c>
      <c r="G2574" t="n">
        <v>23.6</v>
      </c>
      <c r="H2574">
        <f>הגדרות!B7</f>
        <v/>
      </c>
      <c r="I2574">
        <f>F2574*(1-H2574/100)*1.18</f>
        <v/>
      </c>
      <c r="J2574">
        <f>הגדרות!C7</f>
        <v/>
      </c>
      <c r="K2574">
        <f>הגדרות!D7</f>
        <v/>
      </c>
      <c r="L2574">
        <f>I2574*(1+J2574/100)+K2574</f>
        <v/>
      </c>
    </row>
    <row r="2575">
      <c r="A2575" t="inlineStr">
        <is>
          <t>מדי-מרקט</t>
        </is>
      </c>
      <c r="B2575" t="inlineStr">
        <is>
          <t>כפפות לטקס TAGUM מידה L עם אבקה 100 יח'</t>
        </is>
      </c>
      <c r="C2575" t="inlineStr">
        <is>
          <t>כפפות</t>
        </is>
      </c>
      <c r="D2575" t="inlineStr">
        <is>
          <t>600-506</t>
        </is>
      </c>
      <c r="E2575" t="inlineStr">
        <is>
          <t>2026-06</t>
        </is>
      </c>
      <c r="F2575" t="n">
        <v>16.78</v>
      </c>
      <c r="G2575" t="n">
        <v>19.8</v>
      </c>
      <c r="H2575">
        <f>הגדרות!B7</f>
        <v/>
      </c>
      <c r="I2575">
        <f>F2575*(1-H2575/100)*1.18</f>
        <v/>
      </c>
      <c r="J2575">
        <f>הגדרות!C7</f>
        <v/>
      </c>
      <c r="K2575">
        <f>הגדרות!D7</f>
        <v/>
      </c>
      <c r="L2575">
        <f>I2575*(1+J2575/100)+K2575</f>
        <v/>
      </c>
    </row>
    <row r="2576">
      <c r="A2576" t="inlineStr">
        <is>
          <t>מדי-מרקט</t>
        </is>
      </c>
      <c r="B2576" t="inlineStr">
        <is>
          <t>כפפות לטקס TAGUM מידה M ללא אבקה 100 יח'</t>
        </is>
      </c>
      <c r="C2576" t="inlineStr">
        <is>
          <t>כפפות</t>
        </is>
      </c>
      <c r="D2576" t="inlineStr">
        <is>
          <t>600-501</t>
        </is>
      </c>
      <c r="E2576" t="inlineStr">
        <is>
          <t>2026-06</t>
        </is>
      </c>
      <c r="F2576" t="n">
        <v>20</v>
      </c>
      <c r="G2576" t="n">
        <v>23.6</v>
      </c>
      <c r="H2576">
        <f>הגדרות!B7</f>
        <v/>
      </c>
      <c r="I2576">
        <f>F2576*(1-H2576/100)*1.18</f>
        <v/>
      </c>
      <c r="J2576">
        <f>הגדרות!C7</f>
        <v/>
      </c>
      <c r="K2576">
        <f>הגדרות!D7</f>
        <v/>
      </c>
      <c r="L2576">
        <f>I2576*(1+J2576/100)+K2576</f>
        <v/>
      </c>
    </row>
    <row r="2577">
      <c r="A2577" t="inlineStr">
        <is>
          <t>מדי-מרקט</t>
        </is>
      </c>
      <c r="B2577" t="inlineStr">
        <is>
          <t>כפפות לטקס TAGUM מידה M עם אבקה 100 יח'</t>
        </is>
      </c>
      <c r="C2577" t="inlineStr">
        <is>
          <t>כפפות</t>
        </is>
      </c>
      <c r="D2577" t="inlineStr">
        <is>
          <t>600-505</t>
        </is>
      </c>
      <c r="E2577" t="inlineStr">
        <is>
          <t>2026-06</t>
        </is>
      </c>
      <c r="F2577" t="n">
        <v>16.78</v>
      </c>
      <c r="G2577" t="n">
        <v>19.8</v>
      </c>
      <c r="H2577">
        <f>הגדרות!B7</f>
        <v/>
      </c>
      <c r="I2577">
        <f>F2577*(1-H2577/100)*1.18</f>
        <v/>
      </c>
      <c r="J2577">
        <f>הגדרות!C7</f>
        <v/>
      </c>
      <c r="K2577">
        <f>הגדרות!D7</f>
        <v/>
      </c>
      <c r="L2577">
        <f>I2577*(1+J2577/100)+K2577</f>
        <v/>
      </c>
    </row>
    <row r="2578">
      <c r="A2578" t="inlineStr">
        <is>
          <t>מדי-מרקט</t>
        </is>
      </c>
      <c r="B2578" t="inlineStr">
        <is>
          <t>כפפות לטקס TAGUM מידה S ללא אבקה 100 יח'</t>
        </is>
      </c>
      <c r="C2578" t="inlineStr">
        <is>
          <t>כפפות</t>
        </is>
      </c>
      <c r="D2578" t="inlineStr">
        <is>
          <t>600-500</t>
        </is>
      </c>
      <c r="E2578" t="inlineStr">
        <is>
          <t>2026-06</t>
        </is>
      </c>
      <c r="F2578" t="n">
        <v>20</v>
      </c>
      <c r="G2578" t="n">
        <v>23.6</v>
      </c>
      <c r="H2578">
        <f>הגדרות!B7</f>
        <v/>
      </c>
      <c r="I2578">
        <f>F2578*(1-H2578/100)*1.18</f>
        <v/>
      </c>
      <c r="J2578">
        <f>הגדרות!C7</f>
        <v/>
      </c>
      <c r="K2578">
        <f>הגדרות!D7</f>
        <v/>
      </c>
      <c r="L2578">
        <f>I2578*(1+J2578/100)+K2578</f>
        <v/>
      </c>
    </row>
    <row r="2579">
      <c r="A2579" t="inlineStr">
        <is>
          <t>מדי-מרקט</t>
        </is>
      </c>
      <c r="B2579" t="inlineStr">
        <is>
          <t>כפפות לטקס TAGUM מידה S עם אבקה 100 יח'</t>
        </is>
      </c>
      <c r="C2579" t="inlineStr">
        <is>
          <t>כפפות</t>
        </is>
      </c>
      <c r="D2579" t="inlineStr">
        <is>
          <t>600-504</t>
        </is>
      </c>
      <c r="E2579" t="inlineStr">
        <is>
          <t>2026-06</t>
        </is>
      </c>
      <c r="F2579" t="n">
        <v>16.78</v>
      </c>
      <c r="G2579" t="n">
        <v>19.8</v>
      </c>
      <c r="H2579">
        <f>הגדרות!B7</f>
        <v/>
      </c>
      <c r="I2579">
        <f>F2579*(1-H2579/100)*1.18</f>
        <v/>
      </c>
      <c r="J2579">
        <f>הגדרות!C7</f>
        <v/>
      </c>
      <c r="K2579">
        <f>הגדרות!D7</f>
        <v/>
      </c>
      <c r="L2579">
        <f>I2579*(1+J2579/100)+K2579</f>
        <v/>
      </c>
    </row>
    <row r="2580">
      <c r="A2580" t="inlineStr">
        <is>
          <t>מדי-מרקט</t>
        </is>
      </c>
      <c r="B2580" t="inlineStr">
        <is>
          <t>כפפות לטקס TAGUM מידה XL ללא אבקה 100 יח'</t>
        </is>
      </c>
      <c r="C2580" t="inlineStr">
        <is>
          <t>כפפות</t>
        </is>
      </c>
      <c r="D2580" t="inlineStr">
        <is>
          <t>600-503</t>
        </is>
      </c>
      <c r="E2580" t="inlineStr">
        <is>
          <t>2026-06</t>
        </is>
      </c>
      <c r="F2580" t="n">
        <v>20</v>
      </c>
      <c r="G2580" t="n">
        <v>23.6</v>
      </c>
      <c r="H2580">
        <f>הגדרות!B7</f>
        <v/>
      </c>
      <c r="I2580">
        <f>F2580*(1-H2580/100)*1.18</f>
        <v/>
      </c>
      <c r="J2580">
        <f>הגדרות!C7</f>
        <v/>
      </c>
      <c r="K2580">
        <f>הגדרות!D7</f>
        <v/>
      </c>
      <c r="L2580">
        <f>I2580*(1+J2580/100)+K2580</f>
        <v/>
      </c>
    </row>
    <row r="2581">
      <c r="A2581" t="inlineStr">
        <is>
          <t>מדי-מרקט</t>
        </is>
      </c>
      <c r="B2581" t="inlineStr">
        <is>
          <t>כפפות לטקס TAGUM מידה XL עם אבקה 100 יח'</t>
        </is>
      </c>
      <c r="C2581" t="inlineStr">
        <is>
          <t>כפפות</t>
        </is>
      </c>
      <c r="D2581" t="inlineStr">
        <is>
          <t>600-507</t>
        </is>
      </c>
      <c r="E2581" t="inlineStr">
        <is>
          <t>2026-06</t>
        </is>
      </c>
      <c r="F2581" t="n">
        <v>16.78</v>
      </c>
      <c r="G2581" t="n">
        <v>19.8</v>
      </c>
      <c r="H2581">
        <f>הגדרות!B7</f>
        <v/>
      </c>
      <c r="I2581">
        <f>F2581*(1-H2581/100)*1.18</f>
        <v/>
      </c>
      <c r="J2581">
        <f>הגדרות!C7</f>
        <v/>
      </c>
      <c r="K2581">
        <f>הגדרות!D7</f>
        <v/>
      </c>
      <c r="L2581">
        <f>I2581*(1+J2581/100)+K2581</f>
        <v/>
      </c>
    </row>
    <row r="2582">
      <c r="A2582" t="inlineStr">
        <is>
          <t>מדי-מרקט</t>
        </is>
      </c>
      <c r="B2582" t="inlineStr">
        <is>
          <t>כפפות לכידה והגנה ארוכות לגברים נגד נשיכות MDC</t>
        </is>
      </c>
      <c r="C2582" t="inlineStr">
        <is>
          <t>MDC</t>
        </is>
      </c>
      <c r="D2582" t="inlineStr">
        <is>
          <t>A112-348</t>
        </is>
      </c>
      <c r="E2582" t="inlineStr">
        <is>
          <t>2026-06</t>
        </is>
      </c>
      <c r="F2582" t="n">
        <v>415.25</v>
      </c>
      <c r="G2582" t="n">
        <v>490</v>
      </c>
      <c r="H2582">
        <f>הגדרות!B7</f>
        <v/>
      </c>
      <c r="I2582">
        <f>F2582*(1-H2582/100)*1.18</f>
        <v/>
      </c>
      <c r="J2582">
        <f>הגדרות!C7</f>
        <v/>
      </c>
      <c r="K2582">
        <f>הגדרות!D7</f>
        <v/>
      </c>
      <c r="L2582">
        <f>I2582*(1+J2582/100)+K2582</f>
        <v/>
      </c>
    </row>
    <row r="2583">
      <c r="A2583" t="inlineStr">
        <is>
          <t>מדי-מרקט</t>
        </is>
      </c>
      <c r="B2583" t="inlineStr">
        <is>
          <t>כפפות ניטריל ללא טלק INTCO L מדיקפרו  1/100</t>
        </is>
      </c>
      <c r="C2583" t="inlineStr">
        <is>
          <t>כפפות</t>
        </is>
      </c>
      <c r="D2583" t="inlineStr">
        <is>
          <t>200-115</t>
        </is>
      </c>
      <c r="E2583" t="inlineStr">
        <is>
          <t>2026-06</t>
        </is>
      </c>
      <c r="F2583" t="n">
        <v>6.69</v>
      </c>
      <c r="G2583" t="n">
        <v>7.9</v>
      </c>
      <c r="H2583">
        <f>הגדרות!B7</f>
        <v/>
      </c>
      <c r="I2583">
        <f>F2583*(1-H2583/100)*1.18</f>
        <v/>
      </c>
      <c r="J2583">
        <f>הגדרות!C7</f>
        <v/>
      </c>
      <c r="K2583">
        <f>הגדרות!D7</f>
        <v/>
      </c>
      <c r="L2583">
        <f>I2583*(1+J2583/100)+K2583</f>
        <v/>
      </c>
    </row>
    <row r="2584">
      <c r="A2584" t="inlineStr">
        <is>
          <t>מדי-מרקט</t>
        </is>
      </c>
      <c r="B2584" t="inlineStr">
        <is>
          <t>כפפות ניטריל ללא טלק INTCO M מדיקפרו  1/100</t>
        </is>
      </c>
      <c r="C2584" t="inlineStr">
        <is>
          <t>כפפות</t>
        </is>
      </c>
      <c r="D2584" t="inlineStr">
        <is>
          <t>200-114</t>
        </is>
      </c>
      <c r="E2584" t="inlineStr">
        <is>
          <t>2026-06</t>
        </is>
      </c>
      <c r="F2584" t="n">
        <v>6.69</v>
      </c>
      <c r="G2584" t="n">
        <v>7.9</v>
      </c>
      <c r="H2584">
        <f>הגדרות!B7</f>
        <v/>
      </c>
      <c r="I2584">
        <f>F2584*(1-H2584/100)*1.18</f>
        <v/>
      </c>
      <c r="J2584">
        <f>הגדרות!C7</f>
        <v/>
      </c>
      <c r="K2584">
        <f>הגדרות!D7</f>
        <v/>
      </c>
      <c r="L2584">
        <f>I2584*(1+J2584/100)+K2584</f>
        <v/>
      </c>
    </row>
    <row r="2585">
      <c r="A2585" t="inlineStr">
        <is>
          <t>מדי-מרקט</t>
        </is>
      </c>
      <c r="B2585" t="inlineStr">
        <is>
          <t>כפפות ניטריל ללא טלק INTCO S מדיקפרו  1/100</t>
        </is>
      </c>
      <c r="C2585" t="inlineStr">
        <is>
          <t>כפפות</t>
        </is>
      </c>
      <c r="D2585" t="inlineStr">
        <is>
          <t>200-113</t>
        </is>
      </c>
      <c r="E2585" t="inlineStr">
        <is>
          <t>2026-06</t>
        </is>
      </c>
      <c r="F2585" t="n">
        <v>6.69</v>
      </c>
      <c r="G2585" t="n">
        <v>7.9</v>
      </c>
      <c r="H2585">
        <f>הגדרות!B7</f>
        <v/>
      </c>
      <c r="I2585">
        <f>F2585*(1-H2585/100)*1.18</f>
        <v/>
      </c>
      <c r="J2585">
        <f>הגדרות!C7</f>
        <v/>
      </c>
      <c r="K2585">
        <f>הגדרות!D7</f>
        <v/>
      </c>
      <c r="L2585">
        <f>I2585*(1+J2585/100)+K2585</f>
        <v/>
      </c>
    </row>
    <row r="2586">
      <c r="A2586" t="inlineStr">
        <is>
          <t>מדי-מרקט</t>
        </is>
      </c>
      <c r="B2586" t="inlineStr">
        <is>
          <t>כפפות ניטריל ללא טלק INTCO XL מדיקפרו 1/100</t>
        </is>
      </c>
      <c r="C2586" t="inlineStr">
        <is>
          <t>כפפות</t>
        </is>
      </c>
      <c r="D2586" t="inlineStr">
        <is>
          <t>200-116</t>
        </is>
      </c>
      <c r="E2586" t="inlineStr">
        <is>
          <t>2026-06</t>
        </is>
      </c>
      <c r="F2586" t="n">
        <v>6.69</v>
      </c>
      <c r="G2586" t="n">
        <v>7.9</v>
      </c>
      <c r="H2586">
        <f>הגדרות!B7</f>
        <v/>
      </c>
      <c r="I2586">
        <f>F2586*(1-H2586/100)*1.18</f>
        <v/>
      </c>
      <c r="J2586">
        <f>הגדרות!C7</f>
        <v/>
      </c>
      <c r="K2586">
        <f>הגדרות!D7</f>
        <v/>
      </c>
      <c r="L2586">
        <f>I2586*(1+J2586/100)+K2586</f>
        <v/>
      </c>
    </row>
    <row r="2587">
      <c r="A2587" t="inlineStr">
        <is>
          <t>מדי-מרקט</t>
        </is>
      </c>
      <c r="B2587" t="inlineStr">
        <is>
          <t>כפפות ניטריל שחורות מידה INTCO L מדיקפרו  1/100</t>
        </is>
      </c>
      <c r="C2587" t="inlineStr">
        <is>
          <t>כפפות</t>
        </is>
      </c>
      <c r="D2587" t="inlineStr">
        <is>
          <t>200-402</t>
        </is>
      </c>
      <c r="E2587" t="inlineStr">
        <is>
          <t>2026-06</t>
        </is>
      </c>
      <c r="F2587" t="n">
        <v>7.2</v>
      </c>
      <c r="G2587" t="n">
        <v>8.5</v>
      </c>
      <c r="H2587">
        <f>הגדרות!B7</f>
        <v/>
      </c>
      <c r="I2587">
        <f>F2587*(1-H2587/100)*1.18</f>
        <v/>
      </c>
      <c r="J2587">
        <f>הגדרות!C7</f>
        <v/>
      </c>
      <c r="K2587">
        <f>הגדרות!D7</f>
        <v/>
      </c>
      <c r="L2587">
        <f>I2587*(1+J2587/100)+K2587</f>
        <v/>
      </c>
    </row>
    <row r="2588">
      <c r="A2588" t="inlineStr">
        <is>
          <t>מדי-מרקט</t>
        </is>
      </c>
      <c r="B2588" t="inlineStr">
        <is>
          <t>כפפות ניטריל שחורות מידה INTCO M מדיקפרו  1/100</t>
        </is>
      </c>
      <c r="C2588" t="inlineStr">
        <is>
          <t>כפפות</t>
        </is>
      </c>
      <c r="D2588" t="inlineStr">
        <is>
          <t>200-401</t>
        </is>
      </c>
      <c r="E2588" t="inlineStr">
        <is>
          <t>2026-06</t>
        </is>
      </c>
      <c r="F2588" t="n">
        <v>7.2</v>
      </c>
      <c r="G2588" t="n">
        <v>8.5</v>
      </c>
      <c r="H2588">
        <f>הגדרות!B7</f>
        <v/>
      </c>
      <c r="I2588">
        <f>F2588*(1-H2588/100)*1.18</f>
        <v/>
      </c>
      <c r="J2588">
        <f>הגדרות!C7</f>
        <v/>
      </c>
      <c r="K2588">
        <f>הגדרות!D7</f>
        <v/>
      </c>
      <c r="L2588">
        <f>I2588*(1+J2588/100)+K2588</f>
        <v/>
      </c>
    </row>
    <row r="2589">
      <c r="A2589" t="inlineStr">
        <is>
          <t>מדי-מרקט</t>
        </is>
      </c>
      <c r="B2589" t="inlineStr">
        <is>
          <t>כפפות ניטריל שחורות מידה INTCO S מדיקפרו  1/100</t>
        </is>
      </c>
      <c r="C2589" t="inlineStr">
        <is>
          <t>כפפות</t>
        </is>
      </c>
      <c r="D2589" t="inlineStr">
        <is>
          <t>200-400</t>
        </is>
      </c>
      <c r="E2589" t="inlineStr">
        <is>
          <t>2026-06</t>
        </is>
      </c>
      <c r="F2589" t="n">
        <v>7.2</v>
      </c>
      <c r="G2589" t="n">
        <v>8.5</v>
      </c>
      <c r="H2589">
        <f>הגדרות!B7</f>
        <v/>
      </c>
      <c r="I2589">
        <f>F2589*(1-H2589/100)*1.18</f>
        <v/>
      </c>
      <c r="J2589">
        <f>הגדרות!C7</f>
        <v/>
      </c>
      <c r="K2589">
        <f>הגדרות!D7</f>
        <v/>
      </c>
      <c r="L2589">
        <f>I2589*(1+J2589/100)+K2589</f>
        <v/>
      </c>
    </row>
    <row r="2590">
      <c r="A2590" t="inlineStr">
        <is>
          <t>מדי-מרקט</t>
        </is>
      </c>
      <c r="B2590" t="inlineStr">
        <is>
          <t>כפפות ניטריל שחורות מידה INTCO XL מדיקפרו  1/100</t>
        </is>
      </c>
      <c r="C2590" t="inlineStr">
        <is>
          <t>כפפות</t>
        </is>
      </c>
      <c r="D2590" t="inlineStr">
        <is>
          <t>200-403</t>
        </is>
      </c>
      <c r="E2590" t="inlineStr">
        <is>
          <t>2026-06</t>
        </is>
      </c>
      <c r="F2590" t="n">
        <v>7.2</v>
      </c>
      <c r="G2590" t="n">
        <v>8.5</v>
      </c>
      <c r="H2590">
        <f>הגדרות!B7</f>
        <v/>
      </c>
      <c r="I2590">
        <f>F2590*(1-H2590/100)*1.18</f>
        <v/>
      </c>
      <c r="J2590">
        <f>הגדרות!C7</f>
        <v/>
      </c>
      <c r="K2590">
        <f>הגדרות!D7</f>
        <v/>
      </c>
      <c r="L2590">
        <f>I2590*(1+J2590/100)+K2590</f>
        <v/>
      </c>
    </row>
    <row r="2591">
      <c r="A2591" t="inlineStr">
        <is>
          <t>מדי-מרקט</t>
        </is>
      </c>
      <c r="B2591" t="inlineStr">
        <is>
          <t>כפפות ניילון פוליטילן ח.פ. מדיקפרו 100 יח'</t>
        </is>
      </c>
      <c r="C2591" t="inlineStr">
        <is>
          <t>כפפות</t>
        </is>
      </c>
      <c r="D2591" t="inlineStr">
        <is>
          <t>700-548</t>
        </is>
      </c>
      <c r="E2591" t="inlineStr">
        <is>
          <t>2026-06</t>
        </is>
      </c>
      <c r="F2591" t="n">
        <v>1.06</v>
      </c>
      <c r="G2591" t="n">
        <v>1.25</v>
      </c>
      <c r="H2591">
        <f>הגדרות!B7</f>
        <v/>
      </c>
      <c r="I2591">
        <f>F2591*(1-H2591/100)*1.18</f>
        <v/>
      </c>
      <c r="J2591">
        <f>הגדרות!C7</f>
        <v/>
      </c>
      <c r="K2591">
        <f>הגדרות!D7</f>
        <v/>
      </c>
      <c r="L2591">
        <f>I2591*(1+J2591/100)+K2591</f>
        <v/>
      </c>
    </row>
    <row r="2592">
      <c r="A2592" t="inlineStr">
        <is>
          <t>מדי-מרקט</t>
        </is>
      </c>
      <c r="B2592" t="inlineStr">
        <is>
          <t>כפפות סטר' תגום מקס ללא טלק 6 50 יחידות</t>
        </is>
      </c>
      <c r="C2592" t="inlineStr">
        <is>
          <t>כפפות</t>
        </is>
      </c>
      <c r="D2592" t="inlineStr">
        <is>
          <t>MAX060PF</t>
        </is>
      </c>
      <c r="E2592" t="inlineStr">
        <is>
          <t>2026-06</t>
        </is>
      </c>
      <c r="F2592" t="n">
        <v>37.91</v>
      </c>
      <c r="G2592" t="n">
        <v>44.73</v>
      </c>
      <c r="H2592">
        <f>הגדרות!B7</f>
        <v/>
      </c>
      <c r="I2592">
        <f>F2592*(1-H2592/100)*1.18</f>
        <v/>
      </c>
      <c r="J2592">
        <f>הגדרות!C7</f>
        <v/>
      </c>
      <c r="K2592">
        <f>הגדרות!D7</f>
        <v/>
      </c>
      <c r="L2592">
        <f>I2592*(1+J2592/100)+K2592</f>
        <v/>
      </c>
    </row>
    <row r="2593">
      <c r="A2593" t="inlineStr">
        <is>
          <t>מדי-מרקט</t>
        </is>
      </c>
      <c r="B2593" t="inlineStr">
        <is>
          <t>כפפות סטר' תגום מקס ללא טלק 6.5 50 יחידות</t>
        </is>
      </c>
      <c r="C2593" t="inlineStr">
        <is>
          <t>כפפות</t>
        </is>
      </c>
      <c r="D2593" t="inlineStr">
        <is>
          <t>MAX065PF</t>
        </is>
      </c>
      <c r="E2593" t="inlineStr">
        <is>
          <t>2026-06</t>
        </is>
      </c>
      <c r="F2593" t="n">
        <v>36.99</v>
      </c>
      <c r="G2593" t="n">
        <v>43.65</v>
      </c>
      <c r="H2593">
        <f>הגדרות!B7</f>
        <v/>
      </c>
      <c r="I2593">
        <f>F2593*(1-H2593/100)*1.18</f>
        <v/>
      </c>
      <c r="J2593">
        <f>הגדרות!C7</f>
        <v/>
      </c>
      <c r="K2593">
        <f>הגדרות!D7</f>
        <v/>
      </c>
      <c r="L2593">
        <f>I2593*(1+J2593/100)+K2593</f>
        <v/>
      </c>
    </row>
    <row r="2594">
      <c r="A2594" t="inlineStr">
        <is>
          <t>מדי-מרקט</t>
        </is>
      </c>
      <c r="B2594" t="inlineStr">
        <is>
          <t>כפפות סטר' תגום מקס ללא טלק 7 50 יחידות</t>
        </is>
      </c>
      <c r="C2594" t="inlineStr">
        <is>
          <t>כפפות</t>
        </is>
      </c>
      <c r="D2594" t="inlineStr">
        <is>
          <t>MAX070PF</t>
        </is>
      </c>
      <c r="E2594" t="inlineStr">
        <is>
          <t>2026-06</t>
        </is>
      </c>
      <c r="F2594" t="n">
        <v>37.75</v>
      </c>
      <c r="G2594" t="n">
        <v>44.55</v>
      </c>
      <c r="H2594">
        <f>הגדרות!B7</f>
        <v/>
      </c>
      <c r="I2594">
        <f>F2594*(1-H2594/100)*1.18</f>
        <v/>
      </c>
      <c r="J2594">
        <f>הגדרות!C7</f>
        <v/>
      </c>
      <c r="K2594">
        <f>הגדרות!D7</f>
        <v/>
      </c>
      <c r="L2594">
        <f>I2594*(1+J2594/100)+K2594</f>
        <v/>
      </c>
    </row>
    <row r="2595">
      <c r="A2595" t="inlineStr">
        <is>
          <t>מדי-מרקט</t>
        </is>
      </c>
      <c r="B2595" t="inlineStr">
        <is>
          <t>כפפות סטר' תגום מקס ללא טלק 7.5 50 יחידות</t>
        </is>
      </c>
      <c r="C2595" t="inlineStr">
        <is>
          <t>כפפות</t>
        </is>
      </c>
      <c r="D2595" t="inlineStr">
        <is>
          <t>MAX075PF</t>
        </is>
      </c>
      <c r="E2595" t="inlineStr">
        <is>
          <t>2026-06</t>
        </is>
      </c>
      <c r="F2595" t="n">
        <v>38.36</v>
      </c>
      <c r="G2595" t="n">
        <v>45.27</v>
      </c>
      <c r="H2595">
        <f>הגדרות!B7</f>
        <v/>
      </c>
      <c r="I2595">
        <f>F2595*(1-H2595/100)*1.18</f>
        <v/>
      </c>
      <c r="J2595">
        <f>הגדרות!C7</f>
        <v/>
      </c>
      <c r="K2595">
        <f>הגדרות!D7</f>
        <v/>
      </c>
      <c r="L2595">
        <f>I2595*(1+J2595/100)+K2595</f>
        <v/>
      </c>
    </row>
    <row r="2596">
      <c r="A2596" t="inlineStr">
        <is>
          <t>מדי-מרקט</t>
        </is>
      </c>
      <c r="B2596" t="inlineStr">
        <is>
          <t>כפפות סטר' תגום מקס ללא טלק 8 50 יחידות</t>
        </is>
      </c>
      <c r="C2596" t="inlineStr">
        <is>
          <t>כפפות</t>
        </is>
      </c>
      <c r="D2596" t="inlineStr">
        <is>
          <t>MAX080PF</t>
        </is>
      </c>
      <c r="E2596" t="inlineStr">
        <is>
          <t>2026-06</t>
        </is>
      </c>
      <c r="F2596" t="n">
        <v>37.94</v>
      </c>
      <c r="G2596" t="n">
        <v>44.77</v>
      </c>
      <c r="H2596">
        <f>הגדרות!B7</f>
        <v/>
      </c>
      <c r="I2596">
        <f>F2596*(1-H2596/100)*1.18</f>
        <v/>
      </c>
      <c r="J2596">
        <f>הגדרות!C7</f>
        <v/>
      </c>
      <c r="K2596">
        <f>הגדרות!D7</f>
        <v/>
      </c>
      <c r="L2596">
        <f>I2596*(1+J2596/100)+K2596</f>
        <v/>
      </c>
    </row>
    <row r="2597">
      <c r="A2597" t="inlineStr">
        <is>
          <t>מדי-מרקט</t>
        </is>
      </c>
      <c r="B2597" t="inlineStr">
        <is>
          <t>כפפות סטר' תגום מקס ללא טלק 8.5 50 יחידות</t>
        </is>
      </c>
      <c r="C2597" t="inlineStr">
        <is>
          <t>כפפות</t>
        </is>
      </c>
      <c r="D2597" t="inlineStr">
        <is>
          <t>MAX085PF</t>
        </is>
      </c>
      <c r="E2597" t="inlineStr">
        <is>
          <t>2026-06</t>
        </is>
      </c>
      <c r="F2597" t="n">
        <v>36.14</v>
      </c>
      <c r="G2597" t="n">
        <v>42.65</v>
      </c>
      <c r="H2597">
        <f>הגדרות!B7</f>
        <v/>
      </c>
      <c r="I2597">
        <f>F2597*(1-H2597/100)*1.18</f>
        <v/>
      </c>
      <c r="J2597">
        <f>הגדרות!C7</f>
        <v/>
      </c>
      <c r="K2597">
        <f>הגדרות!D7</f>
        <v/>
      </c>
      <c r="L2597">
        <f>I2597*(1+J2597/100)+K2597</f>
        <v/>
      </c>
    </row>
    <row r="2598">
      <c r="A2598" t="inlineStr">
        <is>
          <t>מדי-מרקט</t>
        </is>
      </c>
      <c r="B2598" t="inlineStr">
        <is>
          <t>כפפות סטר' תגום מקס עם טלק 6 50 יחידות</t>
        </is>
      </c>
      <c r="C2598" t="inlineStr">
        <is>
          <t>כפפות</t>
        </is>
      </c>
      <c r="D2598" t="inlineStr">
        <is>
          <t>MAX060S</t>
        </is>
      </c>
      <c r="E2598" t="inlineStr">
        <is>
          <t>2026-06</t>
        </is>
      </c>
      <c r="F2598" t="n">
        <v>32.48</v>
      </c>
      <c r="G2598" t="n">
        <v>38.33</v>
      </c>
      <c r="H2598">
        <f>הגדרות!B7</f>
        <v/>
      </c>
      <c r="I2598">
        <f>F2598*(1-H2598/100)*1.18</f>
        <v/>
      </c>
      <c r="J2598">
        <f>הגדרות!C7</f>
        <v/>
      </c>
      <c r="K2598">
        <f>הגדרות!D7</f>
        <v/>
      </c>
      <c r="L2598">
        <f>I2598*(1+J2598/100)+K2598</f>
        <v/>
      </c>
    </row>
    <row r="2599">
      <c r="A2599" t="inlineStr">
        <is>
          <t>מדי-מרקט</t>
        </is>
      </c>
      <c r="B2599" t="inlineStr">
        <is>
          <t>כפפות סטר' תגום מקס עם טלק 6.5 50 יחידות</t>
        </is>
      </c>
      <c r="C2599" t="inlineStr">
        <is>
          <t>כפפות</t>
        </is>
      </c>
      <c r="D2599" t="inlineStr">
        <is>
          <t>MAX065S</t>
        </is>
      </c>
      <c r="E2599" t="inlineStr">
        <is>
          <t>2026-06</t>
        </is>
      </c>
      <c r="F2599" t="n">
        <v>32.56</v>
      </c>
      <c r="G2599" t="n">
        <v>38.42</v>
      </c>
      <c r="H2599">
        <f>הגדרות!B7</f>
        <v/>
      </c>
      <c r="I2599">
        <f>F2599*(1-H2599/100)*1.18</f>
        <v/>
      </c>
      <c r="J2599">
        <f>הגדרות!C7</f>
        <v/>
      </c>
      <c r="K2599">
        <f>הגדרות!D7</f>
        <v/>
      </c>
      <c r="L2599">
        <f>I2599*(1+J2599/100)+K2599</f>
        <v/>
      </c>
    </row>
    <row r="2600">
      <c r="A2600" t="inlineStr">
        <is>
          <t>מדי-מרקט</t>
        </is>
      </c>
      <c r="B2600" t="inlineStr">
        <is>
          <t>כפפות סטר' תגום מקס עם טלק 7 50 יחידות</t>
        </is>
      </c>
      <c r="C2600" t="inlineStr">
        <is>
          <t>כפפות</t>
        </is>
      </c>
      <c r="D2600" t="inlineStr">
        <is>
          <t>MAX070S</t>
        </is>
      </c>
      <c r="E2600" t="inlineStr">
        <is>
          <t>2026-06</t>
        </is>
      </c>
      <c r="F2600" t="n">
        <v>32.24</v>
      </c>
      <c r="G2600" t="n">
        <v>38.04</v>
      </c>
      <c r="H2600">
        <f>הגדרות!B7</f>
        <v/>
      </c>
      <c r="I2600">
        <f>F2600*(1-H2600/100)*1.18</f>
        <v/>
      </c>
      <c r="J2600">
        <f>הגדרות!C7</f>
        <v/>
      </c>
      <c r="K2600">
        <f>הגדרות!D7</f>
        <v/>
      </c>
      <c r="L2600">
        <f>I2600*(1+J2600/100)+K2600</f>
        <v/>
      </c>
    </row>
    <row r="2601">
      <c r="A2601" t="inlineStr">
        <is>
          <t>מדי-מרקט</t>
        </is>
      </c>
      <c r="B2601" t="inlineStr">
        <is>
          <t>כפפות סטר' תגום מקס עם טלק 7.5 50 יחידות</t>
        </is>
      </c>
      <c r="C2601" t="inlineStr">
        <is>
          <t>כפפות</t>
        </is>
      </c>
      <c r="D2601" t="inlineStr">
        <is>
          <t>MAX075S</t>
        </is>
      </c>
      <c r="E2601" t="inlineStr">
        <is>
          <t>2026-06</t>
        </is>
      </c>
      <c r="F2601" t="n">
        <v>33.27</v>
      </c>
      <c r="G2601" t="n">
        <v>39.26</v>
      </c>
      <c r="H2601">
        <f>הגדרות!B7</f>
        <v/>
      </c>
      <c r="I2601">
        <f>F2601*(1-H2601/100)*1.18</f>
        <v/>
      </c>
      <c r="J2601">
        <f>הגדרות!C7</f>
        <v/>
      </c>
      <c r="K2601">
        <f>הגדרות!D7</f>
        <v/>
      </c>
      <c r="L2601">
        <f>I2601*(1+J2601/100)+K2601</f>
        <v/>
      </c>
    </row>
    <row r="2602">
      <c r="A2602" t="inlineStr">
        <is>
          <t>מדי-מרקט</t>
        </is>
      </c>
      <c r="B2602" t="inlineStr">
        <is>
          <t>כפפות סטר' תגום מקס עם טלק 8 50 יחידות</t>
        </is>
      </c>
      <c r="C2602" t="inlineStr">
        <is>
          <t>כפפות</t>
        </is>
      </c>
      <c r="D2602" t="inlineStr">
        <is>
          <t>MAX080S</t>
        </is>
      </c>
      <c r="E2602" t="inlineStr">
        <is>
          <t>2026-06</t>
        </is>
      </c>
      <c r="F2602" t="n">
        <v>31.67</v>
      </c>
      <c r="G2602" t="n">
        <v>37.37</v>
      </c>
      <c r="H2602">
        <f>הגדרות!B7</f>
        <v/>
      </c>
      <c r="I2602">
        <f>F2602*(1-H2602/100)*1.18</f>
        <v/>
      </c>
      <c r="J2602">
        <f>הגדרות!C7</f>
        <v/>
      </c>
      <c r="K2602">
        <f>הגדרות!D7</f>
        <v/>
      </c>
      <c r="L2602">
        <f>I2602*(1+J2602/100)+K2602</f>
        <v/>
      </c>
    </row>
    <row r="2603">
      <c r="A2603" t="inlineStr">
        <is>
          <t>מדי-מרקט</t>
        </is>
      </c>
      <c r="B2603" t="inlineStr">
        <is>
          <t>כפפות סטר' תגום מקס עם טלק 8.5 50 יחידות</t>
        </is>
      </c>
      <c r="C2603" t="inlineStr">
        <is>
          <t>כפפות</t>
        </is>
      </c>
      <c r="D2603" t="inlineStr">
        <is>
          <t>MAX085S</t>
        </is>
      </c>
      <c r="E2603" t="inlineStr">
        <is>
          <t>2026-06</t>
        </is>
      </c>
      <c r="F2603" t="n">
        <v>36.44</v>
      </c>
      <c r="G2603" t="n">
        <v>43</v>
      </c>
      <c r="H2603">
        <f>הגדרות!B7</f>
        <v/>
      </c>
      <c r="I2603">
        <f>F2603*(1-H2603/100)*1.18</f>
        <v/>
      </c>
      <c r="J2603">
        <f>הגדרות!C7</f>
        <v/>
      </c>
      <c r="K2603">
        <f>הגדרות!D7</f>
        <v/>
      </c>
      <c r="L2603">
        <f>I2603*(1+J2603/100)+K2603</f>
        <v/>
      </c>
    </row>
    <row r="2604">
      <c r="A2604" t="inlineStr">
        <is>
          <t>מדי-מרקט</t>
        </is>
      </c>
      <c r="B2604" t="inlineStr">
        <is>
          <t>כפפות סטר' תגום מקס עם טלק 9 50 יחידות</t>
        </is>
      </c>
      <c r="C2604" t="inlineStr">
        <is>
          <t>כפפות</t>
        </is>
      </c>
      <c r="D2604" t="inlineStr">
        <is>
          <t>MAX090S</t>
        </is>
      </c>
      <c r="E2604" t="inlineStr">
        <is>
          <t>2026-06</t>
        </is>
      </c>
      <c r="F2604" t="n">
        <v>30.92</v>
      </c>
      <c r="G2604" t="n">
        <v>36.48</v>
      </c>
      <c r="H2604">
        <f>הגדרות!B7</f>
        <v/>
      </c>
      <c r="I2604">
        <f>F2604*(1-H2604/100)*1.18</f>
        <v/>
      </c>
      <c r="J2604">
        <f>הגדרות!C7</f>
        <v/>
      </c>
      <c r="K2604">
        <f>הגדרות!D7</f>
        <v/>
      </c>
      <c r="L2604">
        <f>I2604*(1+J2604/100)+K2604</f>
        <v/>
      </c>
    </row>
    <row r="2605">
      <c r="A2605" t="inlineStr">
        <is>
          <t>מדי-מרקט</t>
        </is>
      </c>
      <c r="B2605" t="inlineStr">
        <is>
          <t>כפפות קופולימר מידה L סטרילי 100 יחידות</t>
        </is>
      </c>
      <c r="C2605" t="inlineStr">
        <is>
          <t>כפפות</t>
        </is>
      </c>
      <c r="D2605" t="inlineStr">
        <is>
          <t>806</t>
        </is>
      </c>
      <c r="E2605" t="inlineStr">
        <is>
          <t>2026-06</t>
        </is>
      </c>
      <c r="F2605" t="n">
        <v>14.46</v>
      </c>
      <c r="G2605" t="n">
        <v>17.06</v>
      </c>
      <c r="H2605">
        <f>הגדרות!B7</f>
        <v/>
      </c>
      <c r="I2605">
        <f>F2605*(1-H2605/100)*1.18</f>
        <v/>
      </c>
      <c r="J2605">
        <f>הגדרות!C7</f>
        <v/>
      </c>
      <c r="K2605">
        <f>הגדרות!D7</f>
        <v/>
      </c>
      <c r="L2605">
        <f>I2605*(1+J2605/100)+K2605</f>
        <v/>
      </c>
    </row>
    <row r="2606">
      <c r="A2606" t="inlineStr">
        <is>
          <t>מדי-מרקט</t>
        </is>
      </c>
      <c r="B2606" t="inlineStr">
        <is>
          <t>כרית חימום וטרינרית חשמלית 40X60ס"מ</t>
        </is>
      </c>
      <c r="C2606" t="inlineStr">
        <is>
          <t>חדר ניתוח</t>
        </is>
      </c>
      <c r="D2606" t="inlineStr">
        <is>
          <t>10231</t>
        </is>
      </c>
      <c r="E2606" t="inlineStr">
        <is>
          <t>2026-06</t>
        </is>
      </c>
      <c r="F2606" t="n">
        <v>415.25</v>
      </c>
      <c r="G2606" t="n">
        <v>490</v>
      </c>
      <c r="H2606">
        <f>הגדרות!B7</f>
        <v/>
      </c>
      <c r="I2606">
        <f>F2606*(1-H2606/100)*1.18</f>
        <v/>
      </c>
      <c r="J2606">
        <f>הגדרות!C7</f>
        <v/>
      </c>
      <c r="K2606">
        <f>הגדרות!D7</f>
        <v/>
      </c>
      <c r="L2606">
        <f>I2606*(1+J2606/100)+K2606</f>
        <v/>
      </c>
    </row>
    <row r="2607">
      <c r="A2607" t="inlineStr">
        <is>
          <t>מדי-מרקט</t>
        </is>
      </c>
      <c r="B2607" t="inlineStr">
        <is>
          <t>לבימר"ק בלבד-בקבוק פניצילין חום 10 מ"ל + פקק גומי וסגר אלומ</t>
        </is>
      </c>
      <c r="C2607" t="inlineStr">
        <is>
          <t>אריזה בימ"ק ראשונה להכנות</t>
        </is>
      </c>
      <c r="D2607" t="inlineStr">
        <is>
          <t>0005</t>
        </is>
      </c>
      <c r="E2607" t="inlineStr">
        <is>
          <t>2026-06</t>
        </is>
      </c>
      <c r="F2607" t="n">
        <v>0.52</v>
      </c>
      <c r="G2607" t="n">
        <v>0.61</v>
      </c>
      <c r="H2607">
        <f>הגדרות!B7</f>
        <v/>
      </c>
      <c r="I2607">
        <f>F2607*(1-H2607/100)*1.18</f>
        <v/>
      </c>
      <c r="J2607">
        <f>הגדרות!C7</f>
        <v/>
      </c>
      <c r="K2607">
        <f>הגדרות!D7</f>
        <v/>
      </c>
      <c r="L2607">
        <f>I2607*(1+J2607/100)+K2607</f>
        <v/>
      </c>
    </row>
    <row r="2608">
      <c r="A2608" t="inlineStr">
        <is>
          <t>מדי-מרקט</t>
        </is>
      </c>
      <c r="B2608" t="inlineStr">
        <is>
          <t>לבימר"ק בלבד-בקבוק פניצילין חום 100 מ"ל +פקק גומי וסגר אלומ</t>
        </is>
      </c>
      <c r="C2608" t="inlineStr">
        <is>
          <t>אריזה בימ"ק ראשונה להכנות</t>
        </is>
      </c>
      <c r="D2608" t="inlineStr">
        <is>
          <t>0008</t>
        </is>
      </c>
      <c r="E2608" t="inlineStr">
        <is>
          <t>2026-06</t>
        </is>
      </c>
      <c r="F2608" t="n">
        <v>2.12</v>
      </c>
      <c r="G2608" t="n">
        <v>2.5</v>
      </c>
      <c r="H2608">
        <f>הגדרות!B7</f>
        <v/>
      </c>
      <c r="I2608">
        <f>F2608*(1-H2608/100)*1.18</f>
        <v/>
      </c>
      <c r="J2608">
        <f>הגדרות!C7</f>
        <v/>
      </c>
      <c r="K2608">
        <f>הגדרות!D7</f>
        <v/>
      </c>
      <c r="L2608">
        <f>I2608*(1+J2608/100)+K2608</f>
        <v/>
      </c>
    </row>
    <row r="2609">
      <c r="A2609" t="inlineStr">
        <is>
          <t>מדי-מרקט</t>
        </is>
      </c>
      <c r="B2609" t="inlineStr">
        <is>
          <t>לבימר"ק בלבד-בקבוק פניצילין חום 20 מ"ל + פקק גומי וסגר אלומ</t>
        </is>
      </c>
      <c r="C2609" t="inlineStr">
        <is>
          <t>אריזה בימ"ק ראשונה להכנות</t>
        </is>
      </c>
      <c r="D2609" t="inlineStr">
        <is>
          <t>0006</t>
        </is>
      </c>
      <c r="E2609" t="inlineStr">
        <is>
          <t>2026-06</t>
        </is>
      </c>
      <c r="F2609" t="n">
        <v>0.66</v>
      </c>
      <c r="G2609" t="n">
        <v>0.78</v>
      </c>
      <c r="H2609">
        <f>הגדרות!B7</f>
        <v/>
      </c>
      <c r="I2609">
        <f>F2609*(1-H2609/100)*1.18</f>
        <v/>
      </c>
      <c r="J2609">
        <f>הגדרות!C7</f>
        <v/>
      </c>
      <c r="K2609">
        <f>הגדרות!D7</f>
        <v/>
      </c>
      <c r="L2609">
        <f>I2609*(1+J2609/100)+K2609</f>
        <v/>
      </c>
    </row>
    <row r="2610">
      <c r="A2610" t="inlineStr">
        <is>
          <t>מדי-מרקט</t>
        </is>
      </c>
      <c r="B2610" t="inlineStr">
        <is>
          <t>לבימר"ק בלבד-בקבוק פניצילין חום 50 מ"ל + פקק גומי וסגר אלומ</t>
        </is>
      </c>
      <c r="C2610" t="inlineStr">
        <is>
          <t>אריזה בימ"ק ראשונה להכנות</t>
        </is>
      </c>
      <c r="D2610" t="inlineStr">
        <is>
          <t>0007</t>
        </is>
      </c>
      <c r="E2610" t="inlineStr">
        <is>
          <t>2026-06</t>
        </is>
      </c>
      <c r="F2610" t="n">
        <v>0.8100000000000001</v>
      </c>
      <c r="G2610" t="n">
        <v>0.95</v>
      </c>
      <c r="H2610">
        <f>הגדרות!B7</f>
        <v/>
      </c>
      <c r="I2610">
        <f>F2610*(1-H2610/100)*1.18</f>
        <v/>
      </c>
      <c r="J2610">
        <f>הגדרות!C7</f>
        <v/>
      </c>
      <c r="K2610">
        <f>הגדרות!D7</f>
        <v/>
      </c>
      <c r="L2610">
        <f>I2610*(1+J2610/100)+K2610</f>
        <v/>
      </c>
    </row>
    <row r="2611">
      <c r="A2611" t="inlineStr">
        <is>
          <t>מדי-מרקט</t>
        </is>
      </c>
      <c r="B2611" t="inlineStr">
        <is>
          <t>לוח גב (קרש) פלסטי+ סט רצועות קשירה תיקני</t>
        </is>
      </c>
      <c r="C2611" t="inlineStr">
        <is>
          <t>ציוד ומכשור רפואי</t>
        </is>
      </c>
      <c r="D2611" t="inlineStr">
        <is>
          <t>32812</t>
        </is>
      </c>
      <c r="E2611" t="inlineStr">
        <is>
          <t>2026-06</t>
        </is>
      </c>
      <c r="F2611" t="n">
        <v>500</v>
      </c>
      <c r="G2611" t="n">
        <v>590</v>
      </c>
      <c r="H2611">
        <f>הגדרות!B7</f>
        <v/>
      </c>
      <c r="I2611">
        <f>F2611*(1-H2611/100)*1.18</f>
        <v/>
      </c>
      <c r="J2611">
        <f>הגדרות!C7</f>
        <v/>
      </c>
      <c r="K2611">
        <f>הגדרות!D7</f>
        <v/>
      </c>
      <c r="L2611">
        <f>I2611*(1+J2611/100)+K2611</f>
        <v/>
      </c>
    </row>
    <row r="2612">
      <c r="A2612" t="inlineStr">
        <is>
          <t>מדי-מרקט</t>
        </is>
      </c>
      <c r="B2612" t="inlineStr">
        <is>
          <t>לוח לגיליון חולה למיטה בצבע לבן 23X34 A4 ס"מ</t>
        </is>
      </c>
      <c r="C2612" t="inlineStr">
        <is>
          <t>ציוד ומכשור רפואי</t>
        </is>
      </c>
      <c r="D2612" t="inlineStr">
        <is>
          <t>2285</t>
        </is>
      </c>
      <c r="E2612" t="inlineStr">
        <is>
          <t>2026-06</t>
        </is>
      </c>
      <c r="F2612" t="n">
        <v>30.89</v>
      </c>
      <c r="G2612" t="n">
        <v>36.45</v>
      </c>
      <c r="H2612">
        <f>הגדרות!B7</f>
        <v/>
      </c>
      <c r="I2612">
        <f>F2612*(1-H2612/100)*1.18</f>
        <v/>
      </c>
      <c r="J2612">
        <f>הגדרות!C7</f>
        <v/>
      </c>
      <c r="K2612">
        <f>הגדרות!D7</f>
        <v/>
      </c>
      <c r="L2612">
        <f>I2612*(1+J2612/100)+K2612</f>
        <v/>
      </c>
    </row>
    <row r="2613">
      <c r="A2613" t="inlineStr">
        <is>
          <t>מדי-מרקט</t>
        </is>
      </c>
      <c r="B2613" t="inlineStr">
        <is>
          <t>לוין טיוב זונדה דאודונל 14CH אר' ניילון W X-ray מדיקפרו 1יח</t>
        </is>
      </c>
      <c r="C2613" t="inlineStr">
        <is>
          <t>ציוד מתכלה</t>
        </is>
      </c>
      <c r="D2613" t="inlineStr">
        <is>
          <t>500-059</t>
        </is>
      </c>
      <c r="E2613" t="inlineStr">
        <is>
          <t>2026-06</t>
        </is>
      </c>
      <c r="F2613" t="n">
        <v>0.41</v>
      </c>
      <c r="G2613" t="n">
        <v>0.48</v>
      </c>
      <c r="H2613">
        <f>הגדרות!B7</f>
        <v/>
      </c>
      <c r="I2613">
        <f>F2613*(1-H2613/100)*1.18</f>
        <v/>
      </c>
      <c r="J2613">
        <f>הגדרות!C7</f>
        <v/>
      </c>
      <c r="K2613">
        <f>הגדרות!D7</f>
        <v/>
      </c>
      <c r="L2613">
        <f>I2613*(1+J2613/100)+K2613</f>
        <v/>
      </c>
    </row>
    <row r="2614">
      <c r="A2614" t="inlineStr">
        <is>
          <t>מדי-מרקט</t>
        </is>
      </c>
      <c r="B2614" t="inlineStr">
        <is>
          <t>לוין טיוב זונדה דאודונל 16CH אר' ניילון W X-ray מדיקפרו 1יח</t>
        </is>
      </c>
      <c r="C2614" t="inlineStr">
        <is>
          <t>ציוד מתכלה</t>
        </is>
      </c>
      <c r="D2614" t="inlineStr">
        <is>
          <t>500-060</t>
        </is>
      </c>
      <c r="E2614" t="inlineStr">
        <is>
          <t>2026-06</t>
        </is>
      </c>
      <c r="F2614" t="n">
        <v>0.45</v>
      </c>
      <c r="G2614" t="n">
        <v>0.53</v>
      </c>
      <c r="H2614">
        <f>הגדרות!B7</f>
        <v/>
      </c>
      <c r="I2614">
        <f>F2614*(1-H2614/100)*1.18</f>
        <v/>
      </c>
      <c r="J2614">
        <f>הגדרות!C7</f>
        <v/>
      </c>
      <c r="K2614">
        <f>הגדרות!D7</f>
        <v/>
      </c>
      <c r="L2614">
        <f>I2614*(1+J2614/100)+K2614</f>
        <v/>
      </c>
    </row>
    <row r="2615">
      <c r="A2615" t="inlineStr">
        <is>
          <t>מדי-מרקט</t>
        </is>
      </c>
      <c r="B2615" t="inlineStr">
        <is>
          <t>לוין טיוב זונדה דאודונל 18CH אר' ניילון W X-ray מדיקפרו 1יח</t>
        </is>
      </c>
      <c r="C2615" t="inlineStr">
        <is>
          <t>ציוד מתכלה</t>
        </is>
      </c>
      <c r="D2615" t="inlineStr">
        <is>
          <t>500-061</t>
        </is>
      </c>
      <c r="E2615" t="inlineStr">
        <is>
          <t>2026-06</t>
        </is>
      </c>
      <c r="F2615" t="n">
        <v>0.42</v>
      </c>
      <c r="G2615" t="n">
        <v>0.5</v>
      </c>
      <c r="H2615">
        <f>הגדרות!B7</f>
        <v/>
      </c>
      <c r="I2615">
        <f>F2615*(1-H2615/100)*1.18</f>
        <v/>
      </c>
      <c r="J2615">
        <f>הגדרות!C7</f>
        <v/>
      </c>
      <c r="K2615">
        <f>הגדרות!D7</f>
        <v/>
      </c>
      <c r="L2615">
        <f>I2615*(1+J2615/100)+K2615</f>
        <v/>
      </c>
    </row>
    <row r="2616">
      <c r="A2616" t="inlineStr">
        <is>
          <t>מדי-מרקט</t>
        </is>
      </c>
      <c r="B2616" t="inlineStr">
        <is>
          <t>למון ג'ל- מקל גליצרן אריזה 25 מעטפות 3 יח' כ"א</t>
        </is>
      </c>
      <c r="C2616" t="inlineStr">
        <is>
          <t>מוצרי חיטוי ואנטיספטיקה</t>
        </is>
      </c>
      <c r="D2616" t="inlineStr">
        <is>
          <t>1329</t>
        </is>
      </c>
      <c r="E2616" t="inlineStr">
        <is>
          <t>2026-06</t>
        </is>
      </c>
      <c r="F2616" t="n">
        <v>18.56</v>
      </c>
      <c r="G2616" t="n">
        <v>21.9</v>
      </c>
      <c r="H2616">
        <f>הגדרות!B7</f>
        <v/>
      </c>
      <c r="I2616">
        <f>F2616*(1-H2616/100)*1.18</f>
        <v/>
      </c>
      <c r="J2616">
        <f>הגדרות!C7</f>
        <v/>
      </c>
      <c r="K2616">
        <f>הגדרות!D7</f>
        <v/>
      </c>
      <c r="L2616">
        <f>I2616*(1+J2616/100)+K2616</f>
        <v/>
      </c>
    </row>
    <row r="2617">
      <c r="A2617" t="inlineStr">
        <is>
          <t>מדי-מרקט</t>
        </is>
      </c>
      <c r="B2617" t="inlineStr">
        <is>
          <t>לרינגוסקופ 3 להבים מכופפים מקינטוש</t>
        </is>
      </c>
      <c r="C2617" t="inlineStr">
        <is>
          <t>ציוד ומכשור רפואי</t>
        </is>
      </c>
      <c r="D2617" t="inlineStr">
        <is>
          <t>7660</t>
        </is>
      </c>
      <c r="E2617" t="inlineStr">
        <is>
          <t>2026-06</t>
        </is>
      </c>
      <c r="F2617" t="n">
        <v>120.45</v>
      </c>
      <c r="G2617" t="n">
        <v>142.13</v>
      </c>
      <c r="H2617">
        <f>הגדרות!B7</f>
        <v/>
      </c>
      <c r="I2617">
        <f>F2617*(1-H2617/100)*1.18</f>
        <v/>
      </c>
      <c r="J2617">
        <f>הגדרות!C7</f>
        <v/>
      </c>
      <c r="K2617">
        <f>הגדרות!D7</f>
        <v/>
      </c>
      <c r="L2617">
        <f>I2617*(1+J2617/100)+K2617</f>
        <v/>
      </c>
    </row>
    <row r="2618">
      <c r="A2618" t="inlineStr">
        <is>
          <t>מדי-מרקט</t>
        </is>
      </c>
      <c r="B2618" t="inlineStr">
        <is>
          <t>לרינגוסקופ פלסטי - סיב אופטי (ידית + 6 להבים)</t>
        </is>
      </c>
      <c r="C2618" t="inlineStr">
        <is>
          <t>ציוד ומכשור רפואי</t>
        </is>
      </c>
      <c r="D2618" t="inlineStr">
        <is>
          <t>27701</t>
        </is>
      </c>
      <c r="E2618" t="inlineStr">
        <is>
          <t>2026-06</t>
        </is>
      </c>
      <c r="F2618" t="n">
        <v>146.44</v>
      </c>
      <c r="G2618" t="n">
        <v>172.8</v>
      </c>
      <c r="H2618">
        <f>הגדרות!B7</f>
        <v/>
      </c>
      <c r="I2618">
        <f>F2618*(1-H2618/100)*1.18</f>
        <v/>
      </c>
      <c r="J2618">
        <f>הגדרות!C7</f>
        <v/>
      </c>
      <c r="K2618">
        <f>הגדרות!D7</f>
        <v/>
      </c>
      <c r="L2618">
        <f>I2618*(1+J2618/100)+K2618</f>
        <v/>
      </c>
    </row>
    <row r="2619">
      <c r="A2619" t="inlineStr">
        <is>
          <t>מדי-מרקט</t>
        </is>
      </c>
      <c r="B2619" t="inlineStr">
        <is>
          <t>מאזני תליה 300 ק"ג - OCS (למנוף)</t>
        </is>
      </c>
      <c r="C2619" t="inlineStr">
        <is>
          <t>ציוד ומכשור רפואי</t>
        </is>
      </c>
      <c r="D2619" t="inlineStr">
        <is>
          <t>191701</t>
        </is>
      </c>
      <c r="E2619" t="inlineStr">
        <is>
          <t>2026-06</t>
        </is>
      </c>
      <c r="F2619" t="n">
        <v>1906.78</v>
      </c>
      <c r="G2619" t="n">
        <v>2250</v>
      </c>
      <c r="H2619">
        <f>הגדרות!B7</f>
        <v/>
      </c>
      <c r="I2619">
        <f>F2619*(1-H2619/100)*1.18</f>
        <v/>
      </c>
      <c r="J2619">
        <f>הגדרות!C7</f>
        <v/>
      </c>
      <c r="K2619">
        <f>הגדרות!D7</f>
        <v/>
      </c>
      <c r="L2619">
        <f>I2619*(1+J2619/100)+K2619</f>
        <v/>
      </c>
    </row>
    <row r="2620">
      <c r="A2620" t="inlineStr">
        <is>
          <t>מדי-מרקט</t>
        </is>
      </c>
      <c r="B2620" t="inlineStr">
        <is>
          <t>מאמן נשימה טרי-פלו מדיקפרו</t>
        </is>
      </c>
      <c r="C2620" t="inlineStr">
        <is>
          <t>ציוד ומכשור רפואי</t>
        </is>
      </c>
      <c r="D2620" t="inlineStr">
        <is>
          <t>3060256104</t>
        </is>
      </c>
      <c r="E2620" t="inlineStr">
        <is>
          <t>2026-06</t>
        </is>
      </c>
      <c r="F2620" t="n">
        <v>9.16</v>
      </c>
      <c r="G2620" t="n">
        <v>10.81</v>
      </c>
      <c r="H2620">
        <f>הגדרות!B7</f>
        <v/>
      </c>
      <c r="I2620">
        <f>F2620*(1-H2620/100)*1.18</f>
        <v/>
      </c>
      <c r="J2620">
        <f>הגדרות!C7</f>
        <v/>
      </c>
      <c r="K2620">
        <f>הגדרות!D7</f>
        <v/>
      </c>
      <c r="L2620">
        <f>I2620*(1+J2620/100)+K2620</f>
        <v/>
      </c>
    </row>
    <row r="2621">
      <c r="A2621" t="inlineStr">
        <is>
          <t>מדי-מרקט</t>
        </is>
      </c>
      <c r="B2621" t="inlineStr">
        <is>
          <t>מארז 30 חבילות פלסטרים מעורב 6 סוגים (20 במארז), MX LONDON</t>
        </is>
      </c>
      <c r="C2621" t="inlineStr">
        <is>
          <t>מוצרי חבישה ופלסטרים</t>
        </is>
      </c>
      <c r="D2621" t="inlineStr">
        <is>
          <t>MX79348</t>
        </is>
      </c>
      <c r="E2621" t="inlineStr">
        <is>
          <t>2026-06</t>
        </is>
      </c>
      <c r="F2621" t="n">
        <v>127.12</v>
      </c>
      <c r="G2621" t="n">
        <v>150</v>
      </c>
      <c r="H2621">
        <f>הגדרות!B7</f>
        <v/>
      </c>
      <c r="I2621">
        <f>F2621*(1-H2621/100)*1.18</f>
        <v/>
      </c>
      <c r="J2621">
        <f>הגדרות!C7</f>
        <v/>
      </c>
      <c r="K2621">
        <f>הגדרות!D7</f>
        <v/>
      </c>
      <c r="L2621">
        <f>I2621*(1+J2621/100)+K2621</f>
        <v/>
      </c>
    </row>
    <row r="2622">
      <c r="A2622" t="inlineStr">
        <is>
          <t>מדי-מרקט</t>
        </is>
      </c>
      <c r="B2622" t="inlineStr">
        <is>
          <t>מאריך לאינפוזייה ,מדיקפרו 50 ס"מ</t>
        </is>
      </c>
      <c r="C2622" t="inlineStr">
        <is>
          <t>ציוד מתכלה</t>
        </is>
      </c>
      <c r="D2622" t="inlineStr">
        <is>
          <t>500-044</t>
        </is>
      </c>
      <c r="E2622" t="inlineStr">
        <is>
          <t>2026-06</t>
        </is>
      </c>
      <c r="F2622" t="n">
        <v>0.42</v>
      </c>
      <c r="G2622" t="n">
        <v>0.5</v>
      </c>
      <c r="H2622">
        <f>הגדרות!B7</f>
        <v/>
      </c>
      <c r="I2622">
        <f>F2622*(1-H2622/100)*1.18</f>
        <v/>
      </c>
      <c r="J2622">
        <f>הגדרות!C7</f>
        <v/>
      </c>
      <c r="K2622">
        <f>הגדרות!D7</f>
        <v/>
      </c>
      <c r="L2622">
        <f>I2622*(1+J2622/100)+K2622</f>
        <v/>
      </c>
    </row>
    <row r="2623">
      <c r="A2623" t="inlineStr">
        <is>
          <t>מדי-מרקט</t>
        </is>
      </c>
      <c r="B2623" t="inlineStr">
        <is>
          <t>מאריך לאינפוזייה ,מדיקפרו, 100 ס"מ</t>
        </is>
      </c>
      <c r="C2623" t="inlineStr">
        <is>
          <t>ציוד מתכלה</t>
        </is>
      </c>
      <c r="D2623" t="inlineStr">
        <is>
          <t>500-047</t>
        </is>
      </c>
      <c r="E2623" t="inlineStr">
        <is>
          <t>2026-06</t>
        </is>
      </c>
      <c r="F2623" t="n">
        <v>0.5</v>
      </c>
      <c r="G2623" t="n">
        <v>0.59</v>
      </c>
      <c r="H2623">
        <f>הגדרות!B7</f>
        <v/>
      </c>
      <c r="I2623">
        <f>F2623*(1-H2623/100)*1.18</f>
        <v/>
      </c>
      <c r="J2623">
        <f>הגדרות!C7</f>
        <v/>
      </c>
      <c r="K2623">
        <f>הגדרות!D7</f>
        <v/>
      </c>
      <c r="L2623">
        <f>I2623*(1+J2623/100)+K2623</f>
        <v/>
      </c>
    </row>
    <row r="2624">
      <c r="A2624" t="inlineStr">
        <is>
          <t>מדי-מרקט</t>
        </is>
      </c>
      <c r="B2624" t="inlineStr">
        <is>
          <t>מאריך לאינפוזייה ,מדיקפרו, 120 ס"מ</t>
        </is>
      </c>
      <c r="C2624" t="inlineStr">
        <is>
          <t>ציוד מתכלה</t>
        </is>
      </c>
      <c r="D2624" t="inlineStr">
        <is>
          <t>500-048</t>
        </is>
      </c>
      <c r="E2624" t="inlineStr">
        <is>
          <t>2026-06</t>
        </is>
      </c>
      <c r="F2624" t="n">
        <v>0.61</v>
      </c>
      <c r="G2624" t="n">
        <v>0.72</v>
      </c>
      <c r="H2624">
        <f>הגדרות!B7</f>
        <v/>
      </c>
      <c r="I2624">
        <f>F2624*(1-H2624/100)*1.18</f>
        <v/>
      </c>
      <c r="J2624">
        <f>הגדרות!C7</f>
        <v/>
      </c>
      <c r="K2624">
        <f>הגדרות!D7</f>
        <v/>
      </c>
      <c r="L2624">
        <f>I2624*(1+J2624/100)+K2624</f>
        <v/>
      </c>
    </row>
    <row r="2625">
      <c r="A2625" t="inlineStr">
        <is>
          <t>מדי-מרקט</t>
        </is>
      </c>
      <c r="B2625" t="inlineStr">
        <is>
          <t>מאריך לאינפוזייה ,מדיקפרו, 150 ס"מ</t>
        </is>
      </c>
      <c r="C2625" t="inlineStr">
        <is>
          <t>ציוד מתכלה</t>
        </is>
      </c>
      <c r="D2625" t="inlineStr">
        <is>
          <t>500-049</t>
        </is>
      </c>
      <c r="E2625" t="inlineStr">
        <is>
          <t>2026-06</t>
        </is>
      </c>
      <c r="F2625" t="n">
        <v>0.67</v>
      </c>
      <c r="G2625" t="n">
        <v>0.79</v>
      </c>
      <c r="H2625">
        <f>הגדרות!B7</f>
        <v/>
      </c>
      <c r="I2625">
        <f>F2625*(1-H2625/100)*1.18</f>
        <v/>
      </c>
      <c r="J2625">
        <f>הגדרות!C7</f>
        <v/>
      </c>
      <c r="K2625">
        <f>הגדרות!D7</f>
        <v/>
      </c>
      <c r="L2625">
        <f>I2625*(1+J2625/100)+K2625</f>
        <v/>
      </c>
    </row>
    <row r="2626">
      <c r="A2626" t="inlineStr">
        <is>
          <t>מדי-מרקט</t>
        </is>
      </c>
      <c r="B2626" t="inlineStr">
        <is>
          <t>מאריך לאינפוזייה ,מדיקפרו, 75 ס"מ</t>
        </is>
      </c>
      <c r="C2626" t="inlineStr">
        <is>
          <t>ציוד מתכלה</t>
        </is>
      </c>
      <c r="D2626" t="inlineStr">
        <is>
          <t>500-045</t>
        </is>
      </c>
      <c r="E2626" t="inlineStr">
        <is>
          <t>2026-06</t>
        </is>
      </c>
      <c r="F2626" t="n">
        <v>0.58</v>
      </c>
      <c r="G2626" t="n">
        <v>0.68</v>
      </c>
      <c r="H2626">
        <f>הגדרות!B7</f>
        <v/>
      </c>
      <c r="I2626">
        <f>F2626*(1-H2626/100)*1.18</f>
        <v/>
      </c>
      <c r="J2626">
        <f>הגדרות!C7</f>
        <v/>
      </c>
      <c r="K2626">
        <f>הגדרות!D7</f>
        <v/>
      </c>
      <c r="L2626">
        <f>I2626*(1+J2626/100)+K2626</f>
        <v/>
      </c>
    </row>
    <row r="2627">
      <c r="A2627" t="inlineStr">
        <is>
          <t>מדי-מרקט</t>
        </is>
      </c>
      <c r="B2627" t="inlineStr">
        <is>
          <t>מאריך לאינפוזייה ,מדיקפרו, 85 ס"מ</t>
        </is>
      </c>
      <c r="C2627" t="inlineStr">
        <is>
          <t>ציוד מתכלה</t>
        </is>
      </c>
      <c r="D2627" t="inlineStr">
        <is>
          <t>500-046</t>
        </is>
      </c>
      <c r="E2627" t="inlineStr">
        <is>
          <t>2026-06</t>
        </is>
      </c>
      <c r="F2627" t="n">
        <v>0.5</v>
      </c>
      <c r="G2627" t="n">
        <v>0.59</v>
      </c>
      <c r="H2627">
        <f>הגדרות!B7</f>
        <v/>
      </c>
      <c r="I2627">
        <f>F2627*(1-H2627/100)*1.18</f>
        <v/>
      </c>
      <c r="J2627">
        <f>הגדרות!C7</f>
        <v/>
      </c>
      <c r="K2627">
        <f>הגדרות!D7</f>
        <v/>
      </c>
      <c r="L2627">
        <f>I2627*(1+J2627/100)+K2627</f>
        <v/>
      </c>
    </row>
    <row r="2628">
      <c r="A2628" t="inlineStr">
        <is>
          <t>מדי-מרקט</t>
        </is>
      </c>
      <c r="B2628" t="inlineStr">
        <is>
          <t>מאריך למכשיר M3</t>
        </is>
      </c>
      <c r="C2628" t="inlineStr">
        <is>
          <t>ציוד ומכשור רפואי</t>
        </is>
      </c>
      <c r="D2628" t="inlineStr">
        <is>
          <t>85858585</t>
        </is>
      </c>
      <c r="E2628" t="inlineStr">
        <is>
          <t>2026-06</t>
        </is>
      </c>
      <c r="F2628" t="n">
        <v>41.53</v>
      </c>
      <c r="G2628" t="n">
        <v>49</v>
      </c>
      <c r="H2628">
        <f>הגדרות!B7</f>
        <v/>
      </c>
      <c r="I2628">
        <f>F2628*(1-H2628/100)*1.18</f>
        <v/>
      </c>
      <c r="J2628">
        <f>הגדרות!C7</f>
        <v/>
      </c>
      <c r="K2628">
        <f>הגדרות!D7</f>
        <v/>
      </c>
      <c r="L2628">
        <f>I2628*(1+J2628/100)+K2628</f>
        <v/>
      </c>
    </row>
    <row r="2629">
      <c r="A2629" t="inlineStr">
        <is>
          <t>מדי-מרקט</t>
        </is>
      </c>
      <c r="B2629" t="inlineStr">
        <is>
          <t>מבחנה SSTII 8.5ml 16*100P GOLD 100/sp</t>
        </is>
      </c>
      <c r="C2629" t="inlineStr">
        <is>
          <t>מזרקים,מחטים,ונפלונים,סקלפלים</t>
        </is>
      </c>
      <c r="D2629" t="inlineStr">
        <is>
          <t>BD367953</t>
        </is>
      </c>
      <c r="E2629" t="inlineStr">
        <is>
          <t>2026-06</t>
        </is>
      </c>
      <c r="F2629" t="n">
        <v>97.78</v>
      </c>
      <c r="G2629" t="n">
        <v>115.38</v>
      </c>
      <c r="H2629">
        <f>הגדרות!B7</f>
        <v/>
      </c>
      <c r="I2629">
        <f>F2629*(1-H2629/100)*1.18</f>
        <v/>
      </c>
      <c r="J2629">
        <f>הגדרות!C7</f>
        <v/>
      </c>
      <c r="K2629">
        <f>הגדרות!D7</f>
        <v/>
      </c>
      <c r="L2629">
        <f>I2629*(1+J2629/100)+K2629</f>
        <v/>
      </c>
    </row>
    <row r="2630">
      <c r="A2630" t="inlineStr">
        <is>
          <t>מדי-מרקט</t>
        </is>
      </c>
      <c r="B2630" t="inlineStr">
        <is>
          <t>מבחנות 50 K3 EDTA MINICOLECT 0.5ML יח - חדש סגול</t>
        </is>
      </c>
      <c r="C2630" t="inlineStr">
        <is>
          <t>ציוד מעבדתי</t>
        </is>
      </c>
      <c r="D2630" t="inlineStr">
        <is>
          <t>6-450530</t>
        </is>
      </c>
      <c r="E2630" t="inlineStr">
        <is>
          <t>2026-06</t>
        </is>
      </c>
      <c r="F2630" t="n">
        <v>68.75</v>
      </c>
      <c r="G2630" t="n">
        <v>81.12</v>
      </c>
      <c r="H2630">
        <f>הגדרות!B7</f>
        <v/>
      </c>
      <c r="I2630">
        <f>F2630*(1-H2630/100)*1.18</f>
        <v/>
      </c>
      <c r="J2630">
        <f>הגדרות!C7</f>
        <v/>
      </c>
      <c r="K2630">
        <f>הגדרות!D7</f>
        <v/>
      </c>
      <c r="L2630">
        <f>I2630*(1+J2630/100)+K2630</f>
        <v/>
      </c>
    </row>
    <row r="2631">
      <c r="A2631" t="inlineStr">
        <is>
          <t>מדי-מרקט</t>
        </is>
      </c>
      <c r="B2631" t="inlineStr">
        <is>
          <t>מבחנות 50 K3 EDTA MINICOLECT 1ML יח - חדש סגול</t>
        </is>
      </c>
      <c r="C2631" t="inlineStr">
        <is>
          <t>ציוד מעבדתי</t>
        </is>
      </c>
      <c r="D2631" t="inlineStr">
        <is>
          <t>6-450531</t>
        </is>
      </c>
      <c r="E2631" t="inlineStr">
        <is>
          <t>2026-06</t>
        </is>
      </c>
      <c r="F2631" t="n">
        <v>80.51000000000001</v>
      </c>
      <c r="G2631" t="n">
        <v>95</v>
      </c>
      <c r="H2631">
        <f>הגדרות!B7</f>
        <v/>
      </c>
      <c r="I2631">
        <f>F2631*(1-H2631/100)*1.18</f>
        <v/>
      </c>
      <c r="J2631">
        <f>הגדרות!C7</f>
        <v/>
      </c>
      <c r="K2631">
        <f>הגדרות!D7</f>
        <v/>
      </c>
      <c r="L2631">
        <f>I2631*(1+J2631/100)+K2631</f>
        <v/>
      </c>
    </row>
    <row r="2632">
      <c r="A2632" t="inlineStr">
        <is>
          <t>מדי-מרקט</t>
        </is>
      </c>
      <c r="B2632" t="inlineStr">
        <is>
          <t>מבחנות 50 L.HEPARIN MINICOLLECT 1ML יח - חדש</t>
        </is>
      </c>
      <c r="C2632" t="inlineStr">
        <is>
          <t>ציוד מעבדתי</t>
        </is>
      </c>
      <c r="D2632" t="inlineStr">
        <is>
          <t>6-450537</t>
        </is>
      </c>
      <c r="E2632" t="inlineStr">
        <is>
          <t>2026-06</t>
        </is>
      </c>
      <c r="F2632" t="n">
        <v>80.51000000000001</v>
      </c>
      <c r="G2632" t="n">
        <v>95</v>
      </c>
      <c r="H2632">
        <f>הגדרות!B7</f>
        <v/>
      </c>
      <c r="I2632">
        <f>F2632*(1-H2632/100)*1.18</f>
        <v/>
      </c>
      <c r="J2632">
        <f>הגדרות!C7</f>
        <v/>
      </c>
      <c r="K2632">
        <f>הגדרות!D7</f>
        <v/>
      </c>
      <c r="L2632">
        <f>I2632*(1+J2632/100)+K2632</f>
        <v/>
      </c>
    </row>
    <row r="2633">
      <c r="A2633" t="inlineStr">
        <is>
          <t>מדי-מרקט</t>
        </is>
      </c>
      <c r="B2633" t="inlineStr">
        <is>
          <t>מבחנות 500PCS)VB-1)(פיפטה) Tip Eppendorf Yellow</t>
        </is>
      </c>
      <c r="C2633" t="inlineStr">
        <is>
          <t>ביוכימיה</t>
        </is>
      </c>
      <c r="D2633" t="inlineStr">
        <is>
          <t>55-28052</t>
        </is>
      </c>
      <c r="E2633" t="inlineStr">
        <is>
          <t>2026-06</t>
        </is>
      </c>
      <c r="F2633" t="n">
        <v>67.8</v>
      </c>
      <c r="G2633" t="n">
        <v>80</v>
      </c>
      <c r="H2633">
        <f>הגדרות!B7</f>
        <v/>
      </c>
      <c r="I2633">
        <f>F2633*(1-H2633/100)*1.18</f>
        <v/>
      </c>
      <c r="J2633">
        <f>הגדרות!C7</f>
        <v/>
      </c>
      <c r="K2633">
        <f>הגדרות!D7</f>
        <v/>
      </c>
      <c r="L2633">
        <f>I2633*(1+J2633/100)+K2633</f>
        <v/>
      </c>
    </row>
    <row r="2634">
      <c r="A2634" t="inlineStr">
        <is>
          <t>מדי-מרקט</t>
        </is>
      </c>
      <c r="B2634" t="inlineStr">
        <is>
          <t>מבחנות PT פקק עם ברקוד 484334 (תכלת)3 מ"ל</t>
        </is>
      </c>
      <c r="C2634" t="inlineStr">
        <is>
          <t>ציוד מעבדתי</t>
        </is>
      </c>
      <c r="D2634" t="inlineStr">
        <is>
          <t>6-484334</t>
        </is>
      </c>
      <c r="E2634" t="inlineStr">
        <is>
          <t>2026-06</t>
        </is>
      </c>
      <c r="F2634" t="n">
        <v>1.57</v>
      </c>
      <c r="G2634" t="n">
        <v>1.85</v>
      </c>
      <c r="H2634">
        <f>הגדרות!B7</f>
        <v/>
      </c>
      <c r="I2634">
        <f>F2634*(1-H2634/100)*1.18</f>
        <v/>
      </c>
      <c r="J2634">
        <f>הגדרות!C7</f>
        <v/>
      </c>
      <c r="K2634">
        <f>הגדרות!D7</f>
        <v/>
      </c>
      <c r="L2634">
        <f>I2634*(1+J2634/100)+K2634</f>
        <v/>
      </c>
    </row>
    <row r="2635">
      <c r="A2635" t="inlineStr">
        <is>
          <t>מדי-מרקט</t>
        </is>
      </c>
      <c r="B2635" t="inlineStr">
        <is>
          <t>מבחנות אנדוקרינולוגיה עם ברקוד 486006(כחול צהוב)</t>
        </is>
      </c>
      <c r="C2635" t="inlineStr">
        <is>
          <t>ציוד מעבדתי</t>
        </is>
      </c>
      <c r="D2635" t="inlineStr">
        <is>
          <t>3541600400</t>
        </is>
      </c>
      <c r="E2635" t="inlineStr">
        <is>
          <t>2026-06</t>
        </is>
      </c>
      <c r="F2635" t="n">
        <v>1.36</v>
      </c>
      <c r="G2635" t="n">
        <v>1.6</v>
      </c>
      <c r="H2635">
        <f>הגדרות!B7</f>
        <v/>
      </c>
      <c r="I2635">
        <f>F2635*(1-H2635/100)*1.18</f>
        <v/>
      </c>
      <c r="J2635">
        <f>הגדרות!C7</f>
        <v/>
      </c>
      <c r="K2635">
        <f>הגדרות!D7</f>
        <v/>
      </c>
      <c r="L2635">
        <f>I2635*(1+J2635/100)+K2635</f>
        <v/>
      </c>
    </row>
    <row r="2636">
      <c r="A2636" t="inlineStr">
        <is>
          <t>מדי-מרקט</t>
        </is>
      </c>
      <c r="B2636" t="inlineStr">
        <is>
          <t>מבחנות אפינדורף 1.5 מ"ל + מכסה 500 יח'</t>
        </is>
      </c>
      <c r="C2636" t="inlineStr">
        <is>
          <t>ציוד מעבדתי</t>
        </is>
      </c>
      <c r="D2636" t="inlineStr">
        <is>
          <t>3686</t>
        </is>
      </c>
      <c r="E2636" t="inlineStr">
        <is>
          <t>2026-06</t>
        </is>
      </c>
      <c r="F2636" t="n">
        <v>42.4</v>
      </c>
      <c r="G2636" t="n">
        <v>50.03</v>
      </c>
      <c r="H2636">
        <f>הגדרות!B7</f>
        <v/>
      </c>
      <c r="I2636">
        <f>F2636*(1-H2636/100)*1.18</f>
        <v/>
      </c>
      <c r="J2636">
        <f>הגדרות!C7</f>
        <v/>
      </c>
      <c r="K2636">
        <f>הגדרות!D7</f>
        <v/>
      </c>
      <c r="L2636">
        <f>I2636*(1+J2636/100)+K2636</f>
        <v/>
      </c>
    </row>
    <row r="2637">
      <c r="A2637" t="inlineStr">
        <is>
          <t>מדי-מרקט</t>
        </is>
      </c>
      <c r="B2637" t="inlineStr">
        <is>
          <t>מבחנות וואק' CAT Serum סרום ריקות 6 מ"ל פקק אדום 06-456089</t>
        </is>
      </c>
      <c r="C2637" t="inlineStr">
        <is>
          <t>ציוד מעבדתי</t>
        </is>
      </c>
      <c r="D2637" t="inlineStr">
        <is>
          <t>3542002302</t>
        </is>
      </c>
      <c r="E2637" t="inlineStr">
        <is>
          <t>2026-06</t>
        </is>
      </c>
      <c r="F2637" t="n">
        <v>1.19</v>
      </c>
      <c r="G2637" t="n">
        <v>1.4</v>
      </c>
      <c r="H2637">
        <f>הגדרות!B7</f>
        <v/>
      </c>
      <c r="I2637">
        <f>F2637*(1-H2637/100)*1.18</f>
        <v/>
      </c>
      <c r="J2637">
        <f>הגדרות!C7</f>
        <v/>
      </c>
      <c r="K2637">
        <f>הגדרות!D7</f>
        <v/>
      </c>
      <c r="L2637">
        <f>I2637*(1+J2637/100)+K2637</f>
        <v/>
      </c>
    </row>
    <row r="2638">
      <c r="A2638" t="inlineStr">
        <is>
          <t>מדי-מרקט</t>
        </is>
      </c>
      <c r="B2638" t="inlineStr">
        <is>
          <t>מבחנות וואק' בדיקת סוכר 484033 פקק אפור 4 S.F+EDTA מ"ל</t>
        </is>
      </c>
      <c r="C2638" t="inlineStr">
        <is>
          <t>ציוד מעבדתי</t>
        </is>
      </c>
      <c r="D2638" t="inlineStr">
        <is>
          <t>258996</t>
        </is>
      </c>
      <c r="E2638" t="inlineStr">
        <is>
          <t>2026-06</t>
        </is>
      </c>
      <c r="F2638" t="n">
        <v>0.93</v>
      </c>
      <c r="G2638" t="n">
        <v>1.1</v>
      </c>
      <c r="H2638">
        <f>הגדרות!B7</f>
        <v/>
      </c>
      <c r="I2638">
        <f>F2638*(1-H2638/100)*1.18</f>
        <v/>
      </c>
      <c r="J2638">
        <f>הגדרות!C7</f>
        <v/>
      </c>
      <c r="K2638">
        <f>הגדרות!D7</f>
        <v/>
      </c>
      <c r="L2638">
        <f>I2638*(1+J2638/100)+K2638</f>
        <v/>
      </c>
    </row>
    <row r="2639">
      <c r="A2639" t="inlineStr">
        <is>
          <t>מדי-מרקט</t>
        </is>
      </c>
      <c r="B2639" t="inlineStr">
        <is>
          <t>מבחנות וואקו פלסטיק 4 מ"ל ירוק HEPARIN תלת חודש ברקוד484029</t>
        </is>
      </c>
      <c r="C2639" t="inlineStr">
        <is>
          <t>ציוד מעבדתי</t>
        </is>
      </c>
      <c r="D2639" t="inlineStr">
        <is>
          <t>3541600405</t>
        </is>
      </c>
      <c r="E2639" t="inlineStr">
        <is>
          <t>2026-06</t>
        </is>
      </c>
      <c r="F2639" t="n">
        <v>0.89</v>
      </c>
      <c r="G2639" t="n">
        <v>1.05</v>
      </c>
      <c r="H2639">
        <f>הגדרות!B7</f>
        <v/>
      </c>
      <c r="I2639">
        <f>F2639*(1-H2639/100)*1.18</f>
        <v/>
      </c>
      <c r="J2639">
        <f>הגדרות!C7</f>
        <v/>
      </c>
      <c r="K2639">
        <f>הגדרות!D7</f>
        <v/>
      </c>
      <c r="L2639">
        <f>I2639*(1+J2639/100)+K2639</f>
        <v/>
      </c>
    </row>
    <row r="2640">
      <c r="A2640" t="inlineStr">
        <is>
          <t>מדי-מרקט</t>
        </is>
      </c>
      <c r="B2640" t="inlineStr">
        <is>
          <t>מבחנות וואקו' 3 מ"ל תכלת 454334 SODIUM CITRATE</t>
        </is>
      </c>
      <c r="C2640" t="inlineStr">
        <is>
          <t>ציוד מעבדתי</t>
        </is>
      </c>
      <c r="D2640" t="inlineStr">
        <is>
          <t>106-454334</t>
        </is>
      </c>
      <c r="E2640" t="inlineStr">
        <is>
          <t>2026-06</t>
        </is>
      </c>
      <c r="F2640" t="n">
        <v>0.93</v>
      </c>
      <c r="G2640" t="n">
        <v>1.1</v>
      </c>
      <c r="H2640">
        <f>הגדרות!B7</f>
        <v/>
      </c>
      <c r="I2640">
        <f>F2640*(1-H2640/100)*1.18</f>
        <v/>
      </c>
      <c r="J2640">
        <f>הגדרות!C7</f>
        <v/>
      </c>
      <c r="K2640">
        <f>הגדרות!D7</f>
        <v/>
      </c>
      <c r="L2640">
        <f>I2640*(1+J2640/100)+K2640</f>
        <v/>
      </c>
    </row>
    <row r="2641">
      <c r="A2641" t="inlineStr">
        <is>
          <t>מדי-מרקט</t>
        </is>
      </c>
      <c r="B2641" t="inlineStr">
        <is>
          <t>מבחנות וואקו' CAT Serum סרום+ג'ל 5 מל צהוב 13*100מ"ב 456005</t>
        </is>
      </c>
      <c r="C2641" t="inlineStr">
        <is>
          <t>ציוד מעבדתי</t>
        </is>
      </c>
      <c r="D2641" t="inlineStr">
        <is>
          <t>6-456005</t>
        </is>
      </c>
      <c r="E2641" t="inlineStr">
        <is>
          <t>2026-06</t>
        </is>
      </c>
      <c r="F2641" t="n">
        <v>1.57</v>
      </c>
      <c r="G2641" t="n">
        <v>1.85</v>
      </c>
      <c r="H2641">
        <f>הגדרות!B7</f>
        <v/>
      </c>
      <c r="I2641">
        <f>F2641*(1-H2641/100)*1.18</f>
        <v/>
      </c>
      <c r="J2641">
        <f>הגדרות!C7</f>
        <v/>
      </c>
      <c r="K2641">
        <f>הגדרות!D7</f>
        <v/>
      </c>
      <c r="L2641">
        <f>I2641*(1+J2641/100)+K2641</f>
        <v/>
      </c>
    </row>
    <row r="2642">
      <c r="A2642" t="inlineStr">
        <is>
          <t>מדי-מרקט</t>
        </is>
      </c>
      <c r="B2642" t="inlineStr">
        <is>
          <t>מבחנות וואקו' סרולוגיה 5 מ"ל עם ברקוד 486007 (פקק צהוב)</t>
        </is>
      </c>
      <c r="C2642" t="inlineStr">
        <is>
          <t>ציוד מעבדתי</t>
        </is>
      </c>
      <c r="D2642" t="inlineStr">
        <is>
          <t>3541600406</t>
        </is>
      </c>
      <c r="E2642" t="inlineStr">
        <is>
          <t>2026-06</t>
        </is>
      </c>
      <c r="F2642" t="n">
        <v>2.03</v>
      </c>
      <c r="G2642" t="n">
        <v>2.4</v>
      </c>
      <c r="H2642">
        <f>הגדרות!B7</f>
        <v/>
      </c>
      <c r="I2642">
        <f>F2642*(1-H2642/100)*1.18</f>
        <v/>
      </c>
      <c r="J2642">
        <f>הגדרות!C7</f>
        <v/>
      </c>
      <c r="K2642">
        <f>הגדרות!D7</f>
        <v/>
      </c>
      <c r="L2642">
        <f>I2642*(1+J2642/100)+K2642</f>
        <v/>
      </c>
    </row>
    <row r="2643">
      <c r="A2643" t="inlineStr">
        <is>
          <t>מדי-מרקט</t>
        </is>
      </c>
      <c r="B2643" t="inlineStr">
        <is>
          <t>מבחנות וואקו' פלסטיק 4 מ"ל ירוק HEPARIN</t>
        </is>
      </c>
      <c r="C2643" t="inlineStr">
        <is>
          <t>ציוד מעבדתי</t>
        </is>
      </c>
      <c r="D2643" t="inlineStr">
        <is>
          <t>106-454029</t>
        </is>
      </c>
      <c r="E2643" t="inlineStr">
        <is>
          <t>2026-06</t>
        </is>
      </c>
      <c r="F2643" t="n">
        <v>0.61</v>
      </c>
      <c r="G2643" t="n">
        <v>0.72</v>
      </c>
      <c r="H2643">
        <f>הגדרות!B7</f>
        <v/>
      </c>
      <c r="I2643">
        <f>F2643*(1-H2643/100)*1.18</f>
        <v/>
      </c>
      <c r="J2643">
        <f>הגדרות!C7</f>
        <v/>
      </c>
      <c r="K2643">
        <f>הגדרות!D7</f>
        <v/>
      </c>
      <c r="L2643">
        <f>I2643*(1+J2643/100)+K2643</f>
        <v/>
      </c>
    </row>
    <row r="2644">
      <c r="A2644" t="inlineStr">
        <is>
          <t>מדי-מרקט</t>
        </is>
      </c>
      <c r="B2644" t="inlineStr">
        <is>
          <t>מבחנות וואקו' פלסטיק EDTA סגול 3 מ"ל 13*75 מ"מ</t>
        </is>
      </c>
      <c r="C2644" t="inlineStr">
        <is>
          <t>ציוד מעבדתי</t>
        </is>
      </c>
      <c r="D2644" t="inlineStr">
        <is>
          <t>106454217</t>
        </is>
      </c>
      <c r="E2644" t="inlineStr">
        <is>
          <t>2026-06</t>
        </is>
      </c>
      <c r="F2644" t="n">
        <v>0.65</v>
      </c>
      <c r="G2644" t="n">
        <v>0.77</v>
      </c>
      <c r="H2644">
        <f>הגדרות!B7</f>
        <v/>
      </c>
      <c r="I2644">
        <f>F2644*(1-H2644/100)*1.18</f>
        <v/>
      </c>
      <c r="J2644">
        <f>הגדרות!C7</f>
        <v/>
      </c>
      <c r="K2644">
        <f>הגדרות!D7</f>
        <v/>
      </c>
      <c r="L2644">
        <f>I2644*(1+J2644/100)+K2644</f>
        <v/>
      </c>
    </row>
    <row r="2645">
      <c r="A2645" t="inlineStr">
        <is>
          <t>מדי-מרקט</t>
        </is>
      </c>
      <c r="B2645" t="inlineStr">
        <is>
          <t>מבחנות לבדיקת קרישה בדם  ACT Vetube 1/10 Vial</t>
        </is>
      </c>
      <c r="C2645" t="inlineStr">
        <is>
          <t>מוצרים משלימים לווט'</t>
        </is>
      </c>
      <c r="D2645" t="inlineStr">
        <is>
          <t>340010SB1</t>
        </is>
      </c>
      <c r="E2645" t="inlineStr">
        <is>
          <t>2026-06</t>
        </is>
      </c>
      <c r="F2645" t="n">
        <v>296.61</v>
      </c>
      <c r="G2645" t="n">
        <v>350</v>
      </c>
      <c r="H2645">
        <f>הגדרות!B7</f>
        <v/>
      </c>
      <c r="I2645">
        <f>F2645*(1-H2645/100)*1.18</f>
        <v/>
      </c>
      <c r="J2645">
        <f>הגדרות!C7</f>
        <v/>
      </c>
      <c r="K2645">
        <f>הגדרות!D7</f>
        <v/>
      </c>
      <c r="L2645">
        <f>I2645*(1+J2645/100)+K2645</f>
        <v/>
      </c>
    </row>
    <row r="2646">
      <c r="A2646" t="inlineStr">
        <is>
          <t>מדי-מרקט</t>
        </is>
      </c>
      <c r="B2646" t="inlineStr">
        <is>
          <t>מבחנות לכימיה סרום 5 מל ברקוד 486004/456004 (לבן</t>
        </is>
      </c>
      <c r="C2646" t="inlineStr">
        <is>
          <t>ציוד מעבדתי</t>
        </is>
      </c>
      <c r="D2646" t="inlineStr">
        <is>
          <t>3542402578</t>
        </is>
      </c>
      <c r="E2646" t="inlineStr">
        <is>
          <t>2026-06</t>
        </is>
      </c>
      <c r="F2646" t="n">
        <v>1.44</v>
      </c>
      <c r="G2646" t="n">
        <v>1.7</v>
      </c>
      <c r="H2646">
        <f>הגדרות!B7</f>
        <v/>
      </c>
      <c r="I2646">
        <f>F2646*(1-H2646/100)*1.18</f>
        <v/>
      </c>
      <c r="J2646">
        <f>הגדרות!C7</f>
        <v/>
      </c>
      <c r="K2646">
        <f>הגדרות!D7</f>
        <v/>
      </c>
      <c r="L2646">
        <f>I2646*(1+J2646/100)+K2646</f>
        <v/>
      </c>
    </row>
    <row r="2647">
      <c r="A2647" t="inlineStr">
        <is>
          <t>מדי-מרקט</t>
        </is>
      </c>
      <c r="B2647" t="inlineStr">
        <is>
          <t>מבחנות לשתן עם ברקוד (פקק לבן אדום) 6-485001</t>
        </is>
      </c>
      <c r="C2647" t="inlineStr">
        <is>
          <t>ציוד מעבדתי</t>
        </is>
      </c>
      <c r="D2647" t="inlineStr">
        <is>
          <t>3541600389</t>
        </is>
      </c>
      <c r="E2647" t="inlineStr">
        <is>
          <t>2026-06</t>
        </is>
      </c>
      <c r="F2647" t="n">
        <v>0.97</v>
      </c>
      <c r="G2647" t="n">
        <v>1.14</v>
      </c>
      <c r="H2647">
        <f>הגדרות!B7</f>
        <v/>
      </c>
      <c r="I2647">
        <f>F2647*(1-H2647/100)*1.18</f>
        <v/>
      </c>
      <c r="J2647">
        <f>הגדרות!C7</f>
        <v/>
      </c>
      <c r="K2647">
        <f>הגדרות!D7</f>
        <v/>
      </c>
      <c r="L2647">
        <f>I2647*(1+J2647/100)+K2647</f>
        <v/>
      </c>
    </row>
    <row r="2648">
      <c r="A2648" t="inlineStr">
        <is>
          <t>מדי-מרקט</t>
        </is>
      </c>
      <c r="B2648" t="inlineStr">
        <is>
          <t>מבחנות ספירת דם עם ברקוד 484217 3מ"ל (סגול)EDTA</t>
        </is>
      </c>
      <c r="C2648" t="inlineStr">
        <is>
          <t>ציוד מעבדתי</t>
        </is>
      </c>
      <c r="D2648" t="inlineStr">
        <is>
          <t>3541600407</t>
        </is>
      </c>
      <c r="E2648" t="inlineStr">
        <is>
          <t>2026-06</t>
        </is>
      </c>
      <c r="F2648" t="n">
        <v>1.69</v>
      </c>
      <c r="G2648" t="n">
        <v>2</v>
      </c>
      <c r="H2648">
        <f>הגדרות!B7</f>
        <v/>
      </c>
      <c r="I2648">
        <f>F2648*(1-H2648/100)*1.18</f>
        <v/>
      </c>
      <c r="J2648">
        <f>הגדרות!C7</f>
        <v/>
      </c>
      <c r="K2648">
        <f>הגדרות!D7</f>
        <v/>
      </c>
      <c r="L2648">
        <f>I2648*(1+J2648/100)+K2648</f>
        <v/>
      </c>
    </row>
    <row r="2649">
      <c r="A2649" t="inlineStr">
        <is>
          <t>מדי-מרקט</t>
        </is>
      </c>
      <c r="B2649" t="inlineStr">
        <is>
          <t>מבחנות שתן עם פקק צהוב ברקוד 6-485028</t>
        </is>
      </c>
      <c r="C2649" t="inlineStr">
        <is>
          <t>ציוד מעבדתי</t>
        </is>
      </c>
      <c r="D2649" t="inlineStr">
        <is>
          <t>3541600408</t>
        </is>
      </c>
      <c r="E2649" t="inlineStr">
        <is>
          <t>2026-06</t>
        </is>
      </c>
      <c r="F2649" t="n">
        <v>0.91</v>
      </c>
      <c r="G2649" t="n">
        <v>1.07</v>
      </c>
      <c r="H2649">
        <f>הגדרות!B7</f>
        <v/>
      </c>
      <c r="I2649">
        <f>F2649*(1-H2649/100)*1.18</f>
        <v/>
      </c>
      <c r="J2649">
        <f>הגדרות!C7</f>
        <v/>
      </c>
      <c r="K2649">
        <f>הגדרות!D7</f>
        <v/>
      </c>
      <c r="L2649">
        <f>I2649*(1+J2649/100)+K2649</f>
        <v/>
      </c>
    </row>
    <row r="2650">
      <c r="A2650" t="inlineStr">
        <is>
          <t>מדי-מרקט</t>
        </is>
      </c>
      <c r="B2650" t="inlineStr">
        <is>
          <t>מבחנת דילואנט בודדת סקיילה (Diluent Tube (30/bag</t>
        </is>
      </c>
      <c r="C2650" t="inlineStr">
        <is>
          <t>ביוכימיה</t>
        </is>
      </c>
      <c r="D2650" t="inlineStr">
        <is>
          <t>VBP01-110-940</t>
        </is>
      </c>
      <c r="E2650" t="inlineStr">
        <is>
          <t>2026-06</t>
        </is>
      </c>
      <c r="F2650" t="n">
        <v>1.31</v>
      </c>
      <c r="G2650" t="n">
        <v>1.55</v>
      </c>
      <c r="H2650">
        <f>הגדרות!B7</f>
        <v/>
      </c>
      <c r="I2650">
        <f>F2650*(1-H2650/100)*1.18</f>
        <v/>
      </c>
      <c r="J2650">
        <f>הגדרות!C7</f>
        <v/>
      </c>
      <c r="K2650">
        <f>הגדרות!D7</f>
        <v/>
      </c>
      <c r="L2650">
        <f>I2650*(1+J2650/100)+K2650</f>
        <v/>
      </c>
    </row>
    <row r="2651">
      <c r="A2651" t="inlineStr">
        <is>
          <t>מדי-מרקט</t>
        </is>
      </c>
      <c r="B2651" t="inlineStr">
        <is>
          <t>מברשות לפולישר (שיער ניילון) 10 יח'</t>
        </is>
      </c>
      <c r="C2651" t="inlineStr">
        <is>
          <t>דנטלי</t>
        </is>
      </c>
      <c r="D2651" t="inlineStr">
        <is>
          <t>57077</t>
        </is>
      </c>
      <c r="E2651" t="inlineStr">
        <is>
          <t>2026-06</t>
        </is>
      </c>
      <c r="F2651" t="n">
        <v>2.95</v>
      </c>
      <c r="G2651" t="n">
        <v>3.48</v>
      </c>
      <c r="H2651">
        <f>הגדרות!B7</f>
        <v/>
      </c>
      <c r="I2651">
        <f>F2651*(1-H2651/100)*1.18</f>
        <v/>
      </c>
      <c r="J2651">
        <f>הגדרות!C7</f>
        <v/>
      </c>
      <c r="K2651">
        <f>הגדרות!D7</f>
        <v/>
      </c>
      <c r="L2651">
        <f>I2651*(1+J2651/100)+K2651</f>
        <v/>
      </c>
    </row>
    <row r="2652">
      <c r="A2652" t="inlineStr">
        <is>
          <t>מדי-מרקט</t>
        </is>
      </c>
      <c r="B2652" t="inlineStr">
        <is>
          <t>מברשות לפולישר דנטלי (ראש גומי) 10 יח'</t>
        </is>
      </c>
      <c r="C2652" t="inlineStr">
        <is>
          <t>דנטלי</t>
        </is>
      </c>
      <c r="D2652" t="inlineStr">
        <is>
          <t>57091</t>
        </is>
      </c>
      <c r="E2652" t="inlineStr">
        <is>
          <t>2026-06</t>
        </is>
      </c>
      <c r="F2652" t="n">
        <v>42.37</v>
      </c>
      <c r="G2652" t="n">
        <v>50</v>
      </c>
      <c r="H2652">
        <f>הגדרות!B7</f>
        <v/>
      </c>
      <c r="I2652">
        <f>F2652*(1-H2652/100)*1.18</f>
        <v/>
      </c>
      <c r="J2652">
        <f>הגדרות!C7</f>
        <v/>
      </c>
      <c r="K2652">
        <f>הגדרות!D7</f>
        <v/>
      </c>
      <c r="L2652">
        <f>I2652*(1+J2652/100)+K2652</f>
        <v/>
      </c>
    </row>
    <row r="2653">
      <c r="A2653" t="inlineStr">
        <is>
          <t>מדי-מרקט</t>
        </is>
      </c>
      <c r="B2653" t="inlineStr">
        <is>
          <t>מברשת שיניים אצבע A172-004</t>
        </is>
      </c>
      <c r="C2653" t="inlineStr">
        <is>
          <t>MDC</t>
        </is>
      </c>
      <c r="D2653" t="inlineStr">
        <is>
          <t>A172-004</t>
        </is>
      </c>
      <c r="E2653" t="inlineStr">
        <is>
          <t>2026-06</t>
        </is>
      </c>
      <c r="F2653" t="n">
        <v>11.86</v>
      </c>
      <c r="G2653" t="n">
        <v>14</v>
      </c>
      <c r="H2653">
        <f>הגדרות!B7</f>
        <v/>
      </c>
      <c r="I2653">
        <f>F2653*(1-H2653/100)*1.18</f>
        <v/>
      </c>
      <c r="J2653">
        <f>הגדרות!C7</f>
        <v/>
      </c>
      <c r="K2653">
        <f>הגדרות!D7</f>
        <v/>
      </c>
      <c r="L2653">
        <f>I2653*(1+J2653/100)+K2653</f>
        <v/>
      </c>
    </row>
    <row r="2654">
      <c r="A2654" t="inlineStr">
        <is>
          <t>מדי-מרקט</t>
        </is>
      </c>
      <c r="B2654" t="inlineStr">
        <is>
          <t>מברשת שיניים אצבע סיליקון סט לגורים</t>
        </is>
      </c>
      <c r="C2654" t="inlineStr">
        <is>
          <t>MDC</t>
        </is>
      </c>
      <c r="D2654" t="inlineStr">
        <is>
          <t>A172-007</t>
        </is>
      </c>
      <c r="E2654" t="inlineStr">
        <is>
          <t>2026-06</t>
        </is>
      </c>
      <c r="F2654" t="n">
        <v>15.25</v>
      </c>
      <c r="G2654" t="n">
        <v>18</v>
      </c>
      <c r="H2654">
        <f>הגדרות!B7</f>
        <v/>
      </c>
      <c r="I2654">
        <f>F2654*(1-H2654/100)*1.18</f>
        <v/>
      </c>
      <c r="J2654">
        <f>הגדרות!C7</f>
        <v/>
      </c>
      <c r="K2654">
        <f>הגדרות!D7</f>
        <v/>
      </c>
      <c r="L2654">
        <f>I2654*(1+J2654/100)+K2654</f>
        <v/>
      </c>
    </row>
    <row r="2655">
      <c r="A2655" t="inlineStr">
        <is>
          <t>מדי-מרקט</t>
        </is>
      </c>
      <c r="B2655" t="inlineStr">
        <is>
          <t>מגבוני EYE CARE לניקוי עפעפיים וריסים -קליר אפ</t>
        </is>
      </c>
      <c r="C2655" t="inlineStr">
        <is>
          <t>מוצרי חבישה ופלסטרים</t>
        </is>
      </c>
      <c r="D2655" t="inlineStr">
        <is>
          <t>63047</t>
        </is>
      </c>
      <c r="E2655" t="inlineStr">
        <is>
          <t>2026-06</t>
        </is>
      </c>
      <c r="F2655" t="n">
        <v>48.31</v>
      </c>
      <c r="G2655" t="n">
        <v>57</v>
      </c>
      <c r="H2655">
        <f>הגדרות!B7</f>
        <v/>
      </c>
      <c r="I2655">
        <f>F2655*(1-H2655/100)*1.18</f>
        <v/>
      </c>
      <c r="J2655">
        <f>הגדרות!C7</f>
        <v/>
      </c>
      <c r="K2655">
        <f>הגדרות!D7</f>
        <v/>
      </c>
      <c r="L2655">
        <f>I2655*(1+J2655/100)+K2655</f>
        <v/>
      </c>
    </row>
    <row r="2656">
      <c r="A2656" t="inlineStr">
        <is>
          <t>מדי-מרקט</t>
        </is>
      </c>
      <c r="B2656" t="inlineStr">
        <is>
          <t>מגלח חד פעמי 100 יח' מדיקפרו</t>
        </is>
      </c>
      <c r="C2656" t="inlineStr">
        <is>
          <t>ציוד מתכלה</t>
        </is>
      </c>
      <c r="D2656" t="inlineStr">
        <is>
          <t>400-420</t>
        </is>
      </c>
      <c r="E2656" t="inlineStr">
        <is>
          <t>2026-06</t>
        </is>
      </c>
      <c r="F2656" t="n">
        <v>21.08</v>
      </c>
      <c r="G2656" t="n">
        <v>24.87</v>
      </c>
      <c r="H2656">
        <f>הגדרות!B7</f>
        <v/>
      </c>
      <c r="I2656">
        <f>F2656*(1-H2656/100)*1.18</f>
        <v/>
      </c>
      <c r="J2656">
        <f>הגדרות!C7</f>
        <v/>
      </c>
      <c r="K2656">
        <f>הגדרות!D7</f>
        <v/>
      </c>
      <c r="L2656">
        <f>I2656*(1+J2656/100)+K2656</f>
        <v/>
      </c>
    </row>
    <row r="2657">
      <c r="A2657" t="inlineStr">
        <is>
          <t>מדי-מרקט</t>
        </is>
      </c>
      <c r="B2657" t="inlineStr">
        <is>
          <t>מגן תירואיד לבלוטת התריס 6 ס"מ לרנטגן M.Y</t>
        </is>
      </c>
      <c r="C2657" t="inlineStr">
        <is>
          <t>הדמיה - רנטגן, CR , DR</t>
        </is>
      </c>
      <c r="D2657" t="inlineStr">
        <is>
          <t>12030</t>
        </is>
      </c>
      <c r="E2657" t="inlineStr">
        <is>
          <t>2026-06</t>
        </is>
      </c>
      <c r="F2657" t="n">
        <v>182.2</v>
      </c>
      <c r="G2657" t="n">
        <v>215</v>
      </c>
      <c r="H2657">
        <f>הגדרות!B7</f>
        <v/>
      </c>
      <c r="I2657">
        <f>F2657*(1-H2657/100)*1.18</f>
        <v/>
      </c>
      <c r="J2657">
        <f>הגדרות!C7</f>
        <v/>
      </c>
      <c r="K2657">
        <f>הגדרות!D7</f>
        <v/>
      </c>
      <c r="L2657">
        <f>I2657*(1+J2657/100)+K2657</f>
        <v/>
      </c>
    </row>
    <row r="2658">
      <c r="A2658" t="inlineStr">
        <is>
          <t>מדי-מרקט</t>
        </is>
      </c>
      <c r="B2658" t="inlineStr">
        <is>
          <t>מגש חלוקת תרופות יומי כחול, 4 תאים, 1 יח' מדיקפרו</t>
        </is>
      </c>
      <c r="C2658" t="inlineStr">
        <is>
          <t>ציוד ומכשור רפואי</t>
        </is>
      </c>
      <c r="D2658" t="inlineStr">
        <is>
          <t>215-592</t>
        </is>
      </c>
      <c r="E2658" t="inlineStr">
        <is>
          <t>2026-06</t>
        </is>
      </c>
      <c r="F2658" t="n">
        <v>0.86</v>
      </c>
      <c r="G2658" t="n">
        <v>1.02</v>
      </c>
      <c r="H2658">
        <f>הגדרות!B7</f>
        <v/>
      </c>
      <c r="I2658">
        <f>F2658*(1-H2658/100)*1.18</f>
        <v/>
      </c>
      <c r="J2658">
        <f>הגדרות!C7</f>
        <v/>
      </c>
      <c r="K2658">
        <f>הגדרות!D7</f>
        <v/>
      </c>
      <c r="L2658">
        <f>I2658*(1+J2658/100)+K2658</f>
        <v/>
      </c>
    </row>
    <row r="2659">
      <c r="A2659" t="inlineStr">
        <is>
          <t>מדי-מרקט</t>
        </is>
      </c>
      <c r="B2659" t="inlineStr">
        <is>
          <t>מגש חלוקת תרופות יומי לבן, 4 תאים, 1 יח' מדיקפרו</t>
        </is>
      </c>
      <c r="C2659" t="inlineStr">
        <is>
          <t>ציוד ומכשור רפואי</t>
        </is>
      </c>
      <c r="D2659" t="inlineStr">
        <is>
          <t>215-590</t>
        </is>
      </c>
      <c r="E2659" t="inlineStr">
        <is>
          <t>2026-06</t>
        </is>
      </c>
      <c r="F2659" t="n">
        <v>0.86</v>
      </c>
      <c r="G2659" t="n">
        <v>1.02</v>
      </c>
      <c r="H2659">
        <f>הגדרות!B7</f>
        <v/>
      </c>
      <c r="I2659">
        <f>F2659*(1-H2659/100)*1.18</f>
        <v/>
      </c>
      <c r="J2659">
        <f>הגדרות!C7</f>
        <v/>
      </c>
      <c r="K2659">
        <f>הגדרות!D7</f>
        <v/>
      </c>
      <c r="L2659">
        <f>I2659*(1+J2659/100)+K2659</f>
        <v/>
      </c>
    </row>
    <row r="2660">
      <c r="A2660" t="inlineStr">
        <is>
          <t>מדי-מרקט</t>
        </is>
      </c>
      <c r="B2660" t="inlineStr">
        <is>
          <t>מגש פלסטיק ירוק 25*16</t>
        </is>
      </c>
      <c r="C2660" t="inlineStr">
        <is>
          <t>ציוד ומכשור רפואי</t>
        </is>
      </c>
      <c r="D2660" t="inlineStr">
        <is>
          <t>87943</t>
        </is>
      </c>
      <c r="E2660" t="inlineStr">
        <is>
          <t>2026-06</t>
        </is>
      </c>
      <c r="F2660" t="n">
        <v>12.88</v>
      </c>
      <c r="G2660" t="n">
        <v>15.2</v>
      </c>
      <c r="H2660">
        <f>הגדרות!B7</f>
        <v/>
      </c>
      <c r="I2660">
        <f>F2660*(1-H2660/100)*1.18</f>
        <v/>
      </c>
      <c r="J2660">
        <f>הגדרות!C7</f>
        <v/>
      </c>
      <c r="K2660">
        <f>הגדרות!D7</f>
        <v/>
      </c>
      <c r="L2660">
        <f>I2660*(1+J2660/100)+K2660</f>
        <v/>
      </c>
    </row>
    <row r="2661">
      <c r="A2661" t="inlineStr">
        <is>
          <t>מדי-מרקט</t>
        </is>
      </c>
      <c r="B2661" t="inlineStr">
        <is>
          <t>מגש פלסטיק ירוק 30*25</t>
        </is>
      </c>
      <c r="C2661" t="inlineStr">
        <is>
          <t>ציוד ומכשור רפואי</t>
        </is>
      </c>
      <c r="D2661" t="inlineStr">
        <is>
          <t>87944</t>
        </is>
      </c>
      <c r="E2661" t="inlineStr">
        <is>
          <t>2026-06</t>
        </is>
      </c>
      <c r="F2661" t="n">
        <v>23.94</v>
      </c>
      <c r="G2661" t="n">
        <v>28.25</v>
      </c>
      <c r="H2661">
        <f>הגדרות!B7</f>
        <v/>
      </c>
      <c r="I2661">
        <f>F2661*(1-H2661/100)*1.18</f>
        <v/>
      </c>
      <c r="J2661">
        <f>הגדרות!C7</f>
        <v/>
      </c>
      <c r="K2661">
        <f>הגדרות!D7</f>
        <v/>
      </c>
      <c r="L2661">
        <f>I2661*(1+J2661/100)+K2661</f>
        <v/>
      </c>
    </row>
    <row r="2662">
      <c r="A2662" t="inlineStr">
        <is>
          <t>מדי-מרקט</t>
        </is>
      </c>
      <c r="B2662" t="inlineStr">
        <is>
          <t>מגש/קופסת תרופות שבועית, כיתוב בעברית, צבעוני - מדיקפרו</t>
        </is>
      </c>
      <c r="C2662" t="inlineStr">
        <is>
          <t>ציוד ומכשור רפואי</t>
        </is>
      </c>
      <c r="D2662" t="inlineStr">
        <is>
          <t>3198</t>
        </is>
      </c>
      <c r="E2662" t="inlineStr">
        <is>
          <t>2026-06</t>
        </is>
      </c>
      <c r="F2662" t="n">
        <v>10.45</v>
      </c>
      <c r="G2662" t="n">
        <v>12.33</v>
      </c>
      <c r="H2662">
        <f>הגדרות!B7</f>
        <v/>
      </c>
      <c r="I2662">
        <f>F2662*(1-H2662/100)*1.18</f>
        <v/>
      </c>
      <c r="J2662">
        <f>הגדרות!C7</f>
        <v/>
      </c>
      <c r="K2662">
        <f>הגדרות!D7</f>
        <v/>
      </c>
      <c r="L2662">
        <f>I2662*(1+J2662/100)+K2662</f>
        <v/>
      </c>
    </row>
    <row r="2663">
      <c r="A2663" t="inlineStr">
        <is>
          <t>מדי-מרקט</t>
        </is>
      </c>
      <c r="B2663" t="inlineStr">
        <is>
          <t>מד חום SURE TEMP PLUS 690 - W.A (דגם בית חולים)</t>
        </is>
      </c>
      <c r="C2663" t="inlineStr">
        <is>
          <t>ציוד ומכשור רפואי</t>
        </is>
      </c>
      <c r="D2663" t="inlineStr">
        <is>
          <t>106197-40</t>
        </is>
      </c>
      <c r="E2663" t="inlineStr">
        <is>
          <t>2026-06</t>
        </is>
      </c>
      <c r="F2663" t="n">
        <v>1007.36</v>
      </c>
      <c r="G2663" t="n">
        <v>1188.68</v>
      </c>
      <c r="H2663">
        <f>הגדרות!B7</f>
        <v/>
      </c>
      <c r="I2663">
        <f>F2663*(1-H2663/100)*1.18</f>
        <v/>
      </c>
      <c r="J2663">
        <f>הגדרות!C7</f>
        <v/>
      </c>
      <c r="K2663">
        <f>הגדרות!D7</f>
        <v/>
      </c>
      <c r="L2663">
        <f>I2663*(1+J2663/100)+K2663</f>
        <v/>
      </c>
    </row>
    <row r="2664">
      <c r="A2664" t="inlineStr">
        <is>
          <t>מדי-מרקט</t>
        </is>
      </c>
      <c r="B2664" t="inlineStr">
        <is>
          <t>מד חום אינפרא אדום קומפקטי-norditalia</t>
        </is>
      </c>
      <c r="C2664" t="inlineStr">
        <is>
          <t>ציוד ומכשור רפואי</t>
        </is>
      </c>
      <c r="D2664" t="inlineStr">
        <is>
          <t>8100091053</t>
        </is>
      </c>
      <c r="E2664" t="inlineStr">
        <is>
          <t>2026-06</t>
        </is>
      </c>
      <c r="F2664" t="n">
        <v>28.81</v>
      </c>
      <c r="G2664" t="n">
        <v>34</v>
      </c>
      <c r="H2664">
        <f>הגדרות!B7</f>
        <v/>
      </c>
      <c r="I2664">
        <f>F2664*(1-H2664/100)*1.18</f>
        <v/>
      </c>
      <c r="J2664">
        <f>הגדרות!C7</f>
        <v/>
      </c>
      <c r="K2664">
        <f>הגדרות!D7</f>
        <v/>
      </c>
      <c r="L2664">
        <f>I2664*(1+J2664/100)+K2664</f>
        <v/>
      </c>
    </row>
    <row r="2665">
      <c r="A2665" t="inlineStr">
        <is>
          <t>מדי-מרקט</t>
        </is>
      </c>
      <c r="B2665" t="inlineStr">
        <is>
          <t>מד חום דיגיטאלי גמיש עם צפצוף דגם MT-403S מדיקפרו</t>
        </is>
      </c>
      <c r="C2665" t="inlineStr">
        <is>
          <t>ציוד ומכשור רפואי</t>
        </is>
      </c>
      <c r="D2665" t="inlineStr">
        <is>
          <t>100-303</t>
        </is>
      </c>
      <c r="E2665" t="inlineStr">
        <is>
          <t>2026-06</t>
        </is>
      </c>
      <c r="F2665" t="n">
        <v>3.36</v>
      </c>
      <c r="G2665" t="n">
        <v>3.97</v>
      </c>
      <c r="H2665">
        <f>הגדרות!B7</f>
        <v/>
      </c>
      <c r="I2665">
        <f>F2665*(1-H2665/100)*1.18</f>
        <v/>
      </c>
      <c r="J2665">
        <f>הגדרות!C7</f>
        <v/>
      </c>
      <c r="K2665">
        <f>הגדרות!D7</f>
        <v/>
      </c>
      <c r="L2665">
        <f>I2665*(1+J2665/100)+K2665</f>
        <v/>
      </c>
    </row>
    <row r="2666">
      <c r="A2666" t="inlineStr">
        <is>
          <t>מדי-מרקט</t>
        </is>
      </c>
      <c r="B2666" t="inlineStr">
        <is>
          <t>מד חום דיגיטאלי גמיש-מדידה מהירה-norditalia</t>
        </is>
      </c>
      <c r="C2666" t="inlineStr">
        <is>
          <t>ציוד ומכשור רפואי</t>
        </is>
      </c>
      <c r="D2666" t="inlineStr">
        <is>
          <t>8100091055</t>
        </is>
      </c>
      <c r="E2666" t="inlineStr">
        <is>
          <t>2026-06</t>
        </is>
      </c>
      <c r="F2666" t="n">
        <v>4.75</v>
      </c>
      <c r="G2666" t="n">
        <v>5.6</v>
      </c>
      <c r="H2666">
        <f>הגדרות!B7</f>
        <v/>
      </c>
      <c r="I2666">
        <f>F2666*(1-H2666/100)*1.18</f>
        <v/>
      </c>
      <c r="J2666">
        <f>הגדרות!C7</f>
        <v/>
      </c>
      <c r="K2666">
        <f>הגדרות!D7</f>
        <v/>
      </c>
      <c r="L2666">
        <f>I2666*(1+J2666/100)+K2666</f>
        <v/>
      </c>
    </row>
    <row r="2667">
      <c r="A2667" t="inlineStr">
        <is>
          <t>מדי-מרקט</t>
        </is>
      </c>
      <c r="B2667" t="inlineStr">
        <is>
          <t>מד חום דיגיטאלי עם צפצוף דגם MT-101 מדיקפרו</t>
        </is>
      </c>
      <c r="C2667" t="inlineStr">
        <is>
          <t>ציוד ומכשור רפואי</t>
        </is>
      </c>
      <c r="D2667" t="inlineStr">
        <is>
          <t>100-302</t>
        </is>
      </c>
      <c r="E2667" t="inlineStr">
        <is>
          <t>2026-06</t>
        </is>
      </c>
      <c r="F2667" t="n">
        <v>2.49</v>
      </c>
      <c r="G2667" t="n">
        <v>2.94</v>
      </c>
      <c r="H2667">
        <f>הגדרות!B7</f>
        <v/>
      </c>
      <c r="I2667">
        <f>F2667*(1-H2667/100)*1.18</f>
        <v/>
      </c>
      <c r="J2667">
        <f>הגדרות!C7</f>
        <v/>
      </c>
      <c r="K2667">
        <f>הגדרות!D7</f>
        <v/>
      </c>
      <c r="L2667">
        <f>I2667*(1+J2667/100)+K2667</f>
        <v/>
      </c>
    </row>
    <row r="2668">
      <c r="A2668" t="inlineStr">
        <is>
          <t>מדי-מרקט</t>
        </is>
      </c>
      <c r="B2668" t="inlineStr">
        <is>
          <t>מד חום דיגיטלי -norditalia</t>
        </is>
      </c>
      <c r="C2668" t="inlineStr">
        <is>
          <t>ציוד ומכשור רפואי</t>
        </is>
      </c>
      <c r="D2668" t="inlineStr">
        <is>
          <t>8100091054</t>
        </is>
      </c>
      <c r="E2668" t="inlineStr">
        <is>
          <t>2026-06</t>
        </is>
      </c>
      <c r="F2668" t="n">
        <v>4.15</v>
      </c>
      <c r="G2668" t="n">
        <v>4.9</v>
      </c>
      <c r="H2668">
        <f>הגדרות!B7</f>
        <v/>
      </c>
      <c r="I2668">
        <f>F2668*(1-H2668/100)*1.18</f>
        <v/>
      </c>
      <c r="J2668">
        <f>הגדרות!C7</f>
        <v/>
      </c>
      <c r="K2668">
        <f>הגדרות!D7</f>
        <v/>
      </c>
      <c r="L2668">
        <f>I2668*(1+J2668/100)+K2668</f>
        <v/>
      </c>
    </row>
    <row r="2669">
      <c r="A2669" t="inlineStr">
        <is>
          <t>מדי-מרקט</t>
        </is>
      </c>
      <c r="B2669" t="inlineStr">
        <is>
          <t>מד חום לקיר מעץ לבן  חום</t>
        </is>
      </c>
      <c r="C2669" t="inlineStr">
        <is>
          <t>ציוד ומכשור רפואי</t>
        </is>
      </c>
      <c r="D2669" t="inlineStr">
        <is>
          <t>2912</t>
        </is>
      </c>
      <c r="E2669" t="inlineStr">
        <is>
          <t>2026-06</t>
        </is>
      </c>
      <c r="F2669" t="n">
        <v>2.77</v>
      </c>
      <c r="G2669" t="n">
        <v>3.27</v>
      </c>
      <c r="H2669">
        <f>הגדרות!B7</f>
        <v/>
      </c>
      <c r="I2669">
        <f>F2669*(1-H2669/100)*1.18</f>
        <v/>
      </c>
      <c r="J2669">
        <f>הגדרות!C7</f>
        <v/>
      </c>
      <c r="K2669">
        <f>הגדרות!D7</f>
        <v/>
      </c>
      <c r="L2669">
        <f>I2669*(1+J2669/100)+K2669</f>
        <v/>
      </c>
    </row>
    <row r="2670">
      <c r="A2670" t="inlineStr">
        <is>
          <t>מדי-מרקט</t>
        </is>
      </c>
      <c r="B2670" t="inlineStr">
        <is>
          <t>מד חום מינימום מקסימום דיגיטלי למקרר מדיקפרו</t>
        </is>
      </c>
      <c r="C2670" t="inlineStr">
        <is>
          <t>ציוד ומכשור רפואי</t>
        </is>
      </c>
      <c r="D2670" t="inlineStr">
        <is>
          <t>66013</t>
        </is>
      </c>
      <c r="E2670" t="inlineStr">
        <is>
          <t>2026-06</t>
        </is>
      </c>
      <c r="F2670" t="n">
        <v>55.08</v>
      </c>
      <c r="G2670" t="n">
        <v>65</v>
      </c>
      <c r="H2670">
        <f>הגדרות!B7</f>
        <v/>
      </c>
      <c r="I2670">
        <f>F2670*(1-H2670/100)*1.18</f>
        <v/>
      </c>
      <c r="J2670">
        <f>הגדרות!C7</f>
        <v/>
      </c>
      <c r="K2670">
        <f>הגדרות!D7</f>
        <v/>
      </c>
      <c r="L2670">
        <f>I2670*(1+J2670/100)+K2670</f>
        <v/>
      </c>
    </row>
    <row r="2671">
      <c r="A2671" t="inlineStr">
        <is>
          <t>מדי-מרקט</t>
        </is>
      </c>
      <c r="B2671" t="inlineStr">
        <is>
          <t>מד טמפרטורה למזון דיגיטלי</t>
        </is>
      </c>
      <c r="C2671" t="inlineStr">
        <is>
          <t>ציוד ומכשור רפואי</t>
        </is>
      </c>
      <c r="D2671" t="inlineStr">
        <is>
          <t>130562</t>
        </is>
      </c>
      <c r="E2671" t="inlineStr">
        <is>
          <t>2026-06</t>
        </is>
      </c>
      <c r="F2671" t="n">
        <v>37.2</v>
      </c>
      <c r="G2671" t="n">
        <v>43.9</v>
      </c>
      <c r="H2671">
        <f>הגדרות!B7</f>
        <v/>
      </c>
      <c r="I2671">
        <f>F2671*(1-H2671/100)*1.18</f>
        <v/>
      </c>
      <c r="J2671">
        <f>הגדרות!C7</f>
        <v/>
      </c>
      <c r="K2671">
        <f>הגדרות!D7</f>
        <v/>
      </c>
      <c r="L2671">
        <f>I2671*(1+J2671/100)+K2671</f>
        <v/>
      </c>
    </row>
    <row r="2672">
      <c r="A2672" t="inlineStr">
        <is>
          <t>מדי-מרקט</t>
        </is>
      </c>
      <c r="B2672" t="inlineStr">
        <is>
          <t>מד לחץ דם דיגיטלי לפרק כף היד BP-500 Norditalia</t>
        </is>
      </c>
      <c r="C2672" t="inlineStr">
        <is>
          <t>ציוד ומכשור רפואי</t>
        </is>
      </c>
      <c r="D2672" t="inlineStr">
        <is>
          <t>8400013001</t>
        </is>
      </c>
      <c r="E2672" t="inlineStr">
        <is>
          <t>2026-06</t>
        </is>
      </c>
      <c r="F2672" t="n">
        <v>34.7</v>
      </c>
      <c r="G2672" t="n">
        <v>40.95</v>
      </c>
      <c r="H2672">
        <f>הגדרות!B7</f>
        <v/>
      </c>
      <c r="I2672">
        <f>F2672*(1-H2672/100)*1.18</f>
        <v/>
      </c>
      <c r="J2672">
        <f>הגדרות!C7</f>
        <v/>
      </c>
      <c r="K2672">
        <f>הגדרות!D7</f>
        <v/>
      </c>
      <c r="L2672">
        <f>I2672*(1+J2672/100)+K2672</f>
        <v/>
      </c>
    </row>
    <row r="2673">
      <c r="A2673" t="inlineStr">
        <is>
          <t>מדי-מרקט</t>
        </is>
      </c>
      <c r="B2673" t="inlineStr">
        <is>
          <t>מד לחץ דם דיגיטלי שרוול BP-1000 Norditalia</t>
        </is>
      </c>
      <c r="C2673" t="inlineStr">
        <is>
          <t>ציוד ומכשור רפואי</t>
        </is>
      </c>
      <c r="D2673" t="inlineStr">
        <is>
          <t>8400014001</t>
        </is>
      </c>
      <c r="E2673" t="inlineStr">
        <is>
          <t>2026-06</t>
        </is>
      </c>
      <c r="F2673" t="n">
        <v>51.19</v>
      </c>
      <c r="G2673" t="n">
        <v>60.41</v>
      </c>
      <c r="H2673">
        <f>הגדרות!B7</f>
        <v/>
      </c>
      <c r="I2673">
        <f>F2673*(1-H2673/100)*1.18</f>
        <v/>
      </c>
      <c r="J2673">
        <f>הגדרות!C7</f>
        <v/>
      </c>
      <c r="K2673">
        <f>הגדרות!D7</f>
        <v/>
      </c>
      <c r="L2673">
        <f>I2673*(1+J2673/100)+K2673</f>
        <v/>
      </c>
    </row>
    <row r="2674">
      <c r="A2674" t="inlineStr">
        <is>
          <t>מדי-מרקט</t>
        </is>
      </c>
      <c r="B2674" t="inlineStr">
        <is>
          <t>מד לחץ דם שעון עם סטטוסקופ, מדיקפרו</t>
        </is>
      </c>
      <c r="C2674" t="inlineStr">
        <is>
          <t>ציוד ומכשור רפואי</t>
        </is>
      </c>
      <c r="D2674" t="inlineStr">
        <is>
          <t>100-310</t>
        </is>
      </c>
      <c r="E2674" t="inlineStr">
        <is>
          <t>2026-06</t>
        </is>
      </c>
      <c r="F2674" t="n">
        <v>18.84</v>
      </c>
      <c r="G2674" t="n">
        <v>22.23</v>
      </c>
      <c r="H2674">
        <f>הגדרות!B7</f>
        <v/>
      </c>
      <c r="I2674">
        <f>F2674*(1-H2674/100)*1.18</f>
        <v/>
      </c>
      <c r="J2674">
        <f>הגדרות!C7</f>
        <v/>
      </c>
      <c r="K2674">
        <f>הגדרות!D7</f>
        <v/>
      </c>
      <c r="L2674">
        <f>I2674*(1+J2674/100)+K2674</f>
        <v/>
      </c>
    </row>
    <row r="2675">
      <c r="A2675" t="inlineStr">
        <is>
          <t>מדי-מרקט</t>
        </is>
      </c>
      <c r="B2675" t="inlineStr">
        <is>
          <t>מד סטורציה 02.01.210119-13 EDAN</t>
        </is>
      </c>
      <c r="C2675" t="inlineStr">
        <is>
          <t>ציוד ומכשור רפואי</t>
        </is>
      </c>
      <c r="D2675" t="inlineStr">
        <is>
          <t>1632632</t>
        </is>
      </c>
      <c r="E2675" t="inlineStr">
        <is>
          <t>2026-06</t>
        </is>
      </c>
      <c r="F2675" t="n">
        <v>288.14</v>
      </c>
      <c r="G2675" t="n">
        <v>340</v>
      </c>
      <c r="H2675">
        <f>הגדרות!B7</f>
        <v/>
      </c>
      <c r="I2675">
        <f>F2675*(1-H2675/100)*1.18</f>
        <v/>
      </c>
      <c r="J2675">
        <f>הגדרות!C7</f>
        <v/>
      </c>
      <c r="K2675">
        <f>הגדרות!D7</f>
        <v/>
      </c>
      <c r="L2675">
        <f>I2675*(1+J2675/100)+K2675</f>
        <v/>
      </c>
    </row>
    <row r="2676">
      <c r="A2676" t="inlineStr">
        <is>
          <t>מדי-מרקט</t>
        </is>
      </c>
      <c r="B2676" t="inlineStr">
        <is>
          <t>מד ספיקה לחמצן LPM 0-15 כולל תקע ENV</t>
        </is>
      </c>
      <c r="C2676" t="inlineStr">
        <is>
          <t>ציוד ומכשור רפואי</t>
        </is>
      </c>
      <c r="D2676" t="inlineStr">
        <is>
          <t>12652</t>
        </is>
      </c>
      <c r="E2676" t="inlineStr">
        <is>
          <t>2026-06</t>
        </is>
      </c>
      <c r="F2676" t="n">
        <v>167.8</v>
      </c>
      <c r="G2676" t="n">
        <v>198</v>
      </c>
      <c r="H2676">
        <f>הגדרות!B7</f>
        <v/>
      </c>
      <c r="I2676">
        <f>F2676*(1-H2676/100)*1.18</f>
        <v/>
      </c>
      <c r="J2676">
        <f>הגדרות!C7</f>
        <v/>
      </c>
      <c r="K2676">
        <f>הגדרות!D7</f>
        <v/>
      </c>
      <c r="L2676">
        <f>I2676*(1+J2676/100)+K2676</f>
        <v/>
      </c>
    </row>
    <row r="2677">
      <c r="A2677" t="inlineStr">
        <is>
          <t>מדי-מרקט</t>
        </is>
      </c>
      <c r="B2677" t="inlineStr">
        <is>
          <t>מד ספיקה קל לחמצן 0-15 LPM + תקע OHM כיתוב שחור</t>
        </is>
      </c>
      <c r="C2677" t="inlineStr">
        <is>
          <t>ציוד ומכשור רפואי</t>
        </is>
      </c>
      <c r="D2677" t="inlineStr">
        <is>
          <t>12651</t>
        </is>
      </c>
      <c r="E2677" t="inlineStr">
        <is>
          <t>2026-06</t>
        </is>
      </c>
      <c r="F2677" t="n">
        <v>116.95</v>
      </c>
      <c r="G2677" t="n">
        <v>138</v>
      </c>
      <c r="H2677">
        <f>הגדרות!B7</f>
        <v/>
      </c>
      <c r="I2677">
        <f>F2677*(1-H2677/100)*1.18</f>
        <v/>
      </c>
      <c r="J2677">
        <f>הגדרות!C7</f>
        <v/>
      </c>
      <c r="K2677">
        <f>הגדרות!D7</f>
        <v/>
      </c>
      <c r="L2677">
        <f>I2677*(1+J2677/100)+K2677</f>
        <v/>
      </c>
    </row>
    <row r="2678">
      <c r="A2678" t="inlineStr">
        <is>
          <t>מדי-מרקט</t>
        </is>
      </c>
      <c r="B2678" t="inlineStr">
        <is>
          <t>מדבקות אקג Covidian -חבילה 600 יחי'</t>
        </is>
      </c>
      <c r="C2678" t="inlineStr">
        <is>
          <t>ציוד ומכשור רפואי</t>
        </is>
      </c>
      <c r="D2678" t="inlineStr">
        <is>
          <t>40522</t>
        </is>
      </c>
      <c r="E2678" t="inlineStr">
        <is>
          <t>2026-06</t>
        </is>
      </c>
      <c r="F2678" t="n">
        <v>1949.15</v>
      </c>
      <c r="G2678" t="n">
        <v>2300</v>
      </c>
      <c r="H2678">
        <f>הגדרות!B7</f>
        <v/>
      </c>
      <c r="I2678">
        <f>F2678*(1-H2678/100)*1.18</f>
        <v/>
      </c>
      <c r="J2678">
        <f>הגדרות!C7</f>
        <v/>
      </c>
      <c r="K2678">
        <f>הגדרות!D7</f>
        <v/>
      </c>
      <c r="L2678">
        <f>I2678*(1+J2678/100)+K2678</f>
        <v/>
      </c>
    </row>
    <row r="2679">
      <c r="A2679" t="inlineStr">
        <is>
          <t>מדי-מרקט</t>
        </is>
      </c>
      <c r="B2679" t="inlineStr">
        <is>
          <t>מדבקות לדפיברלטור אוטומטי תוצרת CU דגם AD IPAD - אדום</t>
        </is>
      </c>
      <c r="C2679" t="inlineStr">
        <is>
          <t>ציוד ומכשור רפואי</t>
        </is>
      </c>
      <c r="D2679" t="inlineStr">
        <is>
          <t>99800</t>
        </is>
      </c>
      <c r="E2679" t="inlineStr">
        <is>
          <t>2026-06</t>
        </is>
      </c>
      <c r="F2679" t="n">
        <v>364.41</v>
      </c>
      <c r="G2679" t="n">
        <v>430</v>
      </c>
      <c r="H2679">
        <f>הגדרות!B7</f>
        <v/>
      </c>
      <c r="I2679">
        <f>F2679*(1-H2679/100)*1.18</f>
        <v/>
      </c>
      <c r="J2679">
        <f>הגדרות!C7</f>
        <v/>
      </c>
      <c r="K2679">
        <f>הגדרות!D7</f>
        <v/>
      </c>
      <c r="L2679">
        <f>I2679*(1+J2679/100)+K2679</f>
        <v/>
      </c>
    </row>
    <row r="2680">
      <c r="A2680" t="inlineStr">
        <is>
          <t>מדי-מרקט</t>
        </is>
      </c>
      <c r="B2680" t="inlineStr">
        <is>
          <t>מדי-פיקס,תחבושת נצמדת 10 ס"מ *20 מ' מדיקפרו</t>
        </is>
      </c>
      <c r="C2680" t="inlineStr">
        <is>
          <t>מוצרי חבישה ופלסטרים</t>
        </is>
      </c>
      <c r="D2680" t="inlineStr">
        <is>
          <t>100-132</t>
        </is>
      </c>
      <c r="E2680" t="inlineStr">
        <is>
          <t>2026-06</t>
        </is>
      </c>
      <c r="F2680" t="n">
        <v>11.99</v>
      </c>
      <c r="G2680" t="n">
        <v>14.15</v>
      </c>
      <c r="H2680">
        <f>הגדרות!B7</f>
        <v/>
      </c>
      <c r="I2680">
        <f>F2680*(1-H2680/100)*1.18</f>
        <v/>
      </c>
      <c r="J2680">
        <f>הגדרות!C7</f>
        <v/>
      </c>
      <c r="K2680">
        <f>הגדרות!D7</f>
        <v/>
      </c>
      <c r="L2680">
        <f>I2680*(1+J2680/100)+K2680</f>
        <v/>
      </c>
    </row>
    <row r="2681">
      <c r="A2681" t="inlineStr">
        <is>
          <t>מדי-מרקט</t>
        </is>
      </c>
      <c r="B2681" t="inlineStr">
        <is>
          <t>מוט רשת לתפיסת בע"ח MDC Catch Net Small Animals</t>
        </is>
      </c>
      <c r="C2681" t="inlineStr">
        <is>
          <t>MDC</t>
        </is>
      </c>
      <c r="D2681" t="inlineStr">
        <is>
          <t>A174-311</t>
        </is>
      </c>
      <c r="E2681" t="inlineStr">
        <is>
          <t>2026-06</t>
        </is>
      </c>
      <c r="F2681" t="n">
        <v>983.05</v>
      </c>
      <c r="G2681" t="n">
        <v>1160</v>
      </c>
      <c r="H2681">
        <f>הגדרות!B7</f>
        <v/>
      </c>
      <c r="I2681">
        <f>F2681*(1-H2681/100)*1.18</f>
        <v/>
      </c>
      <c r="J2681">
        <f>הגדרות!C7</f>
        <v/>
      </c>
      <c r="K2681">
        <f>הגדרות!D7</f>
        <v/>
      </c>
      <c r="L2681">
        <f>I2681*(1+J2681/100)+K2681</f>
        <v/>
      </c>
    </row>
    <row r="2682">
      <c r="A2682" t="inlineStr">
        <is>
          <t>מדי-מרקט</t>
        </is>
      </c>
      <c r="B2682" t="inlineStr">
        <is>
          <t>מולטי ויטמין "ויטה יאנג"  500  כמוסות</t>
        </is>
      </c>
      <c r="C2682" t="inlineStr">
        <is>
          <t>ויטמינים ויטה יאנג</t>
        </is>
      </c>
      <c r="D2682" t="inlineStr">
        <is>
          <t>22565</t>
        </is>
      </c>
      <c r="E2682" t="inlineStr">
        <is>
          <t>2026-06</t>
        </is>
      </c>
      <c r="F2682" t="n">
        <v>88.09</v>
      </c>
      <c r="G2682" t="n">
        <v>103.95</v>
      </c>
      <c r="H2682">
        <f>הגדרות!B7</f>
        <v/>
      </c>
      <c r="I2682">
        <f>F2682*(1-H2682/100)*1.18</f>
        <v/>
      </c>
      <c r="J2682">
        <f>הגדרות!C7</f>
        <v/>
      </c>
      <c r="K2682">
        <f>הגדרות!D7</f>
        <v/>
      </c>
      <c r="L2682">
        <f>I2682*(1+J2682/100)+K2682</f>
        <v/>
      </c>
    </row>
    <row r="2683">
      <c r="A2683" t="inlineStr">
        <is>
          <t>מדי-מרקט</t>
        </is>
      </c>
      <c r="B2683" t="inlineStr">
        <is>
          <t>מולטיפלקס Multiplex Powder 200g TRM</t>
        </is>
      </c>
      <c r="C2683" t="inlineStr">
        <is>
          <t>TRM</t>
        </is>
      </c>
      <c r="D2683" t="inlineStr">
        <is>
          <t>800-212</t>
        </is>
      </c>
      <c r="E2683" t="inlineStr">
        <is>
          <t>2026-06</t>
        </is>
      </c>
      <c r="F2683" t="n">
        <v>22.56</v>
      </c>
      <c r="G2683" t="n">
        <v>26.62</v>
      </c>
      <c r="H2683">
        <f>הגדרות!B7</f>
        <v/>
      </c>
      <c r="I2683">
        <f>F2683*(1-H2683/100)*1.18</f>
        <v/>
      </c>
      <c r="J2683">
        <f>הגדרות!C7</f>
        <v/>
      </c>
      <c r="K2683">
        <f>הגדרות!D7</f>
        <v/>
      </c>
      <c r="L2683">
        <f>I2683*(1+J2683/100)+K2683</f>
        <v/>
      </c>
    </row>
    <row r="2684">
      <c r="A2684" t="inlineStr">
        <is>
          <t>מדי-מרקט</t>
        </is>
      </c>
      <c r="B2684" t="inlineStr">
        <is>
          <t>מוליך לטובוס 2 -   6FRמ"מ S, מדיקפרו</t>
        </is>
      </c>
      <c r="C2684" t="inlineStr">
        <is>
          <t>ציוד מתכלה</t>
        </is>
      </c>
      <c r="D2684" t="inlineStr">
        <is>
          <t>5456</t>
        </is>
      </c>
      <c r="E2684" t="inlineStr">
        <is>
          <t>2026-06</t>
        </is>
      </c>
      <c r="F2684" t="n">
        <v>2.03</v>
      </c>
      <c r="G2684" t="n">
        <v>2.4</v>
      </c>
      <c r="H2684">
        <f>הגדרות!B7</f>
        <v/>
      </c>
      <c r="I2684">
        <f>F2684*(1-H2684/100)*1.18</f>
        <v/>
      </c>
      <c r="J2684">
        <f>הגדרות!C7</f>
        <v/>
      </c>
      <c r="K2684">
        <f>הגדרות!D7</f>
        <v/>
      </c>
      <c r="L2684">
        <f>I2684*(1+J2684/100)+K2684</f>
        <v/>
      </c>
    </row>
    <row r="2685">
      <c r="A2685" t="inlineStr">
        <is>
          <t>מדי-מרקט</t>
        </is>
      </c>
      <c r="B2685" t="inlineStr">
        <is>
          <t>מוליך לטובוס 3.3 -  10FRמ"מ M,מדיקפרו</t>
        </is>
      </c>
      <c r="C2685" t="inlineStr">
        <is>
          <t>ציוד מתכלה</t>
        </is>
      </c>
      <c r="D2685" t="inlineStr">
        <is>
          <t>545</t>
        </is>
      </c>
      <c r="E2685" t="inlineStr">
        <is>
          <t>2026-06</t>
        </is>
      </c>
      <c r="F2685" t="n">
        <v>2.19</v>
      </c>
      <c r="G2685" t="n">
        <v>2.58</v>
      </c>
      <c r="H2685">
        <f>הגדרות!B7</f>
        <v/>
      </c>
      <c r="I2685">
        <f>F2685*(1-H2685/100)*1.18</f>
        <v/>
      </c>
      <c r="J2685">
        <f>הגדרות!C7</f>
        <v/>
      </c>
      <c r="K2685">
        <f>הגדרות!D7</f>
        <v/>
      </c>
      <c r="L2685">
        <f>I2685*(1+J2685/100)+K2685</f>
        <v/>
      </c>
    </row>
    <row r="2686">
      <c r="A2686" t="inlineStr">
        <is>
          <t>מדי-מרקט</t>
        </is>
      </c>
      <c r="B2686" t="inlineStr">
        <is>
          <t>מוליך לטובוס 4.7 -  14FRמ"מ L,מדיקפרו</t>
        </is>
      </c>
      <c r="C2686" t="inlineStr">
        <is>
          <t>ציוד מתכלה</t>
        </is>
      </c>
      <c r="D2686" t="inlineStr">
        <is>
          <t>54514</t>
        </is>
      </c>
      <c r="E2686" t="inlineStr">
        <is>
          <t>2026-06</t>
        </is>
      </c>
      <c r="F2686" t="n">
        <v>2.03</v>
      </c>
      <c r="G2686" t="n">
        <v>2.4</v>
      </c>
      <c r="H2686">
        <f>הגדרות!B7</f>
        <v/>
      </c>
      <c r="I2686">
        <f>F2686*(1-H2686/100)*1.18</f>
        <v/>
      </c>
      <c r="J2686">
        <f>הגדרות!C7</f>
        <v/>
      </c>
      <c r="K2686">
        <f>הגדרות!D7</f>
        <v/>
      </c>
      <c r="L2686">
        <f>I2686*(1+J2686/100)+K2686</f>
        <v/>
      </c>
    </row>
    <row r="2687">
      <c r="A2687" t="inlineStr">
        <is>
          <t>מדי-מרקט</t>
        </is>
      </c>
      <c r="B2687" t="inlineStr">
        <is>
          <t>מוניטור וטרינרי uMEC12 Vet Monitor MINDRAY</t>
        </is>
      </c>
      <c r="C2687" t="inlineStr">
        <is>
          <t>Mindray</t>
        </is>
      </c>
      <c r="D2687" t="inlineStr">
        <is>
          <t>6401B-CTO-S01-1</t>
        </is>
      </c>
      <c r="E2687" t="inlineStr">
        <is>
          <t>2026-06</t>
        </is>
      </c>
      <c r="F2687" t="n">
        <v>4668.94</v>
      </c>
      <c r="G2687" t="n">
        <v>5509.35</v>
      </c>
      <c r="H2687">
        <f>הגדרות!B7</f>
        <v/>
      </c>
      <c r="I2687">
        <f>F2687*(1-H2687/100)*1.18</f>
        <v/>
      </c>
      <c r="J2687">
        <f>הגדרות!C7</f>
        <v/>
      </c>
      <c r="K2687">
        <f>הגדרות!D7</f>
        <v/>
      </c>
      <c r="L2687">
        <f>I2687*(1+J2687/100)+K2687</f>
        <v/>
      </c>
    </row>
    <row r="2688">
      <c r="A2688" t="inlineStr">
        <is>
          <t>מדי-מרקט</t>
        </is>
      </c>
      <c r="B2688" t="inlineStr">
        <is>
          <t>מזרון לטיפול בפצעי לחץ, דרגה Domus 2 ,2</t>
        </is>
      </c>
      <c r="C2688" t="inlineStr">
        <is>
          <t>ציוד ומכשור רפואי</t>
        </is>
      </c>
      <c r="D2688" t="inlineStr">
        <is>
          <t>32564</t>
        </is>
      </c>
      <c r="E2688" t="inlineStr">
        <is>
          <t>2026-06</t>
        </is>
      </c>
      <c r="F2688" t="n">
        <v>1186.44</v>
      </c>
      <c r="G2688" t="n">
        <v>1400</v>
      </c>
      <c r="H2688">
        <f>הגדרות!B7</f>
        <v/>
      </c>
      <c r="I2688">
        <f>F2688*(1-H2688/100)*1.18</f>
        <v/>
      </c>
      <c r="J2688">
        <f>הגדרות!C7</f>
        <v/>
      </c>
      <c r="K2688">
        <f>הגדרות!D7</f>
        <v/>
      </c>
      <c r="L2688">
        <f>I2688*(1+J2688/100)+K2688</f>
        <v/>
      </c>
    </row>
    <row r="2689">
      <c r="A2689" t="inlineStr">
        <is>
          <t>מדי-מרקט</t>
        </is>
      </c>
      <c r="B2689" t="inlineStr">
        <is>
          <t>מזרון לטיפול בפצעי לחץ, דרגה Domus 3 LITE ,3</t>
        </is>
      </c>
      <c r="C2689" t="inlineStr">
        <is>
          <t>ציוד ומכשור רפואי</t>
        </is>
      </c>
      <c r="D2689" t="inlineStr">
        <is>
          <t>32565</t>
        </is>
      </c>
      <c r="E2689" t="inlineStr">
        <is>
          <t>2026-06</t>
        </is>
      </c>
      <c r="F2689" t="n">
        <v>2457.63</v>
      </c>
      <c r="G2689" t="n">
        <v>2900</v>
      </c>
      <c r="H2689">
        <f>הגדרות!B7</f>
        <v/>
      </c>
      <c r="I2689">
        <f>F2689*(1-H2689/100)*1.18</f>
        <v/>
      </c>
      <c r="J2689">
        <f>הגדרות!C7</f>
        <v/>
      </c>
      <c r="K2689">
        <f>הגדרות!D7</f>
        <v/>
      </c>
      <c r="L2689">
        <f>I2689*(1+J2689/100)+K2689</f>
        <v/>
      </c>
    </row>
    <row r="2690">
      <c r="A2690" t="inlineStr">
        <is>
          <t>מדי-מרקט</t>
        </is>
      </c>
      <c r="B2690" t="inlineStr">
        <is>
          <t>מזרון לפצעי לחץ מתנפח + משאבה, מדיקפרו</t>
        </is>
      </c>
      <c r="C2690" t="inlineStr">
        <is>
          <t>ציוד ומכשור רפואי</t>
        </is>
      </c>
      <c r="D2690" t="inlineStr">
        <is>
          <t>29101</t>
        </is>
      </c>
      <c r="E2690" t="inlineStr">
        <is>
          <t>2026-06</t>
        </is>
      </c>
      <c r="F2690" t="n">
        <v>144.07</v>
      </c>
      <c r="G2690" t="n">
        <v>170</v>
      </c>
      <c r="H2690">
        <f>הגדרות!B7</f>
        <v/>
      </c>
      <c r="I2690">
        <f>F2690*(1-H2690/100)*1.18</f>
        <v/>
      </c>
      <c r="J2690">
        <f>הגדרות!C7</f>
        <v/>
      </c>
      <c r="K2690">
        <f>הגדרות!D7</f>
        <v/>
      </c>
      <c r="L2690">
        <f>I2690*(1+J2690/100)+K2690</f>
        <v/>
      </c>
    </row>
    <row r="2691">
      <c r="A2691" t="inlineStr">
        <is>
          <t>מדי-מרקט</t>
        </is>
      </c>
      <c r="B2691" t="inlineStr">
        <is>
          <t>מזרן ויסקו 15X85X195 ס"מ</t>
        </is>
      </c>
      <c r="C2691" t="inlineStr">
        <is>
          <t>מיטות ומזרנים סביון</t>
        </is>
      </c>
      <c r="D2691" t="inlineStr">
        <is>
          <t>12362637</t>
        </is>
      </c>
      <c r="E2691" t="inlineStr">
        <is>
          <t>2026-06</t>
        </is>
      </c>
      <c r="F2691" t="n">
        <v>498.31</v>
      </c>
      <c r="G2691" t="n">
        <v>588</v>
      </c>
      <c r="H2691">
        <f>הגדרות!B7</f>
        <v/>
      </c>
      <c r="I2691">
        <f>F2691*(1-H2691/100)*1.18</f>
        <v/>
      </c>
      <c r="J2691">
        <f>הגדרות!C7</f>
        <v/>
      </c>
      <c r="K2691">
        <f>הגדרות!D7</f>
        <v/>
      </c>
      <c r="L2691">
        <f>I2691*(1+J2691/100)+K2691</f>
        <v/>
      </c>
    </row>
    <row r="2692">
      <c r="A2692" t="inlineStr">
        <is>
          <t>מדי-מרקט</t>
        </is>
      </c>
      <c r="B2692" t="inlineStr">
        <is>
          <t>מזרק 1 מ"ל לואר לוק 309628 BD 1/100</t>
        </is>
      </c>
      <c r="C2692" t="inlineStr">
        <is>
          <t>מזרקים,מחטים,ונפלונים,סקלפלים</t>
        </is>
      </c>
      <c r="D2692" t="inlineStr">
        <is>
          <t>301283</t>
        </is>
      </c>
      <c r="E2692" t="inlineStr">
        <is>
          <t>2026-06</t>
        </is>
      </c>
      <c r="F2692" t="n">
        <v>224.8</v>
      </c>
      <c r="G2692" t="n">
        <v>265.26</v>
      </c>
      <c r="H2692">
        <f>הגדרות!B7</f>
        <v/>
      </c>
      <c r="I2692">
        <f>F2692*(1-H2692/100)*1.18</f>
        <v/>
      </c>
      <c r="J2692">
        <f>הגדרות!C7</f>
        <v/>
      </c>
      <c r="K2692">
        <f>הגדרות!D7</f>
        <v/>
      </c>
      <c r="L2692">
        <f>I2692*(1+J2692/100)+K2692</f>
        <v/>
      </c>
    </row>
    <row r="2693">
      <c r="A2693" t="inlineStr">
        <is>
          <t>מדי-מרקט</t>
        </is>
      </c>
      <c r="B2693" t="inlineStr">
        <is>
          <t>מזרק 1 מ"ל לואר-לוק 100 LATEX-FREE יח' מדיקפרו</t>
        </is>
      </c>
      <c r="C2693" t="inlineStr">
        <is>
          <t>מזרקים,מחטים,ונפלונים,סקלפלים</t>
        </is>
      </c>
      <c r="D2693" t="inlineStr">
        <is>
          <t>300-019</t>
        </is>
      </c>
      <c r="E2693" t="inlineStr">
        <is>
          <t>2026-06</t>
        </is>
      </c>
      <c r="F2693" t="n">
        <v>14.41</v>
      </c>
      <c r="G2693" t="n">
        <v>17</v>
      </c>
      <c r="H2693">
        <f>הגדרות!B7</f>
        <v/>
      </c>
      <c r="I2693">
        <f>F2693*(1-H2693/100)*1.18</f>
        <v/>
      </c>
      <c r="J2693">
        <f>הגדרות!C7</f>
        <v/>
      </c>
      <c r="K2693">
        <f>הגדרות!D7</f>
        <v/>
      </c>
      <c r="L2693">
        <f>I2693*(1+J2693/100)+K2693</f>
        <v/>
      </c>
    </row>
    <row r="2694">
      <c r="A2694" t="inlineStr">
        <is>
          <t>מדי-מרקט</t>
        </is>
      </c>
      <c r="B2694" t="inlineStr">
        <is>
          <t>מזרק 10 מ"ל לואר-לוק 1/100 ,LATEX-FREE מדיקפרו</t>
        </is>
      </c>
      <c r="C2694" t="inlineStr">
        <is>
          <t>מזרקים,מחטים,ונפלונים,סקלפלים</t>
        </is>
      </c>
      <c r="D2694" t="inlineStr">
        <is>
          <t>300-022</t>
        </is>
      </c>
      <c r="E2694" t="inlineStr">
        <is>
          <t>2026-06</t>
        </is>
      </c>
      <c r="F2694" t="n">
        <v>11.02</v>
      </c>
      <c r="G2694" t="n">
        <v>13</v>
      </c>
      <c r="H2694">
        <f>הגדרות!B7</f>
        <v/>
      </c>
      <c r="I2694">
        <f>F2694*(1-H2694/100)*1.18</f>
        <v/>
      </c>
      <c r="J2694">
        <f>הגדרות!C7</f>
        <v/>
      </c>
      <c r="K2694">
        <f>הגדרות!D7</f>
        <v/>
      </c>
      <c r="L2694">
        <f>I2694*(1+J2694/100)+K2694</f>
        <v/>
      </c>
    </row>
    <row r="2695">
      <c r="A2695" t="inlineStr">
        <is>
          <t>מדי-מרקט</t>
        </is>
      </c>
      <c r="B2695" t="inlineStr">
        <is>
          <t>מזרק 10 מ"ל לואר-סליפ LATEX-FREE, מדיקפרו 100 יח'</t>
        </is>
      </c>
      <c r="C2695" t="inlineStr">
        <is>
          <t>מזרקים,מחטים,ונפלונים,סקלפלים</t>
        </is>
      </c>
      <c r="D2695" t="inlineStr">
        <is>
          <t>300-004</t>
        </is>
      </c>
      <c r="E2695" t="inlineStr">
        <is>
          <t>2026-06</t>
        </is>
      </c>
      <c r="F2695" t="n">
        <v>11.47</v>
      </c>
      <c r="G2695" t="n">
        <v>13.54</v>
      </c>
      <c r="H2695">
        <f>הגדרות!B7</f>
        <v/>
      </c>
      <c r="I2695">
        <f>F2695*(1-H2695/100)*1.18</f>
        <v/>
      </c>
      <c r="J2695">
        <f>הגדרות!C7</f>
        <v/>
      </c>
      <c r="K2695">
        <f>הגדרות!D7</f>
        <v/>
      </c>
      <c r="L2695">
        <f>I2695*(1+J2695/100)+K2695</f>
        <v/>
      </c>
    </row>
    <row r="2696">
      <c r="A2696" t="inlineStr">
        <is>
          <t>מדי-מרקט</t>
        </is>
      </c>
      <c r="B2696" t="inlineStr">
        <is>
          <t>מזרק 2.5 מ"ל + מחט "LATEX-FREE 21GX1 ירוק 100 יח' מדיקפרו</t>
        </is>
      </c>
      <c r="C2696" t="inlineStr">
        <is>
          <t>מזרקים,מחטים,ונפלונים,סקלפלים</t>
        </is>
      </c>
      <c r="D2696" t="inlineStr">
        <is>
          <t>300-006</t>
        </is>
      </c>
      <c r="E2696" t="inlineStr">
        <is>
          <t>2026-06</t>
        </is>
      </c>
      <c r="F2696" t="n">
        <v>8.109999999999999</v>
      </c>
      <c r="G2696" t="n">
        <v>9.57</v>
      </c>
      <c r="H2696">
        <f>הגדרות!B7</f>
        <v/>
      </c>
      <c r="I2696">
        <f>F2696*(1-H2696/100)*1.18</f>
        <v/>
      </c>
      <c r="J2696">
        <f>הגדרות!C7</f>
        <v/>
      </c>
      <c r="K2696">
        <f>הגדרות!D7</f>
        <v/>
      </c>
      <c r="L2696">
        <f>I2696*(1+J2696/100)+K2696</f>
        <v/>
      </c>
    </row>
    <row r="2697">
      <c r="A2697" t="inlineStr">
        <is>
          <t>מדי-מרקט</t>
        </is>
      </c>
      <c r="B2697" t="inlineStr">
        <is>
          <t>מזרק 2.5 מ"ל + מחט "LATEX-FREE 23G*1 כחול 100 יח' מדיקפרו</t>
        </is>
      </c>
      <c r="C2697" t="inlineStr">
        <is>
          <t>מזרקים,מחטים,ונפלונים,סקלפלים</t>
        </is>
      </c>
      <c r="D2697" t="inlineStr">
        <is>
          <t>300-110</t>
        </is>
      </c>
      <c r="E2697" t="inlineStr">
        <is>
          <t>2026-06</t>
        </is>
      </c>
      <c r="F2697" t="n">
        <v>8.140000000000001</v>
      </c>
      <c r="G2697" t="n">
        <v>9.6</v>
      </c>
      <c r="H2697">
        <f>הגדרות!B7</f>
        <v/>
      </c>
      <c r="I2697">
        <f>F2697*(1-H2697/100)*1.18</f>
        <v/>
      </c>
      <c r="J2697">
        <f>הגדרות!C7</f>
        <v/>
      </c>
      <c r="K2697">
        <f>הגדרות!D7</f>
        <v/>
      </c>
      <c r="L2697">
        <f>I2697*(1+J2697/100)+K2697</f>
        <v/>
      </c>
    </row>
    <row r="2698">
      <c r="A2698" t="inlineStr">
        <is>
          <t>מדי-מרקט</t>
        </is>
      </c>
      <c r="B2698" t="inlineStr">
        <is>
          <t>מזרק 2.5 מ"ל לואר-לוק 100 LATEX-FREE יח' מדיקפרו</t>
        </is>
      </c>
      <c r="C2698" t="inlineStr">
        <is>
          <t>מזרקים,מחטים,ונפלונים,סקלפלים</t>
        </is>
      </c>
      <c r="D2698" t="inlineStr">
        <is>
          <t>300-020</t>
        </is>
      </c>
      <c r="E2698" t="inlineStr">
        <is>
          <t>2026-06</t>
        </is>
      </c>
      <c r="F2698" t="n">
        <v>12.71</v>
      </c>
      <c r="G2698" t="n">
        <v>15</v>
      </c>
      <c r="H2698">
        <f>הגדרות!B7</f>
        <v/>
      </c>
      <c r="I2698">
        <f>F2698*(1-H2698/100)*1.18</f>
        <v/>
      </c>
      <c r="J2698">
        <f>הגדרות!C7</f>
        <v/>
      </c>
      <c r="K2698">
        <f>הגדרות!D7</f>
        <v/>
      </c>
      <c r="L2698">
        <f>I2698*(1+J2698/100)+K2698</f>
        <v/>
      </c>
    </row>
    <row r="2699">
      <c r="A2699" t="inlineStr">
        <is>
          <t>מדי-מרקט</t>
        </is>
      </c>
      <c r="B2699" t="inlineStr">
        <is>
          <t>מזרק 2.5 מ"ל לואר-סליפ 100 LATEX-FREE יח' מדיקפרו</t>
        </is>
      </c>
      <c r="C2699" t="inlineStr">
        <is>
          <t>מזרקים,מחטים,ונפלונים,סקלפלים</t>
        </is>
      </c>
      <c r="D2699" t="inlineStr">
        <is>
          <t>300-015</t>
        </is>
      </c>
      <c r="E2699" t="inlineStr">
        <is>
          <t>2026-06</t>
        </is>
      </c>
      <c r="F2699" t="n">
        <v>7.14</v>
      </c>
      <c r="G2699" t="n">
        <v>8.42</v>
      </c>
      <c r="H2699">
        <f>הגדרות!B7</f>
        <v/>
      </c>
      <c r="I2699">
        <f>F2699*(1-H2699/100)*1.18</f>
        <v/>
      </c>
      <c r="J2699">
        <f>הגדרות!C7</f>
        <v/>
      </c>
      <c r="K2699">
        <f>הגדרות!D7</f>
        <v/>
      </c>
      <c r="L2699">
        <f>I2699*(1+J2699/100)+K2699</f>
        <v/>
      </c>
    </row>
    <row r="2700">
      <c r="A2700" t="inlineStr">
        <is>
          <t>מדי-מרקט</t>
        </is>
      </c>
      <c r="B2700" t="inlineStr">
        <is>
          <t>מזרק 20 מ"ל לואר-לוק 1/50 LATEX-FREE מדיקפרו</t>
        </is>
      </c>
      <c r="C2700" t="inlineStr">
        <is>
          <t>מזרקים,מחטים,ונפלונים,סקלפלים</t>
        </is>
      </c>
      <c r="D2700" t="inlineStr">
        <is>
          <t>300-023</t>
        </is>
      </c>
      <c r="E2700" t="inlineStr">
        <is>
          <t>2026-06</t>
        </is>
      </c>
      <c r="F2700" t="n">
        <v>8.76</v>
      </c>
      <c r="G2700" t="n">
        <v>10.34</v>
      </c>
      <c r="H2700">
        <f>הגדרות!B7</f>
        <v/>
      </c>
      <c r="I2700">
        <f>F2700*(1-H2700/100)*1.18</f>
        <v/>
      </c>
      <c r="J2700">
        <f>הגדרות!C7</f>
        <v/>
      </c>
      <c r="K2700">
        <f>הגדרות!D7</f>
        <v/>
      </c>
      <c r="L2700">
        <f>I2700*(1+J2700/100)+K2700</f>
        <v/>
      </c>
    </row>
    <row r="2701">
      <c r="A2701" t="inlineStr">
        <is>
          <t>מדי-מרקט</t>
        </is>
      </c>
      <c r="B2701" t="inlineStr">
        <is>
          <t>מזרק 20 מ"ל לואר-סליפ LATEX-FREE, מדיקפרו 50 יח'</t>
        </is>
      </c>
      <c r="C2701" t="inlineStr">
        <is>
          <t>מזרקים,מחטים,ונפלונים,סקלפלים</t>
        </is>
      </c>
      <c r="D2701" t="inlineStr">
        <is>
          <t>300-005</t>
        </is>
      </c>
      <c r="E2701" t="inlineStr">
        <is>
          <t>2026-06</t>
        </is>
      </c>
      <c r="F2701" t="n">
        <v>8.69</v>
      </c>
      <c r="G2701" t="n">
        <v>10.25</v>
      </c>
      <c r="H2701">
        <f>הגדרות!B7</f>
        <v/>
      </c>
      <c r="I2701">
        <f>F2701*(1-H2701/100)*1.18</f>
        <v/>
      </c>
      <c r="J2701">
        <f>הגדרות!C7</f>
        <v/>
      </c>
      <c r="K2701">
        <f>הגדרות!D7</f>
        <v/>
      </c>
      <c r="L2701">
        <f>I2701*(1+J2701/100)+K2701</f>
        <v/>
      </c>
    </row>
    <row r="2702">
      <c r="A2702" t="inlineStr">
        <is>
          <t>מדי-מרקט</t>
        </is>
      </c>
      <c r="B2702" t="inlineStr">
        <is>
          <t>מזרק 3 מ"ל לואר-סליפ 100 LATEX-FREE יח' מדיקפרו</t>
        </is>
      </c>
      <c r="C2702" t="inlineStr">
        <is>
          <t>מזרקים,מחטים,ונפלונים,סקלפלים</t>
        </is>
      </c>
      <c r="D2702" t="inlineStr">
        <is>
          <t>300-017</t>
        </is>
      </c>
      <c r="E2702" t="inlineStr">
        <is>
          <t>2026-06</t>
        </is>
      </c>
      <c r="F2702" t="n">
        <v>6.7</v>
      </c>
      <c r="G2702" t="n">
        <v>7.91</v>
      </c>
      <c r="H2702">
        <f>הגדרות!B7</f>
        <v/>
      </c>
      <c r="I2702">
        <f>F2702*(1-H2702/100)*1.18</f>
        <v/>
      </c>
      <c r="J2702">
        <f>הגדרות!C7</f>
        <v/>
      </c>
      <c r="K2702">
        <f>הגדרות!D7</f>
        <v/>
      </c>
      <c r="L2702">
        <f>I2702*(1+J2702/100)+K2702</f>
        <v/>
      </c>
    </row>
    <row r="2703">
      <c r="A2703" t="inlineStr">
        <is>
          <t>מדי-מרקט</t>
        </is>
      </c>
      <c r="B2703" t="inlineStr">
        <is>
          <t>מזרק 5 מ"ל LL EURO 125 S/C</t>
        </is>
      </c>
      <c r="C2703" t="inlineStr">
        <is>
          <t>מזרקים,מחטים,ונפלונים,סקלפלים</t>
        </is>
      </c>
      <c r="D2703" t="inlineStr">
        <is>
          <t>BD309649</t>
        </is>
      </c>
      <c r="E2703" t="inlineStr">
        <is>
          <t>2026-06</t>
        </is>
      </c>
      <c r="F2703" t="n">
        <v>78.39</v>
      </c>
      <c r="G2703" t="n">
        <v>92.5</v>
      </c>
      <c r="H2703">
        <f>הגדרות!B7</f>
        <v/>
      </c>
      <c r="I2703">
        <f>F2703*(1-H2703/100)*1.18</f>
        <v/>
      </c>
      <c r="J2703">
        <f>הגדרות!C7</f>
        <v/>
      </c>
      <c r="K2703">
        <f>הגדרות!D7</f>
        <v/>
      </c>
      <c r="L2703">
        <f>I2703*(1+J2703/100)+K2703</f>
        <v/>
      </c>
    </row>
    <row r="2704">
      <c r="A2704" t="inlineStr">
        <is>
          <t>מדי-מרקט</t>
        </is>
      </c>
      <c r="B2704" t="inlineStr">
        <is>
          <t>מזרק 5 מ"ל לואר-לוק 100 LATEX-FREE יח' מדיקפרו</t>
        </is>
      </c>
      <c r="C2704" t="inlineStr">
        <is>
          <t>מזרקים,מחטים,ונפלונים,סקלפלים</t>
        </is>
      </c>
      <c r="D2704" t="inlineStr">
        <is>
          <t>300-021</t>
        </is>
      </c>
      <c r="E2704" t="inlineStr">
        <is>
          <t>2026-06</t>
        </is>
      </c>
      <c r="F2704" t="n">
        <v>8.1</v>
      </c>
      <c r="G2704" t="n">
        <v>9.56</v>
      </c>
      <c r="H2704">
        <f>הגדרות!B7</f>
        <v/>
      </c>
      <c r="I2704">
        <f>F2704*(1-H2704/100)*1.18</f>
        <v/>
      </c>
      <c r="J2704">
        <f>הגדרות!C7</f>
        <v/>
      </c>
      <c r="K2704">
        <f>הגדרות!D7</f>
        <v/>
      </c>
      <c r="L2704">
        <f>I2704*(1+J2704/100)+K2704</f>
        <v/>
      </c>
    </row>
    <row r="2705">
      <c r="A2705" t="inlineStr">
        <is>
          <t>מדי-מרקט</t>
        </is>
      </c>
      <c r="B2705" t="inlineStr">
        <is>
          <t>מזרק 5 מ"ל לואר-סליפ 100 LATEX-FREE יח' מדיקפרו</t>
        </is>
      </c>
      <c r="C2705" t="inlineStr">
        <is>
          <t>מזרקים,מחטים,ונפלונים,סקלפלים</t>
        </is>
      </c>
      <c r="D2705" t="inlineStr">
        <is>
          <t>300-303</t>
        </is>
      </c>
      <c r="E2705" t="inlineStr">
        <is>
          <t>2026-06</t>
        </is>
      </c>
      <c r="F2705" t="n">
        <v>8.130000000000001</v>
      </c>
      <c r="G2705" t="n">
        <v>9.59</v>
      </c>
      <c r="H2705">
        <f>הגדרות!B7</f>
        <v/>
      </c>
      <c r="I2705">
        <f>F2705*(1-H2705/100)*1.18</f>
        <v/>
      </c>
      <c r="J2705">
        <f>הגדרות!C7</f>
        <v/>
      </c>
      <c r="K2705">
        <f>הגדרות!D7</f>
        <v/>
      </c>
      <c r="L2705">
        <f>I2705*(1+J2705/100)+K2705</f>
        <v/>
      </c>
    </row>
    <row r="2706">
      <c r="A2706" t="inlineStr">
        <is>
          <t>מדי-מרקט</t>
        </is>
      </c>
      <c r="B2706" t="inlineStr">
        <is>
          <t>מזרק 50 מ"ל להזרקה לואר לוק 1 יח' BD</t>
        </is>
      </c>
      <c r="C2706" t="inlineStr">
        <is>
          <t>מזרקים,מחטים,ונפלונים,סקלפלים</t>
        </is>
      </c>
      <c r="D2706" t="inlineStr">
        <is>
          <t>5820</t>
        </is>
      </c>
      <c r="E2706" t="inlineStr">
        <is>
          <t>2026-06</t>
        </is>
      </c>
      <c r="F2706" t="n">
        <v>5.34</v>
      </c>
      <c r="G2706" t="n">
        <v>6.3</v>
      </c>
      <c r="H2706">
        <f>הגדרות!B7</f>
        <v/>
      </c>
      <c r="I2706">
        <f>F2706*(1-H2706/100)*1.18</f>
        <v/>
      </c>
      <c r="J2706">
        <f>הגדרות!C7</f>
        <v/>
      </c>
      <c r="K2706">
        <f>הגדרות!D7</f>
        <v/>
      </c>
      <c r="L2706">
        <f>I2706*(1+J2706/100)+K2706</f>
        <v/>
      </c>
    </row>
    <row r="2707">
      <c r="A2707" t="inlineStr">
        <is>
          <t>מדי-מרקט</t>
        </is>
      </c>
      <c r="B2707" t="inlineStr">
        <is>
          <t>מזרק 50 מ"ל לואר לוק 1 LATEX-FREE יחידה מדיקפרו</t>
        </is>
      </c>
      <c r="C2707" t="inlineStr">
        <is>
          <t>מזרקים,מחטים,ונפלונים,סקלפלים</t>
        </is>
      </c>
      <c r="D2707" t="inlineStr">
        <is>
          <t>4061</t>
        </is>
      </c>
      <c r="E2707" t="inlineStr">
        <is>
          <t>2026-06</t>
        </is>
      </c>
      <c r="F2707" t="n">
        <v>0.59</v>
      </c>
      <c r="G2707" t="n">
        <v>0.7</v>
      </c>
      <c r="H2707">
        <f>הגדרות!B7</f>
        <v/>
      </c>
      <c r="I2707">
        <f>F2707*(1-H2707/100)*1.18</f>
        <v/>
      </c>
      <c r="J2707">
        <f>הגדרות!C7</f>
        <v/>
      </c>
      <c r="K2707">
        <f>הגדרות!D7</f>
        <v/>
      </c>
      <c r="L2707">
        <f>I2707*(1+J2707/100)+K2707</f>
        <v/>
      </c>
    </row>
    <row r="2708">
      <c r="A2708" t="inlineStr">
        <is>
          <t>מדי-מרקט</t>
        </is>
      </c>
      <c r="B2708" t="inlineStr">
        <is>
          <t>מזרק 50/60 מ"ל לואר-סליפ 1 LATEX-FREE יחידה מדיקפרו</t>
        </is>
      </c>
      <c r="C2708" t="inlineStr">
        <is>
          <t>מזרקים,מחטים,ונפלונים,סקלפלים</t>
        </is>
      </c>
      <c r="D2708" t="inlineStr">
        <is>
          <t>4060</t>
        </is>
      </c>
      <c r="E2708" t="inlineStr">
        <is>
          <t>2026-06</t>
        </is>
      </c>
      <c r="F2708" t="n">
        <v>0.41</v>
      </c>
      <c r="G2708" t="n">
        <v>0.48</v>
      </c>
      <c r="H2708">
        <f>הגדרות!B7</f>
        <v/>
      </c>
      <c r="I2708">
        <f>F2708*(1-H2708/100)*1.18</f>
        <v/>
      </c>
      <c r="J2708">
        <f>הגדרות!C7</f>
        <v/>
      </c>
      <c r="K2708">
        <f>הגדרות!D7</f>
        <v/>
      </c>
      <c r="L2708">
        <f>I2708*(1+J2708/100)+K2708</f>
        <v/>
      </c>
    </row>
    <row r="2709">
      <c r="A2709" t="inlineStr">
        <is>
          <t>מדי-מרקט</t>
        </is>
      </c>
      <c r="B2709" t="inlineStr">
        <is>
          <t>מזרק 60/50 מ"ל לשטיפה 1 LATEX-FREE יחידה מדיקפרו</t>
        </is>
      </c>
      <c r="C2709" t="inlineStr">
        <is>
          <t>מזרקים,מחטים,ונפלונים,סקלפלים</t>
        </is>
      </c>
      <c r="D2709" t="inlineStr">
        <is>
          <t>4057</t>
        </is>
      </c>
      <c r="E2709" t="inlineStr">
        <is>
          <t>2026-06</t>
        </is>
      </c>
      <c r="F2709" t="n">
        <v>0.41</v>
      </c>
      <c r="G2709" t="n">
        <v>0.48</v>
      </c>
      <c r="H2709">
        <f>הגדרות!B7</f>
        <v/>
      </c>
      <c r="I2709">
        <f>F2709*(1-H2709/100)*1.18</f>
        <v/>
      </c>
      <c r="J2709">
        <f>הגדרות!C7</f>
        <v/>
      </c>
      <c r="K2709">
        <f>הגדרות!D7</f>
        <v/>
      </c>
      <c r="L2709">
        <f>I2709*(1+J2709/100)+K2709</f>
        <v/>
      </c>
    </row>
    <row r="2710">
      <c r="A2710" t="inlineStr">
        <is>
          <t>מדי-מרקט</t>
        </is>
      </c>
      <c r="B2710" t="inlineStr">
        <is>
          <t>מזרק BD Plastipak 20 מ"ל עם חיבור 120 X Luer-Lok</t>
        </is>
      </c>
      <c r="C2710" t="inlineStr">
        <is>
          <t>מזרקים,מחטים,ונפלונים,סקלפלים</t>
        </is>
      </c>
      <c r="D2710" t="inlineStr">
        <is>
          <t>BD300629</t>
        </is>
      </c>
      <c r="E2710" t="inlineStr">
        <is>
          <t>2026-06</t>
        </is>
      </c>
      <c r="F2710" t="n">
        <v>175.85</v>
      </c>
      <c r="G2710" t="n">
        <v>207.5</v>
      </c>
      <c r="H2710">
        <f>הגדרות!B7</f>
        <v/>
      </c>
      <c r="I2710">
        <f>F2710*(1-H2710/100)*1.18</f>
        <v/>
      </c>
      <c r="J2710">
        <f>הגדרות!C7</f>
        <v/>
      </c>
      <c r="K2710">
        <f>הגדרות!D7</f>
        <v/>
      </c>
      <c r="L2710">
        <f>I2710*(1+J2710/100)+K2710</f>
        <v/>
      </c>
    </row>
    <row r="2711">
      <c r="A2711" t="inlineStr">
        <is>
          <t>מדי-מרקט</t>
        </is>
      </c>
      <c r="B2711" t="inlineStr">
        <is>
          <t>מזרק BIG תוך גרמי לילד - ביג</t>
        </is>
      </c>
      <c r="C2711" t="inlineStr">
        <is>
          <t>מזרקים,מחטים,ונפלונים,סקלפלים</t>
        </is>
      </c>
      <c r="D2711" t="inlineStr">
        <is>
          <t>300-503</t>
        </is>
      </c>
      <c r="E2711" t="inlineStr">
        <is>
          <t>2026-06</t>
        </is>
      </c>
      <c r="F2711" t="n">
        <v>337.5</v>
      </c>
      <c r="G2711" t="n">
        <v>398.25</v>
      </c>
      <c r="H2711">
        <f>הגדרות!B7</f>
        <v/>
      </c>
      <c r="I2711">
        <f>F2711*(1-H2711/100)*1.18</f>
        <v/>
      </c>
      <c r="J2711">
        <f>הגדרות!C7</f>
        <v/>
      </c>
      <c r="K2711">
        <f>הגדרות!D7</f>
        <v/>
      </c>
      <c r="L2711">
        <f>I2711*(1+J2711/100)+K2711</f>
        <v/>
      </c>
    </row>
    <row r="2712">
      <c r="A2712" t="inlineStr">
        <is>
          <t>מדי-מרקט</t>
        </is>
      </c>
      <c r="B2712" t="inlineStr">
        <is>
          <t>מזרק אינסולין 0.3 מ"ל מחט קבועה 100 30G X 8M יח' מדיקפרו</t>
        </is>
      </c>
      <c r="C2712" t="inlineStr">
        <is>
          <t>מזרקים,מחטים,ונפלונים,סקלפלים</t>
        </is>
      </c>
      <c r="D2712" t="inlineStr">
        <is>
          <t>300-026</t>
        </is>
      </c>
      <c r="E2712" t="inlineStr">
        <is>
          <t>2026-06</t>
        </is>
      </c>
      <c r="F2712" t="n">
        <v>17.23</v>
      </c>
      <c r="G2712" t="n">
        <v>20.33</v>
      </c>
      <c r="H2712">
        <f>הגדרות!B7</f>
        <v/>
      </c>
      <c r="I2712">
        <f>F2712*(1-H2712/100)*1.18</f>
        <v/>
      </c>
      <c r="J2712">
        <f>הגדרות!C7</f>
        <v/>
      </c>
      <c r="K2712">
        <f>הגדרות!D7</f>
        <v/>
      </c>
      <c r="L2712">
        <f>I2712*(1+J2712/100)+K2712</f>
        <v/>
      </c>
    </row>
    <row r="2713">
      <c r="A2713" t="inlineStr">
        <is>
          <t>מדי-מרקט</t>
        </is>
      </c>
      <c r="B2713" t="inlineStr">
        <is>
          <t>מזרק אינסולין 0.5 מ"ל מחט קבועה 100 31G X 8MM יח' מדיקפרו</t>
        </is>
      </c>
      <c r="C2713" t="inlineStr">
        <is>
          <t>מזרקים,מחטים,ונפלונים,סקלפלים</t>
        </is>
      </c>
      <c r="D2713" t="inlineStr">
        <is>
          <t>300-024</t>
        </is>
      </c>
      <c r="E2713" t="inlineStr">
        <is>
          <t>2026-06</t>
        </is>
      </c>
      <c r="F2713" t="n">
        <v>23.73</v>
      </c>
      <c r="G2713" t="n">
        <v>28</v>
      </c>
      <c r="H2713">
        <f>הגדרות!B7</f>
        <v/>
      </c>
      <c r="I2713">
        <f>F2713*(1-H2713/100)*1.18</f>
        <v/>
      </c>
      <c r="J2713">
        <f>הגדרות!C7</f>
        <v/>
      </c>
      <c r="K2713">
        <f>הגדרות!D7</f>
        <v/>
      </c>
      <c r="L2713">
        <f>I2713*(1+J2713/100)+K2713</f>
        <v/>
      </c>
    </row>
    <row r="2714">
      <c r="A2714" t="inlineStr">
        <is>
          <t>מדי-מרקט</t>
        </is>
      </c>
      <c r="B2714" t="inlineStr">
        <is>
          <t>מזרק אינסולין 1 מ"ל מחט קבועה "100 28G X 0.5 יח' מדיקפרו</t>
        </is>
      </c>
      <c r="C2714" t="inlineStr">
        <is>
          <t>מזרקים,מחטים,ונפלונים,סקלפלים</t>
        </is>
      </c>
      <c r="D2714" t="inlineStr">
        <is>
          <t>300-025</t>
        </is>
      </c>
      <c r="E2714" t="inlineStr">
        <is>
          <t>2026-06</t>
        </is>
      </c>
      <c r="F2714" t="n">
        <v>14.14</v>
      </c>
      <c r="G2714" t="n">
        <v>16.69</v>
      </c>
      <c r="H2714">
        <f>הגדרות!B7</f>
        <v/>
      </c>
      <c r="I2714">
        <f>F2714*(1-H2714/100)*1.18</f>
        <v/>
      </c>
      <c r="J2714">
        <f>הגדרות!C7</f>
        <v/>
      </c>
      <c r="K2714">
        <f>הגדרות!D7</f>
        <v/>
      </c>
      <c r="L2714">
        <f>I2714*(1+J2714/100)+K2714</f>
        <v/>
      </c>
    </row>
    <row r="2715">
      <c r="A2715" t="inlineStr">
        <is>
          <t>מדי-מרקט</t>
        </is>
      </c>
      <c r="B2715" t="inlineStr">
        <is>
          <t>מזרק האכלה להכנות + מתאם עם חור לבקבוק 28 מ"מ</t>
        </is>
      </c>
      <c r="C2715" t="inlineStr">
        <is>
          <t>אריזה בימ"ק שנייה מדבקה פנימית</t>
        </is>
      </c>
      <c r="D2715" t="inlineStr">
        <is>
          <t>52308</t>
        </is>
      </c>
      <c r="E2715" t="inlineStr">
        <is>
          <t>2026-06</t>
        </is>
      </c>
      <c r="F2715" t="n">
        <v>3.31</v>
      </c>
      <c r="G2715" t="n">
        <v>3.9</v>
      </c>
      <c r="H2715">
        <f>הגדרות!B7</f>
        <v/>
      </c>
      <c r="I2715">
        <f>F2715*(1-H2715/100)*1.18</f>
        <v/>
      </c>
      <c r="J2715">
        <f>הגדרות!C7</f>
        <v/>
      </c>
      <c r="K2715">
        <f>הגדרות!D7</f>
        <v/>
      </c>
      <c r="L2715">
        <f>I2715*(1+J2715/100)+K2715</f>
        <v/>
      </c>
    </row>
    <row r="2716">
      <c r="A2716" t="inlineStr">
        <is>
          <t>מדי-מרקט</t>
        </is>
      </c>
      <c r="B2716" t="inlineStr">
        <is>
          <t>מזרק טוברקולין 1 מ"ל לואר-סליפ 100 LATEX-FREE יח' מדיקפרו</t>
        </is>
      </c>
      <c r="C2716" t="inlineStr">
        <is>
          <t>מזרקים,מחטים,ונפלונים,סקלפלים</t>
        </is>
      </c>
      <c r="D2716" t="inlineStr">
        <is>
          <t>200-103</t>
        </is>
      </c>
      <c r="E2716" t="inlineStr">
        <is>
          <t>2026-06</t>
        </is>
      </c>
      <c r="F2716" t="n">
        <v>7.48</v>
      </c>
      <c r="G2716" t="n">
        <v>8.83</v>
      </c>
      <c r="H2716">
        <f>הגדרות!B7</f>
        <v/>
      </c>
      <c r="I2716">
        <f>F2716*(1-H2716/100)*1.18</f>
        <v/>
      </c>
      <c r="J2716">
        <f>הגדרות!C7</f>
        <v/>
      </c>
      <c r="K2716">
        <f>הגדרות!D7</f>
        <v/>
      </c>
      <c r="L2716">
        <f>I2716*(1+J2716/100)+K2716</f>
        <v/>
      </c>
    </row>
    <row r="2717">
      <c r="A2717" t="inlineStr">
        <is>
          <t>מדי-מרקט</t>
        </is>
      </c>
      <c r="B2717" t="inlineStr">
        <is>
          <t>מזרק לעירוי תוך גרמי BIG (מבוגר )</t>
        </is>
      </c>
      <c r="C2717" t="inlineStr">
        <is>
          <t>מזרקים,מחטים,ונפלונים,סקלפלים</t>
        </is>
      </c>
      <c r="D2717" t="inlineStr">
        <is>
          <t>2519</t>
        </is>
      </c>
      <c r="E2717" t="inlineStr">
        <is>
          <t>2026-06</t>
        </is>
      </c>
      <c r="F2717" t="n">
        <v>337.5</v>
      </c>
      <c r="G2717" t="n">
        <v>398.25</v>
      </c>
      <c r="H2717">
        <f>הגדרות!B7</f>
        <v/>
      </c>
      <c r="I2717">
        <f>F2717*(1-H2717/100)*1.18</f>
        <v/>
      </c>
      <c r="J2717">
        <f>הגדרות!C7</f>
        <v/>
      </c>
      <c r="K2717">
        <f>הגדרות!D7</f>
        <v/>
      </c>
      <c r="L2717">
        <f>I2717*(1+J2717/100)+K2717</f>
        <v/>
      </c>
    </row>
    <row r="2718">
      <c r="A2718" t="inlineStr">
        <is>
          <t>מדי-מרקט</t>
        </is>
      </c>
      <c r="B2718" t="inlineStr">
        <is>
          <t>מחבר / פיה ירוקה למחולל חמצן</t>
        </is>
      </c>
      <c r="C2718" t="inlineStr">
        <is>
          <t>דיאגנוסטיקה</t>
        </is>
      </c>
      <c r="D2718" t="inlineStr">
        <is>
          <t>6352362</t>
        </is>
      </c>
      <c r="E2718" t="inlineStr">
        <is>
          <t>2026-06</t>
        </is>
      </c>
      <c r="F2718" t="n">
        <v>29.66</v>
      </c>
      <c r="G2718" t="n">
        <v>35</v>
      </c>
      <c r="H2718">
        <f>הגדרות!B7</f>
        <v/>
      </c>
      <c r="I2718">
        <f>F2718*(1-H2718/100)*1.18</f>
        <v/>
      </c>
      <c r="J2718">
        <f>הגדרות!C7</f>
        <v/>
      </c>
      <c r="K2718">
        <f>הגדרות!D7</f>
        <v/>
      </c>
      <c r="L2718">
        <f>I2718*(1+J2718/100)+K2718</f>
        <v/>
      </c>
    </row>
    <row r="2719">
      <c r="A2719" t="inlineStr">
        <is>
          <t>מדי-מרקט</t>
        </is>
      </c>
      <c r="B2719" t="inlineStr">
        <is>
          <t>מחבר חמצן זוית להרדמה 15-22 מ"מ</t>
        </is>
      </c>
      <c r="C2719" t="inlineStr">
        <is>
          <t>אביזרים להרדמה</t>
        </is>
      </c>
      <c r="D2719" t="inlineStr">
        <is>
          <t>15221</t>
        </is>
      </c>
      <c r="E2719" t="inlineStr">
        <is>
          <t>2026-06</t>
        </is>
      </c>
      <c r="F2719" t="n">
        <v>24.58</v>
      </c>
      <c r="G2719" t="n">
        <v>29</v>
      </c>
      <c r="H2719">
        <f>הגדרות!B7</f>
        <v/>
      </c>
      <c r="I2719">
        <f>F2719*(1-H2719/100)*1.18</f>
        <v/>
      </c>
      <c r="J2719">
        <f>הגדרות!C7</f>
        <v/>
      </c>
      <c r="K2719">
        <f>הגדרות!D7</f>
        <v/>
      </c>
      <c r="L2719">
        <f>I2719*(1+J2719/100)+K2719</f>
        <v/>
      </c>
    </row>
    <row r="2720">
      <c r="A2720" t="inlineStr">
        <is>
          <t>מדי-מרקט</t>
        </is>
      </c>
      <c r="B2720" t="inlineStr">
        <is>
          <t>מחדיר טבליות קצה רך ווטרי', כחול, 10 יח' באריזה</t>
        </is>
      </c>
      <c r="C2720" t="inlineStr">
        <is>
          <t>ציוד ומכשור רפואי</t>
        </is>
      </c>
      <c r="D2720" t="inlineStr">
        <is>
          <t>500-155</t>
        </is>
      </c>
      <c r="E2720" t="inlineStr">
        <is>
          <t>2026-06</t>
        </is>
      </c>
      <c r="F2720" t="n">
        <v>127.12</v>
      </c>
      <c r="G2720" t="n">
        <v>150</v>
      </c>
      <c r="H2720">
        <f>הגדרות!B7</f>
        <v/>
      </c>
      <c r="I2720">
        <f>F2720*(1-H2720/100)*1.18</f>
        <v/>
      </c>
      <c r="J2720">
        <f>הגדרות!C7</f>
        <v/>
      </c>
      <c r="K2720">
        <f>הגדרות!D7</f>
        <v/>
      </c>
      <c r="L2720">
        <f>I2720*(1+J2720/100)+K2720</f>
        <v/>
      </c>
    </row>
    <row r="2721">
      <c r="A2721" t="inlineStr">
        <is>
          <t>מדי-מרקט</t>
        </is>
      </c>
      <c r="B2721" t="inlineStr">
        <is>
          <t>מחולל חמצן 10 ליטר NUVO</t>
        </is>
      </c>
      <c r="C2721" t="inlineStr">
        <is>
          <t>ציוד ומכשור רפואי</t>
        </is>
      </c>
      <c r="D2721" t="inlineStr">
        <is>
          <t>NID-1005</t>
        </is>
      </c>
      <c r="E2721" t="inlineStr">
        <is>
          <t>2026-06</t>
        </is>
      </c>
      <c r="F2721" t="n">
        <v>5847.46</v>
      </c>
      <c r="G2721" t="n">
        <v>6900</v>
      </c>
      <c r="H2721">
        <f>הגדרות!B7</f>
        <v/>
      </c>
      <c r="I2721">
        <f>F2721*(1-H2721/100)*1.18</f>
        <v/>
      </c>
      <c r="J2721">
        <f>הגדרות!C7</f>
        <v/>
      </c>
      <c r="K2721">
        <f>הגדרות!D7</f>
        <v/>
      </c>
      <c r="L2721">
        <f>I2721*(1+J2721/100)+K2721</f>
        <v/>
      </c>
    </row>
    <row r="2722">
      <c r="A2722" t="inlineStr">
        <is>
          <t>מדי-מרקט</t>
        </is>
      </c>
      <c r="B2722" t="inlineStr">
        <is>
          <t>מחולל חמצן 5 OXYTEC 5-S ליטר בדקה 93-96% חמצן</t>
        </is>
      </c>
      <c r="C2722" t="inlineStr">
        <is>
          <t>עירוי הרדמה והנשמה</t>
        </is>
      </c>
      <c r="D2722" t="inlineStr">
        <is>
          <t>66558</t>
        </is>
      </c>
      <c r="E2722" t="inlineStr">
        <is>
          <t>2026-06</t>
        </is>
      </c>
      <c r="F2722" t="n">
        <v>2110.17</v>
      </c>
      <c r="G2722" t="n">
        <v>2490</v>
      </c>
      <c r="H2722">
        <f>הגדרות!B7</f>
        <v/>
      </c>
      <c r="I2722">
        <f>F2722*(1-H2722/100)*1.18</f>
        <v/>
      </c>
      <c r="J2722">
        <f>הגדרות!C7</f>
        <v/>
      </c>
      <c r="K2722">
        <f>הגדרות!D7</f>
        <v/>
      </c>
      <c r="L2722">
        <f>I2722*(1+J2722/100)+K2722</f>
        <v/>
      </c>
    </row>
    <row r="2723">
      <c r="A2723" t="inlineStr">
        <is>
          <t>מדי-מרקט</t>
        </is>
      </c>
      <c r="B2723" t="inlineStr">
        <is>
          <t>מחזיק מחט מוזהב חותך Needle Holder Olsen-Hegar 14cm</t>
        </is>
      </c>
      <c r="C2723" t="inlineStr">
        <is>
          <t>כלים כירורגיים</t>
        </is>
      </c>
      <c r="D2723" t="inlineStr">
        <is>
          <t>10198</t>
        </is>
      </c>
      <c r="E2723" t="inlineStr">
        <is>
          <t>2026-06</t>
        </is>
      </c>
      <c r="F2723" t="n">
        <v>46.95</v>
      </c>
      <c r="G2723" t="n">
        <v>55.4</v>
      </c>
      <c r="H2723">
        <f>הגדרות!B7</f>
        <v/>
      </c>
      <c r="I2723">
        <f>F2723*(1-H2723/100)*1.18</f>
        <v/>
      </c>
      <c r="J2723">
        <f>הגדרות!C7</f>
        <v/>
      </c>
      <c r="K2723">
        <f>הגדרות!D7</f>
        <v/>
      </c>
      <c r="L2723">
        <f>I2723*(1+J2723/100)+K2723</f>
        <v/>
      </c>
    </row>
    <row r="2724">
      <c r="A2724" t="inlineStr">
        <is>
          <t>מדי-מרקט</t>
        </is>
      </c>
      <c r="B2724" t="inlineStr">
        <is>
          <t>מחזיק מחט מוזהב חותך Needle Holder Olsen-Hegar 16cm</t>
        </is>
      </c>
      <c r="C2724" t="inlineStr">
        <is>
          <t>כלים כירורגיים</t>
        </is>
      </c>
      <c r="D2724" t="inlineStr">
        <is>
          <t>10199</t>
        </is>
      </c>
      <c r="E2724" t="inlineStr">
        <is>
          <t>2026-06</t>
        </is>
      </c>
      <c r="F2724" t="n">
        <v>51.31</v>
      </c>
      <c r="G2724" t="n">
        <v>60.55</v>
      </c>
      <c r="H2724">
        <f>הגדרות!B7</f>
        <v/>
      </c>
      <c r="I2724">
        <f>F2724*(1-H2724/100)*1.18</f>
        <v/>
      </c>
      <c r="J2724">
        <f>הגדרות!C7</f>
        <v/>
      </c>
      <c r="K2724">
        <f>הגדרות!D7</f>
        <v/>
      </c>
      <c r="L2724">
        <f>I2724*(1+J2724/100)+K2724</f>
        <v/>
      </c>
    </row>
    <row r="2725">
      <c r="A2725" t="inlineStr">
        <is>
          <t>מדי-מרקט</t>
        </is>
      </c>
      <c r="B2725" t="inlineStr">
        <is>
          <t>מחט NDL 23GX1" BLUE BX100</t>
        </is>
      </c>
      <c r="C2725" t="inlineStr">
        <is>
          <t>מזרקים,מחטים,ונפלונים,סקלפלים</t>
        </is>
      </c>
      <c r="D2725" t="inlineStr">
        <is>
          <t>BD300800</t>
        </is>
      </c>
      <c r="E2725" t="inlineStr">
        <is>
          <t>2026-06</t>
        </is>
      </c>
      <c r="F2725" t="n">
        <v>11.31</v>
      </c>
      <c r="G2725" t="n">
        <v>13.35</v>
      </c>
      <c r="H2725">
        <f>הגדרות!B7</f>
        <v/>
      </c>
      <c r="I2725">
        <f>F2725*(1-H2725/100)*1.18</f>
        <v/>
      </c>
      <c r="J2725">
        <f>הגדרות!C7</f>
        <v/>
      </c>
      <c r="K2725">
        <f>הגדרות!D7</f>
        <v/>
      </c>
      <c r="L2725">
        <f>I2725*(1+J2725/100)+K2725</f>
        <v/>
      </c>
    </row>
    <row r="2726">
      <c r="A2726" t="inlineStr">
        <is>
          <t>מדי-מרקט</t>
        </is>
      </c>
      <c r="B2726" t="inlineStr">
        <is>
          <t>מחט NDL 30GX1/2" YELLOW BX100</t>
        </is>
      </c>
      <c r="C2726" t="inlineStr">
        <is>
          <t>מזרקים,מחטים,ונפלונים,סקלפלים</t>
        </is>
      </c>
      <c r="D2726" t="inlineStr">
        <is>
          <t>BD304000</t>
        </is>
      </c>
      <c r="E2726" t="inlineStr">
        <is>
          <t>2026-06</t>
        </is>
      </c>
      <c r="F2726" t="n">
        <v>29.68</v>
      </c>
      <c r="G2726" t="n">
        <v>35.02</v>
      </c>
      <c r="H2726">
        <f>הגדרות!B7</f>
        <v/>
      </c>
      <c r="I2726">
        <f>F2726*(1-H2726/100)*1.18</f>
        <v/>
      </c>
      <c r="J2726">
        <f>הגדרות!C7</f>
        <v/>
      </c>
      <c r="K2726">
        <f>הגדרות!D7</f>
        <v/>
      </c>
      <c r="L2726">
        <f>I2726*(1+J2726/100)+K2726</f>
        <v/>
      </c>
    </row>
    <row r="2727">
      <c r="A2727" t="inlineStr">
        <is>
          <t>מדי-מרקט</t>
        </is>
      </c>
      <c r="B2727" t="inlineStr">
        <is>
          <t>מחט לואקוטיינר ח.פ B.D 1/100 21*1.5 -ירוק</t>
        </is>
      </c>
      <c r="C2727" t="inlineStr">
        <is>
          <t>מזרקים,מחטים,ונפלונים,סקלפלים</t>
        </is>
      </c>
      <c r="D2727" t="inlineStr">
        <is>
          <t>BD360213</t>
        </is>
      </c>
      <c r="E2727" t="inlineStr">
        <is>
          <t>2026-06</t>
        </is>
      </c>
      <c r="F2727" t="n">
        <v>55.08</v>
      </c>
      <c r="G2727" t="n">
        <v>65</v>
      </c>
      <c r="H2727">
        <f>הגדרות!B7</f>
        <v/>
      </c>
      <c r="I2727">
        <f>F2727*(1-H2727/100)*1.18</f>
        <v/>
      </c>
      <c r="J2727">
        <f>הגדרות!C7</f>
        <v/>
      </c>
      <c r="K2727">
        <f>הגדרות!D7</f>
        <v/>
      </c>
      <c r="L2727">
        <f>I2727*(1+J2727/100)+K2727</f>
        <v/>
      </c>
    </row>
    <row r="2728">
      <c r="A2728" t="inlineStr">
        <is>
          <t>מדי-מרקט</t>
        </is>
      </c>
      <c r="B2728" t="inlineStr">
        <is>
          <t>מחט לואקוטיינרVAC360747NDL Vet 18G/1" PINK 1/100</t>
        </is>
      </c>
      <c r="C2728" t="inlineStr">
        <is>
          <t>מזרקים,מחטים,ונפלונים,סקלפלים</t>
        </is>
      </c>
      <c r="D2728" t="inlineStr">
        <is>
          <t>5566-18</t>
        </is>
      </c>
      <c r="E2728" t="inlineStr">
        <is>
          <t>2026-06</t>
        </is>
      </c>
      <c r="F2728" t="n">
        <v>72.03</v>
      </c>
      <c r="G2728" t="n">
        <v>85</v>
      </c>
      <c r="H2728">
        <f>הגדרות!B7</f>
        <v/>
      </c>
      <c r="I2728">
        <f>F2728*(1-H2728/100)*1.18</f>
        <v/>
      </c>
      <c r="J2728">
        <f>הגדרות!C7</f>
        <v/>
      </c>
      <c r="K2728">
        <f>הגדרות!D7</f>
        <v/>
      </c>
      <c r="L2728">
        <f>I2728*(1+J2728/100)+K2728</f>
        <v/>
      </c>
    </row>
    <row r="2729">
      <c r="A2729" t="inlineStr">
        <is>
          <t>מדי-מרקט</t>
        </is>
      </c>
      <c r="B2729" t="inlineStr">
        <is>
          <t>מחט לניקוז חזה</t>
        </is>
      </c>
      <c r="C2729" t="inlineStr">
        <is>
          <t>מזרקים,מחטים,ונפלונים,סקלפלים</t>
        </is>
      </c>
      <c r="D2729" t="inlineStr">
        <is>
          <t>21065</t>
        </is>
      </c>
      <c r="E2729" t="inlineStr">
        <is>
          <t>2026-06</t>
        </is>
      </c>
      <c r="F2729" t="n">
        <v>125.85</v>
      </c>
      <c r="G2729" t="n">
        <v>148.5</v>
      </c>
      <c r="H2729">
        <f>הגדרות!B7</f>
        <v/>
      </c>
      <c r="I2729">
        <f>F2729*(1-H2729/100)*1.18</f>
        <v/>
      </c>
      <c r="J2729">
        <f>הגדרות!C7</f>
        <v/>
      </c>
      <c r="K2729">
        <f>הגדרות!D7</f>
        <v/>
      </c>
      <c r="L2729">
        <f>I2729*(1+J2729/100)+K2729</f>
        <v/>
      </c>
    </row>
    <row r="2730">
      <c r="A2730" t="inlineStr">
        <is>
          <t>מדי-מרקט</t>
        </is>
      </c>
      <c r="B2730" t="inlineStr">
        <is>
          <t>מחט לניקוז חזה וייגון Vygon</t>
        </is>
      </c>
      <c r="C2730" t="inlineStr">
        <is>
          <t>ציוד ומכשור רפואי</t>
        </is>
      </c>
      <c r="D2730" t="inlineStr">
        <is>
          <t>2105</t>
        </is>
      </c>
      <c r="E2730" t="inlineStr">
        <is>
          <t>2026-06</t>
        </is>
      </c>
      <c r="F2730" t="n">
        <v>58.47</v>
      </c>
      <c r="G2730" t="n">
        <v>69</v>
      </c>
      <c r="H2730">
        <f>הגדרות!B7</f>
        <v/>
      </c>
      <c r="I2730">
        <f>F2730*(1-H2730/100)*1.18</f>
        <v/>
      </c>
      <c r="J2730">
        <f>הגדרות!C7</f>
        <v/>
      </c>
      <c r="K2730">
        <f>הגדרות!D7</f>
        <v/>
      </c>
      <c r="L2730">
        <f>I2730*(1+J2730/100)+K2730</f>
        <v/>
      </c>
    </row>
    <row r="2731">
      <c r="A2731" t="inlineStr">
        <is>
          <t>מדי-מרקט</t>
        </is>
      </c>
      <c r="B2731" t="inlineStr">
        <is>
          <t>מחט לעט אינסולין 32G X 4MM 1/100</t>
        </is>
      </c>
      <c r="C2731" t="inlineStr">
        <is>
          <t>מזרקים,מחטים,ונפלונים,סקלפלים</t>
        </is>
      </c>
      <c r="D2731" t="inlineStr">
        <is>
          <t>2733</t>
        </is>
      </c>
      <c r="E2731" t="inlineStr">
        <is>
          <t>2026-06</t>
        </is>
      </c>
      <c r="F2731" t="n">
        <v>18.64</v>
      </c>
      <c r="G2731" t="n">
        <v>22</v>
      </c>
      <c r="H2731">
        <f>הגדרות!B7</f>
        <v/>
      </c>
      <c r="I2731">
        <f>F2731*(1-H2731/100)*1.18</f>
        <v/>
      </c>
      <c r="J2731">
        <f>הגדרות!C7</f>
        <v/>
      </c>
      <c r="K2731">
        <f>הגדרות!D7</f>
        <v/>
      </c>
      <c r="L2731">
        <f>I2731*(1+J2731/100)+K2731</f>
        <v/>
      </c>
    </row>
    <row r="2732">
      <c r="A2732" t="inlineStr">
        <is>
          <t>מדי-מרקט</t>
        </is>
      </c>
      <c r="B2732" t="inlineStr">
        <is>
          <t>מחט לעט אינסולין 32G X 8MM 1/100</t>
        </is>
      </c>
      <c r="C2732" t="inlineStr">
        <is>
          <t>מזרקים,מחטים,ונפלונים,סקלפלים</t>
        </is>
      </c>
      <c r="D2732" t="inlineStr">
        <is>
          <t>2732</t>
        </is>
      </c>
      <c r="E2732" t="inlineStr">
        <is>
          <t>2026-06</t>
        </is>
      </c>
      <c r="F2732" t="n">
        <v>18.64</v>
      </c>
      <c r="G2732" t="n">
        <v>22</v>
      </c>
      <c r="H2732">
        <f>הגדרות!B7</f>
        <v/>
      </c>
      <c r="I2732">
        <f>F2732*(1-H2732/100)*1.18</f>
        <v/>
      </c>
      <c r="J2732">
        <f>הגדרות!C7</f>
        <v/>
      </c>
      <c r="K2732">
        <f>הגדרות!D7</f>
        <v/>
      </c>
      <c r="L2732">
        <f>I2732*(1+J2732/100)+K2732</f>
        <v/>
      </c>
    </row>
    <row r="2733">
      <c r="A2733" t="inlineStr">
        <is>
          <t>מדי-מרקט</t>
        </is>
      </c>
      <c r="B2733" t="inlineStr">
        <is>
          <t>מחט לעט אינסולין BD PEN NDL 31*5MM 1/100</t>
        </is>
      </c>
      <c r="C2733" t="inlineStr">
        <is>
          <t>ציוד ומכשור רפואי</t>
        </is>
      </c>
      <c r="D2733" t="inlineStr">
        <is>
          <t>320212</t>
        </is>
      </c>
      <c r="E2733" t="inlineStr">
        <is>
          <t>2026-06</t>
        </is>
      </c>
      <c r="F2733" t="n">
        <v>114.41</v>
      </c>
      <c r="G2733" t="n">
        <v>135</v>
      </c>
      <c r="H2733">
        <f>הגדרות!B7</f>
        <v/>
      </c>
      <c r="I2733">
        <f>F2733*(1-H2733/100)*1.18</f>
        <v/>
      </c>
      <c r="J2733">
        <f>הגדרות!C7</f>
        <v/>
      </c>
      <c r="K2733">
        <f>הגדרות!D7</f>
        <v/>
      </c>
      <c r="L2733">
        <f>I2733*(1+J2733/100)+K2733</f>
        <v/>
      </c>
    </row>
    <row r="2734">
      <c r="A2734" t="inlineStr">
        <is>
          <t>מדי-מרקט</t>
        </is>
      </c>
      <c r="B2734" t="inlineStr">
        <is>
          <t>מחט ספינלית 1 יחידה 22G שחורה mm90</t>
        </is>
      </c>
      <c r="C2734" t="inlineStr">
        <is>
          <t>מזרקים,מחטים,ונפלונים,סקלפלים</t>
        </is>
      </c>
      <c r="D2734" t="inlineStr">
        <is>
          <t>32177</t>
        </is>
      </c>
      <c r="E2734" t="inlineStr">
        <is>
          <t>2026-06</t>
        </is>
      </c>
      <c r="F2734" t="n">
        <v>5.59</v>
      </c>
      <c r="G2734" t="n">
        <v>6.6</v>
      </c>
      <c r="H2734">
        <f>הגדרות!B7</f>
        <v/>
      </c>
      <c r="I2734">
        <f>F2734*(1-H2734/100)*1.18</f>
        <v/>
      </c>
      <c r="J2734">
        <f>הגדרות!C7</f>
        <v/>
      </c>
      <c r="K2734">
        <f>הגדרות!D7</f>
        <v/>
      </c>
      <c r="L2734">
        <f>I2734*(1+J2734/100)+K2734</f>
        <v/>
      </c>
    </row>
    <row r="2735">
      <c r="A2735" t="inlineStr">
        <is>
          <t>מדי-מרקט</t>
        </is>
      </c>
      <c r="B2735" t="inlineStr">
        <is>
          <t>מחט ספינלית 1 יחידה mm90 21G</t>
        </is>
      </c>
      <c r="C2735" t="inlineStr">
        <is>
          <t>מזרקים,מחטים,ונפלונים,סקלפלים</t>
        </is>
      </c>
      <c r="D2735" t="inlineStr">
        <is>
          <t>3220</t>
        </is>
      </c>
      <c r="E2735" t="inlineStr">
        <is>
          <t>2026-06</t>
        </is>
      </c>
      <c r="F2735" t="n">
        <v>5.57</v>
      </c>
      <c r="G2735" t="n">
        <v>6.57</v>
      </c>
      <c r="H2735">
        <f>הגדרות!B7</f>
        <v/>
      </c>
      <c r="I2735">
        <f>F2735*(1-H2735/100)*1.18</f>
        <v/>
      </c>
      <c r="J2735">
        <f>הגדרות!C7</f>
        <v/>
      </c>
      <c r="K2735">
        <f>הגדרות!D7</f>
        <v/>
      </c>
      <c r="L2735">
        <f>I2735*(1+J2735/100)+K2735</f>
        <v/>
      </c>
    </row>
    <row r="2736">
      <c r="A2736" t="inlineStr">
        <is>
          <t>מדי-מרקט</t>
        </is>
      </c>
      <c r="B2736" t="inlineStr">
        <is>
          <t>מחט פרפר 19G ,מדיקפרו 1 יח'</t>
        </is>
      </c>
      <c r="C2736" t="inlineStr">
        <is>
          <t>מזרקים,מחטים,ונפלונים,סקלפלים</t>
        </is>
      </c>
      <c r="D2736" t="inlineStr">
        <is>
          <t>200-098</t>
        </is>
      </c>
      <c r="E2736" t="inlineStr">
        <is>
          <t>2026-06</t>
        </is>
      </c>
      <c r="F2736" t="n">
        <v>0.18</v>
      </c>
      <c r="G2736" t="n">
        <v>0.21</v>
      </c>
      <c r="H2736">
        <f>הגדרות!B7</f>
        <v/>
      </c>
      <c r="I2736">
        <f>F2736*(1-H2736/100)*1.18</f>
        <v/>
      </c>
      <c r="J2736">
        <f>הגדרות!C7</f>
        <v/>
      </c>
      <c r="K2736">
        <f>הגדרות!D7</f>
        <v/>
      </c>
      <c r="L2736">
        <f>I2736*(1+J2736/100)+K2736</f>
        <v/>
      </c>
    </row>
    <row r="2737">
      <c r="A2737" t="inlineStr">
        <is>
          <t>מדי-מרקט</t>
        </is>
      </c>
      <c r="B2737" t="inlineStr">
        <is>
          <t>מחט פרפר 21G ירוק ,מדיקפרו 1 יח'</t>
        </is>
      </c>
      <c r="C2737" t="inlineStr">
        <is>
          <t>מזרקים,מחטים,ונפלונים,סקלפלים</t>
        </is>
      </c>
      <c r="D2737" t="inlineStr">
        <is>
          <t>200-100</t>
        </is>
      </c>
      <c r="E2737" t="inlineStr">
        <is>
          <t>2026-06</t>
        </is>
      </c>
      <c r="F2737" t="n">
        <v>0.13</v>
      </c>
      <c r="G2737" t="n">
        <v>0.15</v>
      </c>
      <c r="H2737">
        <f>הגדרות!B7</f>
        <v/>
      </c>
      <c r="I2737">
        <f>F2737*(1-H2737/100)*1.18</f>
        <v/>
      </c>
      <c r="J2737">
        <f>הגדרות!C7</f>
        <v/>
      </c>
      <c r="K2737">
        <f>הגדרות!D7</f>
        <v/>
      </c>
      <c r="L2737">
        <f>I2737*(1+J2737/100)+K2737</f>
        <v/>
      </c>
    </row>
    <row r="2738">
      <c r="A2738" t="inlineStr">
        <is>
          <t>מדי-מרקט</t>
        </is>
      </c>
      <c r="B2738" t="inlineStr">
        <is>
          <t>מחט פרפר 23G כחול, מדיקפרו  1 יח'</t>
        </is>
      </c>
      <c r="C2738" t="inlineStr">
        <is>
          <t>מזרקים,מחטים,ונפלונים,סקלפלים</t>
        </is>
      </c>
      <c r="D2738" t="inlineStr">
        <is>
          <t>200-101</t>
        </is>
      </c>
      <c r="E2738" t="inlineStr">
        <is>
          <t>2026-06</t>
        </is>
      </c>
      <c r="F2738" t="n">
        <v>0.13</v>
      </c>
      <c r="G2738" t="n">
        <v>0.15</v>
      </c>
      <c r="H2738">
        <f>הגדרות!B7</f>
        <v/>
      </c>
      <c r="I2738">
        <f>F2738*(1-H2738/100)*1.18</f>
        <v/>
      </c>
      <c r="J2738">
        <f>הגדרות!C7</f>
        <v/>
      </c>
      <c r="K2738">
        <f>הגדרות!D7</f>
        <v/>
      </c>
      <c r="L2738">
        <f>I2738*(1+J2738/100)+K2738</f>
        <v/>
      </c>
    </row>
    <row r="2739">
      <c r="A2739" t="inlineStr">
        <is>
          <t>מדי-מרקט</t>
        </is>
      </c>
      <c r="B2739" t="inlineStr">
        <is>
          <t>מחט פרפר 25G כתום, מדיקפרו 1 יח'</t>
        </is>
      </c>
      <c r="C2739" t="inlineStr">
        <is>
          <t>מזרקים,מחטים,ונפלונים,סקלפלים</t>
        </is>
      </c>
      <c r="D2739" t="inlineStr">
        <is>
          <t>200-099</t>
        </is>
      </c>
      <c r="E2739" t="inlineStr">
        <is>
          <t>2026-06</t>
        </is>
      </c>
      <c r="F2739" t="n">
        <v>0.18</v>
      </c>
      <c r="G2739" t="n">
        <v>0.21</v>
      </c>
      <c r="H2739">
        <f>הגדרות!B7</f>
        <v/>
      </c>
      <c r="I2739">
        <f>F2739*(1-H2739/100)*1.18</f>
        <v/>
      </c>
      <c r="J2739">
        <f>הגדרות!C7</f>
        <v/>
      </c>
      <c r="K2739">
        <f>הגדרות!D7</f>
        <v/>
      </c>
      <c r="L2739">
        <f>I2739*(1+J2739/100)+K2739</f>
        <v/>
      </c>
    </row>
    <row r="2740">
      <c r="A2740" t="inlineStr">
        <is>
          <t>מדי-מרקט</t>
        </is>
      </c>
      <c r="B2740" t="inlineStr">
        <is>
          <t>מחטים "1.25*23 כחול 100 יח' מדיקפרו</t>
        </is>
      </c>
      <c r="C2740" t="inlineStr">
        <is>
          <t>מזרקים,מחטים,ונפלונים,סקלפלים</t>
        </is>
      </c>
      <c r="D2740" t="inlineStr">
        <is>
          <t>300-007</t>
        </is>
      </c>
      <c r="E2740" t="inlineStr">
        <is>
          <t>2026-06</t>
        </is>
      </c>
      <c r="F2740" t="n">
        <v>3.16</v>
      </c>
      <c r="G2740" t="n">
        <v>3.73</v>
      </c>
      <c r="H2740">
        <f>הגדרות!B7</f>
        <v/>
      </c>
      <c r="I2740">
        <f>F2740*(1-H2740/100)*1.18</f>
        <v/>
      </c>
      <c r="J2740">
        <f>הגדרות!C7</f>
        <v/>
      </c>
      <c r="K2740">
        <f>הגדרות!D7</f>
        <v/>
      </c>
      <c r="L2740">
        <f>I2740*(1+J2740/100)+K2740</f>
        <v/>
      </c>
    </row>
    <row r="2741">
      <c r="A2741" t="inlineStr">
        <is>
          <t>מדי-מרקט</t>
        </is>
      </c>
      <c r="B2741" t="inlineStr">
        <is>
          <t>מחטים "16G*1.5 לבן 100 יח' BD</t>
        </is>
      </c>
      <c r="C2741" t="inlineStr">
        <is>
          <t>מזרקים,מחטים,ונפלונים,סקלפלים</t>
        </is>
      </c>
      <c r="D2741" t="inlineStr">
        <is>
          <t>1491</t>
        </is>
      </c>
      <c r="E2741" t="inlineStr">
        <is>
          <t>2026-06</t>
        </is>
      </c>
      <c r="F2741" t="n">
        <v>26.67</v>
      </c>
      <c r="G2741" t="n">
        <v>31.47</v>
      </c>
      <c r="H2741">
        <f>הגדרות!B7</f>
        <v/>
      </c>
      <c r="I2741">
        <f>F2741*(1-H2741/100)*1.18</f>
        <v/>
      </c>
      <c r="J2741">
        <f>הגדרות!C7</f>
        <v/>
      </c>
      <c r="K2741">
        <f>הגדרות!D7</f>
        <v/>
      </c>
      <c r="L2741">
        <f>I2741*(1+J2741/100)+K2741</f>
        <v/>
      </c>
    </row>
    <row r="2742">
      <c r="A2742" t="inlineStr">
        <is>
          <t>מדי-מרקט</t>
        </is>
      </c>
      <c r="B2742" t="inlineStr">
        <is>
          <t>מחטים "18G*1.5 ורוד 100 יח' מדיקפרו</t>
        </is>
      </c>
      <c r="C2742" t="inlineStr">
        <is>
          <t>מזרקים,מחטים,ונפלונים,סקלפלים</t>
        </is>
      </c>
      <c r="D2742" t="inlineStr">
        <is>
          <t>300-012</t>
        </is>
      </c>
      <c r="E2742" t="inlineStr">
        <is>
          <t>2026-06</t>
        </is>
      </c>
      <c r="F2742" t="n">
        <v>3.8</v>
      </c>
      <c r="G2742" t="n">
        <v>4.48</v>
      </c>
      <c r="H2742">
        <f>הגדרות!B7</f>
        <v/>
      </c>
      <c r="I2742">
        <f>F2742*(1-H2742/100)*1.18</f>
        <v/>
      </c>
      <c r="J2742">
        <f>הגדרות!C7</f>
        <v/>
      </c>
      <c r="K2742">
        <f>הגדרות!D7</f>
        <v/>
      </c>
      <c r="L2742">
        <f>I2742*(1+J2742/100)+K2742</f>
        <v/>
      </c>
    </row>
    <row r="2743">
      <c r="A2743" t="inlineStr">
        <is>
          <t>מדי-מרקט</t>
        </is>
      </c>
      <c r="B2743" t="inlineStr">
        <is>
          <t>מחטים "19G*1.5 בז' 100 יח' מדיקפרו</t>
        </is>
      </c>
      <c r="C2743" t="inlineStr">
        <is>
          <t>מזרקים,מחטים,ונפלונים,סקלפלים</t>
        </is>
      </c>
      <c r="D2743" t="inlineStr">
        <is>
          <t>300-014</t>
        </is>
      </c>
      <c r="E2743" t="inlineStr">
        <is>
          <t>2026-06</t>
        </is>
      </c>
      <c r="F2743" t="n">
        <v>4.62</v>
      </c>
      <c r="G2743" t="n">
        <v>5.45</v>
      </c>
      <c r="H2743">
        <f>הגדרות!B7</f>
        <v/>
      </c>
      <c r="I2743">
        <f>F2743*(1-H2743/100)*1.18</f>
        <v/>
      </c>
      <c r="J2743">
        <f>הגדרות!C7</f>
        <v/>
      </c>
      <c r="K2743">
        <f>הגדרות!D7</f>
        <v/>
      </c>
      <c r="L2743">
        <f>I2743*(1+J2743/100)+K2743</f>
        <v/>
      </c>
    </row>
    <row r="2744">
      <c r="A2744" t="inlineStr">
        <is>
          <t>מדי-מרקט</t>
        </is>
      </c>
      <c r="B2744" t="inlineStr">
        <is>
          <t>מחטים "20G*1.5 צהוב 100 יח' מדיקפרו</t>
        </is>
      </c>
      <c r="C2744" t="inlineStr">
        <is>
          <t>מזרקים,מחטים,ונפלונים,סקלפלים</t>
        </is>
      </c>
      <c r="D2744" t="inlineStr">
        <is>
          <t>300-016</t>
        </is>
      </c>
      <c r="E2744" t="inlineStr">
        <is>
          <t>2026-06</t>
        </is>
      </c>
      <c r="F2744" t="n">
        <v>3.43</v>
      </c>
      <c r="G2744" t="n">
        <v>4.05</v>
      </c>
      <c r="H2744">
        <f>הגדרות!B7</f>
        <v/>
      </c>
      <c r="I2744">
        <f>F2744*(1-H2744/100)*1.18</f>
        <v/>
      </c>
      <c r="J2744">
        <f>הגדרות!C7</f>
        <v/>
      </c>
      <c r="K2744">
        <f>הגדרות!D7</f>
        <v/>
      </c>
      <c r="L2744">
        <f>I2744*(1+J2744/100)+K2744</f>
        <v/>
      </c>
    </row>
    <row r="2745">
      <c r="A2745" t="inlineStr">
        <is>
          <t>מדי-מרקט</t>
        </is>
      </c>
      <c r="B2745" t="inlineStr">
        <is>
          <t>מחטים "21G*1 ירוק 100 יח' מדיקפרו</t>
        </is>
      </c>
      <c r="C2745" t="inlineStr">
        <is>
          <t>מזרקים,מחטים,ונפלונים,סקלפלים</t>
        </is>
      </c>
      <c r="D2745" t="inlineStr">
        <is>
          <t>300-008</t>
        </is>
      </c>
      <c r="E2745" t="inlineStr">
        <is>
          <t>2026-06</t>
        </is>
      </c>
      <c r="F2745" t="n">
        <v>3.56</v>
      </c>
      <c r="G2745" t="n">
        <v>4.2</v>
      </c>
      <c r="H2745">
        <f>הגדרות!B7</f>
        <v/>
      </c>
      <c r="I2745">
        <f>F2745*(1-H2745/100)*1.18</f>
        <v/>
      </c>
      <c r="J2745">
        <f>הגדרות!C7</f>
        <v/>
      </c>
      <c r="K2745">
        <f>הגדרות!D7</f>
        <v/>
      </c>
      <c r="L2745">
        <f>I2745*(1+J2745/100)+K2745</f>
        <v/>
      </c>
    </row>
    <row r="2746">
      <c r="A2746" t="inlineStr">
        <is>
          <t>מדי-מרקט</t>
        </is>
      </c>
      <c r="B2746" t="inlineStr">
        <is>
          <t>מחטים "21G*1.5 ירוק 100 יח' מדיקפרו</t>
        </is>
      </c>
      <c r="C2746" t="inlineStr">
        <is>
          <t>מזרקים,מחטים,ונפלונים,סקלפלים</t>
        </is>
      </c>
      <c r="D2746" t="inlineStr">
        <is>
          <t>300-009</t>
        </is>
      </c>
      <c r="E2746" t="inlineStr">
        <is>
          <t>2026-06</t>
        </is>
      </c>
      <c r="F2746" t="n">
        <v>3.6</v>
      </c>
      <c r="G2746" t="n">
        <v>4.25</v>
      </c>
      <c r="H2746">
        <f>הגדרות!B7</f>
        <v/>
      </c>
      <c r="I2746">
        <f>F2746*(1-H2746/100)*1.18</f>
        <v/>
      </c>
      <c r="J2746">
        <f>הגדרות!C7</f>
        <v/>
      </c>
      <c r="K2746">
        <f>הגדרות!D7</f>
        <v/>
      </c>
      <c r="L2746">
        <f>I2746*(1+J2746/100)+K2746</f>
        <v/>
      </c>
    </row>
    <row r="2747">
      <c r="A2747" t="inlineStr">
        <is>
          <t>מדי-מרקט</t>
        </is>
      </c>
      <c r="B2747" t="inlineStr">
        <is>
          <t>מחטים "22G*1.5 שחור 100 יח' מדיקפרו</t>
        </is>
      </c>
      <c r="C2747" t="inlineStr">
        <is>
          <t>מזרקים,מחטים,ונפלונים,סקלפלים</t>
        </is>
      </c>
      <c r="D2747" t="inlineStr">
        <is>
          <t>300-013</t>
        </is>
      </c>
      <c r="E2747" t="inlineStr">
        <is>
          <t>2026-06</t>
        </is>
      </c>
      <c r="F2747" t="n">
        <v>3.37</v>
      </c>
      <c r="G2747" t="n">
        <v>3.98</v>
      </c>
      <c r="H2747">
        <f>הגדרות!B7</f>
        <v/>
      </c>
      <c r="I2747">
        <f>F2747*(1-H2747/100)*1.18</f>
        <v/>
      </c>
      <c r="J2747">
        <f>הגדרות!C7</f>
        <v/>
      </c>
      <c r="K2747">
        <f>הגדרות!D7</f>
        <v/>
      </c>
      <c r="L2747">
        <f>I2747*(1+J2747/100)+K2747</f>
        <v/>
      </c>
    </row>
    <row r="2748">
      <c r="A2748" t="inlineStr">
        <is>
          <t>מדי-מרקט</t>
        </is>
      </c>
      <c r="B2748" t="inlineStr">
        <is>
          <t>מחטים "23G*1 כחול 100 יח' מדיקפרו</t>
        </is>
      </c>
      <c r="C2748" t="inlineStr">
        <is>
          <t>מזרקים,מחטים,ונפלונים,סקלפלים</t>
        </is>
      </c>
      <c r="D2748" t="inlineStr">
        <is>
          <t>300-011</t>
        </is>
      </c>
      <c r="E2748" t="inlineStr">
        <is>
          <t>2026-06</t>
        </is>
      </c>
      <c r="F2748" t="n">
        <v>3.16</v>
      </c>
      <c r="G2748" t="n">
        <v>3.73</v>
      </c>
      <c r="H2748">
        <f>הגדרות!B7</f>
        <v/>
      </c>
      <c r="I2748">
        <f>F2748*(1-H2748/100)*1.18</f>
        <v/>
      </c>
      <c r="J2748">
        <f>הגדרות!C7</f>
        <v/>
      </c>
      <c r="K2748">
        <f>הגדרות!D7</f>
        <v/>
      </c>
      <c r="L2748">
        <f>I2748*(1+J2748/100)+K2748</f>
        <v/>
      </c>
    </row>
    <row r="2749">
      <c r="A2749" t="inlineStr">
        <is>
          <t>מדי-מרקט</t>
        </is>
      </c>
      <c r="B2749" t="inlineStr">
        <is>
          <t>מחטים "25G*5/8 כתום 100 יח' מדיקפרו</t>
        </is>
      </c>
      <c r="C2749" t="inlineStr">
        <is>
          <t>מזרקים,מחטים,ונפלונים,סקלפלים</t>
        </is>
      </c>
      <c r="D2749" t="inlineStr">
        <is>
          <t>300-010</t>
        </is>
      </c>
      <c r="E2749" t="inlineStr">
        <is>
          <t>2026-06</t>
        </is>
      </c>
      <c r="F2749" t="n">
        <v>2.91</v>
      </c>
      <c r="G2749" t="n">
        <v>3.43</v>
      </c>
      <c r="H2749">
        <f>הגדרות!B7</f>
        <v/>
      </c>
      <c r="I2749">
        <f>F2749*(1-H2749/100)*1.18</f>
        <v/>
      </c>
      <c r="J2749">
        <f>הגדרות!C7</f>
        <v/>
      </c>
      <c r="K2749">
        <f>הגדרות!D7</f>
        <v/>
      </c>
      <c r="L2749">
        <f>I2749*(1+J2749/100)+K2749</f>
        <v/>
      </c>
    </row>
    <row r="2750">
      <c r="A2750" t="inlineStr">
        <is>
          <t>מדי-מרקט</t>
        </is>
      </c>
      <c r="B2750" t="inlineStr">
        <is>
          <t>מחטים "27G*0.5 אפור 100 יח' מדיקפרו</t>
        </is>
      </c>
      <c r="C2750" t="inlineStr">
        <is>
          <t>מזרקים,מחטים,ונפלונים,סקלפלים</t>
        </is>
      </c>
      <c r="D2750" t="inlineStr">
        <is>
          <t>300-0182</t>
        </is>
      </c>
      <c r="E2750" t="inlineStr">
        <is>
          <t>2026-06</t>
        </is>
      </c>
      <c r="F2750" t="n">
        <v>3.34</v>
      </c>
      <c r="G2750" t="n">
        <v>3.94</v>
      </c>
      <c r="H2750">
        <f>הגדרות!B7</f>
        <v/>
      </c>
      <c r="I2750">
        <f>F2750*(1-H2750/100)*1.18</f>
        <v/>
      </c>
      <c r="J2750">
        <f>הגדרות!C7</f>
        <v/>
      </c>
      <c r="K2750">
        <f>הגדרות!D7</f>
        <v/>
      </c>
      <c r="L2750">
        <f>I2750*(1+J2750/100)+K2750</f>
        <v/>
      </c>
    </row>
    <row r="2751">
      <c r="A2751" t="inlineStr">
        <is>
          <t>מדי-מרקט</t>
        </is>
      </c>
      <c r="B2751" t="inlineStr">
        <is>
          <t>מחטים "30G*0.5 צהוב 100 יח' מדיקפרו</t>
        </is>
      </c>
      <c r="C2751" t="inlineStr">
        <is>
          <t>מזרקים,מחטים,ונפלונים,סקלפלים</t>
        </is>
      </c>
      <c r="D2751" t="inlineStr">
        <is>
          <t>300-0183</t>
        </is>
      </c>
      <c r="E2751" t="inlineStr">
        <is>
          <t>2026-06</t>
        </is>
      </c>
      <c r="F2751" t="n">
        <v>3.24</v>
      </c>
      <c r="G2751" t="n">
        <v>3.82</v>
      </c>
      <c r="H2751">
        <f>הגדרות!B7</f>
        <v/>
      </c>
      <c r="I2751">
        <f>F2751*(1-H2751/100)*1.18</f>
        <v/>
      </c>
      <c r="J2751">
        <f>הגדרות!C7</f>
        <v/>
      </c>
      <c r="K2751">
        <f>הגדרות!D7</f>
        <v/>
      </c>
      <c r="L2751">
        <f>I2751*(1+J2751/100)+K2751</f>
        <v/>
      </c>
    </row>
    <row r="2752">
      <c r="A2752" t="inlineStr">
        <is>
          <t>מדי-מרקט</t>
        </is>
      </c>
      <c r="B2752" t="inlineStr">
        <is>
          <t>מחטים 1.5*20  100 יח' מדי-פלוס</t>
        </is>
      </c>
      <c r="C2752" t="inlineStr">
        <is>
          <t>מזרקים,מחטים,ונפלונים,סקלפלים</t>
        </is>
      </c>
      <c r="D2752" t="inlineStr">
        <is>
          <t>23179</t>
        </is>
      </c>
      <c r="E2752" t="inlineStr">
        <is>
          <t>2026-06</t>
        </is>
      </c>
      <c r="F2752" t="n">
        <v>5.25</v>
      </c>
      <c r="G2752" t="n">
        <v>6.2</v>
      </c>
      <c r="H2752">
        <f>הגדרות!B7</f>
        <v/>
      </c>
      <c r="I2752">
        <f>F2752*(1-H2752/100)*1.18</f>
        <v/>
      </c>
      <c r="J2752">
        <f>הגדרות!C7</f>
        <v/>
      </c>
      <c r="K2752">
        <f>הגדרות!D7</f>
        <v/>
      </c>
      <c r="L2752">
        <f>I2752*(1+J2752/100)+K2752</f>
        <v/>
      </c>
    </row>
    <row r="2753">
      <c r="A2753" t="inlineStr">
        <is>
          <t>מדי-מרקט</t>
        </is>
      </c>
      <c r="B2753" t="inlineStr">
        <is>
          <t>מטליות אלכוהול לחיטוי עם אלוורה 160 יח'  מדיקפרו</t>
        </is>
      </c>
      <c r="C2753" t="inlineStr">
        <is>
          <t>מוצרי חיטוי ואנטיספטיקה</t>
        </is>
      </c>
      <c r="D2753" t="inlineStr">
        <is>
          <t>26555</t>
        </is>
      </c>
      <c r="E2753" t="inlineStr">
        <is>
          <t>2026-06</t>
        </is>
      </c>
      <c r="F2753" t="n">
        <v>8.81</v>
      </c>
      <c r="G2753" t="n">
        <v>10.4</v>
      </c>
      <c r="H2753">
        <f>הגדרות!B7</f>
        <v/>
      </c>
      <c r="I2753">
        <f>F2753*(1-H2753/100)*1.18</f>
        <v/>
      </c>
      <c r="J2753">
        <f>הגדרות!C7</f>
        <v/>
      </c>
      <c r="K2753">
        <f>הגדרות!D7</f>
        <v/>
      </c>
      <c r="L2753">
        <f>I2753*(1+J2753/100)+K2753</f>
        <v/>
      </c>
    </row>
    <row r="2754">
      <c r="A2754" t="inlineStr">
        <is>
          <t>מדי-מרקט</t>
        </is>
      </c>
      <c r="B2754" t="inlineStr">
        <is>
          <t>מטען לידית ליטיום לאוטוסקופ WLA719-DSK-3</t>
        </is>
      </c>
      <c r="C2754" t="inlineStr">
        <is>
          <t>ציוד ומכשור רפואי</t>
        </is>
      </c>
      <c r="D2754" t="inlineStr">
        <is>
          <t>71142</t>
        </is>
      </c>
      <c r="E2754" t="inlineStr">
        <is>
          <t>2026-06</t>
        </is>
      </c>
      <c r="F2754" t="n">
        <v>1097.46</v>
      </c>
      <c r="G2754" t="n">
        <v>1295</v>
      </c>
      <c r="H2754">
        <f>הגדרות!B7</f>
        <v/>
      </c>
      <c r="I2754">
        <f>F2754*(1-H2754/100)*1.18</f>
        <v/>
      </c>
      <c r="J2754">
        <f>הגדרות!C7</f>
        <v/>
      </c>
      <c r="K2754">
        <f>הגדרות!D7</f>
        <v/>
      </c>
      <c r="L2754">
        <f>I2754*(1+J2754/100)+K2754</f>
        <v/>
      </c>
    </row>
    <row r="2755">
      <c r="A2755" t="inlineStr">
        <is>
          <t>מדי-מרקט</t>
        </is>
      </c>
      <c r="B2755" t="inlineStr">
        <is>
          <t>מטען עבור מכשיר סטורציה גדולה EDAN h100b</t>
        </is>
      </c>
      <c r="C2755" t="inlineStr">
        <is>
          <t>ציוד ומכשור רפואי</t>
        </is>
      </c>
      <c r="D2755" t="inlineStr">
        <is>
          <t>6396532-1</t>
        </is>
      </c>
      <c r="E2755" t="inlineStr">
        <is>
          <t>2026-06</t>
        </is>
      </c>
      <c r="F2755" t="n">
        <v>417.93</v>
      </c>
      <c r="G2755" t="n">
        <v>493.16</v>
      </c>
      <c r="H2755">
        <f>הגדרות!B7</f>
        <v/>
      </c>
      <c r="I2755">
        <f>F2755*(1-H2755/100)*1.18</f>
        <v/>
      </c>
      <c r="J2755">
        <f>הגדרות!C7</f>
        <v/>
      </c>
      <c r="K2755">
        <f>הגדרות!D7</f>
        <v/>
      </c>
      <c r="L2755">
        <f>I2755*(1+J2755/100)+K2755</f>
        <v/>
      </c>
    </row>
    <row r="2756">
      <c r="A2756" t="inlineStr">
        <is>
          <t>מדי-מרקט</t>
        </is>
      </c>
      <c r="B2756" t="inlineStr">
        <is>
          <t>מי חמצן 1 לי' BP 3% -מדיקפרו</t>
        </is>
      </c>
      <c r="C2756" t="inlineStr">
        <is>
          <t>מוצרי חיטוי ואנטיספטיקה</t>
        </is>
      </c>
      <c r="D2756" t="inlineStr">
        <is>
          <t>2662</t>
        </is>
      </c>
      <c r="E2756" t="inlineStr">
        <is>
          <t>2026-06</t>
        </is>
      </c>
      <c r="F2756" t="n">
        <v>7.44</v>
      </c>
      <c r="G2756" t="n">
        <v>8.779999999999999</v>
      </c>
      <c r="H2756">
        <f>הגדרות!B7</f>
        <v/>
      </c>
      <c r="I2756">
        <f>F2756*(1-H2756/100)*1.18</f>
        <v/>
      </c>
      <c r="J2756">
        <f>הגדרות!C7</f>
        <v/>
      </c>
      <c r="K2756">
        <f>הגדרות!D7</f>
        <v/>
      </c>
      <c r="L2756">
        <f>I2756*(1+J2756/100)+K2756</f>
        <v/>
      </c>
    </row>
    <row r="2757">
      <c r="A2757" t="inlineStr">
        <is>
          <t>מדי-מרקט</t>
        </is>
      </c>
      <c r="B2757" t="inlineStr">
        <is>
          <t>מי חמצן 3% רפואי פלוריש 1 ליטר</t>
        </is>
      </c>
      <c r="C2757" t="inlineStr">
        <is>
          <t>תרופות</t>
        </is>
      </c>
      <c r="D2757" t="inlineStr">
        <is>
          <t>27966</t>
        </is>
      </c>
      <c r="E2757" t="inlineStr">
        <is>
          <t>2026-06</t>
        </is>
      </c>
      <c r="F2757" t="n">
        <v>13.25</v>
      </c>
      <c r="G2757" t="n">
        <v>15.63</v>
      </c>
      <c r="H2757">
        <f>הגדרות!B7</f>
        <v/>
      </c>
      <c r="I2757">
        <f>F2757*(1-H2757/100)*1.18</f>
        <v/>
      </c>
      <c r="J2757">
        <f>הגדרות!C7</f>
        <v/>
      </c>
      <c r="K2757">
        <f>הגדרות!D7</f>
        <v/>
      </c>
      <c r="L2757">
        <f>I2757*(1+J2757/100)+K2757</f>
        <v/>
      </c>
    </row>
    <row r="2758">
      <c r="A2758" t="inlineStr">
        <is>
          <t>מדי-מרקט</t>
        </is>
      </c>
      <c r="B2758" t="inlineStr">
        <is>
          <t>מיכל  רב  פעמי לסקשיין 1000 מ"ל + מכסה ומצוף+</t>
        </is>
      </c>
      <c r="C2758" t="inlineStr">
        <is>
          <t>ציוד ומכשור רפואי</t>
        </is>
      </c>
      <c r="D2758" t="inlineStr">
        <is>
          <t>3951</t>
        </is>
      </c>
      <c r="E2758" t="inlineStr">
        <is>
          <t>2026-06</t>
        </is>
      </c>
      <c r="F2758" t="n">
        <v>61.84</v>
      </c>
      <c r="G2758" t="n">
        <v>72.97</v>
      </c>
      <c r="H2758">
        <f>הגדרות!B7</f>
        <v/>
      </c>
      <c r="I2758">
        <f>F2758*(1-H2758/100)*1.18</f>
        <v/>
      </c>
      <c r="J2758">
        <f>הגדרות!C7</f>
        <v/>
      </c>
      <c r="K2758">
        <f>הגדרות!D7</f>
        <v/>
      </c>
      <c r="L2758">
        <f>I2758*(1+J2758/100)+K2758</f>
        <v/>
      </c>
    </row>
    <row r="2759">
      <c r="A2759" t="inlineStr">
        <is>
          <t>מדי-מרקט</t>
        </is>
      </c>
      <c r="B2759" t="inlineStr">
        <is>
          <t>מיכל חד פעמי לאיסוף שתן 2 ליטר   מק"ט 58-02000</t>
        </is>
      </c>
      <c r="C2759" t="inlineStr">
        <is>
          <t>ציוד מתכלה</t>
        </is>
      </c>
      <c r="D2759" t="inlineStr">
        <is>
          <t>5637</t>
        </is>
      </c>
      <c r="E2759" t="inlineStr">
        <is>
          <t>2026-06</t>
        </is>
      </c>
      <c r="F2759" t="n">
        <v>8.140000000000001</v>
      </c>
      <c r="G2759" t="n">
        <v>9.6</v>
      </c>
      <c r="H2759">
        <f>הגדרות!B7</f>
        <v/>
      </c>
      <c r="I2759">
        <f>F2759*(1-H2759/100)*1.18</f>
        <v/>
      </c>
      <c r="J2759">
        <f>הגדרות!C7</f>
        <v/>
      </c>
      <c r="K2759">
        <f>הגדרות!D7</f>
        <v/>
      </c>
      <c r="L2759">
        <f>I2759*(1+J2759/100)+K2759</f>
        <v/>
      </c>
    </row>
    <row r="2760">
      <c r="A2760" t="inlineStr">
        <is>
          <t>מדי-מרקט</t>
        </is>
      </c>
      <c r="B2760" t="inlineStr">
        <is>
          <t>מיכל חד פעמי לסקשיין 1200 מ"ל + מכסה ומצוף</t>
        </is>
      </c>
      <c r="C2760" t="inlineStr">
        <is>
          <t>ציוד מתכלה</t>
        </is>
      </c>
      <c r="D2760" t="inlineStr">
        <is>
          <t>5648</t>
        </is>
      </c>
      <c r="E2760" t="inlineStr">
        <is>
          <t>2026-06</t>
        </is>
      </c>
      <c r="F2760" t="n">
        <v>24.58</v>
      </c>
      <c r="G2760" t="n">
        <v>29</v>
      </c>
      <c r="H2760">
        <f>הגדרות!B7</f>
        <v/>
      </c>
      <c r="I2760">
        <f>F2760*(1-H2760/100)*1.18</f>
        <v/>
      </c>
      <c r="J2760">
        <f>הגדרות!C7</f>
        <v/>
      </c>
      <c r="K2760">
        <f>הגדרות!D7</f>
        <v/>
      </c>
      <c r="L2760">
        <f>I2760*(1+J2760/100)+K2760</f>
        <v/>
      </c>
    </row>
    <row r="2761">
      <c r="A2761" t="inlineStr">
        <is>
          <t>מדי-מרקט</t>
        </is>
      </c>
      <c r="B2761" t="inlineStr">
        <is>
          <t>מיכל חד פעמי לסקשיין 800 מ"ל + מכסה ומצוף</t>
        </is>
      </c>
      <c r="C2761" t="inlineStr">
        <is>
          <t>ציוד מתכלה</t>
        </is>
      </c>
      <c r="D2761" t="inlineStr">
        <is>
          <t>3952</t>
        </is>
      </c>
      <c r="E2761" t="inlineStr">
        <is>
          <t>2026-06</t>
        </is>
      </c>
      <c r="F2761" t="n">
        <v>23.73</v>
      </c>
      <c r="G2761" t="n">
        <v>28</v>
      </c>
      <c r="H2761">
        <f>הגדרות!B7</f>
        <v/>
      </c>
      <c r="I2761">
        <f>F2761*(1-H2761/100)*1.18</f>
        <v/>
      </c>
      <c r="J2761">
        <f>הגדרות!C7</f>
        <v/>
      </c>
      <c r="K2761">
        <f>הגדרות!D7</f>
        <v/>
      </c>
      <c r="L2761">
        <f>I2761*(1+J2761/100)+K2761</f>
        <v/>
      </c>
    </row>
    <row r="2762">
      <c r="A2762" t="inlineStr">
        <is>
          <t>מדי-מרקט</t>
        </is>
      </c>
      <c r="B2762" t="inlineStr">
        <is>
          <t>מים לשטיפה - STERILE WATER FOR IRRIG 1L Bottle</t>
        </is>
      </c>
      <c r="C2762" t="inlineStr">
        <is>
          <t>תמיסות לעירוי ושטיפה</t>
        </is>
      </c>
      <c r="D2762" t="inlineStr">
        <is>
          <t>4997</t>
        </is>
      </c>
      <c r="E2762" t="inlineStr">
        <is>
          <t>2026-06</t>
        </is>
      </c>
      <c r="F2762" t="n">
        <v>11.86</v>
      </c>
      <c r="G2762" t="n">
        <v>14</v>
      </c>
      <c r="H2762">
        <f>הגדרות!B7</f>
        <v/>
      </c>
      <c r="I2762">
        <f>F2762*(1-H2762/100)*1.18</f>
        <v/>
      </c>
      <c r="J2762">
        <f>הגדרות!C7</f>
        <v/>
      </c>
      <c r="K2762">
        <f>הגדרות!D7</f>
        <v/>
      </c>
      <c r="L2762">
        <f>I2762*(1+J2762/100)+K2762</f>
        <v/>
      </c>
    </row>
    <row r="2763">
      <c r="A2763" t="inlineStr">
        <is>
          <t>מדי-מרקט</t>
        </is>
      </c>
      <c r="B2763" t="inlineStr">
        <is>
          <t>מים מזוקקים 1 ליטר מדיקפרו</t>
        </is>
      </c>
      <c r="C2763" t="inlineStr">
        <is>
          <t>מוצרי חיטוי ואנטיספטיקה</t>
        </is>
      </c>
      <c r="D2763" t="inlineStr">
        <is>
          <t>10751</t>
        </is>
      </c>
      <c r="E2763" t="inlineStr">
        <is>
          <t>2026-06</t>
        </is>
      </c>
      <c r="F2763" t="n">
        <v>5.08</v>
      </c>
      <c r="G2763" t="n">
        <v>6</v>
      </c>
      <c r="H2763">
        <f>הגדרות!B7</f>
        <v/>
      </c>
      <c r="I2763">
        <f>F2763*(1-H2763/100)*1.18</f>
        <v/>
      </c>
      <c r="J2763">
        <f>הגדרות!C7</f>
        <v/>
      </c>
      <c r="K2763">
        <f>הגדרות!D7</f>
        <v/>
      </c>
      <c r="L2763">
        <f>I2763*(1+J2763/100)+K2763</f>
        <v/>
      </c>
    </row>
    <row r="2764">
      <c r="A2764" t="inlineStr">
        <is>
          <t>מדי-מרקט</t>
        </is>
      </c>
      <c r="B2764" t="inlineStr">
        <is>
          <t>מים מזוקקים 5 ליטר מדיקפרו</t>
        </is>
      </c>
      <c r="C2764" t="inlineStr">
        <is>
          <t>מוצרי חיטוי ואנטיספטיקה</t>
        </is>
      </c>
      <c r="D2764" t="inlineStr">
        <is>
          <t>2665</t>
        </is>
      </c>
      <c r="E2764" t="inlineStr">
        <is>
          <t>2026-06</t>
        </is>
      </c>
      <c r="F2764" t="n">
        <v>11.04</v>
      </c>
      <c r="G2764" t="n">
        <v>13.03</v>
      </c>
      <c r="H2764">
        <f>הגדרות!B7</f>
        <v/>
      </c>
      <c r="I2764">
        <f>F2764*(1-H2764/100)*1.18</f>
        <v/>
      </c>
      <c r="J2764">
        <f>הגדרות!C7</f>
        <v/>
      </c>
      <c r="K2764">
        <f>הגדרות!D7</f>
        <v/>
      </c>
      <c r="L2764">
        <f>I2764*(1+J2764/100)+K2764</f>
        <v/>
      </c>
    </row>
    <row r="2765">
      <c r="A2765" t="inlineStr">
        <is>
          <t>מדי-מרקט</t>
        </is>
      </c>
      <c r="B2765" t="inlineStr">
        <is>
          <t>מיקרוסקופ ביולוגי, בינוקולרי 4 הגדלות</t>
        </is>
      </c>
      <c r="C2765" t="inlineStr">
        <is>
          <t>מיקרוסקופים</t>
        </is>
      </c>
      <c r="D2765" t="inlineStr">
        <is>
          <t>A11.1007-17</t>
        </is>
      </c>
      <c r="E2765" t="inlineStr">
        <is>
          <t>2026-06</t>
        </is>
      </c>
      <c r="F2765" t="n">
        <v>1652.54</v>
      </c>
      <c r="G2765" t="n">
        <v>1950</v>
      </c>
      <c r="H2765">
        <f>הגדרות!B7</f>
        <v/>
      </c>
      <c r="I2765">
        <f>F2765*(1-H2765/100)*1.18</f>
        <v/>
      </c>
      <c r="J2765">
        <f>הגדרות!C7</f>
        <v/>
      </c>
      <c r="K2765">
        <f>הגדרות!D7</f>
        <v/>
      </c>
      <c r="L2765">
        <f>I2765*(1+J2765/100)+K2765</f>
        <v/>
      </c>
    </row>
    <row r="2766">
      <c r="A2766" t="inlineStr">
        <is>
          <t>מדי-מרקט</t>
        </is>
      </c>
      <c r="B2766" t="inlineStr">
        <is>
          <t>מיקרוסקופ ביולוגי,מסך LED בינוקולר 4 הגדלות PLAN</t>
        </is>
      </c>
      <c r="C2766" t="inlineStr">
        <is>
          <t>מיקרוסקופים</t>
        </is>
      </c>
      <c r="D2766" t="inlineStr">
        <is>
          <t>A12.0921-T</t>
        </is>
      </c>
      <c r="E2766" t="inlineStr">
        <is>
          <t>2026-06</t>
        </is>
      </c>
      <c r="F2766" t="n">
        <v>6694.92</v>
      </c>
      <c r="G2766" t="n">
        <v>7900</v>
      </c>
      <c r="H2766">
        <f>הגדרות!B7</f>
        <v/>
      </c>
      <c r="I2766">
        <f>F2766*(1-H2766/100)*1.18</f>
        <v/>
      </c>
      <c r="J2766">
        <f>הגדרות!C7</f>
        <v/>
      </c>
      <c r="K2766">
        <f>הגדרות!D7</f>
        <v/>
      </c>
      <c r="L2766">
        <f>I2766*(1+J2766/100)+K2766</f>
        <v/>
      </c>
    </row>
    <row r="2767">
      <c r="A2767" t="inlineStr">
        <is>
          <t>מדי-מרקט</t>
        </is>
      </c>
      <c r="B2767" t="inlineStr">
        <is>
          <t>מכוון טובוס בוז'י מקופל מוכן לשימוש</t>
        </is>
      </c>
      <c r="C2767" t="inlineStr">
        <is>
          <t>ציוד ומכשור רפואי</t>
        </is>
      </c>
      <c r="D2767" t="inlineStr">
        <is>
          <t>8624</t>
        </is>
      </c>
      <c r="E2767" t="inlineStr">
        <is>
          <t>2026-06</t>
        </is>
      </c>
      <c r="F2767" t="n">
        <v>20.47</v>
      </c>
      <c r="G2767" t="n">
        <v>24.15</v>
      </c>
      <c r="H2767">
        <f>הגדרות!B7</f>
        <v/>
      </c>
      <c r="I2767">
        <f>F2767*(1-H2767/100)*1.18</f>
        <v/>
      </c>
      <c r="J2767">
        <f>הגדרות!C7</f>
        <v/>
      </c>
      <c r="K2767">
        <f>הגדרות!D7</f>
        <v/>
      </c>
      <c r="L2767">
        <f>I2767*(1+J2767/100)+K2767</f>
        <v/>
      </c>
    </row>
    <row r="2768">
      <c r="A2768" t="inlineStr">
        <is>
          <t>מדי-מרקט</t>
        </is>
      </c>
      <c r="B2768" t="inlineStr">
        <is>
          <t>מכונת הרדמה וטרינרית VETA 5 MINDRAY</t>
        </is>
      </c>
      <c r="C2768" t="inlineStr">
        <is>
          <t>Mindray</t>
        </is>
      </c>
      <c r="D2768" t="inlineStr">
        <is>
          <t>0675B-CTO-S01</t>
        </is>
      </c>
      <c r="E2768" t="inlineStr">
        <is>
          <t>2026-06</t>
        </is>
      </c>
      <c r="F2768" t="n">
        <v>50762.71</v>
      </c>
      <c r="G2768" t="n">
        <v>59900</v>
      </c>
      <c r="H2768">
        <f>הגדרות!B7</f>
        <v/>
      </c>
      <c r="I2768">
        <f>F2768*(1-H2768/100)*1.18</f>
        <v/>
      </c>
      <c r="J2768">
        <f>הגדרות!C7</f>
        <v/>
      </c>
      <c r="K2768">
        <f>הגדרות!D7</f>
        <v/>
      </c>
      <c r="L2768">
        <f>I2768*(1+J2768/100)+K2768</f>
        <v/>
      </c>
    </row>
    <row r="2769">
      <c r="A2769" t="inlineStr">
        <is>
          <t>מדי-מרקט</t>
        </is>
      </c>
      <c r="B2769" t="inlineStr">
        <is>
          <t>מכונת הרדמה וטרינרית דגם 7600 חדש</t>
        </is>
      </c>
      <c r="C2769" t="inlineStr">
        <is>
          <t>עירוי הרדמה והנשמה</t>
        </is>
      </c>
      <c r="D2769" t="inlineStr">
        <is>
          <t>78855</t>
        </is>
      </c>
      <c r="E2769" t="inlineStr">
        <is>
          <t>2026-06</t>
        </is>
      </c>
      <c r="F2769" t="n">
        <v>8050.85</v>
      </c>
      <c r="G2769" t="n">
        <v>9500</v>
      </c>
      <c r="H2769">
        <f>הגדרות!B7</f>
        <v/>
      </c>
      <c r="I2769">
        <f>F2769*(1-H2769/100)*1.18</f>
        <v/>
      </c>
      <c r="J2769">
        <f>הגדרות!C7</f>
        <v/>
      </c>
      <c r="K2769">
        <f>הגדרות!D7</f>
        <v/>
      </c>
      <c r="L2769">
        <f>I2769*(1+J2769/100)+K2769</f>
        <v/>
      </c>
    </row>
    <row r="2770">
      <c r="A2770" t="inlineStr">
        <is>
          <t>מדי-מרקט</t>
        </is>
      </c>
      <c r="B2770" t="inlineStr">
        <is>
          <t>מכונת תספורת נטענת מוזר 1591 שחורה MOSER PRO DIAMOND</t>
        </is>
      </c>
      <c r="C2770" t="inlineStr">
        <is>
          <t>ציוד ומכשור רפואי</t>
        </is>
      </c>
      <c r="D2770" t="inlineStr">
        <is>
          <t>15910063</t>
        </is>
      </c>
      <c r="E2770" t="inlineStr">
        <is>
          <t>2026-06</t>
        </is>
      </c>
      <c r="F2770" t="n">
        <v>296.61</v>
      </c>
      <c r="G2770" t="n">
        <v>350</v>
      </c>
      <c r="H2770">
        <f>הגדרות!B7</f>
        <v/>
      </c>
      <c r="I2770">
        <f>F2770*(1-H2770/100)*1.18</f>
        <v/>
      </c>
      <c r="J2770">
        <f>הגדרות!C7</f>
        <v/>
      </c>
      <c r="K2770">
        <f>הגדרות!D7</f>
        <v/>
      </c>
      <c r="L2770">
        <f>I2770*(1+J2770/100)+K2770</f>
        <v/>
      </c>
    </row>
    <row r="2771">
      <c r="A2771" t="inlineStr">
        <is>
          <t>מדי-מרקט</t>
        </is>
      </c>
      <c r="B2771" t="inlineStr">
        <is>
          <t>מכסה לאוגר כביסה</t>
        </is>
      </c>
      <c r="C2771" t="inlineStr">
        <is>
          <t>ציוד ומכשור רפואי</t>
        </is>
      </c>
      <c r="D2771" t="inlineStr">
        <is>
          <t>10240</t>
        </is>
      </c>
      <c r="E2771" t="inlineStr">
        <is>
          <t>2026-06</t>
        </is>
      </c>
      <c r="F2771" t="n">
        <v>88.98</v>
      </c>
      <c r="G2771" t="n">
        <v>105</v>
      </c>
      <c r="H2771">
        <f>הגדרות!B7</f>
        <v/>
      </c>
      <c r="I2771">
        <f>F2771*(1-H2771/100)*1.18</f>
        <v/>
      </c>
      <c r="J2771">
        <f>הגדרות!C7</f>
        <v/>
      </c>
      <c r="K2771">
        <f>הגדרות!D7</f>
        <v/>
      </c>
      <c r="L2771">
        <f>I2771*(1+J2771/100)+K2771</f>
        <v/>
      </c>
    </row>
    <row r="2772">
      <c r="A2772" t="inlineStr">
        <is>
          <t>מדי-מרקט</t>
        </is>
      </c>
      <c r="B2772" t="inlineStr">
        <is>
          <t>מכשיר א.ק.ג 3 ערוצים BLT E30</t>
        </is>
      </c>
      <c r="C2772" t="inlineStr">
        <is>
          <t>ציוד ומכשור רפואי</t>
        </is>
      </c>
      <c r="D2772" t="inlineStr">
        <is>
          <t>6659</t>
        </is>
      </c>
      <c r="E2772" t="inlineStr">
        <is>
          <t>2026-06</t>
        </is>
      </c>
      <c r="F2772" t="n">
        <v>2173.56</v>
      </c>
      <c r="G2772" t="n">
        <v>2564.8</v>
      </c>
      <c r="H2772">
        <f>הגדרות!B7</f>
        <v/>
      </c>
      <c r="I2772">
        <f>F2772*(1-H2772/100)*1.18</f>
        <v/>
      </c>
      <c r="J2772">
        <f>הגדרות!C7</f>
        <v/>
      </c>
      <c r="K2772">
        <f>הגדרות!D7</f>
        <v/>
      </c>
      <c r="L2772">
        <f>I2772*(1+J2772/100)+K2772</f>
        <v/>
      </c>
    </row>
    <row r="2773">
      <c r="A2773" t="inlineStr">
        <is>
          <t>מדי-מרקט</t>
        </is>
      </c>
      <c r="B2773" t="inlineStr">
        <is>
          <t>מכשיר א.ק.ג. 3 ערוצים   EDAN - SE-1/SE-3</t>
        </is>
      </c>
      <c r="C2773" t="inlineStr">
        <is>
          <t>ציוד ומכשור רפואי</t>
        </is>
      </c>
      <c r="D2773" t="inlineStr">
        <is>
          <t>7071</t>
        </is>
      </c>
      <c r="E2773" t="inlineStr">
        <is>
          <t>2026-06</t>
        </is>
      </c>
      <c r="F2773" t="n">
        <v>1864.41</v>
      </c>
      <c r="G2773" t="n">
        <v>2200</v>
      </c>
      <c r="H2773">
        <f>הגדרות!B7</f>
        <v/>
      </c>
      <c r="I2773">
        <f>F2773*(1-H2773/100)*1.18</f>
        <v/>
      </c>
      <c r="J2773">
        <f>הגדרות!C7</f>
        <v/>
      </c>
      <c r="K2773">
        <f>הגדרות!D7</f>
        <v/>
      </c>
      <c r="L2773">
        <f>I2773*(1+J2773/100)+K2773</f>
        <v/>
      </c>
    </row>
    <row r="2774">
      <c r="A2774" t="inlineStr">
        <is>
          <t>מדי-מרקט</t>
        </is>
      </c>
      <c r="B2774" t="inlineStr">
        <is>
          <t>מכשיר אינהלציה ARIANNE POWER Norditalia</t>
        </is>
      </c>
      <c r="C2774" t="inlineStr">
        <is>
          <t>ציוד ומכשור רפואי</t>
        </is>
      </c>
      <c r="D2774" t="inlineStr">
        <is>
          <t>8100095117</t>
        </is>
      </c>
      <c r="E2774" t="inlineStr">
        <is>
          <t>2026-06</t>
        </is>
      </c>
      <c r="F2774" t="n">
        <v>70.67</v>
      </c>
      <c r="G2774" t="n">
        <v>83.39</v>
      </c>
      <c r="H2774">
        <f>הגדרות!B7</f>
        <v/>
      </c>
      <c r="I2774">
        <f>F2774*(1-H2774/100)*1.18</f>
        <v/>
      </c>
      <c r="J2774">
        <f>הגדרות!C7</f>
        <v/>
      </c>
      <c r="K2774">
        <f>הגדרות!D7</f>
        <v/>
      </c>
      <c r="L2774">
        <f>I2774*(1+J2774/100)+K2774</f>
        <v/>
      </c>
    </row>
    <row r="2775">
      <c r="A2775" t="inlineStr">
        <is>
          <t>מדי-מרקט</t>
        </is>
      </c>
      <c r="B2775" t="inlineStr">
        <is>
          <t>מכשיר אינהלציה נייד נטען, מדיקפרו</t>
        </is>
      </c>
      <c r="C2775" t="inlineStr">
        <is>
          <t>ציוד ומכשור רפואי</t>
        </is>
      </c>
      <c r="D2775" t="inlineStr">
        <is>
          <t>500-710</t>
        </is>
      </c>
      <c r="E2775" t="inlineStr">
        <is>
          <t>2026-06</t>
        </is>
      </c>
      <c r="F2775" t="n">
        <v>88.98</v>
      </c>
      <c r="G2775" t="n">
        <v>105</v>
      </c>
      <c r="H2775">
        <f>הגדרות!B7</f>
        <v/>
      </c>
      <c r="I2775">
        <f>F2775*(1-H2775/100)*1.18</f>
        <v/>
      </c>
      <c r="J2775">
        <f>הגדרות!C7</f>
        <v/>
      </c>
      <c r="K2775">
        <f>הגדרות!D7</f>
        <v/>
      </c>
      <c r="L2775">
        <f>I2775*(1+J2775/100)+K2775</f>
        <v/>
      </c>
    </row>
    <row r="2776">
      <c r="A2776" t="inlineStr">
        <is>
          <t>מדי-מרקט</t>
        </is>
      </c>
      <c r="B2776" t="inlineStr">
        <is>
          <t>מכשיר אינהלציה קומפקטי DROP COMPACT Norditalia</t>
        </is>
      </c>
      <c r="C2776" t="inlineStr">
        <is>
          <t>ציוד ומכשור רפואי</t>
        </is>
      </c>
      <c r="D2776" t="inlineStr">
        <is>
          <t>8100091046</t>
        </is>
      </c>
      <c r="E2776" t="inlineStr">
        <is>
          <t>2026-06</t>
        </is>
      </c>
      <c r="F2776" t="n">
        <v>69.53</v>
      </c>
      <c r="G2776" t="n">
        <v>82.04000000000001</v>
      </c>
      <c r="H2776">
        <f>הגדרות!B7</f>
        <v/>
      </c>
      <c r="I2776">
        <f>F2776*(1-H2776/100)*1.18</f>
        <v/>
      </c>
      <c r="J2776">
        <f>הגדרות!C7</f>
        <v/>
      </c>
      <c r="K2776">
        <f>הגדרות!D7</f>
        <v/>
      </c>
      <c r="L2776">
        <f>I2776*(1+J2776/100)+K2776</f>
        <v/>
      </c>
    </row>
    <row r="2777">
      <c r="A2777" t="inlineStr">
        <is>
          <t>מדי-מרקט</t>
        </is>
      </c>
      <c r="B2777" t="inlineStr">
        <is>
          <t>מכשיר אינהלציה קומפקטי לילדים, מדיקפרו</t>
        </is>
      </c>
      <c r="C2777" t="inlineStr">
        <is>
          <t>ציוד ומכשור רפואי</t>
        </is>
      </c>
      <c r="D2777" t="inlineStr">
        <is>
          <t>500-712</t>
        </is>
      </c>
      <c r="E2777" t="inlineStr">
        <is>
          <t>2026-06</t>
        </is>
      </c>
      <c r="F2777" t="n">
        <v>63.56</v>
      </c>
      <c r="G2777" t="n">
        <v>75</v>
      </c>
      <c r="H2777">
        <f>הגדרות!B7</f>
        <v/>
      </c>
      <c r="I2777">
        <f>F2777*(1-H2777/100)*1.18</f>
        <v/>
      </c>
      <c r="J2777">
        <f>הגדרות!C7</f>
        <v/>
      </c>
      <c r="K2777">
        <f>הגדרות!D7</f>
        <v/>
      </c>
      <c r="L2777">
        <f>I2777*(1+J2777/100)+K2777</f>
        <v/>
      </c>
    </row>
    <row r="2778">
      <c r="A2778" t="inlineStr">
        <is>
          <t>מדי-מרקט</t>
        </is>
      </c>
      <c r="B2778" t="inlineStr">
        <is>
          <t>מכשיר אינהלציה קומפקטי, מדיקפרו</t>
        </is>
      </c>
      <c r="C2778" t="inlineStr">
        <is>
          <t>ציוד ומכשור רפואי</t>
        </is>
      </c>
      <c r="D2778" t="inlineStr">
        <is>
          <t>500-711</t>
        </is>
      </c>
      <c r="E2778" t="inlineStr">
        <is>
          <t>2026-06</t>
        </is>
      </c>
      <c r="F2778" t="n">
        <v>63.56</v>
      </c>
      <c r="G2778" t="n">
        <v>75</v>
      </c>
      <c r="H2778">
        <f>הגדרות!B7</f>
        <v/>
      </c>
      <c r="I2778">
        <f>F2778*(1-H2778/100)*1.18</f>
        <v/>
      </c>
      <c r="J2778">
        <f>הגדרות!C7</f>
        <v/>
      </c>
      <c r="K2778">
        <f>הגדרות!D7</f>
        <v/>
      </c>
      <c r="L2778">
        <f>I2778*(1+J2778/100)+K2778</f>
        <v/>
      </c>
    </row>
    <row r="2779">
      <c r="A2779" t="inlineStr">
        <is>
          <t>מדי-מרקט</t>
        </is>
      </c>
      <c r="B2779" t="inlineStr">
        <is>
          <t>מכשיר משולב + טרולי מ.ל.ד וטמפ' EDAN-IM3-C EDAN</t>
        </is>
      </c>
      <c r="C2779" t="inlineStr">
        <is>
          <t>ציוד ומכשור רפואי</t>
        </is>
      </c>
      <c r="D2779" t="inlineStr">
        <is>
          <t>308511</t>
        </is>
      </c>
      <c r="E2779" t="inlineStr">
        <is>
          <t>2026-06</t>
        </is>
      </c>
      <c r="F2779" t="n">
        <v>4756.24</v>
      </c>
      <c r="G2779" t="n">
        <v>5612.36</v>
      </c>
      <c r="H2779">
        <f>הגדרות!B7</f>
        <v/>
      </c>
      <c r="I2779">
        <f>F2779*(1-H2779/100)*1.18</f>
        <v/>
      </c>
      <c r="J2779">
        <f>הגדרות!C7</f>
        <v/>
      </c>
      <c r="K2779">
        <f>הגדרות!D7</f>
        <v/>
      </c>
      <c r="L2779">
        <f>I2779*(1+J2779/100)+K2779</f>
        <v/>
      </c>
    </row>
    <row r="2780">
      <c r="A2780" t="inlineStr">
        <is>
          <t>מדי-מרקט</t>
        </is>
      </c>
      <c r="B2780" t="inlineStr">
        <is>
          <t>מכשיר משולב +טרוליwelch allyn Connex Spot Monito</t>
        </is>
      </c>
      <c r="C2780" t="inlineStr">
        <is>
          <t>ציוד ומכשור רפואי</t>
        </is>
      </c>
      <c r="D2780" t="inlineStr">
        <is>
          <t>17071</t>
        </is>
      </c>
      <c r="E2780" t="inlineStr">
        <is>
          <t>2026-06</t>
        </is>
      </c>
      <c r="F2780" t="n">
        <v>7415.25</v>
      </c>
      <c r="G2780" t="n">
        <v>8750</v>
      </c>
      <c r="H2780">
        <f>הגדרות!B7</f>
        <v/>
      </c>
      <c r="I2780">
        <f>F2780*(1-H2780/100)*1.18</f>
        <v/>
      </c>
      <c r="J2780">
        <f>הגדרות!C7</f>
        <v/>
      </c>
      <c r="K2780">
        <f>הגדרות!D7</f>
        <v/>
      </c>
      <c r="L2780">
        <f>I2780*(1+J2780/100)+K2780</f>
        <v/>
      </c>
    </row>
    <row r="2781">
      <c r="A2781" t="inlineStr">
        <is>
          <t>מדי-מרקט</t>
        </is>
      </c>
      <c r="B2781" t="inlineStr">
        <is>
          <t>מכשיר משולב מד לחץ דם משולב דגם V6 כולל SPO2 וטמפ' +עגלה</t>
        </is>
      </c>
      <c r="C2781" t="inlineStr">
        <is>
          <t>ציוד ומכשור רפואי</t>
        </is>
      </c>
      <c r="D2781" t="inlineStr">
        <is>
          <t>308513</t>
        </is>
      </c>
      <c r="E2781" t="inlineStr">
        <is>
          <t>2026-06</t>
        </is>
      </c>
      <c r="F2781" t="n">
        <v>4389.83</v>
      </c>
      <c r="G2781" t="n">
        <v>5180</v>
      </c>
      <c r="H2781">
        <f>הגדרות!B7</f>
        <v/>
      </c>
      <c r="I2781">
        <f>F2781*(1-H2781/100)*1.18</f>
        <v/>
      </c>
      <c r="J2781">
        <f>הגדרות!C7</f>
        <v/>
      </c>
      <c r="K2781">
        <f>הגדרות!D7</f>
        <v/>
      </c>
      <c r="L2781">
        <f>I2781*(1+J2781/100)+K2781</f>
        <v/>
      </c>
    </row>
    <row r="2782">
      <c r="A2782" t="inlineStr">
        <is>
          <t>מדי-מרקט</t>
        </is>
      </c>
      <c r="B2782" t="inlineStr">
        <is>
          <t>מכשיר משולב עם מד לחץ דם וטמפ'+ טרולי EDAN-M3-C EDAN</t>
        </is>
      </c>
      <c r="C2782" t="inlineStr">
        <is>
          <t>ציוד ומכשור רפואי</t>
        </is>
      </c>
      <c r="D2782" t="inlineStr">
        <is>
          <t>308512</t>
        </is>
      </c>
      <c r="E2782" t="inlineStr">
        <is>
          <t>2026-06</t>
        </is>
      </c>
      <c r="F2782" t="n">
        <v>4042.37</v>
      </c>
      <c r="G2782" t="n">
        <v>4770</v>
      </c>
      <c r="H2782">
        <f>הגדרות!B7</f>
        <v/>
      </c>
      <c r="I2782">
        <f>F2782*(1-H2782/100)*1.18</f>
        <v/>
      </c>
      <c r="J2782">
        <f>הגדרות!C7</f>
        <v/>
      </c>
      <c r="K2782">
        <f>הגדרות!D7</f>
        <v/>
      </c>
      <c r="L2782">
        <f>I2782*(1+J2782/100)+K2782</f>
        <v/>
      </c>
    </row>
    <row r="2783">
      <c r="A2783" t="inlineStr">
        <is>
          <t>מדי-מרקט</t>
        </is>
      </c>
      <c r="B2783" t="inlineStr">
        <is>
          <t>מכשיר סטורציה גדול EDAN h100b</t>
        </is>
      </c>
      <c r="C2783" t="inlineStr">
        <is>
          <t>ציוד ומכשור רפואי</t>
        </is>
      </c>
      <c r="D2783" t="inlineStr">
        <is>
          <t>6396532</t>
        </is>
      </c>
      <c r="E2783" t="inlineStr">
        <is>
          <t>2026-06</t>
        </is>
      </c>
      <c r="F2783" t="n">
        <v>768.54</v>
      </c>
      <c r="G2783" t="n">
        <v>906.88</v>
      </c>
      <c r="H2783">
        <f>הגדרות!B7</f>
        <v/>
      </c>
      <c r="I2783">
        <f>F2783*(1-H2783/100)*1.18</f>
        <v/>
      </c>
      <c r="J2783">
        <f>הגדרות!C7</f>
        <v/>
      </c>
      <c r="K2783">
        <f>הגדרות!D7</f>
        <v/>
      </c>
      <c r="L2783">
        <f>I2783*(1+J2783/100)+K2783</f>
        <v/>
      </c>
    </row>
    <row r="2784">
      <c r="A2784" t="inlineStr">
        <is>
          <t>מדי-מרקט</t>
        </is>
      </c>
      <c r="B2784" t="inlineStr">
        <is>
          <t>מכשיר סקיילר מתקדם לניקוי אבן שן עם תאורה +8 + DS7 טיפים</t>
        </is>
      </c>
      <c r="C2784" t="inlineStr">
        <is>
          <t>דנטלי</t>
        </is>
      </c>
      <c r="D2784" t="inlineStr">
        <is>
          <t>201713</t>
        </is>
      </c>
      <c r="E2784" t="inlineStr">
        <is>
          <t>2026-06</t>
        </is>
      </c>
      <c r="F2784" t="n">
        <v>1186.44</v>
      </c>
      <c r="G2784" t="n">
        <v>1400</v>
      </c>
      <c r="H2784">
        <f>הגדרות!B7</f>
        <v/>
      </c>
      <c r="I2784">
        <f>F2784*(1-H2784/100)*1.18</f>
        <v/>
      </c>
      <c r="J2784">
        <f>הגדרות!C7</f>
        <v/>
      </c>
      <c r="K2784">
        <f>הגדרות!D7</f>
        <v/>
      </c>
      <c r="L2784">
        <f>I2784*(1+J2784/100)+K2784</f>
        <v/>
      </c>
    </row>
    <row r="2785">
      <c r="A2785" t="inlineStr">
        <is>
          <t>מדי-מרקט</t>
        </is>
      </c>
      <c r="B2785" t="inlineStr">
        <is>
          <t>מכשיר סקשיין חשמלי 36 ל'/דקה  אסקיר איטליה</t>
        </is>
      </c>
      <c r="C2785" t="inlineStr">
        <is>
          <t>ציוד ומכשור רפואי</t>
        </is>
      </c>
      <c r="D2785" t="inlineStr">
        <is>
          <t>3566</t>
        </is>
      </c>
      <c r="E2785" t="inlineStr">
        <is>
          <t>2026-06</t>
        </is>
      </c>
      <c r="F2785" t="n">
        <v>776.27</v>
      </c>
      <c r="G2785" t="n">
        <v>916</v>
      </c>
      <c r="H2785">
        <f>הגדרות!B7</f>
        <v/>
      </c>
      <c r="I2785">
        <f>F2785*(1-H2785/100)*1.18</f>
        <v/>
      </c>
      <c r="J2785">
        <f>הגדרות!C7</f>
        <v/>
      </c>
      <c r="K2785">
        <f>הגדרות!D7</f>
        <v/>
      </c>
      <c r="L2785">
        <f>I2785*(1+J2785/100)+K2785</f>
        <v/>
      </c>
    </row>
    <row r="2786">
      <c r="A2786" t="inlineStr">
        <is>
          <t>מדי-מרקט</t>
        </is>
      </c>
      <c r="B2786" t="inlineStr">
        <is>
          <t>מכשיר סקשיין חשמלי שאיבה 58 לי' לדקה דגם SUB01</t>
        </is>
      </c>
      <c r="C2786" t="inlineStr">
        <is>
          <t>ציוד ומכשור רפואי</t>
        </is>
      </c>
      <c r="D2786" t="inlineStr">
        <is>
          <t>1101001</t>
        </is>
      </c>
      <c r="E2786" t="inlineStr">
        <is>
          <t>2026-06</t>
        </is>
      </c>
      <c r="F2786" t="n">
        <v>879.24</v>
      </c>
      <c r="G2786" t="n">
        <v>1037.5</v>
      </c>
      <c r="H2786">
        <f>הגדרות!B7</f>
        <v/>
      </c>
      <c r="I2786">
        <f>F2786*(1-H2786/100)*1.18</f>
        <v/>
      </c>
      <c r="J2786">
        <f>הגדרות!C7</f>
        <v/>
      </c>
      <c r="K2786">
        <f>הגדרות!D7</f>
        <v/>
      </c>
      <c r="L2786">
        <f>I2786*(1+J2786/100)+K2786</f>
        <v/>
      </c>
    </row>
    <row r="2787">
      <c r="A2787" t="inlineStr">
        <is>
          <t>מדי-מרקט</t>
        </is>
      </c>
      <c r="B2787" t="inlineStr">
        <is>
          <t>מכשיר עיסוי למותניים ולבטן</t>
        </is>
      </c>
      <c r="C2787" t="inlineStr">
        <is>
          <t>ציוד ומכשור רפואי</t>
        </is>
      </c>
      <c r="D2787" t="inlineStr">
        <is>
          <t>220-104</t>
        </is>
      </c>
      <c r="E2787" t="inlineStr">
        <is>
          <t>2026-06</t>
        </is>
      </c>
      <c r="F2787" t="n">
        <v>165.25</v>
      </c>
      <c r="G2787" t="n">
        <v>195</v>
      </c>
      <c r="H2787">
        <f>הגדרות!B7</f>
        <v/>
      </c>
      <c r="I2787">
        <f>F2787*(1-H2787/100)*1.18</f>
        <v/>
      </c>
      <c r="J2787">
        <f>הגדרות!C7</f>
        <v/>
      </c>
      <c r="K2787">
        <f>הגדרות!D7</f>
        <v/>
      </c>
      <c r="L2787">
        <f>I2787*(1+J2787/100)+K2787</f>
        <v/>
      </c>
    </row>
    <row r="2788">
      <c r="A2788" t="inlineStr">
        <is>
          <t>מדי-מרקט</t>
        </is>
      </c>
      <c r="B2788" t="inlineStr">
        <is>
          <t>מכשיר עיסוי לעיניים</t>
        </is>
      </c>
      <c r="C2788" t="inlineStr">
        <is>
          <t>ציוד ומכשור רפואי</t>
        </is>
      </c>
      <c r="D2788" t="inlineStr">
        <is>
          <t>220-100</t>
        </is>
      </c>
      <c r="E2788" t="inlineStr">
        <is>
          <t>2026-06</t>
        </is>
      </c>
      <c r="F2788" t="n">
        <v>152.54</v>
      </c>
      <c r="G2788" t="n">
        <v>180</v>
      </c>
      <c r="H2788">
        <f>הגדרות!B7</f>
        <v/>
      </c>
      <c r="I2788">
        <f>F2788*(1-H2788/100)*1.18</f>
        <v/>
      </c>
      <c r="J2788">
        <f>הגדרות!C7</f>
        <v/>
      </c>
      <c r="K2788">
        <f>הגדרות!D7</f>
        <v/>
      </c>
      <c r="L2788">
        <f>I2788*(1+J2788/100)+K2788</f>
        <v/>
      </c>
    </row>
    <row r="2789">
      <c r="A2789" t="inlineStr">
        <is>
          <t>מדי-מרקט</t>
        </is>
      </c>
      <c r="B2789" t="inlineStr">
        <is>
          <t>מכשיר עיסוי לצוואר ולשכמות</t>
        </is>
      </c>
      <c r="C2789" t="inlineStr">
        <is>
          <t>ציוד ומכשור רפואי</t>
        </is>
      </c>
      <c r="D2789" t="inlineStr">
        <is>
          <t>220-102</t>
        </is>
      </c>
      <c r="E2789" t="inlineStr">
        <is>
          <t>2026-06</t>
        </is>
      </c>
      <c r="F2789" t="n">
        <v>144.07</v>
      </c>
      <c r="G2789" t="n">
        <v>170</v>
      </c>
      <c r="H2789">
        <f>הגדרות!B7</f>
        <v/>
      </c>
      <c r="I2789">
        <f>F2789*(1-H2789/100)*1.18</f>
        <v/>
      </c>
      <c r="J2789">
        <f>הגדרות!C7</f>
        <v/>
      </c>
      <c r="K2789">
        <f>הגדרות!D7</f>
        <v/>
      </c>
      <c r="L2789">
        <f>I2789*(1+J2789/100)+K2789</f>
        <v/>
      </c>
    </row>
    <row r="2790">
      <c r="A2790" t="inlineStr">
        <is>
          <t>מדי-מרקט</t>
        </is>
      </c>
      <c r="B2790" t="inlineStr">
        <is>
          <t>מכשיר עיסוי לקרקפת</t>
        </is>
      </c>
      <c r="C2790" t="inlineStr">
        <is>
          <t>ציוד ומכשור רפואי</t>
        </is>
      </c>
      <c r="D2790" t="inlineStr">
        <is>
          <t>220-101</t>
        </is>
      </c>
      <c r="E2790" t="inlineStr">
        <is>
          <t>2026-06</t>
        </is>
      </c>
      <c r="F2790" t="n">
        <v>118.64</v>
      </c>
      <c r="G2790" t="n">
        <v>140</v>
      </c>
      <c r="H2790">
        <f>הגדרות!B7</f>
        <v/>
      </c>
      <c r="I2790">
        <f>F2790*(1-H2790/100)*1.18</f>
        <v/>
      </c>
      <c r="J2790">
        <f>הגדרות!C7</f>
        <v/>
      </c>
      <c r="K2790">
        <f>הגדרות!D7</f>
        <v/>
      </c>
      <c r="L2790">
        <f>I2790*(1+J2790/100)+K2790</f>
        <v/>
      </c>
    </row>
    <row r="2791">
      <c r="A2791" t="inlineStr">
        <is>
          <t>מדי-מרקט</t>
        </is>
      </c>
      <c r="B2791" t="inlineStr">
        <is>
          <t>מכתש ועלי מנירוסטה גודל 8.5 ס"מ פנימי קוטר חיצוני 10 ס"מ</t>
        </is>
      </c>
      <c r="C2791" t="inlineStr">
        <is>
          <t>ציוד ומכשור רפואי</t>
        </is>
      </c>
      <c r="D2791" t="inlineStr">
        <is>
          <t>4242</t>
        </is>
      </c>
      <c r="E2791" t="inlineStr">
        <is>
          <t>2026-06</t>
        </is>
      </c>
      <c r="F2791" t="n">
        <v>32.2</v>
      </c>
      <c r="G2791" t="n">
        <v>38</v>
      </c>
      <c r="H2791">
        <f>הגדרות!B7</f>
        <v/>
      </c>
      <c r="I2791">
        <f>F2791*(1-H2791/100)*1.18</f>
        <v/>
      </c>
      <c r="J2791">
        <f>הגדרות!C7</f>
        <v/>
      </c>
      <c r="K2791">
        <f>הגדרות!D7</f>
        <v/>
      </c>
      <c r="L2791">
        <f>I2791*(1+J2791/100)+K2791</f>
        <v/>
      </c>
    </row>
    <row r="2792">
      <c r="A2792" t="inlineStr">
        <is>
          <t>מדי-מרקט</t>
        </is>
      </c>
      <c r="B2792" t="inlineStr">
        <is>
          <t>מלע"כ מספרי חבישה עם כפתור, ידית שחורה "7 מדיקפרו</t>
        </is>
      </c>
      <c r="C2792" t="inlineStr">
        <is>
          <t>ציוד ומכשור רפואי</t>
        </is>
      </c>
      <c r="D2792" t="inlineStr">
        <is>
          <t>8-1373</t>
        </is>
      </c>
      <c r="E2792" t="inlineStr">
        <is>
          <t>2026-06</t>
        </is>
      </c>
      <c r="F2792" t="n">
        <v>1.74</v>
      </c>
      <c r="G2792" t="n">
        <v>2.05</v>
      </c>
      <c r="H2792">
        <f>הגדרות!B7</f>
        <v/>
      </c>
      <c r="I2792">
        <f>F2792*(1-H2792/100)*1.18</f>
        <v/>
      </c>
      <c r="J2792">
        <f>הגדרות!C7</f>
        <v/>
      </c>
      <c r="K2792">
        <f>הגדרות!D7</f>
        <v/>
      </c>
      <c r="L2792">
        <f>I2792*(1+J2792/100)+K2792</f>
        <v/>
      </c>
    </row>
    <row r="2793">
      <c r="A2793" t="inlineStr">
        <is>
          <t>מדי-מרקט</t>
        </is>
      </c>
      <c r="B2793" t="inlineStr">
        <is>
          <t>מלקחי 2ישר Halsted mosquito artery forceps12.5cm</t>
        </is>
      </c>
      <c r="C2793" t="inlineStr">
        <is>
          <t>כלים כירורגיים</t>
        </is>
      </c>
      <c r="D2793" t="inlineStr">
        <is>
          <t>30-104</t>
        </is>
      </c>
      <c r="E2793" t="inlineStr">
        <is>
          <t>2026-06</t>
        </is>
      </c>
      <c r="F2793" t="n">
        <v>27.12</v>
      </c>
      <c r="G2793" t="n">
        <v>32</v>
      </c>
      <c r="H2793">
        <f>הגדרות!B7</f>
        <v/>
      </c>
      <c r="I2793">
        <f>F2793*(1-H2793/100)*1.18</f>
        <v/>
      </c>
      <c r="J2793">
        <f>הגדרות!C7</f>
        <v/>
      </c>
      <c r="K2793">
        <f>הגדרות!D7</f>
        <v/>
      </c>
      <c r="L2793">
        <f>I2793*(1+J2793/100)+K2793</f>
        <v/>
      </c>
    </row>
    <row r="2794">
      <c r="A2794" t="inlineStr">
        <is>
          <t>מדי-מרקט</t>
        </is>
      </c>
      <c r="B2794" t="inlineStr">
        <is>
          <t>מלקחי אליס מוזהבים Allis forceps 15cm</t>
        </is>
      </c>
      <c r="C2794" t="inlineStr">
        <is>
          <t>כלים כירורגיים</t>
        </is>
      </c>
      <c r="D2794" t="inlineStr">
        <is>
          <t>30-117</t>
        </is>
      </c>
      <c r="E2794" t="inlineStr">
        <is>
          <t>2026-06</t>
        </is>
      </c>
      <c r="F2794" t="n">
        <v>161.02</v>
      </c>
      <c r="G2794" t="n">
        <v>190</v>
      </c>
      <c r="H2794">
        <f>הגדרות!B7</f>
        <v/>
      </c>
      <c r="I2794">
        <f>F2794*(1-H2794/100)*1.18</f>
        <v/>
      </c>
      <c r="J2794">
        <f>הגדרות!C7</f>
        <v/>
      </c>
      <c r="K2794">
        <f>הגדרות!D7</f>
        <v/>
      </c>
      <c r="L2794">
        <f>I2794*(1+J2794/100)+K2794</f>
        <v/>
      </c>
    </row>
    <row r="2795">
      <c r="A2795" t="inlineStr">
        <is>
          <t>מדי-מרקט</t>
        </is>
      </c>
      <c r="B2795" t="inlineStr">
        <is>
          <t>מלקחי מג'יל לילד</t>
        </is>
      </c>
      <c r="C2795" t="inlineStr">
        <is>
          <t>כלים כירורגיים</t>
        </is>
      </c>
      <c r="D2795" t="inlineStr">
        <is>
          <t>87926-1</t>
        </is>
      </c>
      <c r="E2795" t="inlineStr">
        <is>
          <t>2026-06</t>
        </is>
      </c>
      <c r="F2795" t="n">
        <v>30.51</v>
      </c>
      <c r="G2795" t="n">
        <v>36</v>
      </c>
      <c r="H2795">
        <f>הגדרות!B7</f>
        <v/>
      </c>
      <c r="I2795">
        <f>F2795*(1-H2795/100)*1.18</f>
        <v/>
      </c>
      <c r="J2795">
        <f>הגדרות!C7</f>
        <v/>
      </c>
      <c r="K2795">
        <f>הגדרות!D7</f>
        <v/>
      </c>
      <c r="L2795">
        <f>I2795*(1+J2795/100)+K2795</f>
        <v/>
      </c>
    </row>
    <row r="2796">
      <c r="A2796" t="inlineStr">
        <is>
          <t>מדי-מרקט</t>
        </is>
      </c>
      <c r="B2796" t="inlineStr">
        <is>
          <t>מלקחי מג'יל לילד מוזהבים</t>
        </is>
      </c>
      <c r="C2796" t="inlineStr">
        <is>
          <t>כלים כירורגיים</t>
        </is>
      </c>
      <c r="D2796" t="inlineStr">
        <is>
          <t>87926</t>
        </is>
      </c>
      <c r="E2796" t="inlineStr">
        <is>
          <t>2026-06</t>
        </is>
      </c>
      <c r="F2796" t="n">
        <v>29.47</v>
      </c>
      <c r="G2796" t="n">
        <v>34.78</v>
      </c>
      <c r="H2796">
        <f>הגדרות!B7</f>
        <v/>
      </c>
      <c r="I2796">
        <f>F2796*(1-H2796/100)*1.18</f>
        <v/>
      </c>
      <c r="J2796">
        <f>הגדרות!C7</f>
        <v/>
      </c>
      <c r="K2796">
        <f>הגדרות!D7</f>
        <v/>
      </c>
      <c r="L2796">
        <f>I2796*(1+J2796/100)+K2796</f>
        <v/>
      </c>
    </row>
    <row r="2797">
      <c r="A2797" t="inlineStr">
        <is>
          <t>מדי-מרקט</t>
        </is>
      </c>
      <c r="B2797" t="inlineStr">
        <is>
          <t>מלקחי מג'יל מבוגר</t>
        </is>
      </c>
      <c r="C2797" t="inlineStr">
        <is>
          <t>כלים כירורגיים</t>
        </is>
      </c>
      <c r="D2797" t="inlineStr">
        <is>
          <t>87925-1</t>
        </is>
      </c>
      <c r="E2797" t="inlineStr">
        <is>
          <t>2026-06</t>
        </is>
      </c>
      <c r="F2797" t="n">
        <v>59.32</v>
      </c>
      <c r="G2797" t="n">
        <v>70</v>
      </c>
      <c r="H2797">
        <f>הגדרות!B7</f>
        <v/>
      </c>
      <c r="I2797">
        <f>F2797*(1-H2797/100)*1.18</f>
        <v/>
      </c>
      <c r="J2797">
        <f>הגדרות!C7</f>
        <v/>
      </c>
      <c r="K2797">
        <f>הגדרות!D7</f>
        <v/>
      </c>
      <c r="L2797">
        <f>I2797*(1+J2797/100)+K2797</f>
        <v/>
      </c>
    </row>
    <row r="2798">
      <c r="A2798" t="inlineStr">
        <is>
          <t>מדי-מרקט</t>
        </is>
      </c>
      <c r="B2798" t="inlineStr">
        <is>
          <t>מלקחי קרמלט 16 ישר מוזהב Artery Forceps Carmalt str 16cm</t>
        </is>
      </c>
      <c r="C2798" t="inlineStr">
        <is>
          <t>כלים כירורגיים</t>
        </is>
      </c>
      <c r="D2798" t="inlineStr">
        <is>
          <t>10202</t>
        </is>
      </c>
      <c r="E2798" t="inlineStr">
        <is>
          <t>2026-06</t>
        </is>
      </c>
      <c r="F2798" t="n">
        <v>161.02</v>
      </c>
      <c r="G2798" t="n">
        <v>190</v>
      </c>
      <c r="H2798">
        <f>הגדרות!B7</f>
        <v/>
      </c>
      <c r="I2798">
        <f>F2798*(1-H2798/100)*1.18</f>
        <v/>
      </c>
      <c r="J2798">
        <f>הגדרות!C7</f>
        <v/>
      </c>
      <c r="K2798">
        <f>הגדרות!D7</f>
        <v/>
      </c>
      <c r="L2798">
        <f>I2798*(1+J2798/100)+K2798</f>
        <v/>
      </c>
    </row>
    <row r="2799">
      <c r="A2799" t="inlineStr">
        <is>
          <t>מדי-מרקט</t>
        </is>
      </c>
      <c r="B2799" t="inlineStr">
        <is>
          <t>מלקחי קרמלט 16 מעוקל מוזהב Artery Forceps Carmalt cvd 16cm</t>
        </is>
      </c>
      <c r="C2799" t="inlineStr">
        <is>
          <t>כלים כירורגיים</t>
        </is>
      </c>
      <c r="D2799" t="inlineStr">
        <is>
          <t>10201</t>
        </is>
      </c>
      <c r="E2799" t="inlineStr">
        <is>
          <t>2026-06</t>
        </is>
      </c>
      <c r="F2799" t="n">
        <v>161.02</v>
      </c>
      <c r="G2799" t="n">
        <v>190</v>
      </c>
      <c r="H2799">
        <f>הגדרות!B7</f>
        <v/>
      </c>
      <c r="I2799">
        <f>F2799*(1-H2799/100)*1.18</f>
        <v/>
      </c>
      <c r="J2799">
        <f>הגדרות!C7</f>
        <v/>
      </c>
      <c r="K2799">
        <f>הגדרות!D7</f>
        <v/>
      </c>
      <c r="L2799">
        <f>I2799*(1+J2799/100)+K2799</f>
        <v/>
      </c>
    </row>
    <row r="2800">
      <c r="A2800" t="inlineStr">
        <is>
          <t>מדי-מרקט</t>
        </is>
      </c>
      <c r="B2800" t="inlineStr">
        <is>
          <t>מלקחיים לפישוק Gelpi Retractor Blunt 14cm</t>
        </is>
      </c>
      <c r="C2800" t="inlineStr">
        <is>
          <t>כלים כירורגיים</t>
        </is>
      </c>
      <c r="D2800" t="inlineStr">
        <is>
          <t>10183-1</t>
        </is>
      </c>
      <c r="E2800" t="inlineStr">
        <is>
          <t>2026-06</t>
        </is>
      </c>
      <c r="F2800" t="n">
        <v>101.69</v>
      </c>
      <c r="G2800" t="n">
        <v>120</v>
      </c>
      <c r="H2800">
        <f>הגדרות!B7</f>
        <v/>
      </c>
      <c r="I2800">
        <f>F2800*(1-H2800/100)*1.18</f>
        <v/>
      </c>
      <c r="J2800">
        <f>הגדרות!C7</f>
        <v/>
      </c>
      <c r="K2800">
        <f>הגדרות!D7</f>
        <v/>
      </c>
      <c r="L2800">
        <f>I2800*(1+J2800/100)+K2800</f>
        <v/>
      </c>
    </row>
    <row r="2801">
      <c r="A2801" t="inlineStr">
        <is>
          <t>מדי-מרקט</t>
        </is>
      </c>
      <c r="B2801" t="inlineStr">
        <is>
          <t>מנג'טה ללחץ דם לילד - (EDAN - (13.8CM - 21.5CM</t>
        </is>
      </c>
      <c r="C2801" t="inlineStr">
        <is>
          <t>ציוד ומכשור רפואי</t>
        </is>
      </c>
      <c r="D2801" t="inlineStr">
        <is>
          <t>1362533</t>
        </is>
      </c>
      <c r="E2801" t="inlineStr">
        <is>
          <t>2026-06</t>
        </is>
      </c>
      <c r="F2801" t="n">
        <v>59.32</v>
      </c>
      <c r="G2801" t="n">
        <v>70</v>
      </c>
      <c r="H2801">
        <f>הגדרות!B7</f>
        <v/>
      </c>
      <c r="I2801">
        <f>F2801*(1-H2801/100)*1.18</f>
        <v/>
      </c>
      <c r="J2801">
        <f>הגדרות!C7</f>
        <v/>
      </c>
      <c r="K2801">
        <f>הגדרות!D7</f>
        <v/>
      </c>
      <c r="L2801">
        <f>I2801*(1+J2801/100)+K2801</f>
        <v/>
      </c>
    </row>
    <row r="2802">
      <c r="A2802" t="inlineStr">
        <is>
          <t>מדי-מרקט</t>
        </is>
      </c>
      <c r="B2802" t="inlineStr">
        <is>
          <t>מנג'טה ללחץ דם מבוגר - (27-35CM) מידה EDAN 9</t>
        </is>
      </c>
      <c r="C2802" t="inlineStr">
        <is>
          <t>ציוד ומכשור רפואי</t>
        </is>
      </c>
      <c r="D2802" t="inlineStr">
        <is>
          <t>1362534</t>
        </is>
      </c>
      <c r="E2802" t="inlineStr">
        <is>
          <t>2026-06</t>
        </is>
      </c>
      <c r="F2802" t="n">
        <v>92.97</v>
      </c>
      <c r="G2802" t="n">
        <v>109.7</v>
      </c>
      <c r="H2802">
        <f>הגדרות!B7</f>
        <v/>
      </c>
      <c r="I2802">
        <f>F2802*(1-H2802/100)*1.18</f>
        <v/>
      </c>
      <c r="J2802">
        <f>הגדרות!C7</f>
        <v/>
      </c>
      <c r="K2802">
        <f>הגדרות!D7</f>
        <v/>
      </c>
      <c r="L2802">
        <f>I2802*(1+J2802/100)+K2802</f>
        <v/>
      </c>
    </row>
    <row r="2803">
      <c r="A2803" t="inlineStr">
        <is>
          <t>מדי-מרקט</t>
        </is>
      </c>
      <c r="B2803" t="inlineStr">
        <is>
          <t>מנג'טה ללחץ דם מבוגר - (EDAN -(34CM-43 CM</t>
        </is>
      </c>
      <c r="C2803" t="inlineStr">
        <is>
          <t>ציוד ומכשור רפואי</t>
        </is>
      </c>
      <c r="D2803" t="inlineStr">
        <is>
          <t>1362544</t>
        </is>
      </c>
      <c r="E2803" t="inlineStr">
        <is>
          <t>2026-06</t>
        </is>
      </c>
      <c r="F2803" t="n">
        <v>69.48999999999999</v>
      </c>
      <c r="G2803" t="n">
        <v>82</v>
      </c>
      <c r="H2803">
        <f>הגדרות!B7</f>
        <v/>
      </c>
      <c r="I2803">
        <f>F2803*(1-H2803/100)*1.18</f>
        <v/>
      </c>
      <c r="J2803">
        <f>הגדרות!C7</f>
        <v/>
      </c>
      <c r="K2803">
        <f>הגדרות!D7</f>
        <v/>
      </c>
      <c r="L2803">
        <f>I2803*(1+J2803/100)+K2803</f>
        <v/>
      </c>
    </row>
    <row r="2804">
      <c r="A2804" t="inlineStr">
        <is>
          <t>מדי-מרקט</t>
        </is>
      </c>
      <c r="B2804" t="inlineStr">
        <is>
          <t>מנג'טה למדל"ד דיגיטלי של W.A מבוגר מידה 15-21CM) 9)</t>
        </is>
      </c>
      <c r="C2804" t="inlineStr">
        <is>
          <t>ציוד מתכלה</t>
        </is>
      </c>
      <c r="D2804" t="inlineStr">
        <is>
          <t>70315</t>
        </is>
      </c>
      <c r="E2804" t="inlineStr">
        <is>
          <t>2026-06</t>
        </is>
      </c>
      <c r="F2804" t="n">
        <v>101.69</v>
      </c>
      <c r="G2804" t="n">
        <v>120</v>
      </c>
      <c r="H2804">
        <f>הגדרות!B7</f>
        <v/>
      </c>
      <c r="I2804">
        <f>F2804*(1-H2804/100)*1.18</f>
        <v/>
      </c>
      <c r="J2804">
        <f>הגדרות!C7</f>
        <v/>
      </c>
      <c r="K2804">
        <f>הגדרות!D7</f>
        <v/>
      </c>
      <c r="L2804">
        <f>I2804*(1+J2804/100)+K2804</f>
        <v/>
      </c>
    </row>
    <row r="2805">
      <c r="A2805" t="inlineStr">
        <is>
          <t>מדי-מרקט</t>
        </is>
      </c>
      <c r="B2805" t="inlineStr">
        <is>
          <t>מנג'טה למדל"ד דיגיטלי של W.A מבוגר מידה 25-34CM) 11)</t>
        </is>
      </c>
      <c r="C2805" t="inlineStr">
        <is>
          <t>ציוד מתכלה</t>
        </is>
      </c>
      <c r="D2805" t="inlineStr">
        <is>
          <t>070315</t>
        </is>
      </c>
      <c r="E2805" t="inlineStr">
        <is>
          <t>2026-06</t>
        </is>
      </c>
      <c r="F2805" t="n">
        <v>109.83</v>
      </c>
      <c r="G2805" t="n">
        <v>129.6</v>
      </c>
      <c r="H2805">
        <f>הגדרות!B7</f>
        <v/>
      </c>
      <c r="I2805">
        <f>F2805*(1-H2805/100)*1.18</f>
        <v/>
      </c>
      <c r="J2805">
        <f>הגדרות!C7</f>
        <v/>
      </c>
      <c r="K2805">
        <f>הגדרות!D7</f>
        <v/>
      </c>
      <c r="L2805">
        <f>I2805*(1+J2805/100)+K2805</f>
        <v/>
      </c>
    </row>
    <row r="2806">
      <c r="A2806" t="inlineStr">
        <is>
          <t>מדי-מרקט</t>
        </is>
      </c>
      <c r="B2806" t="inlineStr">
        <is>
          <t>מנג'טה למדל"ד דיגיטלי של W.A מבוגר מידה 32-43CM)12)</t>
        </is>
      </c>
      <c r="C2806" t="inlineStr">
        <is>
          <t>ציוד מתכלה</t>
        </is>
      </c>
      <c r="D2806" t="inlineStr">
        <is>
          <t>070316</t>
        </is>
      </c>
      <c r="E2806" t="inlineStr">
        <is>
          <t>2026-06</t>
        </is>
      </c>
      <c r="F2806" t="n">
        <v>108.92</v>
      </c>
      <c r="G2806" t="n">
        <v>128.52</v>
      </c>
      <c r="H2806">
        <f>הגדרות!B7</f>
        <v/>
      </c>
      <c r="I2806">
        <f>F2806*(1-H2806/100)*1.18</f>
        <v/>
      </c>
      <c r="J2806">
        <f>הגדרות!C7</f>
        <v/>
      </c>
      <c r="K2806">
        <f>הגדרות!D7</f>
        <v/>
      </c>
      <c r="L2806">
        <f>I2806*(1+J2806/100)+K2806</f>
        <v/>
      </c>
    </row>
    <row r="2807">
      <c r="A2807" t="inlineStr">
        <is>
          <t>מדי-מרקט</t>
        </is>
      </c>
      <c r="B2807" t="inlineStr">
        <is>
          <t>מנג'טה למל"ד 2 צינורות WLAREUSE-11-2SC</t>
        </is>
      </c>
      <c r="C2807" t="inlineStr">
        <is>
          <t>ציוד מתכלה</t>
        </is>
      </c>
      <c r="D2807" t="inlineStr">
        <is>
          <t>36532-1</t>
        </is>
      </c>
      <c r="E2807" t="inlineStr">
        <is>
          <t>2026-06</t>
        </is>
      </c>
      <c r="F2807" t="n">
        <v>92.97</v>
      </c>
      <c r="G2807" t="n">
        <v>109.7</v>
      </c>
      <c r="H2807">
        <f>הגדרות!B7</f>
        <v/>
      </c>
      <c r="I2807">
        <f>F2807*(1-H2807/100)*1.18</f>
        <v/>
      </c>
      <c r="J2807">
        <f>הגדרות!C7</f>
        <v/>
      </c>
      <c r="K2807">
        <f>הגדרות!D7</f>
        <v/>
      </c>
      <c r="L2807">
        <f>I2807*(1+J2807/100)+K2807</f>
        <v/>
      </c>
    </row>
    <row r="2808">
      <c r="A2808" t="inlineStr">
        <is>
          <t>מדי-מרקט</t>
        </is>
      </c>
      <c r="B2808" t="inlineStr">
        <is>
          <t>מנוע לשולחן ניתוח חלק 1(בוכנה + מנוע + שלט)</t>
        </is>
      </c>
      <c r="C2808" t="inlineStr">
        <is>
          <t>אביזרים, חלקים ושונות</t>
        </is>
      </c>
      <c r="D2808" t="inlineStr">
        <is>
          <t>RM-LA-8000N</t>
        </is>
      </c>
      <c r="E2808" t="inlineStr">
        <is>
          <t>2026-06</t>
        </is>
      </c>
      <c r="F2808" t="n">
        <v>251.53</v>
      </c>
      <c r="G2808" t="n">
        <v>296.8</v>
      </c>
      <c r="H2808">
        <f>הגדרות!B7</f>
        <v/>
      </c>
      <c r="I2808">
        <f>F2808*(1-H2808/100)*1.18</f>
        <v/>
      </c>
      <c r="J2808">
        <f>הגדרות!C7</f>
        <v/>
      </c>
      <c r="K2808">
        <f>הגדרות!D7</f>
        <v/>
      </c>
      <c r="L2808">
        <f>I2808*(1+J2808/100)+K2808</f>
        <v/>
      </c>
    </row>
    <row r="2809">
      <c r="A2809" t="inlineStr">
        <is>
          <t>מדי-מרקט</t>
        </is>
      </c>
      <c r="B2809" t="inlineStr">
        <is>
          <t>מנורת חימום 250 וולט</t>
        </is>
      </c>
      <c r="C2809" t="inlineStr">
        <is>
          <t>ציוד ומכשור רפואי</t>
        </is>
      </c>
      <c r="D2809" t="inlineStr">
        <is>
          <t>4586</t>
        </is>
      </c>
      <c r="E2809" t="inlineStr">
        <is>
          <t>2026-06</t>
        </is>
      </c>
      <c r="F2809" t="n">
        <v>51.69</v>
      </c>
      <c r="G2809" t="n">
        <v>61</v>
      </c>
      <c r="H2809">
        <f>הגדרות!B7</f>
        <v/>
      </c>
      <c r="I2809">
        <f>F2809*(1-H2809/100)*1.18</f>
        <v/>
      </c>
      <c r="J2809">
        <f>הגדרות!C7</f>
        <v/>
      </c>
      <c r="K2809">
        <f>הגדרות!D7</f>
        <v/>
      </c>
      <c r="L2809">
        <f>I2809*(1+J2809/100)+K2809</f>
        <v/>
      </c>
    </row>
    <row r="2810">
      <c r="A2810" t="inlineStr">
        <is>
          <t>מדי-מרקט</t>
        </is>
      </c>
      <c r="B2810" t="inlineStr">
        <is>
          <t>מנתר נשימתי נייד ווטרינרי</t>
        </is>
      </c>
      <c r="C2810" t="inlineStr">
        <is>
          <t>אביזרים להרדמה</t>
        </is>
      </c>
      <c r="D2810" t="inlineStr">
        <is>
          <t>304790</t>
        </is>
      </c>
      <c r="E2810" t="inlineStr">
        <is>
          <t>2026-06</t>
        </is>
      </c>
      <c r="F2810" t="n">
        <v>261.02</v>
      </c>
      <c r="G2810" t="n">
        <v>308</v>
      </c>
      <c r="H2810">
        <f>הגדרות!B7</f>
        <v/>
      </c>
      <c r="I2810">
        <f>F2810*(1-H2810/100)*1.18</f>
        <v/>
      </c>
      <c r="J2810">
        <f>הגדרות!C7</f>
        <v/>
      </c>
      <c r="K2810">
        <f>הגדרות!D7</f>
        <v/>
      </c>
      <c r="L2810">
        <f>I2810*(1+J2810/100)+K2810</f>
        <v/>
      </c>
    </row>
    <row r="2811">
      <c r="A2811" t="inlineStr">
        <is>
          <t>מדי-מרקט</t>
        </is>
      </c>
      <c r="B2811" t="inlineStr">
        <is>
          <t>מסיכה להרדמה מס' 3 כולל גומי לחתול גדול 60*65MM</t>
        </is>
      </c>
      <c r="C2811" t="inlineStr">
        <is>
          <t>אביזרים להרדמה</t>
        </is>
      </c>
      <c r="D2811" t="inlineStr">
        <is>
          <t>TA-VAMN3</t>
        </is>
      </c>
      <c r="E2811" t="inlineStr">
        <is>
          <t>2026-06</t>
        </is>
      </c>
      <c r="F2811" t="n">
        <v>34.82</v>
      </c>
      <c r="G2811" t="n">
        <v>41.09</v>
      </c>
      <c r="H2811">
        <f>הגדרות!B7</f>
        <v/>
      </c>
      <c r="I2811">
        <f>F2811*(1-H2811/100)*1.18</f>
        <v/>
      </c>
      <c r="J2811">
        <f>הגדרות!C7</f>
        <v/>
      </c>
      <c r="K2811">
        <f>הגדרות!D7</f>
        <v/>
      </c>
      <c r="L2811">
        <f>I2811*(1+J2811/100)+K2811</f>
        <v/>
      </c>
    </row>
    <row r="2812">
      <c r="A2812" t="inlineStr">
        <is>
          <t>מדי-מרקט</t>
        </is>
      </c>
      <c r="B2812" t="inlineStr">
        <is>
          <t>מסיכה להרדמה מס' 4 כולל גומי לכלב קטן 87*95MM</t>
        </is>
      </c>
      <c r="C2812" t="inlineStr">
        <is>
          <t>אביזרים להרדמה</t>
        </is>
      </c>
      <c r="D2812" t="inlineStr">
        <is>
          <t>TA-VAMN4</t>
        </is>
      </c>
      <c r="E2812" t="inlineStr">
        <is>
          <t>2026-06</t>
        </is>
      </c>
      <c r="F2812" t="n">
        <v>37.14</v>
      </c>
      <c r="G2812" t="n">
        <v>43.83</v>
      </c>
      <c r="H2812">
        <f>הגדרות!B7</f>
        <v/>
      </c>
      <c r="I2812">
        <f>F2812*(1-H2812/100)*1.18</f>
        <v/>
      </c>
      <c r="J2812">
        <f>הגדרות!C7</f>
        <v/>
      </c>
      <c r="K2812">
        <f>הגדרות!D7</f>
        <v/>
      </c>
      <c r="L2812">
        <f>I2812*(1+J2812/100)+K2812</f>
        <v/>
      </c>
    </row>
    <row r="2813">
      <c r="A2813" t="inlineStr">
        <is>
          <t>מדי-מרקט</t>
        </is>
      </c>
      <c r="B2813" t="inlineStr">
        <is>
          <t>מסיכה להרדמה מס' 5 כולל גומי לכלב בינוני 110*116MM</t>
        </is>
      </c>
      <c r="C2813" t="inlineStr">
        <is>
          <t>אביזרים להרדמה</t>
        </is>
      </c>
      <c r="D2813" t="inlineStr">
        <is>
          <t>TA-VAMN5</t>
        </is>
      </c>
      <c r="E2813" t="inlineStr">
        <is>
          <t>2026-06</t>
        </is>
      </c>
      <c r="F2813" t="n">
        <v>37.14</v>
      </c>
      <c r="G2813" t="n">
        <v>43.83</v>
      </c>
      <c r="H2813">
        <f>הגדרות!B7</f>
        <v/>
      </c>
      <c r="I2813">
        <f>F2813*(1-H2813/100)*1.18</f>
        <v/>
      </c>
      <c r="J2813">
        <f>הגדרות!C7</f>
        <v/>
      </c>
      <c r="K2813">
        <f>הגדרות!D7</f>
        <v/>
      </c>
      <c r="L2813">
        <f>I2813*(1+J2813/100)+K2813</f>
        <v/>
      </c>
    </row>
    <row r="2814">
      <c r="A2814" t="inlineStr">
        <is>
          <t>מדי-מרקט</t>
        </is>
      </c>
      <c r="B2814" t="inlineStr">
        <is>
          <t>מסיכה להרדמה מס' 6 כולל גומי לכלב גדול 130*140MM</t>
        </is>
      </c>
      <c r="C2814" t="inlineStr">
        <is>
          <t>אביזרים להרדמה</t>
        </is>
      </c>
      <c r="D2814" t="inlineStr">
        <is>
          <t>TA-VAMN6</t>
        </is>
      </c>
      <c r="E2814" t="inlineStr">
        <is>
          <t>2026-06</t>
        </is>
      </c>
      <c r="F2814" t="n">
        <v>37.14</v>
      </c>
      <c r="G2814" t="n">
        <v>43.83</v>
      </c>
      <c r="H2814">
        <f>הגדרות!B7</f>
        <v/>
      </c>
      <c r="I2814">
        <f>F2814*(1-H2814/100)*1.18</f>
        <v/>
      </c>
      <c r="J2814">
        <f>הגדרות!C7</f>
        <v/>
      </c>
      <c r="K2814">
        <f>הגדרות!D7</f>
        <v/>
      </c>
      <c r="L2814">
        <f>I2814*(1+J2814/100)+K2814</f>
        <v/>
      </c>
    </row>
    <row r="2815">
      <c r="A2815" t="inlineStr">
        <is>
          <t>מדי-מרקט</t>
        </is>
      </c>
      <c r="B2815" t="inlineStr">
        <is>
          <t>מסיכה לרינגיאלית PVC גודל  LMA - 2</t>
        </is>
      </c>
      <c r="C2815" t="inlineStr">
        <is>
          <t>ציוד ומכשור רפואי</t>
        </is>
      </c>
      <c r="D2815" t="inlineStr">
        <is>
          <t>38353</t>
        </is>
      </c>
      <c r="E2815" t="inlineStr">
        <is>
          <t>2026-06</t>
        </is>
      </c>
      <c r="F2815" t="n">
        <v>21.74</v>
      </c>
      <c r="G2815" t="n">
        <v>25.65</v>
      </c>
      <c r="H2815">
        <f>הגדרות!B7</f>
        <v/>
      </c>
      <c r="I2815">
        <f>F2815*(1-H2815/100)*1.18</f>
        <v/>
      </c>
      <c r="J2815">
        <f>הגדרות!C7</f>
        <v/>
      </c>
      <c r="K2815">
        <f>הגדרות!D7</f>
        <v/>
      </c>
      <c r="L2815">
        <f>I2815*(1+J2815/100)+K2815</f>
        <v/>
      </c>
    </row>
    <row r="2816">
      <c r="A2816" t="inlineStr">
        <is>
          <t>מדי-מרקט</t>
        </is>
      </c>
      <c r="B2816" t="inlineStr">
        <is>
          <t>מסיכה לרינגיאלית PVC גודל  LMA - 3</t>
        </is>
      </c>
      <c r="C2816" t="inlineStr">
        <is>
          <t>ציוד ומכשור רפואי</t>
        </is>
      </c>
      <c r="D2816" t="inlineStr">
        <is>
          <t>3831</t>
        </is>
      </c>
      <c r="E2816" t="inlineStr">
        <is>
          <t>2026-06</t>
        </is>
      </c>
      <c r="F2816" t="n">
        <v>21.74</v>
      </c>
      <c r="G2816" t="n">
        <v>25.65</v>
      </c>
      <c r="H2816">
        <f>הגדרות!B7</f>
        <v/>
      </c>
      <c r="I2816">
        <f>F2816*(1-H2816/100)*1.18</f>
        <v/>
      </c>
      <c r="J2816">
        <f>הגדרות!C7</f>
        <v/>
      </c>
      <c r="K2816">
        <f>הגדרות!D7</f>
        <v/>
      </c>
      <c r="L2816">
        <f>I2816*(1+J2816/100)+K2816</f>
        <v/>
      </c>
    </row>
    <row r="2817">
      <c r="A2817" t="inlineStr">
        <is>
          <t>מדי-מרקט</t>
        </is>
      </c>
      <c r="B2817" t="inlineStr">
        <is>
          <t>מסיכה לרינגיאלית PVC גודל  LMA - 4</t>
        </is>
      </c>
      <c r="C2817" t="inlineStr">
        <is>
          <t>ציוד ומכשור רפואי</t>
        </is>
      </c>
      <c r="D2817" t="inlineStr">
        <is>
          <t>3832</t>
        </is>
      </c>
      <c r="E2817" t="inlineStr">
        <is>
          <t>2026-06</t>
        </is>
      </c>
      <c r="F2817" t="n">
        <v>20.08</v>
      </c>
      <c r="G2817" t="n">
        <v>23.7</v>
      </c>
      <c r="H2817">
        <f>הגדרות!B7</f>
        <v/>
      </c>
      <c r="I2817">
        <f>F2817*(1-H2817/100)*1.18</f>
        <v/>
      </c>
      <c r="J2817">
        <f>הגדרות!C7</f>
        <v/>
      </c>
      <c r="K2817">
        <f>הגדרות!D7</f>
        <v/>
      </c>
      <c r="L2817">
        <f>I2817*(1+J2817/100)+K2817</f>
        <v/>
      </c>
    </row>
    <row r="2818">
      <c r="A2818" t="inlineStr">
        <is>
          <t>מדי-מרקט</t>
        </is>
      </c>
      <c r="B2818" t="inlineStr">
        <is>
          <t>מסיכה לרינגיאלית PVC גודל  LMA - 5</t>
        </is>
      </c>
      <c r="C2818" t="inlineStr">
        <is>
          <t>ציוד ומכשור רפואי</t>
        </is>
      </c>
      <c r="D2818" t="inlineStr">
        <is>
          <t>3993</t>
        </is>
      </c>
      <c r="E2818" t="inlineStr">
        <is>
          <t>2026-06</t>
        </is>
      </c>
      <c r="F2818" t="n">
        <v>21.74</v>
      </c>
      <c r="G2818" t="n">
        <v>25.65</v>
      </c>
      <c r="H2818">
        <f>הגדרות!B7</f>
        <v/>
      </c>
      <c r="I2818">
        <f>F2818*(1-H2818/100)*1.18</f>
        <v/>
      </c>
      <c r="J2818">
        <f>הגדרות!C7</f>
        <v/>
      </c>
      <c r="K2818">
        <f>הגדרות!D7</f>
        <v/>
      </c>
      <c r="L2818">
        <f>I2818*(1+J2818/100)+K2818</f>
        <v/>
      </c>
    </row>
    <row r="2819">
      <c r="A2819" t="inlineStr">
        <is>
          <t>מדי-מרקט</t>
        </is>
      </c>
      <c r="B2819" t="inlineStr">
        <is>
          <t>מסיכות כירורגיות ירוקות + גומי מדיקפרו 1/50</t>
        </is>
      </c>
      <c r="C2819" t="inlineStr">
        <is>
          <t>ביגוד ח.פ. ורב פעמי</t>
        </is>
      </c>
      <c r="D2819" t="inlineStr">
        <is>
          <t>500-021</t>
        </is>
      </c>
      <c r="E2819" t="inlineStr">
        <is>
          <t>2026-06</t>
        </is>
      </c>
      <c r="F2819" t="n">
        <v>2.39</v>
      </c>
      <c r="G2819" t="n">
        <v>2.82</v>
      </c>
      <c r="H2819">
        <f>הגדרות!B7</f>
        <v/>
      </c>
      <c r="I2819">
        <f>F2819*(1-H2819/100)*1.18</f>
        <v/>
      </c>
      <c r="J2819">
        <f>הגדרות!C7</f>
        <v/>
      </c>
      <c r="K2819">
        <f>הגדרות!D7</f>
        <v/>
      </c>
      <c r="L2819">
        <f>I2819*(1+J2819/100)+K2819</f>
        <v/>
      </c>
    </row>
    <row r="2820">
      <c r="A2820" t="inlineStr">
        <is>
          <t>מדי-מרקט</t>
        </is>
      </c>
      <c r="B2820" t="inlineStr">
        <is>
          <t>מסיכת הנשמה מס' 1 - לבן מדיקפרו</t>
        </is>
      </c>
      <c r="C2820" t="inlineStr">
        <is>
          <t>ציוד מתכלה</t>
        </is>
      </c>
      <c r="D2820" t="inlineStr">
        <is>
          <t>55030</t>
        </is>
      </c>
      <c r="E2820" t="inlineStr">
        <is>
          <t>2026-06</t>
        </is>
      </c>
      <c r="F2820" t="n">
        <v>2.1</v>
      </c>
      <c r="G2820" t="n">
        <v>2.48</v>
      </c>
      <c r="H2820">
        <f>הגדרות!B7</f>
        <v/>
      </c>
      <c r="I2820">
        <f>F2820*(1-H2820/100)*1.18</f>
        <v/>
      </c>
      <c r="J2820">
        <f>הגדרות!C7</f>
        <v/>
      </c>
      <c r="K2820">
        <f>הגדרות!D7</f>
        <v/>
      </c>
      <c r="L2820">
        <f>I2820*(1+J2820/100)+K2820</f>
        <v/>
      </c>
    </row>
    <row r="2821">
      <c r="A2821" t="inlineStr">
        <is>
          <t>מדי-מרקט</t>
        </is>
      </c>
      <c r="B2821" t="inlineStr">
        <is>
          <t>מסיכת הנשמה מס' 2 - צהוב מדיקפרו</t>
        </is>
      </c>
      <c r="C2821" t="inlineStr">
        <is>
          <t>ציוד מתכלה</t>
        </is>
      </c>
      <c r="D2821" t="inlineStr">
        <is>
          <t>55033</t>
        </is>
      </c>
      <c r="E2821" t="inlineStr">
        <is>
          <t>2026-06</t>
        </is>
      </c>
      <c r="F2821" t="n">
        <v>2.1</v>
      </c>
      <c r="G2821" t="n">
        <v>2.48</v>
      </c>
      <c r="H2821">
        <f>הגדרות!B7</f>
        <v/>
      </c>
      <c r="I2821">
        <f>F2821*(1-H2821/100)*1.18</f>
        <v/>
      </c>
      <c r="J2821">
        <f>הגדרות!C7</f>
        <v/>
      </c>
      <c r="K2821">
        <f>הגדרות!D7</f>
        <v/>
      </c>
      <c r="L2821">
        <f>I2821*(1+J2821/100)+K2821</f>
        <v/>
      </c>
    </row>
    <row r="2822">
      <c r="A2822" t="inlineStr">
        <is>
          <t>מדי-מרקט</t>
        </is>
      </c>
      <c r="B2822" t="inlineStr">
        <is>
          <t>מסיכת הנשמה מס' 3 - ירוק מדיקפרו</t>
        </is>
      </c>
      <c r="C2822" t="inlineStr">
        <is>
          <t>ציוד מתכלה</t>
        </is>
      </c>
      <c r="D2822" t="inlineStr">
        <is>
          <t>55034</t>
        </is>
      </c>
      <c r="E2822" t="inlineStr">
        <is>
          <t>2026-06</t>
        </is>
      </c>
      <c r="F2822" t="n">
        <v>2.16</v>
      </c>
      <c r="G2822" t="n">
        <v>2.55</v>
      </c>
      <c r="H2822">
        <f>הגדרות!B7</f>
        <v/>
      </c>
      <c r="I2822">
        <f>F2822*(1-H2822/100)*1.18</f>
        <v/>
      </c>
      <c r="J2822">
        <f>הגדרות!C7</f>
        <v/>
      </c>
      <c r="K2822">
        <f>הגדרות!D7</f>
        <v/>
      </c>
      <c r="L2822">
        <f>I2822*(1+J2822/100)+K2822</f>
        <v/>
      </c>
    </row>
    <row r="2823">
      <c r="A2823" t="inlineStr">
        <is>
          <t>מדי-מרקט</t>
        </is>
      </c>
      <c r="B2823" t="inlineStr">
        <is>
          <t>מסיכת הנשמה מס' 4 - אדום מדיקפרו</t>
        </is>
      </c>
      <c r="C2823" t="inlineStr">
        <is>
          <t>ציוד מתכלה</t>
        </is>
      </c>
      <c r="D2823" t="inlineStr">
        <is>
          <t>55035</t>
        </is>
      </c>
      <c r="E2823" t="inlineStr">
        <is>
          <t>2026-06</t>
        </is>
      </c>
      <c r="F2823" t="n">
        <v>2.16</v>
      </c>
      <c r="G2823" t="n">
        <v>2.55</v>
      </c>
      <c r="H2823">
        <f>הגדרות!B7</f>
        <v/>
      </c>
      <c r="I2823">
        <f>F2823*(1-H2823/100)*1.18</f>
        <v/>
      </c>
      <c r="J2823">
        <f>הגדרות!C7</f>
        <v/>
      </c>
      <c r="K2823">
        <f>הגדרות!D7</f>
        <v/>
      </c>
      <c r="L2823">
        <f>I2823*(1+J2823/100)+K2823</f>
        <v/>
      </c>
    </row>
    <row r="2824">
      <c r="A2824" t="inlineStr">
        <is>
          <t>מדי-מרקט</t>
        </is>
      </c>
      <c r="B2824" t="inlineStr">
        <is>
          <t>מסיכת הנשמה מס' 5 - כחול מדיקפרו</t>
        </is>
      </c>
      <c r="C2824" t="inlineStr">
        <is>
          <t>ציוד מתכלה</t>
        </is>
      </c>
      <c r="D2824" t="inlineStr">
        <is>
          <t>55036</t>
        </is>
      </c>
      <c r="E2824" t="inlineStr">
        <is>
          <t>2026-06</t>
        </is>
      </c>
      <c r="F2824" t="n">
        <v>2.16</v>
      </c>
      <c r="G2824" t="n">
        <v>2.55</v>
      </c>
      <c r="H2824">
        <f>הגדרות!B7</f>
        <v/>
      </c>
      <c r="I2824">
        <f>F2824*(1-H2824/100)*1.18</f>
        <v/>
      </c>
      <c r="J2824">
        <f>הגדרות!C7</f>
        <v/>
      </c>
      <c r="K2824">
        <f>הגדרות!D7</f>
        <v/>
      </c>
      <c r="L2824">
        <f>I2824*(1+J2824/100)+K2824</f>
        <v/>
      </c>
    </row>
    <row r="2825">
      <c r="A2825" t="inlineStr">
        <is>
          <t>מדי-מרקט</t>
        </is>
      </c>
      <c r="B2825" t="inlineStr">
        <is>
          <t>מסיכת חמצן + שקית העשרה 100% למבוגר עם צנרת מדיקפרו</t>
        </is>
      </c>
      <c r="C2825" t="inlineStr">
        <is>
          <t>ציוד מתכלה</t>
        </is>
      </c>
      <c r="D2825" t="inlineStr">
        <is>
          <t>500-034</t>
        </is>
      </c>
      <c r="E2825" t="inlineStr">
        <is>
          <t>2026-06</t>
        </is>
      </c>
      <c r="F2825" t="n">
        <v>1.84</v>
      </c>
      <c r="G2825" t="n">
        <v>2.17</v>
      </c>
      <c r="H2825">
        <f>הגדרות!B7</f>
        <v/>
      </c>
      <c r="I2825">
        <f>F2825*(1-H2825/100)*1.18</f>
        <v/>
      </c>
      <c r="J2825">
        <f>הגדרות!C7</f>
        <v/>
      </c>
      <c r="K2825">
        <f>הגדרות!D7</f>
        <v/>
      </c>
      <c r="L2825">
        <f>I2825*(1+J2825/100)+K2825</f>
        <v/>
      </c>
    </row>
    <row r="2826">
      <c r="A2826" t="inlineStr">
        <is>
          <t>מדי-מרקט</t>
        </is>
      </c>
      <c r="B2826" t="inlineStr">
        <is>
          <t>מסיכת חמצן לילד + צנרת 2 מ' קבוע</t>
        </is>
      </c>
      <c r="C2826" t="inlineStr">
        <is>
          <t>ציוד מתכלה</t>
        </is>
      </c>
      <c r="D2826" t="inlineStr">
        <is>
          <t>3147</t>
        </is>
      </c>
      <c r="E2826" t="inlineStr">
        <is>
          <t>2026-06</t>
        </is>
      </c>
      <c r="F2826" t="n">
        <v>2.28</v>
      </c>
      <c r="G2826" t="n">
        <v>2.69</v>
      </c>
      <c r="H2826">
        <f>הגדרות!B7</f>
        <v/>
      </c>
      <c r="I2826">
        <f>F2826*(1-H2826/100)*1.18</f>
        <v/>
      </c>
      <c r="J2826">
        <f>הגדרות!C7</f>
        <v/>
      </c>
      <c r="K2826">
        <f>הגדרות!D7</f>
        <v/>
      </c>
      <c r="L2826">
        <f>I2826*(1+J2826/100)+K2826</f>
        <v/>
      </c>
    </row>
    <row r="2827">
      <c r="A2827" t="inlineStr">
        <is>
          <t>מדי-מרקט</t>
        </is>
      </c>
      <c r="B2827" t="inlineStr">
        <is>
          <t>מסיכת חמצן לילד עם צנרת, מדיקפרו</t>
        </is>
      </c>
      <c r="C2827" t="inlineStr">
        <is>
          <t>ציוד מתכלה</t>
        </is>
      </c>
      <c r="D2827" t="inlineStr">
        <is>
          <t>500-0331</t>
        </is>
      </c>
      <c r="E2827" t="inlineStr">
        <is>
          <t>2026-06</t>
        </is>
      </c>
      <c r="F2827" t="n">
        <v>1.08</v>
      </c>
      <c r="G2827" t="n">
        <v>1.27</v>
      </c>
      <c r="H2827">
        <f>הגדרות!B7</f>
        <v/>
      </c>
      <c r="I2827">
        <f>F2827*(1-H2827/100)*1.18</f>
        <v/>
      </c>
      <c r="J2827">
        <f>הגדרות!C7</f>
        <v/>
      </c>
      <c r="K2827">
        <f>הגדרות!D7</f>
        <v/>
      </c>
      <c r="L2827">
        <f>I2827*(1+J2827/100)+K2827</f>
        <v/>
      </c>
    </row>
    <row r="2828">
      <c r="A2828" t="inlineStr">
        <is>
          <t>מדי-מרקט</t>
        </is>
      </c>
      <c r="B2828" t="inlineStr">
        <is>
          <t>מסיכת חמצן למבוגר עם צנרת, מדיקפרו</t>
        </is>
      </c>
      <c r="C2828" t="inlineStr">
        <is>
          <t>ציוד מתכלה</t>
        </is>
      </c>
      <c r="D2828" t="inlineStr">
        <is>
          <t>500-033</t>
        </is>
      </c>
      <c r="E2828" t="inlineStr">
        <is>
          <t>2026-06</t>
        </is>
      </c>
      <c r="F2828" t="n">
        <v>1.15</v>
      </c>
      <c r="G2828" t="n">
        <v>1.36</v>
      </c>
      <c r="H2828">
        <f>הגדרות!B7</f>
        <v/>
      </c>
      <c r="I2828">
        <f>F2828*(1-H2828/100)*1.18</f>
        <v/>
      </c>
      <c r="J2828">
        <f>הגדרות!C7</f>
        <v/>
      </c>
      <c r="K2828">
        <f>הגדרות!D7</f>
        <v/>
      </c>
      <c r="L2828">
        <f>I2828*(1+J2828/100)+K2828</f>
        <v/>
      </c>
    </row>
    <row r="2829">
      <c r="A2829" t="inlineStr">
        <is>
          <t>מדי-מרקט</t>
        </is>
      </c>
      <c r="B2829" t="inlineStr">
        <is>
          <t>מסיכת חמצן+שקית העשרה 100% לילד + צנרת מדיקפרו</t>
        </is>
      </c>
      <c r="C2829" t="inlineStr">
        <is>
          <t>ציוד מתכלה</t>
        </is>
      </c>
      <c r="D2829" t="inlineStr">
        <is>
          <t>500-035</t>
        </is>
      </c>
      <c r="E2829" t="inlineStr">
        <is>
          <t>2026-06</t>
        </is>
      </c>
      <c r="F2829" t="n">
        <v>2.03</v>
      </c>
      <c r="G2829" t="n">
        <v>2.4</v>
      </c>
      <c r="H2829">
        <f>הגדרות!B7</f>
        <v/>
      </c>
      <c r="I2829">
        <f>F2829*(1-H2829/100)*1.18</f>
        <v/>
      </c>
      <c r="J2829">
        <f>הגדרות!C7</f>
        <v/>
      </c>
      <c r="K2829">
        <f>הגדרות!D7</f>
        <v/>
      </c>
      <c r="L2829">
        <f>I2829*(1+J2829/100)+K2829</f>
        <v/>
      </c>
    </row>
    <row r="2830">
      <c r="A2830" t="inlineStr">
        <is>
          <t>מדי-מרקט</t>
        </is>
      </c>
      <c r="B2830" t="inlineStr">
        <is>
          <t>מסכה לטרכוסטומי לילד עם מתאם וצנרת</t>
        </is>
      </c>
      <c r="C2830" t="inlineStr">
        <is>
          <t>ציוד ומכשור רפואי</t>
        </is>
      </c>
      <c r="D2830" t="inlineStr">
        <is>
          <t>13962</t>
        </is>
      </c>
      <c r="E2830" t="inlineStr">
        <is>
          <t>2026-06</t>
        </is>
      </c>
      <c r="F2830" t="n">
        <v>5.93</v>
      </c>
      <c r="G2830" t="n">
        <v>7</v>
      </c>
      <c r="H2830">
        <f>הגדרות!B7</f>
        <v/>
      </c>
      <c r="I2830">
        <f>F2830*(1-H2830/100)*1.18</f>
        <v/>
      </c>
      <c r="J2830">
        <f>הגדרות!C7</f>
        <v/>
      </c>
      <c r="K2830">
        <f>הגדרות!D7</f>
        <v/>
      </c>
      <c r="L2830">
        <f>I2830*(1+J2830/100)+K2830</f>
        <v/>
      </c>
    </row>
    <row r="2831">
      <c r="A2831" t="inlineStr">
        <is>
          <t>מדי-מרקט</t>
        </is>
      </c>
      <c r="B2831" t="inlineStr">
        <is>
          <t>מסכת טראכו פדיאטרית +צינור ומתאם ילד 100 X</t>
        </is>
      </c>
      <c r="C2831" t="inlineStr">
        <is>
          <t>ציוד ומכשור רפואי</t>
        </is>
      </c>
      <c r="D2831" t="inlineStr">
        <is>
          <t>101704</t>
        </is>
      </c>
      <c r="E2831" t="inlineStr">
        <is>
          <t>2026-06</t>
        </is>
      </c>
      <c r="F2831" t="n">
        <v>297.46</v>
      </c>
      <c r="G2831" t="n">
        <v>351</v>
      </c>
      <c r="H2831">
        <f>הגדרות!B7</f>
        <v/>
      </c>
      <c r="I2831">
        <f>F2831*(1-H2831/100)*1.18</f>
        <v/>
      </c>
      <c r="J2831">
        <f>הגדרות!C7</f>
        <v/>
      </c>
      <c r="K2831">
        <f>הגדרות!D7</f>
        <v/>
      </c>
      <c r="L2831">
        <f>I2831*(1+J2831/100)+K2831</f>
        <v/>
      </c>
    </row>
    <row r="2832">
      <c r="A2832" t="inlineStr">
        <is>
          <t>מדי-מרקט</t>
        </is>
      </c>
      <c r="B2832" t="inlineStr">
        <is>
          <t>מסכת טרכוסטומי למבוגר עם צנרת</t>
        </is>
      </c>
      <c r="C2832" t="inlineStr">
        <is>
          <t>ציוד מתכלה</t>
        </is>
      </c>
      <c r="D2832" t="inlineStr">
        <is>
          <t>45366</t>
        </is>
      </c>
      <c r="E2832" t="inlineStr">
        <is>
          <t>2026-06</t>
        </is>
      </c>
      <c r="F2832" t="n">
        <v>1.36</v>
      </c>
      <c r="G2832" t="n">
        <v>1.61</v>
      </c>
      <c r="H2832">
        <f>הגדרות!B7</f>
        <v/>
      </c>
      <c r="I2832">
        <f>F2832*(1-H2832/100)*1.18</f>
        <v/>
      </c>
      <c r="J2832">
        <f>הגדרות!C7</f>
        <v/>
      </c>
      <c r="K2832">
        <f>הגדרות!D7</f>
        <v/>
      </c>
      <c r="L2832">
        <f>I2832*(1+J2832/100)+K2832</f>
        <v/>
      </c>
    </row>
    <row r="2833">
      <c r="A2833" t="inlineStr">
        <is>
          <t>מדי-מרקט</t>
        </is>
      </c>
      <c r="B2833" t="inlineStr">
        <is>
          <t>מסננים למחולל חמצן 5 ליטר (מדחס , בקטריאלי ,אבק)</t>
        </is>
      </c>
      <c r="C2833" t="inlineStr">
        <is>
          <t>עירוי הרדמה והנשמה</t>
        </is>
      </c>
      <c r="D2833" t="inlineStr">
        <is>
          <t>66559</t>
        </is>
      </c>
      <c r="E2833" t="inlineStr">
        <is>
          <t>2026-06</t>
        </is>
      </c>
      <c r="F2833" t="n">
        <v>135.59</v>
      </c>
      <c r="G2833" t="n">
        <v>160</v>
      </c>
      <c r="H2833">
        <f>הגדרות!B7</f>
        <v/>
      </c>
      <c r="I2833">
        <f>F2833*(1-H2833/100)*1.18</f>
        <v/>
      </c>
      <c r="J2833">
        <f>הגדרות!C7</f>
        <v/>
      </c>
      <c r="K2833">
        <f>הגדרות!D7</f>
        <v/>
      </c>
      <c r="L2833">
        <f>I2833*(1+J2833/100)+K2833</f>
        <v/>
      </c>
    </row>
    <row r="2834">
      <c r="A2834" t="inlineStr">
        <is>
          <t>מדי-מרקט</t>
        </is>
      </c>
      <c r="B2834" t="inlineStr">
        <is>
          <t>מספרי ליטאור להסרת תפרים מוזהבים Littauer scis' 14cm</t>
        </is>
      </c>
      <c r="C2834" t="inlineStr">
        <is>
          <t>כלים כירורגיים</t>
        </is>
      </c>
      <c r="D2834" t="inlineStr">
        <is>
          <t>10165</t>
        </is>
      </c>
      <c r="E2834" t="inlineStr">
        <is>
          <t>2026-06</t>
        </is>
      </c>
      <c r="F2834" t="n">
        <v>16.37</v>
      </c>
      <c r="G2834" t="n">
        <v>19.32</v>
      </c>
      <c r="H2834">
        <f>הגדרות!B7</f>
        <v/>
      </c>
      <c r="I2834">
        <f>F2834*(1-H2834/100)*1.18</f>
        <v/>
      </c>
      <c r="J2834">
        <f>הגדרות!C7</f>
        <v/>
      </c>
      <c r="K2834">
        <f>הגדרות!D7</f>
        <v/>
      </c>
      <c r="L2834">
        <f>I2834*(1+J2834/100)+K2834</f>
        <v/>
      </c>
    </row>
    <row r="2835">
      <c r="A2835" t="inlineStr">
        <is>
          <t>מדי-מרקט</t>
        </is>
      </c>
      <c r="B2835" t="inlineStr">
        <is>
          <t>מספרי מאיו 18 מוזהבים Mayo scis' 18cm</t>
        </is>
      </c>
      <c r="C2835" t="inlineStr">
        <is>
          <t>כלים כירורגיים</t>
        </is>
      </c>
      <c r="D2835" t="inlineStr">
        <is>
          <t>10195</t>
        </is>
      </c>
      <c r="E2835" t="inlineStr">
        <is>
          <t>2026-06</t>
        </is>
      </c>
      <c r="F2835" t="n">
        <v>56.19</v>
      </c>
      <c r="G2835" t="n">
        <v>66.3</v>
      </c>
      <c r="H2835">
        <f>הגדרות!B7</f>
        <v/>
      </c>
      <c r="I2835">
        <f>F2835*(1-H2835/100)*1.18</f>
        <v/>
      </c>
      <c r="J2835">
        <f>הגדרות!C7</f>
        <v/>
      </c>
      <c r="K2835">
        <f>הגדרות!D7</f>
        <v/>
      </c>
      <c r="L2835">
        <f>I2835*(1+J2835/100)+K2835</f>
        <v/>
      </c>
    </row>
    <row r="2836">
      <c r="A2836" t="inlineStr">
        <is>
          <t>מדי-מרקט</t>
        </is>
      </c>
      <c r="B2836" t="inlineStr">
        <is>
          <t>מספרי מצנבאום ישרים מוזהבים Metzenbaum scis' 14.5cm</t>
        </is>
      </c>
      <c r="C2836" t="inlineStr">
        <is>
          <t>כלים כירורגיים</t>
        </is>
      </c>
      <c r="D2836" t="inlineStr">
        <is>
          <t>30-124</t>
        </is>
      </c>
      <c r="E2836" t="inlineStr">
        <is>
          <t>2026-06</t>
        </is>
      </c>
      <c r="F2836" t="n">
        <v>211.86</v>
      </c>
      <c r="G2836" t="n">
        <v>250</v>
      </c>
      <c r="H2836">
        <f>הגדרות!B7</f>
        <v/>
      </c>
      <c r="I2836">
        <f>F2836*(1-H2836/100)*1.18</f>
        <v/>
      </c>
      <c r="J2836">
        <f>הגדרות!C7</f>
        <v/>
      </c>
      <c r="K2836">
        <f>הגדרות!D7</f>
        <v/>
      </c>
      <c r="L2836">
        <f>I2836*(1+J2836/100)+K2836</f>
        <v/>
      </c>
    </row>
    <row r="2837">
      <c r="A2837" t="inlineStr">
        <is>
          <t>מדי-מרקט</t>
        </is>
      </c>
      <c r="B2837" t="inlineStr">
        <is>
          <t>מספריים אל חלד לעור REISZ</t>
        </is>
      </c>
      <c r="C2837" t="inlineStr">
        <is>
          <t>ציוד ומכשור רפואי</t>
        </is>
      </c>
      <c r="D2837" t="inlineStr">
        <is>
          <t>434331</t>
        </is>
      </c>
      <c r="E2837" t="inlineStr">
        <is>
          <t>2026-06</t>
        </is>
      </c>
      <c r="F2837" t="n">
        <v>16.53</v>
      </c>
      <c r="G2837" t="n">
        <v>19.51</v>
      </c>
      <c r="H2837">
        <f>הגדרות!B7</f>
        <v/>
      </c>
      <c r="I2837">
        <f>F2837*(1-H2837/100)*1.18</f>
        <v/>
      </c>
      <c r="J2837">
        <f>הגדרות!C7</f>
        <v/>
      </c>
      <c r="K2837">
        <f>הגדרות!D7</f>
        <v/>
      </c>
      <c r="L2837">
        <f>I2837*(1+J2837/100)+K2837</f>
        <v/>
      </c>
    </row>
    <row r="2838">
      <c r="A2838" t="inlineStr">
        <is>
          <t>מדי-מרקט</t>
        </is>
      </c>
      <c r="B2838" t="inlineStr">
        <is>
          <t>מעבדה לספירת דם *דגם חדש* BC-30Vet MINDRAY</t>
        </is>
      </c>
      <c r="C2838" t="inlineStr">
        <is>
          <t>Mindray</t>
        </is>
      </c>
      <c r="D2838" t="inlineStr">
        <is>
          <t>10134</t>
        </is>
      </c>
      <c r="E2838" t="inlineStr">
        <is>
          <t>2026-06</t>
        </is>
      </c>
      <c r="F2838" t="n">
        <v>13138.06</v>
      </c>
      <c r="G2838" t="n">
        <v>15502.91</v>
      </c>
      <c r="H2838">
        <f>הגדרות!B7</f>
        <v/>
      </c>
      <c r="I2838">
        <f>F2838*(1-H2838/100)*1.18</f>
        <v/>
      </c>
      <c r="J2838">
        <f>הגדרות!C7</f>
        <v/>
      </c>
      <c r="K2838">
        <f>הגדרות!D7</f>
        <v/>
      </c>
      <c r="L2838">
        <f>I2838*(1+J2838/100)+K2838</f>
        <v/>
      </c>
    </row>
    <row r="2839">
      <c r="A2839" t="inlineStr">
        <is>
          <t>מדי-מרקט</t>
        </is>
      </c>
      <c r="B2839" t="inlineStr">
        <is>
          <t>מעטפות לאוטוקלאב לסטריליזציה 135X260 מ"מ 200 יח' מדיקפרו</t>
        </is>
      </c>
      <c r="C2839" t="inlineStr">
        <is>
          <t>ציוד לסטרליזציה</t>
        </is>
      </c>
      <c r="D2839" t="inlineStr">
        <is>
          <t>500-053</t>
        </is>
      </c>
      <c r="E2839" t="inlineStr">
        <is>
          <t>2026-06</t>
        </is>
      </c>
      <c r="F2839" t="n">
        <v>22.03</v>
      </c>
      <c r="G2839" t="n">
        <v>25.99</v>
      </c>
      <c r="H2839">
        <f>הגדרות!B7</f>
        <v/>
      </c>
      <c r="I2839">
        <f>F2839*(1-H2839/100)*1.18</f>
        <v/>
      </c>
      <c r="J2839">
        <f>הגדרות!C7</f>
        <v/>
      </c>
      <c r="K2839">
        <f>הגדרות!D7</f>
        <v/>
      </c>
      <c r="L2839">
        <f>I2839*(1+J2839/100)+K2839</f>
        <v/>
      </c>
    </row>
    <row r="2840">
      <c r="A2840" t="inlineStr">
        <is>
          <t>מדי-מרקט</t>
        </is>
      </c>
      <c r="B2840" t="inlineStr">
        <is>
          <t>מעטפות לאוטוקלאב לסטריליזציה 190X360 מ"מ 200 יח' מדיקפרו</t>
        </is>
      </c>
      <c r="C2840" t="inlineStr">
        <is>
          <t>ציוד לסטרליזציה</t>
        </is>
      </c>
      <c r="D2840" t="inlineStr">
        <is>
          <t>500-054</t>
        </is>
      </c>
      <c r="E2840" t="inlineStr">
        <is>
          <t>2026-06</t>
        </is>
      </c>
      <c r="F2840" t="n">
        <v>48.47</v>
      </c>
      <c r="G2840" t="n">
        <v>57.2</v>
      </c>
      <c r="H2840">
        <f>הגדרות!B7</f>
        <v/>
      </c>
      <c r="I2840">
        <f>F2840*(1-H2840/100)*1.18</f>
        <v/>
      </c>
      <c r="J2840">
        <f>הגדרות!C7</f>
        <v/>
      </c>
      <c r="K2840">
        <f>הגדרות!D7</f>
        <v/>
      </c>
      <c r="L2840">
        <f>I2840*(1+J2840/100)+K2840</f>
        <v/>
      </c>
    </row>
    <row r="2841">
      <c r="A2841" t="inlineStr">
        <is>
          <t>מדי-מרקט</t>
        </is>
      </c>
      <c r="B2841" t="inlineStr">
        <is>
          <t>מעטפות לתרופות עם מקום לכתיבה מדיקפרו 19X12  1/500ס"מ</t>
        </is>
      </c>
      <c r="C2841" t="inlineStr">
        <is>
          <t>מוצרי נייר וניקוי</t>
        </is>
      </c>
      <c r="D2841" t="inlineStr">
        <is>
          <t>2701</t>
        </is>
      </c>
      <c r="E2841" t="inlineStr">
        <is>
          <t>2026-06</t>
        </is>
      </c>
      <c r="F2841" t="n">
        <v>44.62</v>
      </c>
      <c r="G2841" t="n">
        <v>52.65</v>
      </c>
      <c r="H2841">
        <f>הגדרות!B7</f>
        <v/>
      </c>
      <c r="I2841">
        <f>F2841*(1-H2841/100)*1.18</f>
        <v/>
      </c>
      <c r="J2841">
        <f>הגדרות!C7</f>
        <v/>
      </c>
      <c r="K2841">
        <f>הגדרות!D7</f>
        <v/>
      </c>
      <c r="L2841">
        <f>I2841*(1+J2841/100)+K2841</f>
        <v/>
      </c>
    </row>
    <row r="2842">
      <c r="A2842" t="inlineStr">
        <is>
          <t>מדי-מרקט</t>
        </is>
      </c>
      <c r="B2842" t="inlineStr">
        <is>
          <t>מעמד חבישה לרגל טלסקופי54-95 ס"מ</t>
        </is>
      </c>
      <c r="C2842" t="inlineStr">
        <is>
          <t>ציוד ומכשור רפואי</t>
        </is>
      </c>
      <c r="D2842" t="inlineStr">
        <is>
          <t>63549845</t>
        </is>
      </c>
      <c r="E2842" t="inlineStr">
        <is>
          <t>2026-06</t>
        </is>
      </c>
      <c r="F2842" t="n">
        <v>137.29</v>
      </c>
      <c r="G2842" t="n">
        <v>162</v>
      </c>
      <c r="H2842">
        <f>הגדרות!B7</f>
        <v/>
      </c>
      <c r="I2842">
        <f>F2842*(1-H2842/100)*1.18</f>
        <v/>
      </c>
      <c r="J2842">
        <f>הגדרות!C7</f>
        <v/>
      </c>
      <c r="K2842">
        <f>הגדרות!D7</f>
        <v/>
      </c>
      <c r="L2842">
        <f>I2842*(1+J2842/100)+K2842</f>
        <v/>
      </c>
    </row>
    <row r="2843">
      <c r="A2843" t="inlineStr">
        <is>
          <t>מדי-מרקט</t>
        </is>
      </c>
      <c r="B2843" t="inlineStr">
        <is>
          <t>מעמד לקיר עם 2 ידיות לאוטוסקופ/ אופטלמוסקופ W.A</t>
        </is>
      </c>
      <c r="C2843" t="inlineStr">
        <is>
          <t>ציוד ומכשור רפואי</t>
        </is>
      </c>
      <c r="D2843" t="inlineStr">
        <is>
          <t>12445</t>
        </is>
      </c>
      <c r="E2843" t="inlineStr">
        <is>
          <t>2026-06</t>
        </is>
      </c>
      <c r="F2843" t="n">
        <v>1455.25</v>
      </c>
      <c r="G2843" t="n">
        <v>1717.2</v>
      </c>
      <c r="H2843">
        <f>הגדרות!B7</f>
        <v/>
      </c>
      <c r="I2843">
        <f>F2843*(1-H2843/100)*1.18</f>
        <v/>
      </c>
      <c r="J2843">
        <f>הגדרות!C7</f>
        <v/>
      </c>
      <c r="K2843">
        <f>הגדרות!D7</f>
        <v/>
      </c>
      <c r="L2843">
        <f>I2843*(1+J2843/100)+K2843</f>
        <v/>
      </c>
    </row>
    <row r="2844">
      <c r="A2844" t="inlineStr">
        <is>
          <t>מדי-מרקט</t>
        </is>
      </c>
      <c r="B2844" t="inlineStr">
        <is>
          <t>מעמד פלסטיק לגלילי 500 יחידות פד ליגנין מדיקפרו</t>
        </is>
      </c>
      <c r="C2844" t="inlineStr">
        <is>
          <t>מוצרי חבישה ופלסטרים</t>
        </is>
      </c>
      <c r="D2844" t="inlineStr">
        <is>
          <t>632-102</t>
        </is>
      </c>
      <c r="E2844" t="inlineStr">
        <is>
          <t>2026-06</t>
        </is>
      </c>
      <c r="F2844" t="n">
        <v>31.31</v>
      </c>
      <c r="G2844" t="n">
        <v>36.95</v>
      </c>
      <c r="H2844">
        <f>הגדרות!B7</f>
        <v/>
      </c>
      <c r="I2844">
        <f>F2844*(1-H2844/100)*1.18</f>
        <v/>
      </c>
      <c r="J2844">
        <f>הגדרות!C7</f>
        <v/>
      </c>
      <c r="K2844">
        <f>הגדרות!D7</f>
        <v/>
      </c>
      <c r="L2844">
        <f>I2844*(1+J2844/100)+K2844</f>
        <v/>
      </c>
    </row>
    <row r="2845">
      <c r="A2845" t="inlineStr">
        <is>
          <t>מדי-מרקט</t>
        </is>
      </c>
      <c r="B2845" t="inlineStr">
        <is>
          <t>מפיות בטן 30*30 ס"מ,מדיקפרו+פס זיהוי סטר' 5 יח'</t>
        </is>
      </c>
      <c r="C2845" t="inlineStr">
        <is>
          <t>מוצרי חבישה ופלסטרים</t>
        </is>
      </c>
      <c r="D2845" t="inlineStr">
        <is>
          <t>100-108</t>
        </is>
      </c>
      <c r="E2845" t="inlineStr">
        <is>
          <t>2026-06</t>
        </is>
      </c>
      <c r="F2845" t="n">
        <v>3.58</v>
      </c>
      <c r="G2845" t="n">
        <v>4.23</v>
      </c>
      <c r="H2845">
        <f>הגדרות!B7</f>
        <v/>
      </c>
      <c r="I2845">
        <f>F2845*(1-H2845/100)*1.18</f>
        <v/>
      </c>
      <c r="J2845">
        <f>הגדרות!C7</f>
        <v/>
      </c>
      <c r="K2845">
        <f>הגדרות!D7</f>
        <v/>
      </c>
      <c r="L2845">
        <f>I2845*(1+J2845/100)+K2845</f>
        <v/>
      </c>
    </row>
    <row r="2846">
      <c r="A2846" t="inlineStr">
        <is>
          <t>מדי-מרקט</t>
        </is>
      </c>
      <c r="B2846" t="inlineStr">
        <is>
          <t>מפיות בטן 45*45ס"מ,מדיקפרו+פס זיהוי, 17 חוטים , סטר' 5 יח'</t>
        </is>
      </c>
      <c r="C2846" t="inlineStr">
        <is>
          <t>מוצרי חבישה ופלסטרים</t>
        </is>
      </c>
      <c r="D2846" t="inlineStr">
        <is>
          <t>100-109</t>
        </is>
      </c>
      <c r="E2846" t="inlineStr">
        <is>
          <t>2026-06</t>
        </is>
      </c>
      <c r="F2846" t="n">
        <v>4.25</v>
      </c>
      <c r="G2846" t="n">
        <v>5.02</v>
      </c>
      <c r="H2846">
        <f>הגדרות!B7</f>
        <v/>
      </c>
      <c r="I2846">
        <f>F2846*(1-H2846/100)*1.18</f>
        <v/>
      </c>
      <c r="J2846">
        <f>הגדרות!C7</f>
        <v/>
      </c>
      <c r="K2846">
        <f>הגדרות!D7</f>
        <v/>
      </c>
      <c r="L2846">
        <f>I2846*(1+J2846/100)+K2846</f>
        <v/>
      </c>
    </row>
    <row r="2847">
      <c r="A2847" t="inlineStr">
        <is>
          <t>מדי-מרקט</t>
        </is>
      </c>
      <c r="B2847" t="inlineStr">
        <is>
          <t>מצג 10*20 מצג גזה סטרילי 1 יח'</t>
        </is>
      </c>
      <c r="C2847" t="inlineStr">
        <is>
          <t>מוצרי חבישה ופלסטרים</t>
        </is>
      </c>
      <c r="D2847" t="inlineStr">
        <is>
          <t>3173</t>
        </is>
      </c>
      <c r="E2847" t="inlineStr">
        <is>
          <t>2026-06</t>
        </is>
      </c>
      <c r="F2847" t="n">
        <v>0.59</v>
      </c>
      <c r="G2847" t="n">
        <v>0.7</v>
      </c>
      <c r="H2847">
        <f>הגדרות!B7</f>
        <v/>
      </c>
      <c r="I2847">
        <f>F2847*(1-H2847/100)*1.18</f>
        <v/>
      </c>
      <c r="J2847">
        <f>הגדרות!C7</f>
        <v/>
      </c>
      <c r="K2847">
        <f>הגדרות!D7</f>
        <v/>
      </c>
      <c r="L2847">
        <f>I2847*(1+J2847/100)+K2847</f>
        <v/>
      </c>
    </row>
    <row r="2848">
      <c r="A2848" t="inlineStr">
        <is>
          <t>מדי-מרקט</t>
        </is>
      </c>
      <c r="B2848" t="inlineStr">
        <is>
          <t>מצג גזה 20*10 לא סטרילי  1 יחידה  מדיקפרו</t>
        </is>
      </c>
      <c r="C2848" t="inlineStr">
        <is>
          <t>מוצרי חבישה ופלסטרים</t>
        </is>
      </c>
      <c r="D2848" t="inlineStr">
        <is>
          <t>100-136</t>
        </is>
      </c>
      <c r="E2848" t="inlineStr">
        <is>
          <t>2026-06</t>
        </is>
      </c>
      <c r="F2848" t="n">
        <v>0.42</v>
      </c>
      <c r="G2848" t="n">
        <v>0.5</v>
      </c>
      <c r="H2848">
        <f>הגדרות!B7</f>
        <v/>
      </c>
      <c r="I2848">
        <f>F2848*(1-H2848/100)*1.18</f>
        <v/>
      </c>
      <c r="J2848">
        <f>הגדרות!C7</f>
        <v/>
      </c>
      <c r="K2848">
        <f>הגדרות!D7</f>
        <v/>
      </c>
      <c r="L2848">
        <f>I2848*(1+J2848/100)+K2848</f>
        <v/>
      </c>
    </row>
    <row r="2849">
      <c r="A2849" t="inlineStr">
        <is>
          <t>מדי-מרקט</t>
        </is>
      </c>
      <c r="B2849" t="inlineStr">
        <is>
          <t>מקדח זקריה 28 מ"מ 6 יח Zakaria</t>
        </is>
      </c>
      <c r="C2849" t="inlineStr">
        <is>
          <t>דנטלי</t>
        </is>
      </c>
      <c r="D2849" t="inlineStr">
        <is>
          <t>10235</t>
        </is>
      </c>
      <c r="E2849" t="inlineStr">
        <is>
          <t>2026-06</t>
        </is>
      </c>
      <c r="F2849" t="n">
        <v>152.54</v>
      </c>
      <c r="G2849" t="n">
        <v>180</v>
      </c>
      <c r="H2849">
        <f>הגדרות!B7</f>
        <v/>
      </c>
      <c r="I2849">
        <f>F2849*(1-H2849/100)*1.18</f>
        <v/>
      </c>
      <c r="J2849">
        <f>הגדרות!C7</f>
        <v/>
      </c>
      <c r="K2849">
        <f>הגדרות!D7</f>
        <v/>
      </c>
      <c r="L2849">
        <f>I2849*(1+J2849/100)+K2849</f>
        <v/>
      </c>
    </row>
    <row r="2850">
      <c r="A2850" t="inlineStr">
        <is>
          <t>מדי-מרקט</t>
        </is>
      </c>
      <c r="B2850" t="inlineStr">
        <is>
          <t>מקדח כירורגי דנטלי זקריה שטראוס 23 מ"מ 1 יח'</t>
        </is>
      </c>
      <c r="C2850" t="inlineStr">
        <is>
          <t>כלים כירורגיים</t>
        </is>
      </c>
      <c r="D2850" t="inlineStr">
        <is>
          <t>20001558</t>
        </is>
      </c>
      <c r="E2850" t="inlineStr">
        <is>
          <t>2026-06</t>
        </is>
      </c>
      <c r="F2850" t="n">
        <v>25.42</v>
      </c>
      <c r="G2850" t="n">
        <v>30</v>
      </c>
      <c r="H2850">
        <f>הגדרות!B7</f>
        <v/>
      </c>
      <c r="I2850">
        <f>F2850*(1-H2850/100)*1.18</f>
        <v/>
      </c>
      <c r="J2850">
        <f>הגדרות!C7</f>
        <v/>
      </c>
      <c r="K2850">
        <f>הגדרות!D7</f>
        <v/>
      </c>
      <c r="L2850">
        <f>I2850*(1+J2850/100)+K2850</f>
        <v/>
      </c>
    </row>
    <row r="2851">
      <c r="A2851" t="inlineStr">
        <is>
          <t>מדי-מרקט</t>
        </is>
      </c>
      <c r="B2851" t="inlineStr">
        <is>
          <t>מקל פלסטיק עם ספוג להרטבת הפה 100 יח'</t>
        </is>
      </c>
      <c r="C2851" t="inlineStr">
        <is>
          <t>ציוד מתכלה</t>
        </is>
      </c>
      <c r="D2851" t="inlineStr">
        <is>
          <t>24441</t>
        </is>
      </c>
      <c r="E2851" t="inlineStr">
        <is>
          <t>2026-06</t>
        </is>
      </c>
      <c r="F2851" t="n">
        <v>28.22</v>
      </c>
      <c r="G2851" t="n">
        <v>33.3</v>
      </c>
      <c r="H2851">
        <f>הגדרות!B7</f>
        <v/>
      </c>
      <c r="I2851">
        <f>F2851*(1-H2851/100)*1.18</f>
        <v/>
      </c>
      <c r="J2851">
        <f>הגדרות!C7</f>
        <v/>
      </c>
      <c r="K2851">
        <f>הגדרות!D7</f>
        <v/>
      </c>
      <c r="L2851">
        <f>I2851*(1+J2851/100)+K2851</f>
        <v/>
      </c>
    </row>
    <row r="2852">
      <c r="A2852" t="inlineStr">
        <is>
          <t>מדי-מרקט</t>
        </is>
      </c>
      <c r="B2852" t="inlineStr">
        <is>
          <t>מרוקן חדש 3 ליטר Meroken</t>
        </is>
      </c>
      <c r="C2852" t="inlineStr">
        <is>
          <t>תרופות</t>
        </is>
      </c>
      <c r="D2852" t="inlineStr">
        <is>
          <t>M00351</t>
        </is>
      </c>
      <c r="E2852" t="inlineStr">
        <is>
          <t>2026-06</t>
        </is>
      </c>
      <c r="F2852" t="n">
        <v>101.69</v>
      </c>
      <c r="G2852" t="n">
        <v>120</v>
      </c>
      <c r="H2852">
        <f>הגדרות!B7</f>
        <v/>
      </c>
      <c r="I2852">
        <f>F2852*(1-H2852/100)*1.18</f>
        <v/>
      </c>
      <c r="J2852">
        <f>הגדרות!C7</f>
        <v/>
      </c>
      <c r="K2852">
        <f>הגדרות!D7</f>
        <v/>
      </c>
      <c r="L2852">
        <f>I2852*(1+J2852/100)+K2852</f>
        <v/>
      </c>
    </row>
    <row r="2853">
      <c r="A2853" t="inlineStr">
        <is>
          <t>מדי-מרקט</t>
        </is>
      </c>
      <c r="B2853" t="inlineStr">
        <is>
          <t>מרטיב חמצן 400 מ"ל מדיקפרו</t>
        </is>
      </c>
      <c r="C2853" t="inlineStr">
        <is>
          <t>ציוד מתכלה</t>
        </is>
      </c>
      <c r="D2853" t="inlineStr">
        <is>
          <t>3148</t>
        </is>
      </c>
      <c r="E2853" t="inlineStr">
        <is>
          <t>2026-06</t>
        </is>
      </c>
      <c r="F2853" t="n">
        <v>5.19</v>
      </c>
      <c r="G2853" t="n">
        <v>6.13</v>
      </c>
      <c r="H2853">
        <f>הגדרות!B7</f>
        <v/>
      </c>
      <c r="I2853">
        <f>F2853*(1-H2853/100)*1.18</f>
        <v/>
      </c>
      <c r="J2853">
        <f>הגדרות!C7</f>
        <v/>
      </c>
      <c r="K2853">
        <f>הגדרות!D7</f>
        <v/>
      </c>
      <c r="L2853">
        <f>I2853*(1+J2853/100)+K2853</f>
        <v/>
      </c>
    </row>
    <row r="2854">
      <c r="A2854" t="inlineStr">
        <is>
          <t>מדי-מרקט</t>
        </is>
      </c>
      <c r="B2854" t="inlineStr">
        <is>
          <t>מרפד לגבס מדיקפרו 10 ס"מ</t>
        </is>
      </c>
      <c r="C2854" t="inlineStr">
        <is>
          <t>מוצרי חבישה ופלסטרים</t>
        </is>
      </c>
      <c r="D2854" t="inlineStr">
        <is>
          <t>500-029</t>
        </is>
      </c>
      <c r="E2854" t="inlineStr">
        <is>
          <t>2026-06</t>
        </is>
      </c>
      <c r="F2854" t="n">
        <v>0.48</v>
      </c>
      <c r="G2854" t="n">
        <v>0.57</v>
      </c>
      <c r="H2854">
        <f>הגדרות!B7</f>
        <v/>
      </c>
      <c r="I2854">
        <f>F2854*(1-H2854/100)*1.18</f>
        <v/>
      </c>
      <c r="J2854">
        <f>הגדרות!C7</f>
        <v/>
      </c>
      <c r="K2854">
        <f>הגדרות!D7</f>
        <v/>
      </c>
      <c r="L2854">
        <f>I2854*(1+J2854/100)+K2854</f>
        <v/>
      </c>
    </row>
    <row r="2855">
      <c r="A2855" t="inlineStr">
        <is>
          <t>מדי-מרקט</t>
        </is>
      </c>
      <c r="B2855" t="inlineStr">
        <is>
          <t>מרפד לגבס מדיקפרו 12.5 ס"מ</t>
        </is>
      </c>
      <c r="C2855" t="inlineStr">
        <is>
          <t>מוצרי חבישה ופלסטרים</t>
        </is>
      </c>
      <c r="D2855" t="inlineStr">
        <is>
          <t>500-030</t>
        </is>
      </c>
      <c r="E2855" t="inlineStr">
        <is>
          <t>2026-06</t>
        </is>
      </c>
      <c r="F2855" t="n">
        <v>0.53</v>
      </c>
      <c r="G2855" t="n">
        <v>0.62</v>
      </c>
      <c r="H2855">
        <f>הגדרות!B7</f>
        <v/>
      </c>
      <c r="I2855">
        <f>F2855*(1-H2855/100)*1.18</f>
        <v/>
      </c>
      <c r="J2855">
        <f>הגדרות!C7</f>
        <v/>
      </c>
      <c r="K2855">
        <f>הגדרות!D7</f>
        <v/>
      </c>
      <c r="L2855">
        <f>I2855*(1+J2855/100)+K2855</f>
        <v/>
      </c>
    </row>
    <row r="2856">
      <c r="A2856" t="inlineStr">
        <is>
          <t>מדי-מרקט</t>
        </is>
      </c>
      <c r="B2856" t="inlineStr">
        <is>
          <t>מרפד לגבס מדיקפרו 15 ס"מ</t>
        </is>
      </c>
      <c r="C2856" t="inlineStr">
        <is>
          <t>מוצרי חבישה ופלסטרים</t>
        </is>
      </c>
      <c r="D2856" t="inlineStr">
        <is>
          <t>500-031</t>
        </is>
      </c>
      <c r="E2856" t="inlineStr">
        <is>
          <t>2026-06</t>
        </is>
      </c>
      <c r="F2856" t="n">
        <v>0.67</v>
      </c>
      <c r="G2856" t="n">
        <v>0.79</v>
      </c>
      <c r="H2856">
        <f>הגדרות!B7</f>
        <v/>
      </c>
      <c r="I2856">
        <f>F2856*(1-H2856/100)*1.18</f>
        <v/>
      </c>
      <c r="J2856">
        <f>הגדרות!C7</f>
        <v/>
      </c>
      <c r="K2856">
        <f>הגדרות!D7</f>
        <v/>
      </c>
      <c r="L2856">
        <f>I2856*(1+J2856/100)+K2856</f>
        <v/>
      </c>
    </row>
    <row r="2857">
      <c r="A2857" t="inlineStr">
        <is>
          <t>מדי-מרקט</t>
        </is>
      </c>
      <c r="B2857" t="inlineStr">
        <is>
          <t>מרפד לגבס מדיקפרו 20 ס"מ</t>
        </is>
      </c>
      <c r="C2857" t="inlineStr">
        <is>
          <t>מוצרי חבישה ופלסטרים</t>
        </is>
      </c>
      <c r="D2857" t="inlineStr">
        <is>
          <t>500-032</t>
        </is>
      </c>
      <c r="E2857" t="inlineStr">
        <is>
          <t>2026-06</t>
        </is>
      </c>
      <c r="F2857" t="n">
        <v>0.84</v>
      </c>
      <c r="G2857" t="n">
        <v>0.99</v>
      </c>
      <c r="H2857">
        <f>הגדרות!B7</f>
        <v/>
      </c>
      <c r="I2857">
        <f>F2857*(1-H2857/100)*1.18</f>
        <v/>
      </c>
      <c r="J2857">
        <f>הגדרות!C7</f>
        <v/>
      </c>
      <c r="K2857">
        <f>הגדרות!D7</f>
        <v/>
      </c>
      <c r="L2857">
        <f>I2857*(1+J2857/100)+K2857</f>
        <v/>
      </c>
    </row>
    <row r="2858">
      <c r="A2858" t="inlineStr">
        <is>
          <t>מדי-מרקט</t>
        </is>
      </c>
      <c r="B2858" t="inlineStr">
        <is>
          <t>מרפד לגבס מדיקפרו 7.5 ס"מ</t>
        </is>
      </c>
      <c r="C2858" t="inlineStr">
        <is>
          <t>מוצרי חבישה ופלסטרים</t>
        </is>
      </c>
      <c r="D2858" t="inlineStr">
        <is>
          <t>500-028</t>
        </is>
      </c>
      <c r="E2858" t="inlineStr">
        <is>
          <t>2026-06</t>
        </is>
      </c>
      <c r="F2858" t="n">
        <v>0.58</v>
      </c>
      <c r="G2858" t="n">
        <v>0.6899999999999999</v>
      </c>
      <c r="H2858">
        <f>הגדרות!B7</f>
        <v/>
      </c>
      <c r="I2858">
        <f>F2858*(1-H2858/100)*1.18</f>
        <v/>
      </c>
      <c r="J2858">
        <f>הגדרות!C7</f>
        <v/>
      </c>
      <c r="K2858">
        <f>הגדרות!D7</f>
        <v/>
      </c>
      <c r="L2858">
        <f>I2858*(1+J2858/100)+K2858</f>
        <v/>
      </c>
    </row>
    <row r="2859">
      <c r="A2859" t="inlineStr">
        <is>
          <t>מדי-מרקט</t>
        </is>
      </c>
      <c r="B2859" t="inlineStr">
        <is>
          <t>משאבה לספטול/ספטל סקראב pha0122c</t>
        </is>
      </c>
      <c r="C2859" t="inlineStr">
        <is>
          <t>ציוד מתכלה</t>
        </is>
      </c>
      <c r="D2859" t="inlineStr">
        <is>
          <t>6545</t>
        </is>
      </c>
      <c r="E2859" t="inlineStr">
        <is>
          <t>2026-06</t>
        </is>
      </c>
      <c r="F2859" t="n">
        <v>2.54</v>
      </c>
      <c r="G2859" t="n">
        <v>3</v>
      </c>
      <c r="H2859">
        <f>הגדרות!B7</f>
        <v/>
      </c>
      <c r="I2859">
        <f>F2859*(1-H2859/100)*1.18</f>
        <v/>
      </c>
      <c r="J2859">
        <f>הגדרות!C7</f>
        <v/>
      </c>
      <c r="K2859">
        <f>הגדרות!D7</f>
        <v/>
      </c>
      <c r="L2859">
        <f>I2859*(1+J2859/100)+K2859</f>
        <v/>
      </c>
    </row>
    <row r="2860">
      <c r="A2860" t="inlineStr">
        <is>
          <t>מדי-מרקט</t>
        </is>
      </c>
      <c r="B2860" t="inlineStr">
        <is>
          <t>משאבת הזנה ניידת דגם HK-300</t>
        </is>
      </c>
      <c r="C2860" t="inlineStr">
        <is>
          <t>ציוד ומכשור רפואי</t>
        </is>
      </c>
      <c r="D2860" t="inlineStr">
        <is>
          <t>2531</t>
        </is>
      </c>
      <c r="E2860" t="inlineStr">
        <is>
          <t>2026-06</t>
        </is>
      </c>
      <c r="F2860" t="n">
        <v>1900</v>
      </c>
      <c r="G2860" t="n">
        <v>2242</v>
      </c>
      <c r="H2860">
        <f>הגדרות!B7</f>
        <v/>
      </c>
      <c r="I2860">
        <f>F2860*(1-H2860/100)*1.18</f>
        <v/>
      </c>
      <c r="J2860">
        <f>הגדרות!C7</f>
        <v/>
      </c>
      <c r="K2860">
        <f>הגדרות!D7</f>
        <v/>
      </c>
      <c r="L2860">
        <f>I2860*(1+J2860/100)+K2860</f>
        <v/>
      </c>
    </row>
    <row r="2861">
      <c r="A2861" t="inlineStr">
        <is>
          <t>מדי-מרקט</t>
        </is>
      </c>
      <c r="B2861" t="inlineStr">
        <is>
          <t>משאבת הזנה נייחת, SENTINEL תוצרת ארה"ב;</t>
        </is>
      </c>
      <c r="C2861" t="inlineStr">
        <is>
          <t>ציוד ומכשור רפואי</t>
        </is>
      </c>
      <c r="D2861" t="inlineStr">
        <is>
          <t>2532</t>
        </is>
      </c>
      <c r="E2861" t="inlineStr">
        <is>
          <t>2026-06</t>
        </is>
      </c>
      <c r="F2861" t="n">
        <v>2228.64</v>
      </c>
      <c r="G2861" t="n">
        <v>2629.8</v>
      </c>
      <c r="H2861">
        <f>הגדרות!B7</f>
        <v/>
      </c>
      <c r="I2861">
        <f>F2861*(1-H2861/100)*1.18</f>
        <v/>
      </c>
      <c r="J2861">
        <f>הגדרות!C7</f>
        <v/>
      </c>
      <c r="K2861">
        <f>הגדרות!D7</f>
        <v/>
      </c>
      <c r="L2861">
        <f>I2861*(1+J2861/100)+K2861</f>
        <v/>
      </c>
    </row>
    <row r="2862">
      <c r="A2862" t="inlineStr">
        <is>
          <t>מדי-מרקט</t>
        </is>
      </c>
      <c r="B2862" t="inlineStr">
        <is>
          <t>משאבת יניקה ידנית אקדח סקשיין</t>
        </is>
      </c>
      <c r="C2862" t="inlineStr">
        <is>
          <t>ציוד ומכשור רפואי</t>
        </is>
      </c>
      <c r="D2862" t="inlineStr">
        <is>
          <t>3011</t>
        </is>
      </c>
      <c r="E2862" t="inlineStr">
        <is>
          <t>2026-06</t>
        </is>
      </c>
      <c r="F2862" t="n">
        <v>38.14</v>
      </c>
      <c r="G2862" t="n">
        <v>45</v>
      </c>
      <c r="H2862">
        <f>הגדרות!B7</f>
        <v/>
      </c>
      <c r="I2862">
        <f>F2862*(1-H2862/100)*1.18</f>
        <v/>
      </c>
      <c r="J2862">
        <f>הגדרות!C7</f>
        <v/>
      </c>
      <c r="K2862">
        <f>הגדרות!D7</f>
        <v/>
      </c>
      <c r="L2862">
        <f>I2862*(1+J2862/100)+K2862</f>
        <v/>
      </c>
    </row>
    <row r="2863">
      <c r="A2863" t="inlineStr">
        <is>
          <t>מדי-מרקט</t>
        </is>
      </c>
      <c r="B2863" t="inlineStr">
        <is>
          <t>משאבת מזרק BeneFusion SP1 MINDRAY Vet syringe pump</t>
        </is>
      </c>
      <c r="C2863" t="inlineStr">
        <is>
          <t>Mindray</t>
        </is>
      </c>
      <c r="D2863" t="inlineStr">
        <is>
          <t>8513B-PA0001A</t>
        </is>
      </c>
      <c r="E2863" t="inlineStr">
        <is>
          <t>2026-06</t>
        </is>
      </c>
      <c r="F2863" t="n">
        <v>4406.78</v>
      </c>
      <c r="G2863" t="n">
        <v>5200</v>
      </c>
      <c r="H2863">
        <f>הגדרות!B7</f>
        <v/>
      </c>
      <c r="I2863">
        <f>F2863*(1-H2863/100)*1.18</f>
        <v/>
      </c>
      <c r="J2863">
        <f>הגדרות!C7</f>
        <v/>
      </c>
      <c r="K2863">
        <f>הגדרות!D7</f>
        <v/>
      </c>
      <c r="L2863">
        <f>I2863*(1+J2863/100)+K2863</f>
        <v/>
      </c>
    </row>
    <row r="2864">
      <c r="A2864" t="inlineStr">
        <is>
          <t>מדי-מרקט</t>
        </is>
      </c>
      <c r="B2864" t="inlineStr">
        <is>
          <t>משאבת מזרק HK-400</t>
        </is>
      </c>
      <c r="C2864" t="inlineStr">
        <is>
          <t>ציוד ומכשור רפואי</t>
        </is>
      </c>
      <c r="D2864" t="inlineStr">
        <is>
          <t>SHO-HK-400</t>
        </is>
      </c>
      <c r="E2864" t="inlineStr">
        <is>
          <t>2026-06</t>
        </is>
      </c>
      <c r="F2864" t="n">
        <v>3584.75</v>
      </c>
      <c r="G2864" t="n">
        <v>4230</v>
      </c>
      <c r="H2864">
        <f>הגדרות!B7</f>
        <v/>
      </c>
      <c r="I2864">
        <f>F2864*(1-H2864/100)*1.18</f>
        <v/>
      </c>
      <c r="J2864">
        <f>הגדרות!C7</f>
        <v/>
      </c>
      <c r="K2864">
        <f>הגדרות!D7</f>
        <v/>
      </c>
      <c r="L2864">
        <f>I2864*(1+J2864/100)+K2864</f>
        <v/>
      </c>
    </row>
    <row r="2865">
      <c r="A2865" t="inlineStr">
        <is>
          <t>מדי-מרקט</t>
        </is>
      </c>
      <c r="B2865" t="inlineStr">
        <is>
          <t>משאבת עירוי (אינפוזיה) SHO-HK- 100II</t>
        </is>
      </c>
      <c r="C2865" t="inlineStr">
        <is>
          <t>ציוד ומכשור רפואי</t>
        </is>
      </c>
      <c r="D2865" t="inlineStr">
        <is>
          <t>3194</t>
        </is>
      </c>
      <c r="E2865" t="inlineStr">
        <is>
          <t>2026-06</t>
        </is>
      </c>
      <c r="F2865" t="n">
        <v>1745.76</v>
      </c>
      <c r="G2865" t="n">
        <v>2060</v>
      </c>
      <c r="H2865">
        <f>הגדרות!B7</f>
        <v/>
      </c>
      <c r="I2865">
        <f>F2865*(1-H2865/100)*1.18</f>
        <v/>
      </c>
      <c r="J2865">
        <f>הגדרות!C7</f>
        <v/>
      </c>
      <c r="K2865">
        <f>הגדרות!D7</f>
        <v/>
      </c>
      <c r="L2865">
        <f>I2865*(1+J2865/100)+K2865</f>
        <v/>
      </c>
    </row>
    <row r="2866">
      <c r="A2866" t="inlineStr">
        <is>
          <t>מדי-מרקט</t>
        </is>
      </c>
      <c r="B2866" t="inlineStr">
        <is>
          <t>משאבת עירוי ולומטרית ווטרינרית  HK-100VET  קטנה</t>
        </is>
      </c>
      <c r="C2866" t="inlineStr">
        <is>
          <t>עירוי הרדמה והנשמה</t>
        </is>
      </c>
      <c r="D2866" t="inlineStr">
        <is>
          <t>9911</t>
        </is>
      </c>
      <c r="E2866" t="inlineStr">
        <is>
          <t>2026-06</t>
        </is>
      </c>
      <c r="F2866" t="n">
        <v>1161.02</v>
      </c>
      <c r="G2866" t="n">
        <v>1370</v>
      </c>
      <c r="H2866">
        <f>הגדרות!B7</f>
        <v/>
      </c>
      <c r="I2866">
        <f>F2866*(1-H2866/100)*1.18</f>
        <v/>
      </c>
      <c r="J2866">
        <f>הגדרות!C7</f>
        <v/>
      </c>
      <c r="K2866">
        <f>הגדרות!D7</f>
        <v/>
      </c>
      <c r="L2866">
        <f>I2866*(1+J2866/100)+K2866</f>
        <v/>
      </c>
    </row>
    <row r="2867">
      <c r="A2867" t="inlineStr">
        <is>
          <t>מדי-מרקט</t>
        </is>
      </c>
      <c r="B2867" t="inlineStr">
        <is>
          <t>משולש לקיבוע מבד 90X90X127 ס"מ עם 2 סיכות, מדיקפרו</t>
        </is>
      </c>
      <c r="C2867" t="inlineStr">
        <is>
          <t>מוצרי חבישה ופלסטרים</t>
        </is>
      </c>
      <c r="D2867" t="inlineStr">
        <is>
          <t>500-064</t>
        </is>
      </c>
      <c r="E2867" t="inlineStr">
        <is>
          <t>2026-06</t>
        </is>
      </c>
      <c r="F2867" t="n">
        <v>1.08</v>
      </c>
      <c r="G2867" t="n">
        <v>1.27</v>
      </c>
      <c r="H2867">
        <f>הגדרות!B7</f>
        <v/>
      </c>
      <c r="I2867">
        <f>F2867*(1-H2867/100)*1.18</f>
        <v/>
      </c>
      <c r="J2867">
        <f>הגדרות!C7</f>
        <v/>
      </c>
      <c r="K2867">
        <f>הגדרות!D7</f>
        <v/>
      </c>
      <c r="L2867">
        <f>I2867*(1+J2867/100)+K2867</f>
        <v/>
      </c>
    </row>
    <row r="2868">
      <c r="A2868" t="inlineStr">
        <is>
          <t>מדי-מרקט</t>
        </is>
      </c>
      <c r="B2868" t="inlineStr">
        <is>
          <t>משקל TTPS-20 קטן וטרינרי עד 20 ק"ג</t>
        </is>
      </c>
      <c r="C2868" t="inlineStr">
        <is>
          <t>ציוד ומכשור רפואי</t>
        </is>
      </c>
      <c r="D2868" t="inlineStr">
        <is>
          <t>TTPS-20</t>
        </is>
      </c>
      <c r="E2868" t="inlineStr">
        <is>
          <t>2026-06</t>
        </is>
      </c>
      <c r="F2868" t="n">
        <v>440.68</v>
      </c>
      <c r="G2868" t="n">
        <v>520</v>
      </c>
      <c r="H2868">
        <f>הגדרות!B7</f>
        <v/>
      </c>
      <c r="I2868">
        <f>F2868*(1-H2868/100)*1.18</f>
        <v/>
      </c>
      <c r="J2868">
        <f>הגדרות!C7</f>
        <v/>
      </c>
      <c r="K2868">
        <f>הגדרות!D7</f>
        <v/>
      </c>
      <c r="L2868">
        <f>I2868*(1+J2868/100)+K2868</f>
        <v/>
      </c>
    </row>
    <row r="2869">
      <c r="A2869" t="inlineStr">
        <is>
          <t>מדי-מרקט</t>
        </is>
      </c>
      <c r="B2869" t="inlineStr">
        <is>
          <t>משקל TTPS-3624 גדול וטרינרי עד 300 ק"ג</t>
        </is>
      </c>
      <c r="C2869" t="inlineStr">
        <is>
          <t>ציוד ומכשור רפואי</t>
        </is>
      </c>
      <c r="D2869" t="inlineStr">
        <is>
          <t>TTPS-3624</t>
        </is>
      </c>
      <c r="E2869" t="inlineStr">
        <is>
          <t>2026-06</t>
        </is>
      </c>
      <c r="F2869" t="n">
        <v>1516.95</v>
      </c>
      <c r="G2869" t="n">
        <v>1790</v>
      </c>
      <c r="H2869">
        <f>הגדרות!B7</f>
        <v/>
      </c>
      <c r="I2869">
        <f>F2869*(1-H2869/100)*1.18</f>
        <v/>
      </c>
      <c r="J2869">
        <f>הגדרות!C7</f>
        <v/>
      </c>
      <c r="K2869">
        <f>הגדרות!D7</f>
        <v/>
      </c>
      <c r="L2869">
        <f>I2869*(1+J2869/100)+K2869</f>
        <v/>
      </c>
    </row>
    <row r="2870">
      <c r="A2870" t="inlineStr">
        <is>
          <t>מדי-מרקט</t>
        </is>
      </c>
      <c r="B2870" t="inlineStr">
        <is>
          <t>משקל אדם דיגיטלי -חכם עם אפליקציה, norditalia</t>
        </is>
      </c>
      <c r="C2870" t="inlineStr">
        <is>
          <t>ציוד ומכשור רפואי</t>
        </is>
      </c>
      <c r="D2870" t="inlineStr">
        <is>
          <t>8100091052</t>
        </is>
      </c>
      <c r="E2870" t="inlineStr">
        <is>
          <t>2026-06</t>
        </is>
      </c>
      <c r="F2870" t="n">
        <v>46.1</v>
      </c>
      <c r="G2870" t="n">
        <v>54.4</v>
      </c>
      <c r="H2870">
        <f>הגדרות!B7</f>
        <v/>
      </c>
      <c r="I2870">
        <f>F2870*(1-H2870/100)*1.18</f>
        <v/>
      </c>
      <c r="J2870">
        <f>הגדרות!C7</f>
        <v/>
      </c>
      <c r="K2870">
        <f>הגדרות!D7</f>
        <v/>
      </c>
      <c r="L2870">
        <f>I2870*(1+J2870/100)+K2870</f>
        <v/>
      </c>
    </row>
    <row r="2871">
      <c r="A2871" t="inlineStr">
        <is>
          <t>מדי-מרקט</t>
        </is>
      </c>
      <c r="B2871" t="inlineStr">
        <is>
          <t>משקל אדם דיגיטלי-norditalia</t>
        </is>
      </c>
      <c r="C2871" t="inlineStr">
        <is>
          <t>ציוד ומכשור רפואי</t>
        </is>
      </c>
      <c r="D2871" t="inlineStr">
        <is>
          <t>8100091051</t>
        </is>
      </c>
      <c r="E2871" t="inlineStr">
        <is>
          <t>2026-06</t>
        </is>
      </c>
      <c r="F2871" t="n">
        <v>27.97</v>
      </c>
      <c r="G2871" t="n">
        <v>33</v>
      </c>
      <c r="H2871">
        <f>הגדרות!B7</f>
        <v/>
      </c>
      <c r="I2871">
        <f>F2871*(1-H2871/100)*1.18</f>
        <v/>
      </c>
      <c r="J2871">
        <f>הגדרות!C7</f>
        <v/>
      </c>
      <c r="K2871">
        <f>הגדרות!D7</f>
        <v/>
      </c>
      <c r="L2871">
        <f>I2871*(1+J2871/100)+K2871</f>
        <v/>
      </c>
    </row>
    <row r="2872">
      <c r="A2872" t="inlineStr">
        <is>
          <t>מדי-מרקט</t>
        </is>
      </c>
      <c r="B2872" t="inlineStr">
        <is>
          <t>משקל אלקטרוני+ מד גובה (שקל)</t>
        </is>
      </c>
      <c r="C2872" t="inlineStr">
        <is>
          <t>ציוד ומכשור רפואי</t>
        </is>
      </c>
      <c r="D2872" t="inlineStr">
        <is>
          <t>23555</t>
        </is>
      </c>
      <c r="E2872" t="inlineStr">
        <is>
          <t>2026-06</t>
        </is>
      </c>
      <c r="F2872" t="n">
        <v>1544.49</v>
      </c>
      <c r="G2872" t="n">
        <v>1822.5</v>
      </c>
      <c r="H2872">
        <f>הגדרות!B7</f>
        <v/>
      </c>
      <c r="I2872">
        <f>F2872*(1-H2872/100)*1.18</f>
        <v/>
      </c>
      <c r="J2872">
        <f>הגדרות!C7</f>
        <v/>
      </c>
      <c r="K2872">
        <f>הגדרות!D7</f>
        <v/>
      </c>
      <c r="L2872">
        <f>I2872*(1+J2872/100)+K2872</f>
        <v/>
      </c>
    </row>
    <row r="2873">
      <c r="A2873" t="inlineStr">
        <is>
          <t>מדי-מרקט</t>
        </is>
      </c>
      <c r="B2873" t="inlineStr">
        <is>
          <t>משקל דיגטלי עם רמפה דגם H-350</t>
        </is>
      </c>
      <c r="C2873" t="inlineStr">
        <is>
          <t>ציוד ומכשור רפואי</t>
        </is>
      </c>
      <c r="D2873" t="inlineStr">
        <is>
          <t>340803</t>
        </is>
      </c>
      <c r="E2873" t="inlineStr">
        <is>
          <t>2026-06</t>
        </is>
      </c>
      <c r="F2873" t="n">
        <v>4759.32</v>
      </c>
      <c r="G2873" t="n">
        <v>5616</v>
      </c>
      <c r="H2873">
        <f>הגדרות!B7</f>
        <v/>
      </c>
      <c r="I2873">
        <f>F2873*(1-H2873/100)*1.18</f>
        <v/>
      </c>
      <c r="J2873">
        <f>הגדרות!C7</f>
        <v/>
      </c>
      <c r="K2873">
        <f>הגדרות!D7</f>
        <v/>
      </c>
      <c r="L2873">
        <f>I2873*(1+J2873/100)+K2873</f>
        <v/>
      </c>
    </row>
    <row r="2874">
      <c r="A2874" t="inlineStr">
        <is>
          <t>מדי-מרקט</t>
        </is>
      </c>
      <c r="B2874" t="inlineStr">
        <is>
          <t>משקפי חמצן -25 X Luer Adult Oral N O2 Short</t>
        </is>
      </c>
      <c r="C2874" t="inlineStr">
        <is>
          <t>ציוד ומכשור רפואי</t>
        </is>
      </c>
      <c r="D2874" t="inlineStr">
        <is>
          <t>3060821283</t>
        </is>
      </c>
      <c r="E2874" t="inlineStr">
        <is>
          <t>2026-06</t>
        </is>
      </c>
      <c r="F2874" t="n">
        <v>1235.59</v>
      </c>
      <c r="G2874" t="n">
        <v>1458</v>
      </c>
      <c r="H2874">
        <f>הגדרות!B7</f>
        <v/>
      </c>
      <c r="I2874">
        <f>F2874*(1-H2874/100)*1.18</f>
        <v/>
      </c>
      <c r="J2874">
        <f>הגדרות!C7</f>
        <v/>
      </c>
      <c r="K2874">
        <f>הגדרות!D7</f>
        <v/>
      </c>
      <c r="L2874">
        <f>I2874*(1+J2874/100)+K2874</f>
        <v/>
      </c>
    </row>
    <row r="2875">
      <c r="A2875" t="inlineStr">
        <is>
          <t>מדי-מרקט</t>
        </is>
      </c>
      <c r="B2875" t="inlineStr">
        <is>
          <t>משקפי חמצן לילד 2 מטר, מדיקפרו</t>
        </is>
      </c>
      <c r="C2875" t="inlineStr">
        <is>
          <t>ציוד מתכלה</t>
        </is>
      </c>
      <c r="D2875" t="inlineStr">
        <is>
          <t>33893</t>
        </is>
      </c>
      <c r="E2875" t="inlineStr">
        <is>
          <t>2026-06</t>
        </is>
      </c>
      <c r="F2875" t="n">
        <v>3.14</v>
      </c>
      <c r="G2875" t="n">
        <v>3.7</v>
      </c>
      <c r="H2875">
        <f>הגדרות!B7</f>
        <v/>
      </c>
      <c r="I2875">
        <f>F2875*(1-H2875/100)*1.18</f>
        <v/>
      </c>
      <c r="J2875">
        <f>הגדרות!C7</f>
        <v/>
      </c>
      <c r="K2875">
        <f>הגדרות!D7</f>
        <v/>
      </c>
      <c r="L2875">
        <f>I2875*(1+J2875/100)+K2875</f>
        <v/>
      </c>
    </row>
    <row r="2876">
      <c r="A2876" t="inlineStr">
        <is>
          <t>מדי-מרקט</t>
        </is>
      </c>
      <c r="B2876" t="inlineStr">
        <is>
          <t>משקפי חמצן למבוגר , מדיקפרו , 1 יח'</t>
        </is>
      </c>
      <c r="C2876" t="inlineStr">
        <is>
          <t>ציוד מתכלה</t>
        </is>
      </c>
      <c r="D2876" t="inlineStr">
        <is>
          <t>400-013</t>
        </is>
      </c>
      <c r="E2876" t="inlineStr">
        <is>
          <t>2026-06</t>
        </is>
      </c>
      <c r="F2876" t="n">
        <v>0.64</v>
      </c>
      <c r="G2876" t="n">
        <v>0.76</v>
      </c>
      <c r="H2876">
        <f>הגדרות!B7</f>
        <v/>
      </c>
      <c r="I2876">
        <f>F2876*(1-H2876/100)*1.18</f>
        <v/>
      </c>
      <c r="J2876">
        <f>הגדרות!C7</f>
        <v/>
      </c>
      <c r="K2876">
        <f>הגדרות!D7</f>
        <v/>
      </c>
      <c r="L2876">
        <f>I2876*(1+J2876/100)+K2876</f>
        <v/>
      </c>
    </row>
    <row r="2877">
      <c r="A2877" t="inlineStr">
        <is>
          <t>מדי-מרקט</t>
        </is>
      </c>
      <c r="B2877" t="inlineStr">
        <is>
          <t>משקפי חמצן לתינוקות</t>
        </is>
      </c>
      <c r="C2877" t="inlineStr">
        <is>
          <t>ציוד מתכלה</t>
        </is>
      </c>
      <c r="D2877" t="inlineStr">
        <is>
          <t>25683</t>
        </is>
      </c>
      <c r="E2877" t="inlineStr">
        <is>
          <t>2026-06</t>
        </is>
      </c>
      <c r="F2877" t="n">
        <v>1.78</v>
      </c>
      <c r="G2877" t="n">
        <v>2.1</v>
      </c>
      <c r="H2877">
        <f>הגדרות!B7</f>
        <v/>
      </c>
      <c r="I2877">
        <f>F2877*(1-H2877/100)*1.18</f>
        <v/>
      </c>
      <c r="J2877">
        <f>הגדרות!C7</f>
        <v/>
      </c>
      <c r="K2877">
        <f>הגדרות!D7</f>
        <v/>
      </c>
      <c r="L2877">
        <f>I2877*(1+J2877/100)+K2877</f>
        <v/>
      </c>
    </row>
    <row r="2878">
      <c r="A2878" t="inlineStr">
        <is>
          <t>מדי-מרקט</t>
        </is>
      </c>
      <c r="B2878" t="inlineStr">
        <is>
          <t>מתאם נאזלי למתן תרופתי</t>
        </is>
      </c>
      <c r="C2878" t="inlineStr">
        <is>
          <t>ציוד מתכלה</t>
        </is>
      </c>
      <c r="D2878" t="inlineStr">
        <is>
          <t>56642</t>
        </is>
      </c>
      <c r="E2878" t="inlineStr">
        <is>
          <t>2026-06</t>
        </is>
      </c>
      <c r="F2878" t="n">
        <v>61.21</v>
      </c>
      <c r="G2878" t="n">
        <v>72.23</v>
      </c>
      <c r="H2878">
        <f>הגדרות!B7</f>
        <v/>
      </c>
      <c r="I2878">
        <f>F2878*(1-H2878/100)*1.18</f>
        <v/>
      </c>
      <c r="J2878">
        <f>הגדרות!C7</f>
        <v/>
      </c>
      <c r="K2878">
        <f>הגדרות!D7</f>
        <v/>
      </c>
      <c r="L2878">
        <f>I2878*(1+J2878/100)+K2878</f>
        <v/>
      </c>
    </row>
    <row r="2879">
      <c r="A2879" t="inlineStr">
        <is>
          <t>מדי-מרקט</t>
        </is>
      </c>
      <c r="B2879" t="inlineStr">
        <is>
          <t>מתאם קפנוגר 10 LP</t>
        </is>
      </c>
      <c r="C2879" t="inlineStr">
        <is>
          <t>ציוד ומכשור רפואי</t>
        </is>
      </c>
      <c r="D2879" t="inlineStr">
        <is>
          <t>9898986</t>
        </is>
      </c>
      <c r="E2879" t="inlineStr">
        <is>
          <t>2026-06</t>
        </is>
      </c>
      <c r="F2879" t="n">
        <v>941.66</v>
      </c>
      <c r="G2879" t="n">
        <v>1111.16</v>
      </c>
      <c r="H2879">
        <f>הגדרות!B7</f>
        <v/>
      </c>
      <c r="I2879">
        <f>F2879*(1-H2879/100)*1.18</f>
        <v/>
      </c>
      <c r="J2879">
        <f>הגדרות!C7</f>
        <v/>
      </c>
      <c r="K2879">
        <f>הגדרות!D7</f>
        <v/>
      </c>
      <c r="L2879">
        <f>I2879*(1+J2879/100)+K2879</f>
        <v/>
      </c>
    </row>
    <row r="2880">
      <c r="A2880" t="inlineStr">
        <is>
          <t>מדי-מרקט</t>
        </is>
      </c>
      <c r="B2880" t="inlineStr">
        <is>
          <t>מתלה לשקית שתן מפלסטיק, מדיקפרו</t>
        </is>
      </c>
      <c r="C2880" t="inlineStr">
        <is>
          <t>ציוד מתכלה</t>
        </is>
      </c>
      <c r="D2880" t="inlineStr">
        <is>
          <t>300-102</t>
        </is>
      </c>
      <c r="E2880" t="inlineStr">
        <is>
          <t>2026-06</t>
        </is>
      </c>
      <c r="F2880" t="n">
        <v>0.44</v>
      </c>
      <c r="G2880" t="n">
        <v>0.52</v>
      </c>
      <c r="H2880">
        <f>הגדרות!B7</f>
        <v/>
      </c>
      <c r="I2880">
        <f>F2880*(1-H2880/100)*1.18</f>
        <v/>
      </c>
      <c r="J2880">
        <f>הגדרות!C7</f>
        <v/>
      </c>
      <c r="K2880">
        <f>הגדרות!D7</f>
        <v/>
      </c>
      <c r="L2880">
        <f>I2880*(1+J2880/100)+K2880</f>
        <v/>
      </c>
    </row>
    <row r="2881">
      <c r="A2881" t="inlineStr">
        <is>
          <t>מדי-מרקט</t>
        </is>
      </c>
      <c r="B2881" t="inlineStr">
        <is>
          <t>מתלה קיבוע אורטופדי ליד,MX LONDON</t>
        </is>
      </c>
      <c r="C2881" t="inlineStr">
        <is>
          <t>תחבושות אורטופדיות</t>
        </is>
      </c>
      <c r="D2881" t="inlineStr">
        <is>
          <t>MX77050</t>
        </is>
      </c>
      <c r="E2881" t="inlineStr">
        <is>
          <t>2026-06</t>
        </is>
      </c>
      <c r="F2881" t="n">
        <v>27.97</v>
      </c>
      <c r="G2881" t="n">
        <v>33</v>
      </c>
      <c r="H2881">
        <f>הגדרות!B7</f>
        <v/>
      </c>
      <c r="I2881">
        <f>F2881*(1-H2881/100)*1.18</f>
        <v/>
      </c>
      <c r="J2881">
        <f>הגדרות!C7</f>
        <v/>
      </c>
      <c r="K2881">
        <f>הגדרות!D7</f>
        <v/>
      </c>
      <c r="L2881">
        <f>I2881*(1+J2881/100)+K2881</f>
        <v/>
      </c>
    </row>
    <row r="2882">
      <c r="A2882" t="inlineStr">
        <is>
          <t>מדי-מרקט</t>
        </is>
      </c>
      <c r="B2882" t="inlineStr">
        <is>
          <t>מתקן כפפות PVC פרספקט מידות 267/152/97</t>
        </is>
      </c>
      <c r="C2882" t="inlineStr">
        <is>
          <t>ציוד ומכשור רפואי</t>
        </is>
      </c>
      <c r="D2882" t="inlineStr">
        <is>
          <t>12421-1</t>
        </is>
      </c>
      <c r="E2882" t="inlineStr">
        <is>
          <t>2026-06</t>
        </is>
      </c>
      <c r="F2882" t="n">
        <v>41.53</v>
      </c>
      <c r="G2882" t="n">
        <v>49</v>
      </c>
      <c r="H2882">
        <f>הגדרות!B7</f>
        <v/>
      </c>
      <c r="I2882">
        <f>F2882*(1-H2882/100)*1.18</f>
        <v/>
      </c>
      <c r="J2882">
        <f>הגדרות!C7</f>
        <v/>
      </c>
      <c r="K2882">
        <f>הגדרות!D7</f>
        <v/>
      </c>
      <c r="L2882">
        <f>I2882*(1+J2882/100)+K2882</f>
        <v/>
      </c>
    </row>
    <row r="2883">
      <c r="A2883" t="inlineStr">
        <is>
          <t>מדי-מרקט</t>
        </is>
      </c>
      <c r="B2883" t="inlineStr">
        <is>
          <t>מתקן כפפות מפלסטיק קשיח  מידות 267/152/97</t>
        </is>
      </c>
      <c r="C2883" t="inlineStr">
        <is>
          <t>ציוד ומכשור רפואי</t>
        </is>
      </c>
      <c r="D2883" t="inlineStr">
        <is>
          <t>12421</t>
        </is>
      </c>
      <c r="E2883" t="inlineStr">
        <is>
          <t>2026-06</t>
        </is>
      </c>
      <c r="F2883" t="n">
        <v>53.05</v>
      </c>
      <c r="G2883" t="n">
        <v>62.6</v>
      </c>
      <c r="H2883">
        <f>הגדרות!B7</f>
        <v/>
      </c>
      <c r="I2883">
        <f>F2883*(1-H2883/100)*1.18</f>
        <v/>
      </c>
      <c r="J2883">
        <f>הגדרות!C7</f>
        <v/>
      </c>
      <c r="K2883">
        <f>הגדרות!D7</f>
        <v/>
      </c>
      <c r="L2883">
        <f>I2883*(1+J2883/100)+K2883</f>
        <v/>
      </c>
    </row>
    <row r="2884">
      <c r="A2884" t="inlineStr">
        <is>
          <t>מדי-מרקט</t>
        </is>
      </c>
      <c r="B2884" t="inlineStr">
        <is>
          <t>מתקן לנייר צץ-רץ מפלסטיק</t>
        </is>
      </c>
      <c r="C2884" t="inlineStr">
        <is>
          <t>מוצרי נייר וניקוי</t>
        </is>
      </c>
      <c r="D2884" t="inlineStr">
        <is>
          <t>4011</t>
        </is>
      </c>
      <c r="E2884" t="inlineStr">
        <is>
          <t>2026-06</t>
        </is>
      </c>
      <c r="F2884" t="n">
        <v>85.04000000000001</v>
      </c>
      <c r="G2884" t="n">
        <v>100.35</v>
      </c>
      <c r="H2884">
        <f>הגדרות!B7</f>
        <v/>
      </c>
      <c r="I2884">
        <f>F2884*(1-H2884/100)*1.18</f>
        <v/>
      </c>
      <c r="J2884">
        <f>הגדרות!C7</f>
        <v/>
      </c>
      <c r="K2884">
        <f>הגדרות!D7</f>
        <v/>
      </c>
      <c r="L2884">
        <f>I2884*(1+J2884/100)+K2884</f>
        <v/>
      </c>
    </row>
    <row r="2885">
      <c r="A2885" t="inlineStr">
        <is>
          <t>מדי-מרקט</t>
        </is>
      </c>
      <c r="B2885" t="inlineStr">
        <is>
          <t>מתקן לנייר תעשייתי מתכת עומד</t>
        </is>
      </c>
      <c r="C2885" t="inlineStr">
        <is>
          <t>מוצרי נייר וניקוי</t>
        </is>
      </c>
      <c r="D2885" t="inlineStr">
        <is>
          <t>6011</t>
        </is>
      </c>
      <c r="E2885" t="inlineStr">
        <is>
          <t>2026-06</t>
        </is>
      </c>
      <c r="F2885" t="n">
        <v>62.92</v>
      </c>
      <c r="G2885" t="n">
        <v>74.25</v>
      </c>
      <c r="H2885">
        <f>הגדרות!B7</f>
        <v/>
      </c>
      <c r="I2885">
        <f>F2885*(1-H2885/100)*1.18</f>
        <v/>
      </c>
      <c r="J2885">
        <f>הגדרות!C7</f>
        <v/>
      </c>
      <c r="K2885">
        <f>הגדרות!D7</f>
        <v/>
      </c>
      <c r="L2885">
        <f>I2885*(1+J2885/100)+K2885</f>
        <v/>
      </c>
    </row>
    <row r="2886">
      <c r="A2886" t="inlineStr">
        <is>
          <t>מדי-מרקט</t>
        </is>
      </c>
      <c r="B2886" t="inlineStr">
        <is>
          <t>מתקן לנייר תעשייתי פלסטיק נתלה 4533</t>
        </is>
      </c>
      <c r="C2886" t="inlineStr">
        <is>
          <t>מוצרי נייר וניקוי</t>
        </is>
      </c>
      <c r="D2886" t="inlineStr">
        <is>
          <t>60010</t>
        </is>
      </c>
      <c r="E2886" t="inlineStr">
        <is>
          <t>2026-06</t>
        </is>
      </c>
      <c r="F2886" t="n">
        <v>135.59</v>
      </c>
      <c r="G2886" t="n">
        <v>160</v>
      </c>
      <c r="H2886">
        <f>הגדרות!B7</f>
        <v/>
      </c>
      <c r="I2886">
        <f>F2886*(1-H2886/100)*1.18</f>
        <v/>
      </c>
      <c r="J2886">
        <f>הגדרות!C7</f>
        <v/>
      </c>
      <c r="K2886">
        <f>הגדרות!D7</f>
        <v/>
      </c>
      <c r="L2886">
        <f>I2886*(1+J2886/100)+K2886</f>
        <v/>
      </c>
    </row>
    <row r="2887">
      <c r="A2887" t="inlineStr">
        <is>
          <t>מדי-מרקט</t>
        </is>
      </c>
      <c r="B2887" t="inlineStr">
        <is>
          <t>מתקן לספטל סקראב/ספטול נתלה על הקיר מדיקפרו</t>
        </is>
      </c>
      <c r="C2887" t="inlineStr">
        <is>
          <t>ציוד ומכשור רפואי</t>
        </is>
      </c>
      <c r="D2887" t="inlineStr">
        <is>
          <t>8021</t>
        </is>
      </c>
      <c r="E2887" t="inlineStr">
        <is>
          <t>2026-06</t>
        </is>
      </c>
      <c r="F2887" t="n">
        <v>7.54</v>
      </c>
      <c r="G2887" t="n">
        <v>8.9</v>
      </c>
      <c r="H2887">
        <f>הגדרות!B7</f>
        <v/>
      </c>
      <c r="I2887">
        <f>F2887*(1-H2887/100)*1.18</f>
        <v/>
      </c>
      <c r="J2887">
        <f>הגדרות!C7</f>
        <v/>
      </c>
      <c r="K2887">
        <f>הגדרות!D7</f>
        <v/>
      </c>
      <c r="L2887">
        <f>I2887*(1+J2887/100)+K2887</f>
        <v/>
      </c>
    </row>
    <row r="2888">
      <c r="A2888" t="inlineStr">
        <is>
          <t>מדי-מרקט</t>
        </is>
      </c>
      <c r="B2888" t="inlineStr">
        <is>
          <t>מתקן לספטל סקראב/ספטול נתלה על הקיר עם זרוע קצרה</t>
        </is>
      </c>
      <c r="C2888" t="inlineStr">
        <is>
          <t>ציוד ומכשור רפואי</t>
        </is>
      </c>
      <c r="D2888" t="inlineStr">
        <is>
          <t>6014</t>
        </is>
      </c>
      <c r="E2888" t="inlineStr">
        <is>
          <t>2026-06</t>
        </is>
      </c>
      <c r="F2888" t="n">
        <v>155.93</v>
      </c>
      <c r="G2888" t="n">
        <v>184</v>
      </c>
      <c r="H2888">
        <f>הגדרות!B7</f>
        <v/>
      </c>
      <c r="I2888">
        <f>F2888*(1-H2888/100)*1.18</f>
        <v/>
      </c>
      <c r="J2888">
        <f>הגדרות!C7</f>
        <v/>
      </c>
      <c r="K2888">
        <f>הגדרות!D7</f>
        <v/>
      </c>
      <c r="L2888">
        <f>I2888*(1+J2888/100)+K2888</f>
        <v/>
      </c>
    </row>
    <row r="2889">
      <c r="A2889" t="inlineStr">
        <is>
          <t>מדי-מרקט</t>
        </is>
      </c>
      <c r="B2889" t="inlineStr">
        <is>
          <t>מתקן עירוי לתאי אשפוז למשאבת עירוי ושתי שקיות לעירוי</t>
        </is>
      </c>
      <c r="C2889" t="inlineStr">
        <is>
          <t>ציוד ומכשור רפואי</t>
        </is>
      </c>
      <c r="D2889" t="inlineStr">
        <is>
          <t>TTIP-02</t>
        </is>
      </c>
      <c r="E2889" t="inlineStr">
        <is>
          <t>2026-06</t>
        </is>
      </c>
      <c r="F2889" t="n">
        <v>355.93</v>
      </c>
      <c r="G2889" t="n">
        <v>420</v>
      </c>
      <c r="H2889">
        <f>הגדרות!B7</f>
        <v/>
      </c>
      <c r="I2889">
        <f>F2889*(1-H2889/100)*1.18</f>
        <v/>
      </c>
      <c r="J2889">
        <f>הגדרות!C7</f>
        <v/>
      </c>
      <c r="K2889">
        <f>הגדרות!D7</f>
        <v/>
      </c>
      <c r="L2889">
        <f>I2889*(1+J2889/100)+K2889</f>
        <v/>
      </c>
    </row>
    <row r="2890">
      <c r="A2890" t="inlineStr">
        <is>
          <t>מדי-מרקט</t>
        </is>
      </c>
      <c r="B2890" t="inlineStr">
        <is>
          <t>נוזל ניקוי אוזניים 237 מ"ל OXYFRESH</t>
        </is>
      </c>
      <c r="C2890" t="inlineStr">
        <is>
          <t>Oxyfresh</t>
        </is>
      </c>
      <c r="D2890" t="inlineStr">
        <is>
          <t>61-420</t>
        </is>
      </c>
      <c r="E2890" t="inlineStr">
        <is>
          <t>2026-06</t>
        </is>
      </c>
      <c r="F2890" t="n">
        <v>17.01</v>
      </c>
      <c r="G2890" t="n">
        <v>20.07</v>
      </c>
      <c r="H2890">
        <f>הגדרות!B7</f>
        <v/>
      </c>
      <c r="I2890">
        <f>F2890*(1-H2890/100)*1.18</f>
        <v/>
      </c>
      <c r="J2890">
        <f>הגדרות!C7</f>
        <v/>
      </c>
      <c r="K2890">
        <f>הגדרות!D7</f>
        <v/>
      </c>
      <c r="L2890">
        <f>I2890*(1+J2890/100)+K2890</f>
        <v/>
      </c>
    </row>
    <row r="2891">
      <c r="A2891" t="inlineStr">
        <is>
          <t>מדי-מרקט</t>
        </is>
      </c>
      <c r="B2891" t="inlineStr">
        <is>
          <t>נורה לאוטוסקופ הלוגן WLA03000 3.5</t>
        </is>
      </c>
      <c r="C2891" t="inlineStr">
        <is>
          <t>ציוד ומכשור רפואי</t>
        </is>
      </c>
      <c r="D2891" t="inlineStr">
        <is>
          <t>4017</t>
        </is>
      </c>
      <c r="E2891" t="inlineStr">
        <is>
          <t>2026-06</t>
        </is>
      </c>
      <c r="F2891" t="n">
        <v>110.17</v>
      </c>
      <c r="G2891" t="n">
        <v>130</v>
      </c>
      <c r="H2891">
        <f>הגדרות!B7</f>
        <v/>
      </c>
      <c r="I2891">
        <f>F2891*(1-H2891/100)*1.18</f>
        <v/>
      </c>
      <c r="J2891">
        <f>הגדרות!C7</f>
        <v/>
      </c>
      <c r="K2891">
        <f>הגדרות!D7</f>
        <v/>
      </c>
      <c r="L2891">
        <f>I2891*(1+J2891/100)+K2891</f>
        <v/>
      </c>
    </row>
    <row r="2892">
      <c r="A2892" t="inlineStr">
        <is>
          <t>מדי-מרקט</t>
        </is>
      </c>
      <c r="B2892" t="inlineStr">
        <is>
          <t>נורה לאוטוסקופ הלוגן WLA03100 3.5</t>
        </is>
      </c>
      <c r="C2892" t="inlineStr">
        <is>
          <t>ציוד ומכשור רפואי</t>
        </is>
      </c>
      <c r="D2892" t="inlineStr">
        <is>
          <t>4014</t>
        </is>
      </c>
      <c r="E2892" t="inlineStr">
        <is>
          <t>2026-06</t>
        </is>
      </c>
      <c r="F2892" t="n">
        <v>93.22</v>
      </c>
      <c r="G2892" t="n">
        <v>110</v>
      </c>
      <c r="H2892">
        <f>הגדרות!B7</f>
        <v/>
      </c>
      <c r="I2892">
        <f>F2892*(1-H2892/100)*1.18</f>
        <v/>
      </c>
      <c r="J2892">
        <f>הגדרות!C7</f>
        <v/>
      </c>
      <c r="K2892">
        <f>הגדרות!D7</f>
        <v/>
      </c>
      <c r="L2892">
        <f>I2892*(1+J2892/100)+K2892</f>
        <v/>
      </c>
    </row>
    <row r="2893">
      <c r="A2893" t="inlineStr">
        <is>
          <t>מדי-מרקט</t>
        </is>
      </c>
      <c r="B2893" t="inlineStr">
        <is>
          <t>נורה למנורת ניתוח M.Y. 24V/25W</t>
        </is>
      </c>
      <c r="C2893" t="inlineStr">
        <is>
          <t>אביזרים, חלקים ושונות</t>
        </is>
      </c>
      <c r="D2893" t="inlineStr">
        <is>
          <t>10125</t>
        </is>
      </c>
      <c r="E2893" t="inlineStr">
        <is>
          <t>2026-06</t>
        </is>
      </c>
      <c r="F2893" t="n">
        <v>29.66</v>
      </c>
      <c r="G2893" t="n">
        <v>35</v>
      </c>
      <c r="H2893">
        <f>הגדרות!B7</f>
        <v/>
      </c>
      <c r="I2893">
        <f>F2893*(1-H2893/100)*1.18</f>
        <v/>
      </c>
      <c r="J2893">
        <f>הגדרות!C7</f>
        <v/>
      </c>
      <c r="K2893">
        <f>הגדרות!D7</f>
        <v/>
      </c>
      <c r="L2893">
        <f>I2893*(1+J2893/100)+K2893</f>
        <v/>
      </c>
    </row>
    <row r="2894">
      <c r="A2894" t="inlineStr">
        <is>
          <t>מדי-מרקט</t>
        </is>
      </c>
      <c r="B2894" t="inlineStr">
        <is>
          <t>נייר א.ק.ג. 50 מ"מ למכשירי INNOMED</t>
        </is>
      </c>
      <c r="C2894" t="inlineStr">
        <is>
          <t>ציוד ומכשור רפואי</t>
        </is>
      </c>
      <c r="D2894" t="inlineStr">
        <is>
          <t>21099</t>
        </is>
      </c>
      <c r="E2894" t="inlineStr">
        <is>
          <t>2026-06</t>
        </is>
      </c>
      <c r="F2894" t="n">
        <v>19.49</v>
      </c>
      <c r="G2894" t="n">
        <v>23</v>
      </c>
      <c r="H2894">
        <f>הגדרות!B7</f>
        <v/>
      </c>
      <c r="I2894">
        <f>F2894*(1-H2894/100)*1.18</f>
        <v/>
      </c>
      <c r="J2894">
        <f>הגדרות!C7</f>
        <v/>
      </c>
      <c r="K2894">
        <f>הגדרות!D7</f>
        <v/>
      </c>
      <c r="L2894">
        <f>I2894*(1+J2894/100)+K2894</f>
        <v/>
      </c>
    </row>
    <row r="2895">
      <c r="A2895" t="inlineStr">
        <is>
          <t>מדי-מרקט</t>
        </is>
      </c>
      <c r="B2895" t="inlineStr">
        <is>
          <t>נייר טואלט קומפקט 50 מ' 24 גלילים</t>
        </is>
      </c>
      <c r="C2895" t="inlineStr">
        <is>
          <t>מוצרי נייר וניקוי</t>
        </is>
      </c>
      <c r="D2895" t="inlineStr">
        <is>
          <t>41612</t>
        </is>
      </c>
      <c r="E2895" t="inlineStr">
        <is>
          <t>2026-06</t>
        </is>
      </c>
      <c r="F2895" t="n">
        <v>46.61</v>
      </c>
      <c r="G2895" t="n">
        <v>55</v>
      </c>
      <c r="H2895">
        <f>הגדרות!B7</f>
        <v/>
      </c>
      <c r="I2895">
        <f>F2895*(1-H2895/100)*1.18</f>
        <v/>
      </c>
      <c r="J2895">
        <f>הגדרות!C7</f>
        <v/>
      </c>
      <c r="K2895">
        <f>הגדרות!D7</f>
        <v/>
      </c>
      <c r="L2895">
        <f>I2895*(1+J2895/100)+K2895</f>
        <v/>
      </c>
    </row>
    <row r="2896">
      <c r="A2896" t="inlineStr">
        <is>
          <t>מדי-מרקט</t>
        </is>
      </c>
      <c r="B2896" t="inlineStr">
        <is>
          <t>נייר לא.ק.ג וולשלין DYK4000964426 CP-50</t>
        </is>
      </c>
      <c r="C2896" t="inlineStr">
        <is>
          <t>ציוד מתכלה</t>
        </is>
      </c>
      <c r="D2896" t="inlineStr">
        <is>
          <t>M02331</t>
        </is>
      </c>
      <c r="E2896" t="inlineStr">
        <is>
          <t>2026-06</t>
        </is>
      </c>
      <c r="F2896" t="n">
        <v>18.64</v>
      </c>
      <c r="G2896" t="n">
        <v>22</v>
      </c>
      <c r="H2896">
        <f>הגדרות!B7</f>
        <v/>
      </c>
      <c r="I2896">
        <f>F2896*(1-H2896/100)*1.18</f>
        <v/>
      </c>
      <c r="J2896">
        <f>הגדרות!C7</f>
        <v/>
      </c>
      <c r="K2896">
        <f>הגדרות!D7</f>
        <v/>
      </c>
      <c r="L2896">
        <f>I2896*(1+J2896/100)+K2896</f>
        <v/>
      </c>
    </row>
    <row r="2897">
      <c r="A2897" t="inlineStr">
        <is>
          <t>מדי-מרקט</t>
        </is>
      </c>
      <c r="B2897" t="inlineStr">
        <is>
          <t>נייר לא.ק.ג. בגליל ערוץ 50 X 30 X 15 1 מ"מ</t>
        </is>
      </c>
      <c r="C2897" t="inlineStr">
        <is>
          <t>ציוד מתכלה</t>
        </is>
      </c>
      <c r="D2897" t="inlineStr">
        <is>
          <t>3428</t>
        </is>
      </c>
      <c r="E2897" t="inlineStr">
        <is>
          <t>2026-06</t>
        </is>
      </c>
      <c r="F2897" t="n">
        <v>3.43</v>
      </c>
      <c r="G2897" t="n">
        <v>4.05</v>
      </c>
      <c r="H2897">
        <f>הגדרות!B7</f>
        <v/>
      </c>
      <c r="I2897">
        <f>F2897*(1-H2897/100)*1.18</f>
        <v/>
      </c>
      <c r="J2897">
        <f>הגדרות!C7</f>
        <v/>
      </c>
      <c r="K2897">
        <f>הגדרות!D7</f>
        <v/>
      </c>
      <c r="L2897">
        <f>I2897*(1+J2897/100)+K2897</f>
        <v/>
      </c>
    </row>
    <row r="2898">
      <c r="A2898" t="inlineStr">
        <is>
          <t>מדי-מרקט</t>
        </is>
      </c>
      <c r="B2898" t="inlineStr">
        <is>
          <t>נייר למדפסת 80 גר 1/500  A4</t>
        </is>
      </c>
      <c r="C2898" t="inlineStr">
        <is>
          <t>מוצרי נייר וניקוי</t>
        </is>
      </c>
      <c r="D2898" t="inlineStr">
        <is>
          <t>2082</t>
        </is>
      </c>
      <c r="E2898" t="inlineStr">
        <is>
          <t>2026-06</t>
        </is>
      </c>
      <c r="F2898" t="n">
        <v>14.31</v>
      </c>
      <c r="G2898" t="n">
        <v>16.88</v>
      </c>
      <c r="H2898">
        <f>הגדרות!B7</f>
        <v/>
      </c>
      <c r="I2898">
        <f>F2898*(1-H2898/100)*1.18</f>
        <v/>
      </c>
      <c r="J2898">
        <f>הגדרות!C7</f>
        <v/>
      </c>
      <c r="K2898">
        <f>הגדרות!D7</f>
        <v/>
      </c>
      <c r="L2898">
        <f>I2898*(1+J2898/100)+K2898</f>
        <v/>
      </c>
    </row>
    <row r="2899">
      <c r="A2899" t="inlineStr">
        <is>
          <t>מדי-מרקט</t>
        </is>
      </c>
      <c r="B2899" t="inlineStr">
        <is>
          <t>נייר לניגוב ידיים 1/6 מירב 100/20 קונטרול 52032</t>
        </is>
      </c>
      <c r="C2899" t="inlineStr">
        <is>
          <t>מוצרי נייר וניקוי</t>
        </is>
      </c>
      <c r="D2899" t="inlineStr">
        <is>
          <t>11833</t>
        </is>
      </c>
      <c r="E2899" t="inlineStr">
        <is>
          <t>2026-06</t>
        </is>
      </c>
      <c r="F2899" t="n">
        <v>29.75</v>
      </c>
      <c r="G2899" t="n">
        <v>35.1</v>
      </c>
      <c r="H2899">
        <f>הגדרות!B7</f>
        <v/>
      </c>
      <c r="I2899">
        <f>F2899*(1-H2899/100)*1.18</f>
        <v/>
      </c>
      <c r="J2899">
        <f>הגדרות!C7</f>
        <v/>
      </c>
      <c r="K2899">
        <f>הגדרות!D7</f>
        <v/>
      </c>
      <c r="L2899">
        <f>I2899*(1+J2899/100)+K2899</f>
        <v/>
      </c>
    </row>
    <row r="2900">
      <c r="A2900" t="inlineStr">
        <is>
          <t>מדי-מרקט</t>
        </is>
      </c>
      <c r="B2900" t="inlineStr">
        <is>
          <t>נייר לניגוב ידיים 1/6 קלינקס טישו דו שכבתי איכותי חוגלה</t>
        </is>
      </c>
      <c r="C2900" t="inlineStr">
        <is>
          <t>מוצרי נייר וניקוי</t>
        </is>
      </c>
      <c r="D2900" t="inlineStr">
        <is>
          <t>6806</t>
        </is>
      </c>
      <c r="E2900" t="inlineStr">
        <is>
          <t>2026-06</t>
        </is>
      </c>
      <c r="F2900" t="n">
        <v>94.31999999999999</v>
      </c>
      <c r="G2900" t="n">
        <v>111.3</v>
      </c>
      <c r="H2900">
        <f>הגדרות!B7</f>
        <v/>
      </c>
      <c r="I2900">
        <f>F2900*(1-H2900/100)*1.18</f>
        <v/>
      </c>
      <c r="J2900">
        <f>הגדרות!C7</f>
        <v/>
      </c>
      <c r="K2900">
        <f>הגדרות!D7</f>
        <v/>
      </c>
      <c r="L2900">
        <f>I2900*(1+J2900/100)+K2900</f>
        <v/>
      </c>
    </row>
    <row r="2901">
      <c r="A2901" t="inlineStr">
        <is>
          <t>מדי-מרקט</t>
        </is>
      </c>
      <c r="B2901" t="inlineStr">
        <is>
          <t>נייר מגבת צץ רץ  16617 -     1/15 Scott Essential</t>
        </is>
      </c>
      <c r="C2901" t="inlineStr">
        <is>
          <t>מוצרי נייר וניקוי</t>
        </is>
      </c>
      <c r="D2901" t="inlineStr">
        <is>
          <t>4016-1</t>
        </is>
      </c>
      <c r="E2901" t="inlineStr">
        <is>
          <t>2026-06</t>
        </is>
      </c>
      <c r="F2901" t="n">
        <v>121.79</v>
      </c>
      <c r="G2901" t="n">
        <v>143.71</v>
      </c>
      <c r="H2901">
        <f>הגדרות!B7</f>
        <v/>
      </c>
      <c r="I2901">
        <f>F2901*(1-H2901/100)*1.18</f>
        <v/>
      </c>
      <c r="J2901">
        <f>הגדרות!C7</f>
        <v/>
      </c>
      <c r="K2901">
        <f>הגדרות!D7</f>
        <v/>
      </c>
      <c r="L2901">
        <f>I2901*(1+J2901/100)+K2901</f>
        <v/>
      </c>
    </row>
    <row r="2902">
      <c r="A2902" t="inlineStr">
        <is>
          <t>מדי-מרקט</t>
        </is>
      </c>
      <c r="B2902" t="inlineStr">
        <is>
          <t>נייר סדין למיטה 50*100 מ' 3 יח' בגליל מדיקפרו</t>
        </is>
      </c>
      <c r="C2902" t="inlineStr">
        <is>
          <t>מוצרי נייר וניקוי</t>
        </is>
      </c>
      <c r="D2902" t="inlineStr">
        <is>
          <t>369754</t>
        </is>
      </c>
      <c r="E2902" t="inlineStr">
        <is>
          <t>2026-06</t>
        </is>
      </c>
      <c r="F2902" t="n">
        <v>34.26</v>
      </c>
      <c r="G2902" t="n">
        <v>40.43</v>
      </c>
      <c r="H2902">
        <f>הגדרות!B7</f>
        <v/>
      </c>
      <c r="I2902">
        <f>F2902*(1-H2902/100)*1.18</f>
        <v/>
      </c>
      <c r="J2902">
        <f>הגדרות!C7</f>
        <v/>
      </c>
      <c r="K2902">
        <f>הגדרות!D7</f>
        <v/>
      </c>
      <c r="L2902">
        <f>I2902*(1+J2902/100)+K2902</f>
        <v/>
      </c>
    </row>
    <row r="2903">
      <c r="A2903" t="inlineStr">
        <is>
          <t>מדי-מרקט</t>
        </is>
      </c>
      <c r="B2903" t="inlineStr">
        <is>
          <t>נייר סדין למיטה 50*127 - סנו 1/3 54078</t>
        </is>
      </c>
      <c r="C2903" t="inlineStr">
        <is>
          <t>מוצרי נייר וניקוי</t>
        </is>
      </c>
      <c r="D2903" t="inlineStr">
        <is>
          <t>369755</t>
        </is>
      </c>
      <c r="E2903" t="inlineStr">
        <is>
          <t>2026-06</t>
        </is>
      </c>
      <c r="F2903" t="n">
        <v>44.07</v>
      </c>
      <c r="G2903" t="n">
        <v>52</v>
      </c>
      <c r="H2903">
        <f>הגדרות!B7</f>
        <v/>
      </c>
      <c r="I2903">
        <f>F2903*(1-H2903/100)*1.18</f>
        <v/>
      </c>
      <c r="J2903">
        <f>הגדרות!C7</f>
        <v/>
      </c>
      <c r="K2903">
        <f>הגדרות!D7</f>
        <v/>
      </c>
      <c r="L2903">
        <f>I2903*(1+J2903/100)+K2903</f>
        <v/>
      </c>
    </row>
    <row r="2904">
      <c r="A2904" t="inlineStr">
        <is>
          <t>מדי-מרקט</t>
        </is>
      </c>
      <c r="B2904" t="inlineStr">
        <is>
          <t>נייר תעשייתי 1173 חוגלה</t>
        </is>
      </c>
      <c r="C2904" t="inlineStr">
        <is>
          <t>מוצרי נייר וניקוי</t>
        </is>
      </c>
      <c r="D2904" t="inlineStr">
        <is>
          <t>3418-1</t>
        </is>
      </c>
      <c r="E2904" t="inlineStr">
        <is>
          <t>2026-06</t>
        </is>
      </c>
      <c r="F2904" t="n">
        <v>31.91</v>
      </c>
      <c r="G2904" t="n">
        <v>37.65</v>
      </c>
      <c r="H2904">
        <f>הגדרות!B7</f>
        <v/>
      </c>
      <c r="I2904">
        <f>F2904*(1-H2904/100)*1.18</f>
        <v/>
      </c>
      <c r="J2904">
        <f>הגדרות!C7</f>
        <v/>
      </c>
      <c r="K2904">
        <f>הגדרות!D7</f>
        <v/>
      </c>
      <c r="L2904">
        <f>I2904*(1+J2904/100)+K2904</f>
        <v/>
      </c>
    </row>
    <row r="2905">
      <c r="A2905" t="inlineStr">
        <is>
          <t>מדי-מרקט</t>
        </is>
      </c>
      <c r="B2905" t="inlineStr">
        <is>
          <t>נייר תעשייתי, מדיקפרו</t>
        </is>
      </c>
      <c r="C2905" t="inlineStr">
        <is>
          <t>מוצרי נייר וניקוי</t>
        </is>
      </c>
      <c r="D2905" t="inlineStr">
        <is>
          <t>3418</t>
        </is>
      </c>
      <c r="E2905" t="inlineStr">
        <is>
          <t>2026-06</t>
        </is>
      </c>
      <c r="F2905" t="n">
        <v>28.58</v>
      </c>
      <c r="G2905" t="n">
        <v>33.72</v>
      </c>
      <c r="H2905">
        <f>הגדרות!B7</f>
        <v/>
      </c>
      <c r="I2905">
        <f>F2905*(1-H2905/100)*1.18</f>
        <v/>
      </c>
      <c r="J2905">
        <f>הגדרות!C7</f>
        <v/>
      </c>
      <c r="K2905">
        <f>הגדרות!D7</f>
        <v/>
      </c>
      <c r="L2905">
        <f>I2905*(1+J2905/100)+K2905</f>
        <v/>
      </c>
    </row>
    <row r="2906">
      <c r="A2906" t="inlineStr">
        <is>
          <t>מדי-מרקט</t>
        </is>
      </c>
      <c r="B2906" t="inlineStr">
        <is>
          <t>נייר תרמי למכשיר VB-1 גליל אחד Thermal paper 57*24*12.5</t>
        </is>
      </c>
      <c r="C2906" t="inlineStr">
        <is>
          <t>מוצרי נייר וניקוי</t>
        </is>
      </c>
      <c r="D2906" t="inlineStr">
        <is>
          <t>44805</t>
        </is>
      </c>
      <c r="E2906" t="inlineStr">
        <is>
          <t>2026-06</t>
        </is>
      </c>
      <c r="F2906" t="n">
        <v>15.25</v>
      </c>
      <c r="G2906" t="n">
        <v>18</v>
      </c>
      <c r="H2906">
        <f>הגדרות!B7</f>
        <v/>
      </c>
      <c r="I2906">
        <f>F2906*(1-H2906/100)*1.18</f>
        <v/>
      </c>
      <c r="J2906">
        <f>הגדרות!C7</f>
        <v/>
      </c>
      <c r="K2906">
        <f>הגדרות!D7</f>
        <v/>
      </c>
      <c r="L2906">
        <f>I2906*(1+J2906/100)+K2906</f>
        <v/>
      </c>
    </row>
    <row r="2907">
      <c r="A2907" t="inlineStr">
        <is>
          <t>מדי-מרקט</t>
        </is>
      </c>
      <c r="B2907" t="inlineStr">
        <is>
          <t>נייר תרמי למכשירי ספירת דם 5 SEAMATY URIT VB-1 גלילים</t>
        </is>
      </c>
      <c r="C2907" t="inlineStr">
        <is>
          <t>אביזרים, חלקים ושונות</t>
        </is>
      </c>
      <c r="D2907" t="inlineStr">
        <is>
          <t>44805-1</t>
        </is>
      </c>
      <c r="E2907" t="inlineStr">
        <is>
          <t>2026-06</t>
        </is>
      </c>
      <c r="F2907" t="n">
        <v>76.27</v>
      </c>
      <c r="G2907" t="n">
        <v>90</v>
      </c>
      <c r="H2907">
        <f>הגדרות!B7</f>
        <v/>
      </c>
      <c r="I2907">
        <f>F2907*(1-H2907/100)*1.18</f>
        <v/>
      </c>
      <c r="J2907">
        <f>הגדרות!C7</f>
        <v/>
      </c>
      <c r="K2907">
        <f>הגדרות!D7</f>
        <v/>
      </c>
      <c r="L2907">
        <f>I2907*(1+J2907/100)+K2907</f>
        <v/>
      </c>
    </row>
    <row r="2908">
      <c r="A2908" t="inlineStr">
        <is>
          <t>מדי-מרקט</t>
        </is>
      </c>
      <c r="B2908" t="inlineStr">
        <is>
          <t>נייר תרמי לספירת דם מינדיי 1 יח'  50 מ"מ</t>
        </is>
      </c>
      <c r="C2908" t="inlineStr">
        <is>
          <t>Mindray</t>
        </is>
      </c>
      <c r="D2908" t="inlineStr">
        <is>
          <t>10127-1</t>
        </is>
      </c>
      <c r="E2908" t="inlineStr">
        <is>
          <t>2026-06</t>
        </is>
      </c>
      <c r="F2908" t="n">
        <v>21.19</v>
      </c>
      <c r="G2908" t="n">
        <v>25</v>
      </c>
      <c r="H2908">
        <f>הגדרות!B7</f>
        <v/>
      </c>
      <c r="I2908">
        <f>F2908*(1-H2908/100)*1.18</f>
        <v/>
      </c>
      <c r="J2908">
        <f>הגדרות!C7</f>
        <v/>
      </c>
      <c r="K2908">
        <f>הגדרות!D7</f>
        <v/>
      </c>
      <c r="L2908">
        <f>I2908*(1+J2908/100)+K2908</f>
        <v/>
      </c>
    </row>
    <row r="2909">
      <c r="A2909" t="inlineStr">
        <is>
          <t>מדי-מרקט</t>
        </is>
      </c>
      <c r="B2909" t="inlineStr">
        <is>
          <t>נייר תרמי לספירת דם מינדיי 10Xיח'  50 מ"מ</t>
        </is>
      </c>
      <c r="C2909" t="inlineStr">
        <is>
          <t>Mindray</t>
        </is>
      </c>
      <c r="D2909" t="inlineStr">
        <is>
          <t>10127</t>
        </is>
      </c>
      <c r="E2909" t="inlineStr">
        <is>
          <t>2026-06</t>
        </is>
      </c>
      <c r="F2909" t="n">
        <v>211.86</v>
      </c>
      <c r="G2909" t="n">
        <v>250</v>
      </c>
      <c r="H2909">
        <f>הגדרות!B7</f>
        <v/>
      </c>
      <c r="I2909">
        <f>F2909*(1-H2909/100)*1.18</f>
        <v/>
      </c>
      <c r="J2909">
        <f>הגדרות!C7</f>
        <v/>
      </c>
      <c r="K2909">
        <f>הגדרות!D7</f>
        <v/>
      </c>
      <c r="L2909">
        <f>I2909*(1+J2909/100)+K2909</f>
        <v/>
      </c>
    </row>
    <row r="2910">
      <c r="A2910" t="inlineStr">
        <is>
          <t>מדי-מרקט</t>
        </is>
      </c>
      <c r="B2910" t="inlineStr">
        <is>
          <t>נתיב אוויר מידה 0 שחור 60 מ"מ סטרילי מדיקפרו</t>
        </is>
      </c>
      <c r="C2910" t="inlineStr">
        <is>
          <t>ציוד מתכלה</t>
        </is>
      </c>
      <c r="D2910" t="inlineStr">
        <is>
          <t>60-101</t>
        </is>
      </c>
      <c r="E2910" t="inlineStr">
        <is>
          <t>2026-06</t>
        </is>
      </c>
      <c r="F2910" t="n">
        <v>0.63</v>
      </c>
      <c r="G2910" t="n">
        <v>0.74</v>
      </c>
      <c r="H2910">
        <f>הגדרות!B7</f>
        <v/>
      </c>
      <c r="I2910">
        <f>F2910*(1-H2910/100)*1.18</f>
        <v/>
      </c>
      <c r="J2910">
        <f>הגדרות!C7</f>
        <v/>
      </c>
      <c r="K2910">
        <f>הגדרות!D7</f>
        <v/>
      </c>
      <c r="L2910">
        <f>I2910*(1+J2910/100)+K2910</f>
        <v/>
      </c>
    </row>
    <row r="2911">
      <c r="A2911" t="inlineStr">
        <is>
          <t>מדי-מרקט</t>
        </is>
      </c>
      <c r="B2911" t="inlineStr">
        <is>
          <t>נתיב אוויר מידה 00 כחול 50 מ"מ סטרילי מדיקפרו</t>
        </is>
      </c>
      <c r="C2911" t="inlineStr">
        <is>
          <t>ציוד מתכלה</t>
        </is>
      </c>
      <c r="D2911" t="inlineStr">
        <is>
          <t>60-102</t>
        </is>
      </c>
      <c r="E2911" t="inlineStr">
        <is>
          <t>2026-06</t>
        </is>
      </c>
      <c r="F2911" t="n">
        <v>0.5600000000000001</v>
      </c>
      <c r="G2911" t="n">
        <v>0.66</v>
      </c>
      <c r="H2911">
        <f>הגדרות!B7</f>
        <v/>
      </c>
      <c r="I2911">
        <f>F2911*(1-H2911/100)*1.18</f>
        <v/>
      </c>
      <c r="J2911">
        <f>הגדרות!C7</f>
        <v/>
      </c>
      <c r="K2911">
        <f>הגדרות!D7</f>
        <v/>
      </c>
      <c r="L2911">
        <f>I2911*(1+J2911/100)+K2911</f>
        <v/>
      </c>
    </row>
    <row r="2912">
      <c r="A2912" t="inlineStr">
        <is>
          <t>מדי-מרקט</t>
        </is>
      </c>
      <c r="B2912" t="inlineStr">
        <is>
          <t>נתיב אוויר מידה 000 ורוד 40 מ"מ סטרילי מדיקפרו</t>
        </is>
      </c>
      <c r="C2912" t="inlineStr">
        <is>
          <t>ציוד מתכלה</t>
        </is>
      </c>
      <c r="D2912" t="inlineStr">
        <is>
          <t>60-103</t>
        </is>
      </c>
      <c r="E2912" t="inlineStr">
        <is>
          <t>2026-06</t>
        </is>
      </c>
      <c r="F2912" t="n">
        <v>0.55</v>
      </c>
      <c r="G2912" t="n">
        <v>0.65</v>
      </c>
      <c r="H2912">
        <f>הגדרות!B7</f>
        <v/>
      </c>
      <c r="I2912">
        <f>F2912*(1-H2912/100)*1.18</f>
        <v/>
      </c>
      <c r="J2912">
        <f>הגדרות!C7</f>
        <v/>
      </c>
      <c r="K2912">
        <f>הגדרות!D7</f>
        <v/>
      </c>
      <c r="L2912">
        <f>I2912*(1+J2912/100)+K2912</f>
        <v/>
      </c>
    </row>
    <row r="2913">
      <c r="A2913" t="inlineStr">
        <is>
          <t>מדי-מרקט</t>
        </is>
      </c>
      <c r="B2913" t="inlineStr">
        <is>
          <t>נתיב אוויר מידה 1 לבן 70 מ"מ סטרילי מדיקפרו</t>
        </is>
      </c>
      <c r="C2913" t="inlineStr">
        <is>
          <t>ציוד מתכלה</t>
        </is>
      </c>
      <c r="D2913" t="inlineStr">
        <is>
          <t>60-104</t>
        </is>
      </c>
      <c r="E2913" t="inlineStr">
        <is>
          <t>2026-06</t>
        </is>
      </c>
      <c r="F2913" t="n">
        <v>0.53</v>
      </c>
      <c r="G2913" t="n">
        <v>0.63</v>
      </c>
      <c r="H2913">
        <f>הגדרות!B7</f>
        <v/>
      </c>
      <c r="I2913">
        <f>F2913*(1-H2913/100)*1.18</f>
        <v/>
      </c>
      <c r="J2913">
        <f>הגדרות!C7</f>
        <v/>
      </c>
      <c r="K2913">
        <f>הגדרות!D7</f>
        <v/>
      </c>
      <c r="L2913">
        <f>I2913*(1+J2913/100)+K2913</f>
        <v/>
      </c>
    </row>
    <row r="2914">
      <c r="A2914" t="inlineStr">
        <is>
          <t>מדי-מרקט</t>
        </is>
      </c>
      <c r="B2914" t="inlineStr">
        <is>
          <t>נתיב אוויר מידה 2 ירוק 80 מ"מ סטרילי מדיקפרו</t>
        </is>
      </c>
      <c r="C2914" t="inlineStr">
        <is>
          <t>ציוד מתכלה</t>
        </is>
      </c>
      <c r="D2914" t="inlineStr">
        <is>
          <t>60-105</t>
        </is>
      </c>
      <c r="E2914" t="inlineStr">
        <is>
          <t>2026-06</t>
        </is>
      </c>
      <c r="F2914" t="n">
        <v>0.53</v>
      </c>
      <c r="G2914" t="n">
        <v>0.63</v>
      </c>
      <c r="H2914">
        <f>הגדרות!B7</f>
        <v/>
      </c>
      <c r="I2914">
        <f>F2914*(1-H2914/100)*1.18</f>
        <v/>
      </c>
      <c r="J2914">
        <f>הגדרות!C7</f>
        <v/>
      </c>
      <c r="K2914">
        <f>הגדרות!D7</f>
        <v/>
      </c>
      <c r="L2914">
        <f>I2914*(1+J2914/100)+K2914</f>
        <v/>
      </c>
    </row>
    <row r="2915">
      <c r="A2915" t="inlineStr">
        <is>
          <t>מדי-מרקט</t>
        </is>
      </c>
      <c r="B2915" t="inlineStr">
        <is>
          <t>נתיב אוויר מידה 3 צהוב 90 מ"מ סטרילי מדיקפרו</t>
        </is>
      </c>
      <c r="C2915" t="inlineStr">
        <is>
          <t>ציוד מתכלה</t>
        </is>
      </c>
      <c r="D2915" t="inlineStr">
        <is>
          <t>60-108</t>
        </is>
      </c>
      <c r="E2915" t="inlineStr">
        <is>
          <t>2026-06</t>
        </is>
      </c>
      <c r="F2915" t="n">
        <v>0.53</v>
      </c>
      <c r="G2915" t="n">
        <v>0.63</v>
      </c>
      <c r="H2915">
        <f>הגדרות!B7</f>
        <v/>
      </c>
      <c r="I2915">
        <f>F2915*(1-H2915/100)*1.18</f>
        <v/>
      </c>
      <c r="J2915">
        <f>הגדרות!C7</f>
        <v/>
      </c>
      <c r="K2915">
        <f>הגדרות!D7</f>
        <v/>
      </c>
      <c r="L2915">
        <f>I2915*(1+J2915/100)+K2915</f>
        <v/>
      </c>
    </row>
    <row r="2916">
      <c r="A2916" t="inlineStr">
        <is>
          <t>מדי-מרקט</t>
        </is>
      </c>
      <c r="B2916" t="inlineStr">
        <is>
          <t>נתיב אוויר מידה 4 אדום 100 מ"מ סטרילי מדיקפרו</t>
        </is>
      </c>
      <c r="C2916" t="inlineStr">
        <is>
          <t>ציוד מתכלה</t>
        </is>
      </c>
      <c r="D2916" t="inlineStr">
        <is>
          <t>60-109</t>
        </is>
      </c>
      <c r="E2916" t="inlineStr">
        <is>
          <t>2026-06</t>
        </is>
      </c>
      <c r="F2916" t="n">
        <v>0.53</v>
      </c>
      <c r="G2916" t="n">
        <v>0.62</v>
      </c>
      <c r="H2916">
        <f>הגדרות!B7</f>
        <v/>
      </c>
      <c r="I2916">
        <f>F2916*(1-H2916/100)*1.18</f>
        <v/>
      </c>
      <c r="J2916">
        <f>הגדרות!C7</f>
        <v/>
      </c>
      <c r="K2916">
        <f>הגדרות!D7</f>
        <v/>
      </c>
      <c r="L2916">
        <f>I2916*(1+J2916/100)+K2916</f>
        <v/>
      </c>
    </row>
    <row r="2917">
      <c r="A2917" t="inlineStr">
        <is>
          <t>מדי-מרקט</t>
        </is>
      </c>
      <c r="B2917" t="inlineStr">
        <is>
          <t>נתיב אוויר מידה 5 תכלת 110 מ"מ סטרילי מדיקפרו</t>
        </is>
      </c>
      <c r="C2917" t="inlineStr">
        <is>
          <t>ציוד מתכלה</t>
        </is>
      </c>
      <c r="D2917" t="inlineStr">
        <is>
          <t>60-110</t>
        </is>
      </c>
      <c r="E2917" t="inlineStr">
        <is>
          <t>2026-06</t>
        </is>
      </c>
      <c r="F2917" t="n">
        <v>0.73</v>
      </c>
      <c r="G2917" t="n">
        <v>0.86</v>
      </c>
      <c r="H2917">
        <f>הגדרות!B7</f>
        <v/>
      </c>
      <c r="I2917">
        <f>F2917*(1-H2917/100)*1.18</f>
        <v/>
      </c>
      <c r="J2917">
        <f>הגדרות!C7</f>
        <v/>
      </c>
      <c r="K2917">
        <f>הגדרות!D7</f>
        <v/>
      </c>
      <c r="L2917">
        <f>I2917*(1+J2917/100)+K2917</f>
        <v/>
      </c>
    </row>
    <row r="2918">
      <c r="A2918" t="inlineStr">
        <is>
          <t>מדי-מרקט</t>
        </is>
      </c>
      <c r="B2918" t="inlineStr">
        <is>
          <t>נתיב אויר נאזלי -AIRWAY NASALPHARYNGEAL 28 X 10</t>
        </is>
      </c>
      <c r="C2918" t="inlineStr">
        <is>
          <t>ציוד מתכלה</t>
        </is>
      </c>
      <c r="D2918" t="inlineStr">
        <is>
          <t>3060257512</t>
        </is>
      </c>
      <c r="E2918" t="inlineStr">
        <is>
          <t>2026-06</t>
        </is>
      </c>
      <c r="F2918" t="n">
        <v>139.83</v>
      </c>
      <c r="G2918" t="n">
        <v>165</v>
      </c>
      <c r="H2918">
        <f>הגדרות!B7</f>
        <v/>
      </c>
      <c r="I2918">
        <f>F2918*(1-H2918/100)*1.18</f>
        <v/>
      </c>
      <c r="J2918">
        <f>הגדרות!C7</f>
        <v/>
      </c>
      <c r="K2918">
        <f>הגדרות!D7</f>
        <v/>
      </c>
      <c r="L2918">
        <f>I2918*(1+J2918/100)+K2918</f>
        <v/>
      </c>
    </row>
    <row r="2919">
      <c r="A2919" t="inlineStr">
        <is>
          <t>מדי-מרקט</t>
        </is>
      </c>
      <c r="B2919" t="inlineStr">
        <is>
          <t>נתיב אויר נאזלי 10יח' NASOPHARYNGEAL AIRWAYS 4.0MM X</t>
        </is>
      </c>
      <c r="C2919" t="inlineStr">
        <is>
          <t>ציוד ומכשור רפואי</t>
        </is>
      </c>
      <c r="D2919" t="inlineStr">
        <is>
          <t>3060206699</t>
        </is>
      </c>
      <c r="E2919" t="inlineStr">
        <is>
          <t>2026-06</t>
        </is>
      </c>
      <c r="F2919" t="n">
        <v>120.94</v>
      </c>
      <c r="G2919" t="n">
        <v>142.71</v>
      </c>
      <c r="H2919">
        <f>הגדרות!B7</f>
        <v/>
      </c>
      <c r="I2919">
        <f>F2919*(1-H2919/100)*1.18</f>
        <v/>
      </c>
      <c r="J2919">
        <f>הגדרות!C7</f>
        <v/>
      </c>
      <c r="K2919">
        <f>הגדרות!D7</f>
        <v/>
      </c>
      <c r="L2919">
        <f>I2919*(1+J2919/100)+K2919</f>
        <v/>
      </c>
    </row>
    <row r="2920">
      <c r="A2920" t="inlineStr">
        <is>
          <t>מדי-מרקט</t>
        </is>
      </c>
      <c r="B2920" t="inlineStr">
        <is>
          <t>נתיב אויר נאזלי 10יח' NASOPHARYNGEAL AIRWAYS 5.0MM X</t>
        </is>
      </c>
      <c r="C2920" t="inlineStr">
        <is>
          <t>ציוד ומכשור רפואי</t>
        </is>
      </c>
      <c r="D2920" t="inlineStr">
        <is>
          <t>3060207556</t>
        </is>
      </c>
      <c r="E2920" t="inlineStr">
        <is>
          <t>2026-06</t>
        </is>
      </c>
      <c r="F2920" t="n">
        <v>124.36</v>
      </c>
      <c r="G2920" t="n">
        <v>146.75</v>
      </c>
      <c r="H2920">
        <f>הגדרות!B7</f>
        <v/>
      </c>
      <c r="I2920">
        <f>F2920*(1-H2920/100)*1.18</f>
        <v/>
      </c>
      <c r="J2920">
        <f>הגדרות!C7</f>
        <v/>
      </c>
      <c r="K2920">
        <f>הגדרות!D7</f>
        <v/>
      </c>
      <c r="L2920">
        <f>I2920*(1+J2920/100)+K2920</f>
        <v/>
      </c>
    </row>
    <row r="2921">
      <c r="A2921" t="inlineStr">
        <is>
          <t>מדי-מרקט</t>
        </is>
      </c>
      <c r="B2921" t="inlineStr">
        <is>
          <t>נתיב אויר נאזלי 20יח' NASOPHARYNGEAL AIRWAYS 6MM X</t>
        </is>
      </c>
      <c r="C2921" t="inlineStr">
        <is>
          <t>ציוד ומכשור רפואי</t>
        </is>
      </c>
      <c r="D2921" t="inlineStr">
        <is>
          <t>3060257403</t>
        </is>
      </c>
      <c r="E2921" t="inlineStr">
        <is>
          <t>2026-06</t>
        </is>
      </c>
      <c r="F2921" t="n">
        <v>156.74</v>
      </c>
      <c r="G2921" t="n">
        <v>184.95</v>
      </c>
      <c r="H2921">
        <f>הגדרות!B7</f>
        <v/>
      </c>
      <c r="I2921">
        <f>F2921*(1-H2921/100)*1.18</f>
        <v/>
      </c>
      <c r="J2921">
        <f>הגדרות!C7</f>
        <v/>
      </c>
      <c r="K2921">
        <f>הגדרות!D7</f>
        <v/>
      </c>
      <c r="L2921">
        <f>I2921*(1+J2921/100)+K2921</f>
        <v/>
      </c>
    </row>
    <row r="2922">
      <c r="A2922" t="inlineStr">
        <is>
          <t>מדי-מרקט</t>
        </is>
      </c>
      <c r="B2922" t="inlineStr">
        <is>
          <t>נתיב אויר נאזלי 20יח' NASOPHARYNGEAL AIRWAYS 7MM X</t>
        </is>
      </c>
      <c r="C2922" t="inlineStr">
        <is>
          <t>ציוד ומכשור רפואי</t>
        </is>
      </c>
      <c r="D2922" t="inlineStr">
        <is>
          <t>3060257417</t>
        </is>
      </c>
      <c r="E2922" t="inlineStr">
        <is>
          <t>2026-06</t>
        </is>
      </c>
      <c r="F2922" t="n">
        <v>160.68</v>
      </c>
      <c r="G2922" t="n">
        <v>189.6</v>
      </c>
      <c r="H2922">
        <f>הגדרות!B7</f>
        <v/>
      </c>
      <c r="I2922">
        <f>F2922*(1-H2922/100)*1.18</f>
        <v/>
      </c>
      <c r="J2922">
        <f>הגדרות!C7</f>
        <v/>
      </c>
      <c r="K2922">
        <f>הגדרות!D7</f>
        <v/>
      </c>
      <c r="L2922">
        <f>I2922*(1+J2922/100)+K2922</f>
        <v/>
      </c>
    </row>
    <row r="2923">
      <c r="A2923" t="inlineStr">
        <is>
          <t>מדי-מרקט</t>
        </is>
      </c>
      <c r="B2923" t="inlineStr">
        <is>
          <t>נתיב אויר נאזלי 20יח' NASOPHARYNGEAL AIRWAYS 8MM X</t>
        </is>
      </c>
      <c r="C2923" t="inlineStr">
        <is>
          <t>ציוד ומכשור רפואי</t>
        </is>
      </c>
      <c r="D2923" t="inlineStr">
        <is>
          <t>3060257431</t>
        </is>
      </c>
      <c r="E2923" t="inlineStr">
        <is>
          <t>2026-06</t>
        </is>
      </c>
      <c r="F2923" t="n">
        <v>157.88</v>
      </c>
      <c r="G2923" t="n">
        <v>186.3</v>
      </c>
      <c r="H2923">
        <f>הגדרות!B7</f>
        <v/>
      </c>
      <c r="I2923">
        <f>F2923*(1-H2923/100)*1.18</f>
        <v/>
      </c>
      <c r="J2923">
        <f>הגדרות!C7</f>
        <v/>
      </c>
      <c r="K2923">
        <f>הגדרות!D7</f>
        <v/>
      </c>
      <c r="L2923">
        <f>I2923*(1+J2923/100)+K2923</f>
        <v/>
      </c>
    </row>
    <row r="2924">
      <c r="A2924" t="inlineStr">
        <is>
          <t>מדי-מרקט</t>
        </is>
      </c>
      <c r="B2924" t="inlineStr">
        <is>
          <t>נתיב אויר נאזלי*AIRWAY NASOPHARYNGEAL 7.0 - 10</t>
        </is>
      </c>
      <c r="C2924" t="inlineStr">
        <is>
          <t>ציוד מתכלה</t>
        </is>
      </c>
      <c r="D2924" t="inlineStr">
        <is>
          <t>3060201823</t>
        </is>
      </c>
      <c r="E2924" t="inlineStr">
        <is>
          <t>2026-06</t>
        </is>
      </c>
      <c r="F2924" t="n">
        <v>213.56</v>
      </c>
      <c r="G2924" t="n">
        <v>252</v>
      </c>
      <c r="H2924">
        <f>הגדרות!B7</f>
        <v/>
      </c>
      <c r="I2924">
        <f>F2924*(1-H2924/100)*1.18</f>
        <v/>
      </c>
      <c r="J2924">
        <f>הגדרות!C7</f>
        <v/>
      </c>
      <c r="K2924">
        <f>הגדרות!D7</f>
        <v/>
      </c>
      <c r="L2924">
        <f>I2924*(1+J2924/100)+K2924</f>
        <v/>
      </c>
    </row>
    <row r="2925">
      <c r="A2925" t="inlineStr">
        <is>
          <t>מדי-מרקט</t>
        </is>
      </c>
      <c r="B2925" t="inlineStr">
        <is>
          <t>נתיב אויר נאזלי*AIRWAY NASOPHARYNGEAL 8.0 - 10</t>
        </is>
      </c>
      <c r="C2925" t="inlineStr">
        <is>
          <t>ציוד מתכלה</t>
        </is>
      </c>
      <c r="D2925" t="inlineStr">
        <is>
          <t>3060201831</t>
        </is>
      </c>
      <c r="E2925" t="inlineStr">
        <is>
          <t>2026-06</t>
        </is>
      </c>
      <c r="F2925" t="n">
        <v>213.56</v>
      </c>
      <c r="G2925" t="n">
        <v>252</v>
      </c>
      <c r="H2925">
        <f>הגדרות!B7</f>
        <v/>
      </c>
      <c r="I2925">
        <f>F2925*(1-H2925/100)*1.18</f>
        <v/>
      </c>
      <c r="J2925">
        <f>הגדרות!C7</f>
        <v/>
      </c>
      <c r="K2925">
        <f>הגדרות!D7</f>
        <v/>
      </c>
      <c r="L2925">
        <f>I2925*(1+J2925/100)+K2925</f>
        <v/>
      </c>
    </row>
    <row r="2926">
      <c r="A2926" t="inlineStr">
        <is>
          <t>מדי-מרקט</t>
        </is>
      </c>
      <c r="B2926" t="inlineStr">
        <is>
          <t>סביעור קרם 10 גר' Gsl</t>
        </is>
      </c>
      <c r="C2926" t="inlineStr">
        <is>
          <t>תרופות</t>
        </is>
      </c>
      <c r="D2926" t="inlineStr">
        <is>
          <t>759520</t>
        </is>
      </c>
      <c r="E2926" t="inlineStr">
        <is>
          <t>2026-06</t>
        </is>
      </c>
      <c r="F2926" t="n">
        <v>9.6</v>
      </c>
      <c r="G2926" t="n">
        <v>11.33</v>
      </c>
      <c r="H2926">
        <f>הגדרות!B7</f>
        <v/>
      </c>
      <c r="I2926">
        <f>F2926*(1-H2926/100)*1.18</f>
        <v/>
      </c>
      <c r="J2926">
        <f>הגדרות!C7</f>
        <v/>
      </c>
      <c r="K2926">
        <f>הגדרות!D7</f>
        <v/>
      </c>
      <c r="L2926">
        <f>I2926*(1+J2926/100)+K2926</f>
        <v/>
      </c>
    </row>
    <row r="2927">
      <c r="A2927" t="inlineStr">
        <is>
          <t>מדי-מרקט</t>
        </is>
      </c>
      <c r="B2927" t="inlineStr">
        <is>
          <t>סדין למיטה בד לא ארוג + גומי 90*190 לבן 1/10, מדיקפרו</t>
        </is>
      </c>
      <c r="C2927" t="inlineStr">
        <is>
          <t>מוצרי נייר וניקוי</t>
        </is>
      </c>
      <c r="D2927" t="inlineStr">
        <is>
          <t>5546</t>
        </is>
      </c>
      <c r="E2927" t="inlineStr">
        <is>
          <t>2026-06</t>
        </is>
      </c>
      <c r="F2927" t="n">
        <v>7.9</v>
      </c>
      <c r="G2927" t="n">
        <v>9.32</v>
      </c>
      <c r="H2927">
        <f>הגדרות!B7</f>
        <v/>
      </c>
      <c r="I2927">
        <f>F2927*(1-H2927/100)*1.18</f>
        <v/>
      </c>
      <c r="J2927">
        <f>הגדרות!C7</f>
        <v/>
      </c>
      <c r="K2927">
        <f>הגדרות!D7</f>
        <v/>
      </c>
      <c r="L2927">
        <f>I2927*(1+J2927/100)+K2927</f>
        <v/>
      </c>
    </row>
    <row r="2928">
      <c r="A2928" t="inlineStr">
        <is>
          <t>מדי-מרקט</t>
        </is>
      </c>
      <c r="B2928" t="inlineStr">
        <is>
          <t>סדין ניילון PVC כיסוי למיטה עם גומי 90X2.1ס"מ* 10 יח'</t>
        </is>
      </c>
      <c r="C2928" t="inlineStr">
        <is>
          <t>מוצרי נייר וניקוי</t>
        </is>
      </c>
      <c r="D2928" t="inlineStr">
        <is>
          <t>654984</t>
        </is>
      </c>
      <c r="E2928" t="inlineStr">
        <is>
          <t>2026-06</t>
        </is>
      </c>
      <c r="F2928" t="n">
        <v>10.15</v>
      </c>
      <c r="G2928" t="n">
        <v>11.98</v>
      </c>
      <c r="H2928">
        <f>הגדרות!B7</f>
        <v/>
      </c>
      <c r="I2928">
        <f>F2928*(1-H2928/100)*1.18</f>
        <v/>
      </c>
      <c r="J2928">
        <f>הגדרות!C7</f>
        <v/>
      </c>
      <c r="K2928">
        <f>הגדרות!D7</f>
        <v/>
      </c>
      <c r="L2928">
        <f>I2928*(1+J2928/100)+K2928</f>
        <v/>
      </c>
    </row>
    <row r="2929">
      <c r="A2929" t="inlineStr">
        <is>
          <t>מדי-מרקט</t>
        </is>
      </c>
      <c r="B2929" t="inlineStr">
        <is>
          <t>סדיניה 60&amp;#215;90 ס"מ 30 יח',MEDIPAD, מדיקפרו</t>
        </is>
      </c>
      <c r="C2929" t="inlineStr">
        <is>
          <t>מוצרי נייר וניקוי</t>
        </is>
      </c>
      <c r="D2929" t="inlineStr">
        <is>
          <t>400-102</t>
        </is>
      </c>
      <c r="E2929" t="inlineStr">
        <is>
          <t>2026-06</t>
        </is>
      </c>
      <c r="F2929" t="n">
        <v>24.56</v>
      </c>
      <c r="G2929" t="n">
        <v>28.98</v>
      </c>
      <c r="H2929">
        <f>הגדרות!B7</f>
        <v/>
      </c>
      <c r="I2929">
        <f>F2929*(1-H2929/100)*1.18</f>
        <v/>
      </c>
      <c r="J2929">
        <f>הגדרות!C7</f>
        <v/>
      </c>
      <c r="K2929">
        <f>הגדרות!D7</f>
        <v/>
      </c>
      <c r="L2929">
        <f>I2929*(1+J2929/100)+K2929</f>
        <v/>
      </c>
    </row>
    <row r="2930">
      <c r="A2930" t="inlineStr">
        <is>
          <t>מדי-מרקט</t>
        </is>
      </c>
      <c r="B2930" t="inlineStr">
        <is>
          <t>סדינייה רב פעמית 85*118 ס"מ, מדיקפרו</t>
        </is>
      </c>
      <c r="C2930" t="inlineStr">
        <is>
          <t>מוצרי נייר וניקוי</t>
        </is>
      </c>
      <c r="D2930" t="inlineStr">
        <is>
          <t>700-800</t>
        </is>
      </c>
      <c r="E2930" t="inlineStr">
        <is>
          <t>2026-06</t>
        </is>
      </c>
      <c r="F2930" t="n">
        <v>22.73</v>
      </c>
      <c r="G2930" t="n">
        <v>26.82</v>
      </c>
      <c r="H2930">
        <f>הגדרות!B7</f>
        <v/>
      </c>
      <c r="I2930">
        <f>F2930*(1-H2930/100)*1.18</f>
        <v/>
      </c>
      <c r="J2930">
        <f>הגדרות!C7</f>
        <v/>
      </c>
      <c r="K2930">
        <f>הגדרות!D7</f>
        <v/>
      </c>
      <c r="L2930">
        <f>I2930*(1+J2930/100)+K2930</f>
        <v/>
      </c>
    </row>
    <row r="2931">
      <c r="A2931" t="inlineStr">
        <is>
          <t>מדי-מרקט</t>
        </is>
      </c>
      <c r="B2931" t="inlineStr">
        <is>
          <t>סודה ליים 5 ל' Soda Lime intersorb plus 5 L</t>
        </is>
      </c>
      <c r="C2931" t="inlineStr">
        <is>
          <t>מוצרי חיטוי ואנטיספטיקה</t>
        </is>
      </c>
      <c r="D2931" t="inlineStr">
        <is>
          <t>2703</t>
        </is>
      </c>
      <c r="E2931" t="inlineStr">
        <is>
          <t>2026-06</t>
        </is>
      </c>
      <c r="F2931" t="n">
        <v>80.51000000000001</v>
      </c>
      <c r="G2931" t="n">
        <v>95</v>
      </c>
      <c r="H2931">
        <f>הגדרות!B7</f>
        <v/>
      </c>
      <c r="I2931">
        <f>F2931*(1-H2931/100)*1.18</f>
        <v/>
      </c>
      <c r="J2931">
        <f>הגדרות!C7</f>
        <v/>
      </c>
      <c r="K2931">
        <f>הגדרות!D7</f>
        <v/>
      </c>
      <c r="L2931">
        <f>I2931*(1+J2931/100)+K2931</f>
        <v/>
      </c>
    </row>
    <row r="2932">
      <c r="A2932" t="inlineStr">
        <is>
          <t>מדי-מרקט</t>
        </is>
      </c>
      <c r="B2932" t="inlineStr">
        <is>
          <t>סוואבים ללא קרקע מזון 1 יח', מדיקפרו</t>
        </is>
      </c>
      <c r="C2932" t="inlineStr">
        <is>
          <t>ציוד מעבדתי</t>
        </is>
      </c>
      <c r="D2932" t="inlineStr">
        <is>
          <t>3442</t>
        </is>
      </c>
      <c r="E2932" t="inlineStr">
        <is>
          <t>2026-06</t>
        </is>
      </c>
      <c r="F2932" t="n">
        <v>0.32</v>
      </c>
      <c r="G2932" t="n">
        <v>0.38</v>
      </c>
      <c r="H2932">
        <f>הגדרות!B7</f>
        <v/>
      </c>
      <c r="I2932">
        <f>F2932*(1-H2932/100)*1.18</f>
        <v/>
      </c>
      <c r="J2932">
        <f>הגדרות!C7</f>
        <v/>
      </c>
      <c r="K2932">
        <f>הגדרות!D7</f>
        <v/>
      </c>
      <c r="L2932">
        <f>I2932*(1+J2932/100)+K2932</f>
        <v/>
      </c>
    </row>
    <row r="2933">
      <c r="A2933" t="inlineStr">
        <is>
          <t>מדי-מרקט</t>
        </is>
      </c>
      <c r="B2933" t="inlineStr">
        <is>
          <t>סוואבים עם קרקע מזון 1 יח', מדיקפרו</t>
        </is>
      </c>
      <c r="C2933" t="inlineStr">
        <is>
          <t>ציוד מעבדתי</t>
        </is>
      </c>
      <c r="D2933" t="inlineStr">
        <is>
          <t>3440</t>
        </is>
      </c>
      <c r="E2933" t="inlineStr">
        <is>
          <t>2026-06</t>
        </is>
      </c>
      <c r="F2933" t="n">
        <v>0.34</v>
      </c>
      <c r="G2933" t="n">
        <v>0.4</v>
      </c>
      <c r="H2933">
        <f>הגדרות!B7</f>
        <v/>
      </c>
      <c r="I2933">
        <f>F2933*(1-H2933/100)*1.18</f>
        <v/>
      </c>
      <c r="J2933">
        <f>הגדרות!C7</f>
        <v/>
      </c>
      <c r="K2933">
        <f>הגדרות!D7</f>
        <v/>
      </c>
      <c r="L2933">
        <f>I2933*(1+J2933/100)+K2933</f>
        <v/>
      </c>
    </row>
    <row r="2934">
      <c r="A2934" t="inlineStr">
        <is>
          <t>מדי-מרקט</t>
        </is>
      </c>
      <c r="B2934" t="inlineStr">
        <is>
          <t>סוללה DBP-2800 לדפיברילטור LIFELINE</t>
        </is>
      </c>
      <c r="C2934" t="inlineStr">
        <is>
          <t>ציוד ומכשור רפואי</t>
        </is>
      </c>
      <c r="D2934" t="inlineStr">
        <is>
          <t>440444</t>
        </is>
      </c>
      <c r="E2934" t="inlineStr">
        <is>
          <t>2026-06</t>
        </is>
      </c>
      <c r="F2934" t="n">
        <v>1567.8</v>
      </c>
      <c r="G2934" t="n">
        <v>1850</v>
      </c>
      <c r="H2934">
        <f>הגדרות!B7</f>
        <v/>
      </c>
      <c r="I2934">
        <f>F2934*(1-H2934/100)*1.18</f>
        <v/>
      </c>
      <c r="J2934">
        <f>הגדרות!C7</f>
        <v/>
      </c>
      <c r="K2934">
        <f>הגדרות!D7</f>
        <v/>
      </c>
      <c r="L2934">
        <f>I2934*(1+J2934/100)+K2934</f>
        <v/>
      </c>
    </row>
    <row r="2935">
      <c r="A2935" t="inlineStr">
        <is>
          <t>מדי-מרקט</t>
        </is>
      </c>
      <c r="B2935" t="inlineStr">
        <is>
          <t>סוללה לאוטוסקופ נטענת 72200 W.A</t>
        </is>
      </c>
      <c r="C2935" t="inlineStr">
        <is>
          <t>ציוד ומכשור רפואי</t>
        </is>
      </c>
      <c r="D2935" t="inlineStr">
        <is>
          <t>6514</t>
        </is>
      </c>
      <c r="E2935" t="inlineStr">
        <is>
          <t>2026-06</t>
        </is>
      </c>
      <c r="F2935" t="n">
        <v>226.53</v>
      </c>
      <c r="G2935" t="n">
        <v>267.3</v>
      </c>
      <c r="H2935">
        <f>הגדרות!B7</f>
        <v/>
      </c>
      <c r="I2935">
        <f>F2935*(1-H2935/100)*1.18</f>
        <v/>
      </c>
      <c r="J2935">
        <f>הגדרות!C7</f>
        <v/>
      </c>
      <c r="K2935">
        <f>הגדרות!D7</f>
        <v/>
      </c>
      <c r="L2935">
        <f>I2935*(1+J2935/100)+K2935</f>
        <v/>
      </c>
    </row>
    <row r="2936">
      <c r="A2936" t="inlineStr">
        <is>
          <t>מדי-מרקט</t>
        </is>
      </c>
      <c r="B2936" t="inlineStr">
        <is>
          <t>סוללה לדפיברילטור פיליפס - HS1</t>
        </is>
      </c>
      <c r="C2936" t="inlineStr">
        <is>
          <t>ציוד ומכשור רפואי</t>
        </is>
      </c>
      <c r="D2936" t="inlineStr">
        <is>
          <t>2476</t>
        </is>
      </c>
      <c r="E2936" t="inlineStr">
        <is>
          <t>2026-06</t>
        </is>
      </c>
      <c r="F2936" t="n">
        <v>762.71</v>
      </c>
      <c r="G2936" t="n">
        <v>900</v>
      </c>
      <c r="H2936">
        <f>הגדרות!B7</f>
        <v/>
      </c>
      <c r="I2936">
        <f>F2936*(1-H2936/100)*1.18</f>
        <v/>
      </c>
      <c r="J2936">
        <f>הגדרות!C7</f>
        <v/>
      </c>
      <c r="K2936">
        <f>הגדרות!D7</f>
        <v/>
      </c>
      <c r="L2936">
        <f>I2936*(1+J2936/100)+K2936</f>
        <v/>
      </c>
    </row>
    <row r="2937">
      <c r="A2937" t="inlineStr">
        <is>
          <t>מדי-מרקט</t>
        </is>
      </c>
      <c r="B2937" t="inlineStr">
        <is>
          <t>סוללה ליטיום לדפיברלטור G3</t>
        </is>
      </c>
      <c r="C2937" t="inlineStr">
        <is>
          <t>ציוד ומכשור רפואי</t>
        </is>
      </c>
      <c r="D2937" t="inlineStr">
        <is>
          <t>129852</t>
        </is>
      </c>
      <c r="E2937" t="inlineStr">
        <is>
          <t>2026-06</t>
        </is>
      </c>
      <c r="F2937" t="n">
        <v>1567.8</v>
      </c>
      <c r="G2937" t="n">
        <v>1850</v>
      </c>
      <c r="H2937">
        <f>הגדרות!B7</f>
        <v/>
      </c>
      <c r="I2937">
        <f>F2937*(1-H2937/100)*1.18</f>
        <v/>
      </c>
      <c r="J2937">
        <f>הגדרות!C7</f>
        <v/>
      </c>
      <c r="K2937">
        <f>הגדרות!D7</f>
        <v/>
      </c>
      <c r="L2937">
        <f>I2937*(1+J2937/100)+K2937</f>
        <v/>
      </c>
    </row>
    <row r="2938">
      <c r="A2938" t="inlineStr">
        <is>
          <t>מדי-מרקט</t>
        </is>
      </c>
      <c r="B2938" t="inlineStr">
        <is>
          <t>סוללה למכשיר א.ק.ג EDAN-21.21.064149-11</t>
        </is>
      </c>
      <c r="C2938" t="inlineStr">
        <is>
          <t>ציוד ומכשור רפואי</t>
        </is>
      </c>
      <c r="D2938" t="inlineStr">
        <is>
          <t>8525258</t>
        </is>
      </c>
      <c r="E2938" t="inlineStr">
        <is>
          <t>2026-06</t>
        </is>
      </c>
      <c r="F2938" t="n">
        <v>165.25</v>
      </c>
      <c r="G2938" t="n">
        <v>195</v>
      </c>
      <c r="H2938">
        <f>הגדרות!B7</f>
        <v/>
      </c>
      <c r="I2938">
        <f>F2938*(1-H2938/100)*1.18</f>
        <v/>
      </c>
      <c r="J2938">
        <f>הגדרות!C7</f>
        <v/>
      </c>
      <c r="K2938">
        <f>הגדרות!D7</f>
        <v/>
      </c>
      <c r="L2938">
        <f>I2938*(1+J2938/100)+K2938</f>
        <v/>
      </c>
    </row>
    <row r="2939">
      <c r="A2939" t="inlineStr">
        <is>
          <t>מדי-מרקט</t>
        </is>
      </c>
      <c r="B2939" t="inlineStr">
        <is>
          <t>סוללה למכשיר משולב</t>
        </is>
      </c>
      <c r="C2939" t="inlineStr">
        <is>
          <t>ציוד ומכשור רפואי</t>
        </is>
      </c>
      <c r="D2939" t="inlineStr">
        <is>
          <t>21515</t>
        </is>
      </c>
      <c r="E2939" t="inlineStr">
        <is>
          <t>2026-06</t>
        </is>
      </c>
      <c r="F2939" t="n">
        <v>576.27</v>
      </c>
      <c r="G2939" t="n">
        <v>680</v>
      </c>
      <c r="H2939">
        <f>הגדרות!B7</f>
        <v/>
      </c>
      <c r="I2939">
        <f>F2939*(1-H2939/100)*1.18</f>
        <v/>
      </c>
      <c r="J2939">
        <f>הגדרות!C7</f>
        <v/>
      </c>
      <c r="K2939">
        <f>הגדרות!D7</f>
        <v/>
      </c>
      <c r="L2939">
        <f>I2939*(1+J2939/100)+K2939</f>
        <v/>
      </c>
    </row>
    <row r="2940">
      <c r="A2940" t="inlineStr">
        <is>
          <t>מדי-מרקט</t>
        </is>
      </c>
      <c r="B2940" t="inlineStr">
        <is>
          <t>סופר טיפות סטרילי, מדיקפרו</t>
        </is>
      </c>
      <c r="C2940" t="inlineStr">
        <is>
          <t>ציוד ומכשור רפואי</t>
        </is>
      </c>
      <c r="D2940" t="inlineStr">
        <is>
          <t>47601</t>
        </is>
      </c>
      <c r="E2940" t="inlineStr">
        <is>
          <t>2026-06</t>
        </is>
      </c>
      <c r="F2940" t="n">
        <v>3.44</v>
      </c>
      <c r="G2940" t="n">
        <v>4.06</v>
      </c>
      <c r="H2940">
        <f>הגדרות!B7</f>
        <v/>
      </c>
      <c r="I2940">
        <f>F2940*(1-H2940/100)*1.18</f>
        <v/>
      </c>
      <c r="J2940">
        <f>הגדרות!C7</f>
        <v/>
      </c>
      <c r="K2940">
        <f>הגדרות!D7</f>
        <v/>
      </c>
      <c r="L2940">
        <f>I2940*(1+J2940/100)+K2940</f>
        <v/>
      </c>
    </row>
    <row r="2941">
      <c r="A2941" t="inlineStr">
        <is>
          <t>מדי-מרקט</t>
        </is>
      </c>
      <c r="B2941" t="inlineStr">
        <is>
          <t>סט 2 פדים לדפיברילטור VIVEST X1/3</t>
        </is>
      </c>
      <c r="C2941" t="inlineStr">
        <is>
          <t>ציוד ומכשור רפואי</t>
        </is>
      </c>
      <c r="D2941" t="inlineStr">
        <is>
          <t>216919</t>
        </is>
      </c>
      <c r="E2941" t="inlineStr">
        <is>
          <t>2026-06</t>
        </is>
      </c>
      <c r="F2941" t="n">
        <v>275.42</v>
      </c>
      <c r="G2941" t="n">
        <v>325</v>
      </c>
      <c r="H2941">
        <f>הגדרות!B7</f>
        <v/>
      </c>
      <c r="I2941">
        <f>F2941*(1-H2941/100)*1.18</f>
        <v/>
      </c>
      <c r="J2941">
        <f>הגדרות!C7</f>
        <v/>
      </c>
      <c r="K2941">
        <f>הגדרות!D7</f>
        <v/>
      </c>
      <c r="L2941">
        <f>I2941*(1+J2941/100)+K2941</f>
        <v/>
      </c>
    </row>
    <row r="2942">
      <c r="A2942" t="inlineStr">
        <is>
          <t>מדי-מרקט</t>
        </is>
      </c>
      <c r="B2942" t="inlineStr">
        <is>
          <t>סט אוניברסלי סטרילי לניתוח, מדיקפרו</t>
        </is>
      </c>
      <c r="C2942" t="inlineStr">
        <is>
          <t>ביגוד ח.פ. ורב פעמי</t>
        </is>
      </c>
      <c r="D2942" t="inlineStr">
        <is>
          <t>500-095</t>
        </is>
      </c>
      <c r="E2942" t="inlineStr">
        <is>
          <t>2026-06</t>
        </is>
      </c>
      <c r="F2942" t="n">
        <v>23.64</v>
      </c>
      <c r="G2942" t="n">
        <v>27.89</v>
      </c>
      <c r="H2942">
        <f>הגדרות!B7</f>
        <v/>
      </c>
      <c r="I2942">
        <f>F2942*(1-H2942/100)*1.18</f>
        <v/>
      </c>
      <c r="J2942">
        <f>הגדרות!C7</f>
        <v/>
      </c>
      <c r="K2942">
        <f>הגדרות!D7</f>
        <v/>
      </c>
      <c r="L2942">
        <f>I2942*(1+J2942/100)+K2942</f>
        <v/>
      </c>
    </row>
    <row r="2943">
      <c r="A2943" t="inlineStr">
        <is>
          <t>מדי-מרקט</t>
        </is>
      </c>
      <c r="B2943" t="inlineStr">
        <is>
          <t>סט אינהלציה כולל מסיכה וכוס לילד מדיקפרו 1 יח'</t>
        </is>
      </c>
      <c r="C2943" t="inlineStr">
        <is>
          <t>ציוד מתכלה</t>
        </is>
      </c>
      <c r="D2943" t="inlineStr">
        <is>
          <t>500-036</t>
        </is>
      </c>
      <c r="E2943" t="inlineStr">
        <is>
          <t>2026-06</t>
        </is>
      </c>
      <c r="F2943" t="n">
        <v>1.6</v>
      </c>
      <c r="G2943" t="n">
        <v>1.89</v>
      </c>
      <c r="H2943">
        <f>הגדרות!B7</f>
        <v/>
      </c>
      <c r="I2943">
        <f>F2943*(1-H2943/100)*1.18</f>
        <v/>
      </c>
      <c r="J2943">
        <f>הגדרות!C7</f>
        <v/>
      </c>
      <c r="K2943">
        <f>הגדרות!D7</f>
        <v/>
      </c>
      <c r="L2943">
        <f>I2943*(1+J2943/100)+K2943</f>
        <v/>
      </c>
    </row>
    <row r="2944">
      <c r="A2944" t="inlineStr">
        <is>
          <t>מדי-מרקט</t>
        </is>
      </c>
      <c r="B2944" t="inlineStr">
        <is>
          <t>סט אינהלציה כולל מסיכה וכוס למבוגר מדיקפרו 1 יח'</t>
        </is>
      </c>
      <c r="C2944" t="inlineStr">
        <is>
          <t>ציוד מתכלה</t>
        </is>
      </c>
      <c r="D2944" t="inlineStr">
        <is>
          <t>400-004</t>
        </is>
      </c>
      <c r="E2944" t="inlineStr">
        <is>
          <t>2026-06</t>
        </is>
      </c>
      <c r="F2944" t="n">
        <v>1.64</v>
      </c>
      <c r="G2944" t="n">
        <v>1.94</v>
      </c>
      <c r="H2944">
        <f>הגדרות!B7</f>
        <v/>
      </c>
      <c r="I2944">
        <f>F2944*(1-H2944/100)*1.18</f>
        <v/>
      </c>
      <c r="J2944">
        <f>הגדרות!C7</f>
        <v/>
      </c>
      <c r="K2944">
        <f>הגדרות!D7</f>
        <v/>
      </c>
      <c r="L2944">
        <f>I2944*(1+J2944/100)+K2944</f>
        <v/>
      </c>
    </row>
    <row r="2945">
      <c r="A2945" t="inlineStr">
        <is>
          <t>מדי-מרקט</t>
        </is>
      </c>
      <c r="B2945" t="inlineStr">
        <is>
          <t>סט הזנה בגרביטצייה,מדיקפרו,1/30(כמות חדשה בקרטון</t>
        </is>
      </c>
      <c r="C2945" t="inlineStr">
        <is>
          <t>ציוד מתכלה</t>
        </is>
      </c>
      <c r="D2945" t="inlineStr">
        <is>
          <t>500-037</t>
        </is>
      </c>
      <c r="E2945" t="inlineStr">
        <is>
          <t>2026-06</t>
        </is>
      </c>
      <c r="F2945" t="n">
        <v>82.03</v>
      </c>
      <c r="G2945" t="n">
        <v>96.8</v>
      </c>
      <c r="H2945">
        <f>הגדרות!B7</f>
        <v/>
      </c>
      <c r="I2945">
        <f>F2945*(1-H2945/100)*1.18</f>
        <v/>
      </c>
      <c r="J2945">
        <f>הגדרות!C7</f>
        <v/>
      </c>
      <c r="K2945">
        <f>הגדרות!D7</f>
        <v/>
      </c>
      <c r="L2945">
        <f>I2945*(1+J2945/100)+K2945</f>
        <v/>
      </c>
    </row>
    <row r="2946">
      <c r="A2946" t="inlineStr">
        <is>
          <t>מדי-מרקט</t>
        </is>
      </c>
      <c r="B2946" t="inlineStr">
        <is>
          <t>סט הזנה למשאבה מדי פיד 1625 1/30 יבוא פקק לבן</t>
        </is>
      </c>
      <c r="C2946" t="inlineStr">
        <is>
          <t>ציוד מתכלה</t>
        </is>
      </c>
      <c r="D2946" t="inlineStr">
        <is>
          <t>3675</t>
        </is>
      </c>
      <c r="E2946" t="inlineStr">
        <is>
          <t>2026-06</t>
        </is>
      </c>
      <c r="F2946" t="n">
        <v>132.2</v>
      </c>
      <c r="G2946" t="n">
        <v>156</v>
      </c>
      <c r="H2946">
        <f>הגדרות!B7</f>
        <v/>
      </c>
      <c r="I2946">
        <f>F2946*(1-H2946/100)*1.18</f>
        <v/>
      </c>
      <c r="J2946">
        <f>הגדרות!C7</f>
        <v/>
      </c>
      <c r="K2946">
        <f>הגדרות!D7</f>
        <v/>
      </c>
      <c r="L2946">
        <f>I2946*(1+J2946/100)+K2946</f>
        <v/>
      </c>
    </row>
    <row r="2947">
      <c r="A2947" t="inlineStr">
        <is>
          <t>מדי-מרקט</t>
        </is>
      </c>
      <c r="B2947" t="inlineStr">
        <is>
          <t>סט הזנה למשאבה, מדיקפרו, 1/30</t>
        </is>
      </c>
      <c r="C2947" t="inlineStr">
        <is>
          <t>ציוד מתכלה</t>
        </is>
      </c>
      <c r="D2947" t="inlineStr">
        <is>
          <t>500-038</t>
        </is>
      </c>
      <c r="E2947" t="inlineStr">
        <is>
          <t>2026-06</t>
        </is>
      </c>
      <c r="F2947" t="n">
        <v>88.98</v>
      </c>
      <c r="G2947" t="n">
        <v>105</v>
      </c>
      <c r="H2947">
        <f>הגדרות!B7</f>
        <v/>
      </c>
      <c r="I2947">
        <f>F2947*(1-H2947/100)*1.18</f>
        <v/>
      </c>
      <c r="J2947">
        <f>הגדרות!C7</f>
        <v/>
      </c>
      <c r="K2947">
        <f>הגדרות!D7</f>
        <v/>
      </c>
      <c r="L2947">
        <f>I2947*(1+J2947/100)+K2947</f>
        <v/>
      </c>
    </row>
    <row r="2948">
      <c r="A2948" t="inlineStr">
        <is>
          <t>מדי-מרקט</t>
        </is>
      </c>
      <c r="B2948" t="inlineStr">
        <is>
          <t>סט טיפים לסקיילר וודפקר G1*2 G2 G4 P1</t>
        </is>
      </c>
      <c r="C2948" t="inlineStr">
        <is>
          <t>דנטלי</t>
        </is>
      </c>
      <c r="D2948" t="inlineStr">
        <is>
          <t>10233</t>
        </is>
      </c>
      <c r="E2948" t="inlineStr">
        <is>
          <t>2026-06</t>
        </is>
      </c>
      <c r="F2948" t="n">
        <v>211.86</v>
      </c>
      <c r="G2948" t="n">
        <v>250</v>
      </c>
      <c r="H2948">
        <f>הגדרות!B7</f>
        <v/>
      </c>
      <c r="I2948">
        <f>F2948*(1-H2948/100)*1.18</f>
        <v/>
      </c>
      <c r="J2948">
        <f>הגדרות!C7</f>
        <v/>
      </c>
      <c r="K2948">
        <f>הגדרות!D7</f>
        <v/>
      </c>
      <c r="L2948">
        <f>I2948*(1+J2948/100)+K2948</f>
        <v/>
      </c>
    </row>
    <row r="2949">
      <c r="A2949" t="inlineStr">
        <is>
          <t>מדי-מרקט</t>
        </is>
      </c>
      <c r="B2949" t="inlineStr">
        <is>
          <t>סט להוצאת תפרים סטרילי, מדיקפרו</t>
        </is>
      </c>
      <c r="C2949" t="inlineStr">
        <is>
          <t>ציוד מתכלה</t>
        </is>
      </c>
      <c r="D2949" t="inlineStr">
        <is>
          <t>4041</t>
        </is>
      </c>
      <c r="E2949" t="inlineStr">
        <is>
          <t>2026-06</t>
        </is>
      </c>
      <c r="F2949" t="n">
        <v>1.4</v>
      </c>
      <c r="G2949" t="n">
        <v>1.65</v>
      </c>
      <c r="H2949">
        <f>הגדרות!B7</f>
        <v/>
      </c>
      <c r="I2949">
        <f>F2949*(1-H2949/100)*1.18</f>
        <v/>
      </c>
      <c r="J2949">
        <f>הגדרות!C7</f>
        <v/>
      </c>
      <c r="K2949">
        <f>הגדרות!D7</f>
        <v/>
      </c>
      <c r="L2949">
        <f>I2949*(1+J2949/100)+K2949</f>
        <v/>
      </c>
    </row>
    <row r="2950">
      <c r="A2950" t="inlineStr">
        <is>
          <t>מדי-מרקט</t>
        </is>
      </c>
      <c r="B2950" t="inlineStr">
        <is>
          <t>סט להחדרת קטטר ללא פד יוד -מדיקפרו</t>
        </is>
      </c>
      <c r="C2950" t="inlineStr">
        <is>
          <t>ציוד מתכלה</t>
        </is>
      </c>
      <c r="D2950" t="inlineStr">
        <is>
          <t>300-117</t>
        </is>
      </c>
      <c r="E2950" t="inlineStr">
        <is>
          <t>2026-06</t>
        </is>
      </c>
      <c r="F2950" t="n">
        <v>4.41</v>
      </c>
      <c r="G2950" t="n">
        <v>5.2</v>
      </c>
      <c r="H2950">
        <f>הגדרות!B7</f>
        <v/>
      </c>
      <c r="I2950">
        <f>F2950*(1-H2950/100)*1.18</f>
        <v/>
      </c>
      <c r="J2950">
        <f>הגדרות!C7</f>
        <v/>
      </c>
      <c r="K2950">
        <f>הגדרות!D7</f>
        <v/>
      </c>
      <c r="L2950">
        <f>I2950*(1+J2950/100)+K2950</f>
        <v/>
      </c>
    </row>
    <row r="2951">
      <c r="A2951" t="inlineStr">
        <is>
          <t>מדי-מרקט</t>
        </is>
      </c>
      <c r="B2951" t="inlineStr">
        <is>
          <t>סט להחלפת תחבושת עם משטח סטרילי ופינצטות מדיקפרו</t>
        </is>
      </c>
      <c r="C2951" t="inlineStr">
        <is>
          <t>ציוד מתכלה</t>
        </is>
      </c>
      <c r="D2951" t="inlineStr">
        <is>
          <t>M0134</t>
        </is>
      </c>
      <c r="E2951" t="inlineStr">
        <is>
          <t>2026-06</t>
        </is>
      </c>
      <c r="F2951" t="n">
        <v>2.18</v>
      </c>
      <c r="G2951" t="n">
        <v>2.57</v>
      </c>
      <c r="H2951">
        <f>הגדרות!B7</f>
        <v/>
      </c>
      <c r="I2951">
        <f>F2951*(1-H2951/100)*1.18</f>
        <v/>
      </c>
      <c r="J2951">
        <f>הגדרות!C7</f>
        <v/>
      </c>
      <c r="K2951">
        <f>הגדרות!D7</f>
        <v/>
      </c>
      <c r="L2951">
        <f>I2951*(1+J2951/100)+K2951</f>
        <v/>
      </c>
    </row>
    <row r="2952">
      <c r="A2952" t="inlineStr">
        <is>
          <t>מדי-מרקט</t>
        </is>
      </c>
      <c r="B2952" t="inlineStr">
        <is>
          <t>סט לעירוי Y כפול מדיקפרו</t>
        </is>
      </c>
      <c r="C2952" t="inlineStr">
        <is>
          <t>ציוד מתכלה</t>
        </is>
      </c>
      <c r="D2952" t="inlineStr">
        <is>
          <t>60-100</t>
        </is>
      </c>
      <c r="E2952" t="inlineStr">
        <is>
          <t>2026-06</t>
        </is>
      </c>
      <c r="F2952" t="n">
        <v>1.86</v>
      </c>
      <c r="G2952" t="n">
        <v>2.2</v>
      </c>
      <c r="H2952">
        <f>הגדרות!B7</f>
        <v/>
      </c>
      <c r="I2952">
        <f>F2952*(1-H2952/100)*1.18</f>
        <v/>
      </c>
      <c r="J2952">
        <f>הגדרות!C7</f>
        <v/>
      </c>
      <c r="K2952">
        <f>הגדרות!D7</f>
        <v/>
      </c>
      <c r="L2952">
        <f>I2952*(1+J2952/100)+K2952</f>
        <v/>
      </c>
    </row>
    <row r="2953">
      <c r="A2953" t="inlineStr">
        <is>
          <t>מדי-מרקט</t>
        </is>
      </c>
      <c r="B2953" t="inlineStr">
        <is>
          <t>סט לעירוי נוזלים + נק' אוויר, לואר-לוק, מדיקפרו 1יח'</t>
        </is>
      </c>
      <c r="C2953" t="inlineStr">
        <is>
          <t>ציוד מתכלה</t>
        </is>
      </c>
      <c r="D2953" t="inlineStr">
        <is>
          <t>300-001</t>
        </is>
      </c>
      <c r="E2953" t="inlineStr">
        <is>
          <t>2026-06</t>
        </is>
      </c>
      <c r="F2953" t="n">
        <v>0.42</v>
      </c>
      <c r="G2953" t="n">
        <v>0.5</v>
      </c>
      <c r="H2953">
        <f>הגדרות!B7</f>
        <v/>
      </c>
      <c r="I2953">
        <f>F2953*(1-H2953/100)*1.18</f>
        <v/>
      </c>
      <c r="J2953">
        <f>הגדרות!C7</f>
        <v/>
      </c>
      <c r="K2953">
        <f>הגדרות!D7</f>
        <v/>
      </c>
      <c r="L2953">
        <f>I2953*(1+J2953/100)+K2953</f>
        <v/>
      </c>
    </row>
    <row r="2954">
      <c r="A2954" t="inlineStr">
        <is>
          <t>מדי-מרקט</t>
        </is>
      </c>
      <c r="B2954" t="inlineStr">
        <is>
          <t>סט לעירוי נוזלים ללא פלש טיוב וללא AV, מדיקפרו</t>
        </is>
      </c>
      <c r="C2954" t="inlineStr">
        <is>
          <t>ציוד מתכלה</t>
        </is>
      </c>
      <c r="D2954" t="inlineStr">
        <is>
          <t>300-000</t>
        </is>
      </c>
      <c r="E2954" t="inlineStr">
        <is>
          <t>2026-06</t>
        </is>
      </c>
      <c r="F2954" t="n">
        <v>0.52</v>
      </c>
      <c r="G2954" t="n">
        <v>0.61</v>
      </c>
      <c r="H2954">
        <f>הגדרות!B7</f>
        <v/>
      </c>
      <c r="I2954">
        <f>F2954*(1-H2954/100)*1.18</f>
        <v/>
      </c>
      <c r="J2954">
        <f>הגדרות!C7</f>
        <v/>
      </c>
      <c r="K2954">
        <f>הגדרות!D7</f>
        <v/>
      </c>
      <c r="L2954">
        <f>I2954*(1+J2954/100)+K2954</f>
        <v/>
      </c>
    </row>
    <row r="2955">
      <c r="A2955" t="inlineStr">
        <is>
          <t>מדי-מרקט</t>
        </is>
      </c>
      <c r="B2955" t="inlineStr">
        <is>
          <t>סט לעירוי נוזלים מגדה מק"ט MG998708 MG</t>
        </is>
      </c>
      <c r="C2955" t="inlineStr">
        <is>
          <t>ציוד מתכלה</t>
        </is>
      </c>
      <c r="D2955" t="inlineStr">
        <is>
          <t>3260</t>
        </is>
      </c>
      <c r="E2955" t="inlineStr">
        <is>
          <t>2026-06</t>
        </is>
      </c>
      <c r="F2955" t="n">
        <v>6.68</v>
      </c>
      <c r="G2955" t="n">
        <v>7.88</v>
      </c>
      <c r="H2955">
        <f>הגדרות!B7</f>
        <v/>
      </c>
      <c r="I2955">
        <f>F2955*(1-H2955/100)*1.18</f>
        <v/>
      </c>
      <c r="J2955">
        <f>הגדרות!C7</f>
        <v/>
      </c>
      <c r="K2955">
        <f>הגדרות!D7</f>
        <v/>
      </c>
      <c r="L2955">
        <f>I2955*(1+J2955/100)+K2955</f>
        <v/>
      </c>
    </row>
    <row r="2956">
      <c r="A2956" t="inlineStr">
        <is>
          <t>מדי-מרקט</t>
        </is>
      </c>
      <c r="B2956" t="inlineStr">
        <is>
          <t>סט לעירוי רב תכלית לדם ונוזלים עם פילטר מדיקפרו 150 ס"מ 1יח</t>
        </is>
      </c>
      <c r="C2956" t="inlineStr">
        <is>
          <t>ציוד מתכלה</t>
        </is>
      </c>
      <c r="D2956" t="inlineStr">
        <is>
          <t>300-018</t>
        </is>
      </c>
      <c r="E2956" t="inlineStr">
        <is>
          <t>2026-06</t>
        </is>
      </c>
      <c r="F2956" t="n">
        <v>1.12</v>
      </c>
      <c r="G2956" t="n">
        <v>1.32</v>
      </c>
      <c r="H2956">
        <f>הגדרות!B7</f>
        <v/>
      </c>
      <c r="I2956">
        <f>F2956*(1-H2956/100)*1.18</f>
        <v/>
      </c>
      <c r="J2956">
        <f>הגדרות!C7</f>
        <v/>
      </c>
      <c r="K2956">
        <f>הגדרות!D7</f>
        <v/>
      </c>
      <c r="L2956">
        <f>I2956*(1+J2956/100)+K2956</f>
        <v/>
      </c>
    </row>
    <row r="2957">
      <c r="A2957" t="inlineStr">
        <is>
          <t>מדי-מרקט</t>
        </is>
      </c>
      <c r="B2957" t="inlineStr">
        <is>
          <t>סט לתפירה סטרילי, מדיקפרו</t>
        </is>
      </c>
      <c r="C2957" t="inlineStr">
        <is>
          <t>ציוד מתכלה</t>
        </is>
      </c>
      <c r="D2957" t="inlineStr">
        <is>
          <t>8721</t>
        </is>
      </c>
      <c r="E2957" t="inlineStr">
        <is>
          <t>2026-06</t>
        </is>
      </c>
      <c r="F2957" t="n">
        <v>9.65</v>
      </c>
      <c r="G2957" t="n">
        <v>11.39</v>
      </c>
      <c r="H2957">
        <f>הגדרות!B7</f>
        <v/>
      </c>
      <c r="I2957">
        <f>F2957*(1-H2957/100)*1.18</f>
        <v/>
      </c>
      <c r="J2957">
        <f>הגדרות!C7</f>
        <v/>
      </c>
      <c r="K2957">
        <f>הגדרות!D7</f>
        <v/>
      </c>
      <c r="L2957">
        <f>I2957*(1+J2957/100)+K2957</f>
        <v/>
      </c>
    </row>
    <row r="2958">
      <c r="A2958" t="inlineStr">
        <is>
          <t>מדי-מרקט</t>
        </is>
      </c>
      <c r="B2958" t="inlineStr">
        <is>
          <t>סט מברשות לפולישר בקופסא פרופי 100 יחידות</t>
        </is>
      </c>
      <c r="C2958" t="inlineStr">
        <is>
          <t>דנטלי</t>
        </is>
      </c>
      <c r="D2958" t="inlineStr">
        <is>
          <t>703696-4</t>
        </is>
      </c>
      <c r="E2958" t="inlineStr">
        <is>
          <t>2026-06</t>
        </is>
      </c>
      <c r="F2958" t="n">
        <v>211.86</v>
      </c>
      <c r="G2958" t="n">
        <v>250</v>
      </c>
      <c r="H2958">
        <f>הגדרות!B7</f>
        <v/>
      </c>
      <c r="I2958">
        <f>F2958*(1-H2958/100)*1.18</f>
        <v/>
      </c>
      <c r="J2958">
        <f>הגדרות!C7</f>
        <v/>
      </c>
      <c r="K2958">
        <f>הגדרות!D7</f>
        <v/>
      </c>
      <c r="L2958">
        <f>I2958*(1+J2958/100)+K2958</f>
        <v/>
      </c>
    </row>
    <row r="2959">
      <c r="A2959" t="inlineStr">
        <is>
          <t>מדי-מרקט</t>
        </is>
      </c>
      <c r="B2959" t="inlineStr">
        <is>
          <t>סט מחט פרפר 21G ירוק עם הולדר לואקוטיינר 100 X יח' מדיקפרו</t>
        </is>
      </c>
      <c r="C2959" t="inlineStr">
        <is>
          <t>מזרקים,מחטים,ונפלונים,סקלפלים</t>
        </is>
      </c>
      <c r="D2959" t="inlineStr">
        <is>
          <t>30761-1</t>
        </is>
      </c>
      <c r="E2959" t="inlineStr">
        <is>
          <t>2026-06</t>
        </is>
      </c>
      <c r="F2959" t="n">
        <v>36.44</v>
      </c>
      <c r="G2959" t="n">
        <v>43</v>
      </c>
      <c r="H2959">
        <f>הגדרות!B7</f>
        <v/>
      </c>
      <c r="I2959">
        <f>F2959*(1-H2959/100)*1.18</f>
        <v/>
      </c>
      <c r="J2959">
        <f>הגדרות!C7</f>
        <v/>
      </c>
      <c r="K2959">
        <f>הגדרות!D7</f>
        <v/>
      </c>
      <c r="L2959">
        <f>I2959*(1+J2959/100)+K2959</f>
        <v/>
      </c>
    </row>
    <row r="2960">
      <c r="A2960" t="inlineStr">
        <is>
          <t>מדי-מרקט</t>
        </is>
      </c>
      <c r="B2960" t="inlineStr">
        <is>
          <t>סט מחט פרפר 23G כחול עם הולדר לואקוטיינר 100 X יח' מדיקפרו</t>
        </is>
      </c>
      <c r="C2960" t="inlineStr">
        <is>
          <t>מזרקים,מחטים,ונפלונים,סקלפלים</t>
        </is>
      </c>
      <c r="D2960" t="inlineStr">
        <is>
          <t>30761</t>
        </is>
      </c>
      <c r="E2960" t="inlineStr">
        <is>
          <t>2026-06</t>
        </is>
      </c>
      <c r="F2960" t="n">
        <v>36.44</v>
      </c>
      <c r="G2960" t="n">
        <v>43</v>
      </c>
      <c r="H2960">
        <f>הגדרות!B7</f>
        <v/>
      </c>
      <c r="I2960">
        <f>F2960*(1-H2960/100)*1.18</f>
        <v/>
      </c>
      <c r="J2960">
        <f>הגדרות!C7</f>
        <v/>
      </c>
      <c r="K2960">
        <f>הגדרות!D7</f>
        <v/>
      </c>
      <c r="L2960">
        <f>I2960*(1+J2960/100)+K2960</f>
        <v/>
      </c>
    </row>
    <row r="2961">
      <c r="A2961" t="inlineStr">
        <is>
          <t>מדי-מרקט</t>
        </is>
      </c>
      <c r="B2961" t="inlineStr">
        <is>
          <t>סט ספקולום וטרינרי לאוטוסקופ 3 WLA22160 יח'</t>
        </is>
      </c>
      <c r="C2961" t="inlineStr">
        <is>
          <t>ציוד ומכשור רפואי</t>
        </is>
      </c>
      <c r="D2961" t="inlineStr">
        <is>
          <t>22160</t>
        </is>
      </c>
      <c r="E2961" t="inlineStr">
        <is>
          <t>2026-06</t>
        </is>
      </c>
      <c r="F2961" t="n">
        <v>135.59</v>
      </c>
      <c r="G2961" t="n">
        <v>160</v>
      </c>
      <c r="H2961">
        <f>הגדרות!B7</f>
        <v/>
      </c>
      <c r="I2961">
        <f>F2961*(1-H2961/100)*1.18</f>
        <v/>
      </c>
      <c r="J2961">
        <f>הגדרות!C7</f>
        <v/>
      </c>
      <c r="K2961">
        <f>הגדרות!D7</f>
        <v/>
      </c>
      <c r="L2961">
        <f>I2961*(1+J2961/100)+K2961</f>
        <v/>
      </c>
    </row>
    <row r="2962">
      <c r="A2962" t="inlineStr">
        <is>
          <t>מדי-מרקט</t>
        </is>
      </c>
      <c r="B2962" t="inlineStr">
        <is>
          <t>סט עיקור לחתולה 17 כלים מוזהבים</t>
        </is>
      </c>
      <c r="C2962" t="inlineStr">
        <is>
          <t>כלים כירורגיים</t>
        </is>
      </c>
      <c r="D2962" t="inlineStr">
        <is>
          <t>101283</t>
        </is>
      </c>
      <c r="E2962" t="inlineStr">
        <is>
          <t>2026-06</t>
        </is>
      </c>
      <c r="F2962" t="n">
        <v>331.71</v>
      </c>
      <c r="G2962" t="n">
        <v>391.42</v>
      </c>
      <c r="H2962">
        <f>הגדרות!B7</f>
        <v/>
      </c>
      <c r="I2962">
        <f>F2962*(1-H2962/100)*1.18</f>
        <v/>
      </c>
      <c r="J2962">
        <f>הגדרות!C7</f>
        <v/>
      </c>
      <c r="K2962">
        <f>הגדרות!D7</f>
        <v/>
      </c>
      <c r="L2962">
        <f>I2962*(1+J2962/100)+K2962</f>
        <v/>
      </c>
    </row>
    <row r="2963">
      <c r="A2963" t="inlineStr">
        <is>
          <t>מדי-מרקט</t>
        </is>
      </c>
      <c r="B2963" t="inlineStr">
        <is>
          <t>סטוקינט שרוול מבד 10 ס"מ  1 ק"ג 23 מטר</t>
        </is>
      </c>
      <c r="C2963" t="inlineStr">
        <is>
          <t>מוצרי חבישה ופלסטרים</t>
        </is>
      </c>
      <c r="D2963" t="inlineStr">
        <is>
          <t>4043</t>
        </is>
      </c>
      <c r="E2963" t="inlineStr">
        <is>
          <t>2026-06</t>
        </is>
      </c>
      <c r="F2963" t="n">
        <v>46.62</v>
      </c>
      <c r="G2963" t="n">
        <v>55.01</v>
      </c>
      <c r="H2963">
        <f>הגדרות!B7</f>
        <v/>
      </c>
      <c r="I2963">
        <f>F2963*(1-H2963/100)*1.18</f>
        <v/>
      </c>
      <c r="J2963">
        <f>הגדרות!C7</f>
        <v/>
      </c>
      <c r="K2963">
        <f>הגדרות!D7</f>
        <v/>
      </c>
      <c r="L2963">
        <f>I2963*(1+J2963/100)+K2963</f>
        <v/>
      </c>
    </row>
    <row r="2964">
      <c r="A2964" t="inlineStr">
        <is>
          <t>מדי-מרקט</t>
        </is>
      </c>
      <c r="B2964" t="inlineStr">
        <is>
          <t>סטוקינט שרוול מבד 12 ס"מ 1 ק"ג 42 מטר</t>
        </is>
      </c>
      <c r="C2964" t="inlineStr">
        <is>
          <t>מוצרי חבישה ופלסטרים</t>
        </is>
      </c>
      <c r="D2964" t="inlineStr">
        <is>
          <t>4048</t>
        </is>
      </c>
      <c r="E2964" t="inlineStr">
        <is>
          <t>2026-06</t>
        </is>
      </c>
      <c r="F2964" t="n">
        <v>48.24</v>
      </c>
      <c r="G2964" t="n">
        <v>56.92</v>
      </c>
      <c r="H2964">
        <f>הגדרות!B7</f>
        <v/>
      </c>
      <c r="I2964">
        <f>F2964*(1-H2964/100)*1.18</f>
        <v/>
      </c>
      <c r="J2964">
        <f>הגדרות!C7</f>
        <v/>
      </c>
      <c r="K2964">
        <f>הגדרות!D7</f>
        <v/>
      </c>
      <c r="L2964">
        <f>I2964*(1+J2964/100)+K2964</f>
        <v/>
      </c>
    </row>
    <row r="2965">
      <c r="A2965" t="inlineStr">
        <is>
          <t>מדי-מרקט</t>
        </is>
      </c>
      <c r="B2965" t="inlineStr">
        <is>
          <t>סטטוסקופ דמוי רפפורט 60 ס"מ, מדיקפרו</t>
        </is>
      </c>
      <c r="C2965" t="inlineStr">
        <is>
          <t>ציוד ומכשור רפואי</t>
        </is>
      </c>
      <c r="D2965" t="inlineStr">
        <is>
          <t>6016</t>
        </is>
      </c>
      <c r="E2965" t="inlineStr">
        <is>
          <t>2026-06</t>
        </is>
      </c>
      <c r="F2965" t="n">
        <v>24.58</v>
      </c>
      <c r="G2965" t="n">
        <v>29</v>
      </c>
      <c r="H2965">
        <f>הגדרות!B7</f>
        <v/>
      </c>
      <c r="I2965">
        <f>F2965*(1-H2965/100)*1.18</f>
        <v/>
      </c>
      <c r="J2965">
        <f>הגדרות!C7</f>
        <v/>
      </c>
      <c r="K2965">
        <f>הגדרות!D7</f>
        <v/>
      </c>
      <c r="L2965">
        <f>I2965*(1+J2965/100)+K2965</f>
        <v/>
      </c>
    </row>
    <row r="2966">
      <c r="A2966" t="inlineStr">
        <is>
          <t>מדי-מרקט</t>
        </is>
      </c>
      <c r="B2966" t="inlineStr">
        <is>
          <t>סטטוסקופ לאחות, צד אחד,  מדיקפרו</t>
        </is>
      </c>
      <c r="C2966" t="inlineStr">
        <is>
          <t>ציוד ומכשור רפואי</t>
        </is>
      </c>
      <c r="D2966" t="inlineStr">
        <is>
          <t>100-311</t>
        </is>
      </c>
      <c r="E2966" t="inlineStr">
        <is>
          <t>2026-06</t>
        </is>
      </c>
      <c r="F2966" t="n">
        <v>4.54</v>
      </c>
      <c r="G2966" t="n">
        <v>5.36</v>
      </c>
      <c r="H2966">
        <f>הגדרות!B7</f>
        <v/>
      </c>
      <c r="I2966">
        <f>F2966*(1-H2966/100)*1.18</f>
        <v/>
      </c>
      <c r="J2966">
        <f>הגדרות!C7</f>
        <v/>
      </c>
      <c r="K2966">
        <f>הגדרות!D7</f>
        <v/>
      </c>
      <c r="L2966">
        <f>I2966*(1+J2966/100)+K2966</f>
        <v/>
      </c>
    </row>
    <row r="2967">
      <c r="A2967" t="inlineStr">
        <is>
          <t>מדי-מרקט</t>
        </is>
      </c>
      <c r="B2967" t="inlineStr">
        <is>
          <t>סטטוסקופ ליטמן CLASSIC III</t>
        </is>
      </c>
      <c r="C2967" t="inlineStr">
        <is>
          <t>ציוד ומכשור רפואי</t>
        </is>
      </c>
      <c r="D2967" t="inlineStr">
        <is>
          <t>596850</t>
        </is>
      </c>
      <c r="E2967" t="inlineStr">
        <is>
          <t>2026-06</t>
        </is>
      </c>
      <c r="F2967" t="n">
        <v>415.25</v>
      </c>
      <c r="G2967" t="n">
        <v>490</v>
      </c>
      <c r="H2967">
        <f>הגדרות!B7</f>
        <v/>
      </c>
      <c r="I2967">
        <f>F2967*(1-H2967/100)*1.18</f>
        <v/>
      </c>
      <c r="J2967">
        <f>הגדרות!C7</f>
        <v/>
      </c>
      <c r="K2967">
        <f>הגדרות!D7</f>
        <v/>
      </c>
      <c r="L2967">
        <f>I2967*(1+J2967/100)+K2967</f>
        <v/>
      </c>
    </row>
    <row r="2968">
      <c r="A2968" t="inlineStr">
        <is>
          <t>מדי-מרקט</t>
        </is>
      </c>
      <c r="B2968" t="inlineStr">
        <is>
          <t>סטטוסקופ ליטמן מאסטר קרדיולוגי 0612</t>
        </is>
      </c>
      <c r="C2968" t="inlineStr">
        <is>
          <t>ציוד ומכשור רפואי</t>
        </is>
      </c>
      <c r="D2968" t="inlineStr">
        <is>
          <t>5057</t>
        </is>
      </c>
      <c r="E2968" t="inlineStr">
        <is>
          <t>2026-06</t>
        </is>
      </c>
      <c r="F2968" t="n">
        <v>1016.95</v>
      </c>
      <c r="G2968" t="n">
        <v>1200</v>
      </c>
      <c r="H2968">
        <f>הגדרות!B7</f>
        <v/>
      </c>
      <c r="I2968">
        <f>F2968*(1-H2968/100)*1.18</f>
        <v/>
      </c>
      <c r="J2968">
        <f>הגדרות!C7</f>
        <v/>
      </c>
      <c r="K2968">
        <f>הגדרות!D7</f>
        <v/>
      </c>
      <c r="L2968">
        <f>I2968*(1+J2968/100)+K2968</f>
        <v/>
      </c>
    </row>
    <row r="2969">
      <c r="A2969" t="inlineStr">
        <is>
          <t>מדי-מרקט</t>
        </is>
      </c>
      <c r="B2969" t="inlineStr">
        <is>
          <t>סטטוסקופ ליטמן פדיאטרי CLASSIC II PEDIATRIC</t>
        </is>
      </c>
      <c r="C2969" t="inlineStr">
        <is>
          <t>ציוד מתכלה</t>
        </is>
      </c>
      <c r="D2969" t="inlineStr">
        <is>
          <t>3504</t>
        </is>
      </c>
      <c r="E2969" t="inlineStr">
        <is>
          <t>2026-06</t>
        </is>
      </c>
      <c r="F2969" t="n">
        <v>472.88</v>
      </c>
      <c r="G2969" t="n">
        <v>558</v>
      </c>
      <c r="H2969">
        <f>הגדרות!B7</f>
        <v/>
      </c>
      <c r="I2969">
        <f>F2969*(1-H2969/100)*1.18</f>
        <v/>
      </c>
      <c r="J2969">
        <f>הגדרות!C7</f>
        <v/>
      </c>
      <c r="K2969">
        <f>הגדרות!D7</f>
        <v/>
      </c>
      <c r="L2969">
        <f>I2969*(1+J2969/100)+K2969</f>
        <v/>
      </c>
    </row>
    <row r="2970">
      <c r="A2970" t="inlineStr">
        <is>
          <t>מדי-מרקט</t>
        </is>
      </c>
      <c r="B2970" t="inlineStr">
        <is>
          <t>סטטוסקופ קרדיולוגי 4</t>
        </is>
      </c>
      <c r="C2970" t="inlineStr">
        <is>
          <t>ציוד ומכשור רפואי</t>
        </is>
      </c>
      <c r="D2970" t="inlineStr">
        <is>
          <t>5058</t>
        </is>
      </c>
      <c r="E2970" t="inlineStr">
        <is>
          <t>2026-06</t>
        </is>
      </c>
      <c r="F2970" t="n">
        <v>889.83</v>
      </c>
      <c r="G2970" t="n">
        <v>1050</v>
      </c>
      <c r="H2970">
        <f>הגדרות!B7</f>
        <v/>
      </c>
      <c r="I2970">
        <f>F2970*(1-H2970/100)*1.18</f>
        <v/>
      </c>
      <c r="J2970">
        <f>הגדרות!C7</f>
        <v/>
      </c>
      <c r="K2970">
        <f>הגדרות!D7</f>
        <v/>
      </c>
      <c r="L2970">
        <f>I2970*(1+J2970/100)+K2970</f>
        <v/>
      </c>
    </row>
    <row r="2971">
      <c r="A2971" t="inlineStr">
        <is>
          <t>מדי-מרקט</t>
        </is>
      </c>
      <c r="B2971" t="inlineStr">
        <is>
          <t>סטיקים לבדיקת שתן 10 פרמטרים 100 URIT יח</t>
        </is>
      </c>
      <c r="C2971" t="inlineStr">
        <is>
          <t>ציוד מתכלה</t>
        </is>
      </c>
      <c r="D2971" t="inlineStr">
        <is>
          <t>URIT-10V</t>
        </is>
      </c>
      <c r="E2971" t="inlineStr">
        <is>
          <t>2026-06</t>
        </is>
      </c>
      <c r="F2971" t="n">
        <v>17.81</v>
      </c>
      <c r="G2971" t="n">
        <v>21.01</v>
      </c>
      <c r="H2971">
        <f>הגדרות!B7</f>
        <v/>
      </c>
      <c r="I2971">
        <f>F2971*(1-H2971/100)*1.18</f>
        <v/>
      </c>
      <c r="J2971">
        <f>הגדרות!C7</f>
        <v/>
      </c>
      <c r="K2971">
        <f>הגדרות!D7</f>
        <v/>
      </c>
      <c r="L2971">
        <f>I2971*(1+J2971/100)+K2971</f>
        <v/>
      </c>
    </row>
    <row r="2972">
      <c r="A2972" t="inlineStr">
        <is>
          <t>מדי-מרקט</t>
        </is>
      </c>
      <c r="B2972" t="inlineStr">
        <is>
          <t>סטיקים לגלוקומטר ACCU-CHEK PERFORMA -50 STRIPS</t>
        </is>
      </c>
      <c r="C2972" t="inlineStr">
        <is>
          <t>ציוד מעבדתי</t>
        </is>
      </c>
      <c r="D2972" t="inlineStr">
        <is>
          <t>2020201445</t>
        </is>
      </c>
      <c r="E2972" t="inlineStr">
        <is>
          <t>2026-06</t>
        </is>
      </c>
      <c r="F2972" t="n">
        <v>55.08</v>
      </c>
      <c r="G2972" t="n">
        <v>65</v>
      </c>
      <c r="H2972">
        <f>הגדרות!B7</f>
        <v/>
      </c>
      <c r="I2972">
        <f>F2972*(1-H2972/100)*1.18</f>
        <v/>
      </c>
      <c r="J2972">
        <f>הגדרות!C7</f>
        <v/>
      </c>
      <c r="K2972">
        <f>הגדרות!D7</f>
        <v/>
      </c>
      <c r="L2972">
        <f>I2972*(1+J2972/100)+K2972</f>
        <v/>
      </c>
    </row>
    <row r="2973">
      <c r="A2973" t="inlineStr">
        <is>
          <t>מדי-מרקט</t>
        </is>
      </c>
      <c r="B2973" t="inlineStr">
        <is>
          <t>סטיקים לגלוקמטר אופטיום (גלוקוז) 50 יח' ל Freestyle Optium</t>
        </is>
      </c>
      <c r="C2973" t="inlineStr">
        <is>
          <t>ציוד מעבדתי</t>
        </is>
      </c>
      <c r="D2973" t="inlineStr">
        <is>
          <t>3237</t>
        </is>
      </c>
      <c r="E2973" t="inlineStr">
        <is>
          <t>2026-06</t>
        </is>
      </c>
      <c r="F2973" t="n">
        <v>67.8</v>
      </c>
      <c r="G2973" t="n">
        <v>80</v>
      </c>
      <c r="H2973">
        <f>הגדרות!B7</f>
        <v/>
      </c>
      <c r="I2973">
        <f>F2973*(1-H2973/100)*1.18</f>
        <v/>
      </c>
      <c r="J2973">
        <f>הגדרות!C7</f>
        <v/>
      </c>
      <c r="K2973">
        <f>הגדרות!D7</f>
        <v/>
      </c>
      <c r="L2973">
        <f>I2973*(1+J2973/100)+K2973</f>
        <v/>
      </c>
    </row>
    <row r="2974">
      <c r="A2974" t="inlineStr">
        <is>
          <t>מדי-מרקט</t>
        </is>
      </c>
      <c r="B2974" t="inlineStr">
        <is>
          <t>סטיקים למכשיר גלוקומטר פריסטיל פרידום לייט 50 יח</t>
        </is>
      </c>
      <c r="C2974" t="inlineStr">
        <is>
          <t>ציוד מתכלה</t>
        </is>
      </c>
      <c r="D2974" t="inlineStr">
        <is>
          <t>261620</t>
        </is>
      </c>
      <c r="E2974" t="inlineStr">
        <is>
          <t>2026-06</t>
        </is>
      </c>
      <c r="F2974" t="n">
        <v>109.75</v>
      </c>
      <c r="G2974" t="n">
        <v>129.5</v>
      </c>
      <c r="H2974">
        <f>הגדרות!B7</f>
        <v/>
      </c>
      <c r="I2974">
        <f>F2974*(1-H2974/100)*1.18</f>
        <v/>
      </c>
      <c r="J2974">
        <f>הגדרות!C7</f>
        <v/>
      </c>
      <c r="K2974">
        <f>הגדרות!D7</f>
        <v/>
      </c>
      <c r="L2974">
        <f>I2974*(1+J2974/100)+K2974</f>
        <v/>
      </c>
    </row>
    <row r="2975">
      <c r="A2975" t="inlineStr">
        <is>
          <t>מדי-מרקט</t>
        </is>
      </c>
      <c r="B2975" t="inlineStr">
        <is>
          <t>סטנדרט  Standart Gluc 3.3%+Chlor 0.3% 1000Ml Inj Bag</t>
        </is>
      </c>
      <c r="C2975" t="inlineStr">
        <is>
          <t>תרופות</t>
        </is>
      </c>
      <c r="D2975" t="inlineStr">
        <is>
          <t>152</t>
        </is>
      </c>
      <c r="E2975" t="inlineStr">
        <is>
          <t>2026-06</t>
        </is>
      </c>
      <c r="F2975" t="n">
        <v>12.71</v>
      </c>
      <c r="G2975" t="n">
        <v>15</v>
      </c>
      <c r="H2975">
        <f>הגדרות!B7</f>
        <v/>
      </c>
      <c r="I2975">
        <f>F2975*(1-H2975/100)*1.18</f>
        <v/>
      </c>
      <c r="J2975">
        <f>הגדרות!C7</f>
        <v/>
      </c>
      <c r="K2975">
        <f>הגדרות!D7</f>
        <v/>
      </c>
      <c r="L2975">
        <f>I2975*(1+J2975/100)+K2975</f>
        <v/>
      </c>
    </row>
    <row r="2976">
      <c r="A2976" t="inlineStr">
        <is>
          <t>מדי-מרקט</t>
        </is>
      </c>
      <c r="B2976" t="inlineStr">
        <is>
          <t>סטרי סטריפ 50/6 מעטפות מק"ט 1546 (כתום "1/4)</t>
        </is>
      </c>
      <c r="C2976" t="inlineStr">
        <is>
          <t>מוצרי חבישה ופלסטרים</t>
        </is>
      </c>
      <c r="D2976" t="inlineStr">
        <is>
          <t>4051</t>
        </is>
      </c>
      <c r="E2976" t="inlineStr">
        <is>
          <t>2026-06</t>
        </is>
      </c>
      <c r="F2976" t="n">
        <v>190.2</v>
      </c>
      <c r="G2976" t="n">
        <v>224.44</v>
      </c>
      <c r="H2976">
        <f>הגדרות!B7</f>
        <v/>
      </c>
      <c r="I2976">
        <f>F2976*(1-H2976/100)*1.18</f>
        <v/>
      </c>
      <c r="J2976">
        <f>הגדרות!C7</f>
        <v/>
      </c>
      <c r="K2976">
        <f>הגדרות!D7</f>
        <v/>
      </c>
      <c r="L2976">
        <f>I2976*(1+J2976/100)+K2976</f>
        <v/>
      </c>
    </row>
    <row r="2977">
      <c r="A2977" t="inlineStr">
        <is>
          <t>מדי-מרקט</t>
        </is>
      </c>
      <c r="B2977" t="inlineStr">
        <is>
          <t>סטרי סטריפ 50/6 מעטפות מק"ט 1547 (כחול "1/2)</t>
        </is>
      </c>
      <c r="C2977" t="inlineStr">
        <is>
          <t>מוצרי חבישה ופלסטרים</t>
        </is>
      </c>
      <c r="D2977" t="inlineStr">
        <is>
          <t>4053</t>
        </is>
      </c>
      <c r="E2977" t="inlineStr">
        <is>
          <t>2026-06</t>
        </is>
      </c>
      <c r="F2977" t="n">
        <v>185.97</v>
      </c>
      <c r="G2977" t="n">
        <v>219.45</v>
      </c>
      <c r="H2977">
        <f>הגדרות!B7</f>
        <v/>
      </c>
      <c r="I2977">
        <f>F2977*(1-H2977/100)*1.18</f>
        <v/>
      </c>
      <c r="J2977">
        <f>הגדרות!C7</f>
        <v/>
      </c>
      <c r="K2977">
        <f>הגדרות!D7</f>
        <v/>
      </c>
      <c r="L2977">
        <f>I2977*(1+J2977/100)+K2977</f>
        <v/>
      </c>
    </row>
    <row r="2978">
      <c r="A2978" t="inlineStr">
        <is>
          <t>מדי-מרקט</t>
        </is>
      </c>
      <c r="B2978" t="inlineStr">
        <is>
          <t>סטרייד פלוס לחתול(גלוקוזמין)160 מ"ל TRM</t>
        </is>
      </c>
      <c r="C2978" t="inlineStr">
        <is>
          <t>TRM</t>
        </is>
      </c>
      <c r="D2978" t="inlineStr">
        <is>
          <t>800-105</t>
        </is>
      </c>
      <c r="E2978" t="inlineStr">
        <is>
          <t>2026-06</t>
        </is>
      </c>
      <c r="F2978" t="n">
        <v>61.02</v>
      </c>
      <c r="G2978" t="n">
        <v>72</v>
      </c>
      <c r="H2978">
        <f>הגדרות!B7</f>
        <v/>
      </c>
      <c r="I2978">
        <f>F2978*(1-H2978/100)*1.18</f>
        <v/>
      </c>
      <c r="J2978">
        <f>הגדרות!C7</f>
        <v/>
      </c>
      <c r="K2978">
        <f>הגדרות!D7</f>
        <v/>
      </c>
      <c r="L2978">
        <f>I2978*(1+J2978/100)+K2978</f>
        <v/>
      </c>
    </row>
    <row r="2979">
      <c r="A2979" t="inlineStr">
        <is>
          <t>מדי-מרקט</t>
        </is>
      </c>
      <c r="B2979" t="inlineStr">
        <is>
          <t>סטרייד פלוס(גלוקוזמין)בתמיסה,500 מ"ל TRM</t>
        </is>
      </c>
      <c r="C2979" t="inlineStr">
        <is>
          <t>TRM</t>
        </is>
      </c>
      <c r="D2979" t="inlineStr">
        <is>
          <t>800-103</t>
        </is>
      </c>
      <c r="E2979" t="inlineStr">
        <is>
          <t>2026-06</t>
        </is>
      </c>
      <c r="F2979" t="n">
        <v>105.93</v>
      </c>
      <c r="G2979" t="n">
        <v>125</v>
      </c>
      <c r="H2979">
        <f>הגדרות!B7</f>
        <v/>
      </c>
      <c r="I2979">
        <f>F2979*(1-H2979/100)*1.18</f>
        <v/>
      </c>
      <c r="J2979">
        <f>הגדרות!C7</f>
        <v/>
      </c>
      <c r="K2979">
        <f>הגדרות!D7</f>
        <v/>
      </c>
      <c r="L2979">
        <f>I2979*(1+J2979/100)+K2979</f>
        <v/>
      </c>
    </row>
    <row r="2980">
      <c r="A2980" t="inlineStr">
        <is>
          <t>מדי-מרקט</t>
        </is>
      </c>
      <c r="B2980" t="inlineStr">
        <is>
          <t>סטריל ספט- לסטרליזצייה קרה 1 לי'(D ספט)</t>
        </is>
      </c>
      <c r="C2980" t="inlineStr">
        <is>
          <t>מוצרי חיטוי ואנטיספטיקה</t>
        </is>
      </c>
      <c r="D2980" t="inlineStr">
        <is>
          <t>2705</t>
        </is>
      </c>
      <c r="E2980" t="inlineStr">
        <is>
          <t>2026-06</t>
        </is>
      </c>
      <c r="F2980" t="n">
        <v>63.56</v>
      </c>
      <c r="G2980" t="n">
        <v>75</v>
      </c>
      <c r="H2980">
        <f>הגדרות!B7</f>
        <v/>
      </c>
      <c r="I2980">
        <f>F2980*(1-H2980/100)*1.18</f>
        <v/>
      </c>
      <c r="J2980">
        <f>הגדרות!C7</f>
        <v/>
      </c>
      <c r="K2980">
        <f>הגדרות!D7</f>
        <v/>
      </c>
      <c r="L2980">
        <f>I2980*(1+J2980/100)+K2980</f>
        <v/>
      </c>
    </row>
    <row r="2981">
      <c r="A2981" t="inlineStr">
        <is>
          <t>מדי-מרקט</t>
        </is>
      </c>
      <c r="B2981" t="inlineStr">
        <is>
          <t>סינר / חלוק עופרת 0.5 ממ"ק לרנטגן M.Y</t>
        </is>
      </c>
      <c r="C2981" t="inlineStr">
        <is>
          <t>הדמיה - רנטגן, CR , DR</t>
        </is>
      </c>
      <c r="D2981" t="inlineStr">
        <is>
          <t>1209</t>
        </is>
      </c>
      <c r="E2981" t="inlineStr">
        <is>
          <t>2026-06</t>
        </is>
      </c>
      <c r="F2981" t="n">
        <v>584.75</v>
      </c>
      <c r="G2981" t="n">
        <v>690</v>
      </c>
      <c r="H2981">
        <f>הגדרות!B7</f>
        <v/>
      </c>
      <c r="I2981">
        <f>F2981*(1-H2981/100)*1.18</f>
        <v/>
      </c>
      <c r="J2981">
        <f>הגדרות!C7</f>
        <v/>
      </c>
      <c r="K2981">
        <f>הגדרות!D7</f>
        <v/>
      </c>
      <c r="L2981">
        <f>I2981*(1+J2981/100)+K2981</f>
        <v/>
      </c>
    </row>
    <row r="2982">
      <c r="A2982" t="inlineStr">
        <is>
          <t>מדי-מרקט</t>
        </is>
      </c>
      <c r="B2982" t="inlineStr">
        <is>
          <t>סינר האכלה סקוטי 45X80 ס"מ עשוי בד ניתן לכביסה, מדיקפרו</t>
        </is>
      </c>
      <c r="C2982" t="inlineStr">
        <is>
          <t>ציוד מתכלה</t>
        </is>
      </c>
      <c r="D2982" t="inlineStr">
        <is>
          <t>45880</t>
        </is>
      </c>
      <c r="E2982" t="inlineStr">
        <is>
          <t>2026-06</t>
        </is>
      </c>
      <c r="F2982" t="n">
        <v>8.6</v>
      </c>
      <c r="G2982" t="n">
        <v>10.15</v>
      </c>
      <c r="H2982">
        <f>הגדרות!B7</f>
        <v/>
      </c>
      <c r="I2982">
        <f>F2982*(1-H2982/100)*1.18</f>
        <v/>
      </c>
      <c r="J2982">
        <f>הגדרות!C7</f>
        <v/>
      </c>
      <c r="K2982">
        <f>הגדרות!D7</f>
        <v/>
      </c>
      <c r="L2982">
        <f>I2982*(1+J2982/100)+K2982</f>
        <v/>
      </c>
    </row>
    <row r="2983">
      <c r="A2983" t="inlineStr">
        <is>
          <t>מדי-מרקט</t>
        </is>
      </c>
      <c r="B2983" t="inlineStr">
        <is>
          <t>סינר למטופל, 1,000 יחידות (10X100) מצופה 60X40 ס"מ מדיקפרו</t>
        </is>
      </c>
      <c r="C2983" t="inlineStr">
        <is>
          <t>ציוד מתכלה</t>
        </is>
      </c>
      <c r="D2983" t="inlineStr">
        <is>
          <t>3221-1</t>
        </is>
      </c>
      <c r="E2983" t="inlineStr">
        <is>
          <t>2026-06</t>
        </is>
      </c>
      <c r="F2983" t="n">
        <v>83.05</v>
      </c>
      <c r="G2983" t="n">
        <v>98</v>
      </c>
      <c r="H2983">
        <f>הגדרות!B7</f>
        <v/>
      </c>
      <c r="I2983">
        <f>F2983*(1-H2983/100)*1.18</f>
        <v/>
      </c>
      <c r="J2983">
        <f>הגדרות!C7</f>
        <v/>
      </c>
      <c r="K2983">
        <f>הגדרות!D7</f>
        <v/>
      </c>
      <c r="L2983">
        <f>I2983*(1+J2983/100)+K2983</f>
        <v/>
      </c>
    </row>
    <row r="2984">
      <c r="A2984" t="inlineStr">
        <is>
          <t>מדי-מרקט</t>
        </is>
      </c>
      <c r="B2984" t="inlineStr">
        <is>
          <t>סינר ניילון חד פעמי 25 מיקרון 100 יח' 110X70 ס"מ,מדיקפרו</t>
        </is>
      </c>
      <c r="C2984" t="inlineStr">
        <is>
          <t>ציוד מתכלה</t>
        </is>
      </c>
      <c r="D2984" t="inlineStr">
        <is>
          <t>368</t>
        </is>
      </c>
      <c r="E2984" t="inlineStr">
        <is>
          <t>2026-06</t>
        </is>
      </c>
      <c r="F2984" t="n">
        <v>17.46</v>
      </c>
      <c r="G2984" t="n">
        <v>20.6</v>
      </c>
      <c r="H2984">
        <f>הגדרות!B7</f>
        <v/>
      </c>
      <c r="I2984">
        <f>F2984*(1-H2984/100)*1.18</f>
        <v/>
      </c>
      <c r="J2984">
        <f>הגדרות!C7</f>
        <v/>
      </c>
      <c r="K2984">
        <f>הגדרות!D7</f>
        <v/>
      </c>
      <c r="L2984">
        <f>I2984*(1+J2984/100)+K2984</f>
        <v/>
      </c>
    </row>
    <row r="2985">
      <c r="A2985" t="inlineStr">
        <is>
          <t>מדי-מרקט</t>
        </is>
      </c>
      <c r="B2985" t="inlineStr">
        <is>
          <t>סכין ניתוח 10 סואן מורטון 100 יח'</t>
        </is>
      </c>
      <c r="C2985" t="inlineStr">
        <is>
          <t>מזרקים,מחטים,ונפלונים,סקלפלים</t>
        </is>
      </c>
      <c r="D2985" t="inlineStr">
        <is>
          <t>3456</t>
        </is>
      </c>
      <c r="E2985" t="inlineStr">
        <is>
          <t>2026-06</t>
        </is>
      </c>
      <c r="F2985" t="n">
        <v>82.37</v>
      </c>
      <c r="G2985" t="n">
        <v>97.2</v>
      </c>
      <c r="H2985">
        <f>הגדרות!B7</f>
        <v/>
      </c>
      <c r="I2985">
        <f>F2985*(1-H2985/100)*1.18</f>
        <v/>
      </c>
      <c r="J2985">
        <f>הגדרות!C7</f>
        <v/>
      </c>
      <c r="K2985">
        <f>הגדרות!D7</f>
        <v/>
      </c>
      <c r="L2985">
        <f>I2985*(1+J2985/100)+K2985</f>
        <v/>
      </c>
    </row>
    <row r="2986">
      <c r="A2986" t="inlineStr">
        <is>
          <t>מדי-מרקט</t>
        </is>
      </c>
      <c r="B2986" t="inlineStr">
        <is>
          <t>סכין ניתוח 15 סואן מורטון 100 יח'</t>
        </is>
      </c>
      <c r="C2986" t="inlineStr">
        <is>
          <t>מזרקים,מחטים,ונפלונים,סקלפלים</t>
        </is>
      </c>
      <c r="D2986" t="inlineStr">
        <is>
          <t>3456-15</t>
        </is>
      </c>
      <c r="E2986" t="inlineStr">
        <is>
          <t>2026-06</t>
        </is>
      </c>
      <c r="F2986" t="n">
        <v>72.88</v>
      </c>
      <c r="G2986" t="n">
        <v>86</v>
      </c>
      <c r="H2986">
        <f>הגדרות!B7</f>
        <v/>
      </c>
      <c r="I2986">
        <f>F2986*(1-H2986/100)*1.18</f>
        <v/>
      </c>
      <c r="J2986">
        <f>הגדרות!C7</f>
        <v/>
      </c>
      <c r="K2986">
        <f>הגדרות!D7</f>
        <v/>
      </c>
      <c r="L2986">
        <f>I2986*(1+J2986/100)+K2986</f>
        <v/>
      </c>
    </row>
    <row r="2987">
      <c r="A2987" t="inlineStr">
        <is>
          <t>מדי-מרקט</t>
        </is>
      </c>
      <c r="B2987" t="inlineStr">
        <is>
          <t>סכין ניתוח קרבון סטיל 10 1/100 פרמאונט</t>
        </is>
      </c>
      <c r="C2987" t="inlineStr">
        <is>
          <t>ציוד מתכלה</t>
        </is>
      </c>
      <c r="D2987" t="inlineStr">
        <is>
          <t>500-014</t>
        </is>
      </c>
      <c r="E2987" t="inlineStr">
        <is>
          <t>2026-06</t>
        </is>
      </c>
      <c r="F2987" t="n">
        <v>15.36</v>
      </c>
      <c r="G2987" t="n">
        <v>18.12</v>
      </c>
      <c r="H2987">
        <f>הגדרות!B7</f>
        <v/>
      </c>
      <c r="I2987">
        <f>F2987*(1-H2987/100)*1.18</f>
        <v/>
      </c>
      <c r="J2987">
        <f>הגדרות!C7</f>
        <v/>
      </c>
      <c r="K2987">
        <f>הגדרות!D7</f>
        <v/>
      </c>
      <c r="L2987">
        <f>I2987*(1+J2987/100)+K2987</f>
        <v/>
      </c>
    </row>
    <row r="2988">
      <c r="A2988" t="inlineStr">
        <is>
          <t>מדי-מרקט</t>
        </is>
      </c>
      <c r="B2988" t="inlineStr">
        <is>
          <t>סכין ניתוח קרבון סטיל 11 1/100 פרמאונט</t>
        </is>
      </c>
      <c r="C2988" t="inlineStr">
        <is>
          <t>ציוד מתכלה</t>
        </is>
      </c>
      <c r="D2988" t="inlineStr">
        <is>
          <t>500-411</t>
        </is>
      </c>
      <c r="E2988" t="inlineStr">
        <is>
          <t>2026-06</t>
        </is>
      </c>
      <c r="F2988" t="n">
        <v>15.36</v>
      </c>
      <c r="G2988" t="n">
        <v>18.12</v>
      </c>
      <c r="H2988">
        <f>הגדרות!B7</f>
        <v/>
      </c>
      <c r="I2988">
        <f>F2988*(1-H2988/100)*1.18</f>
        <v/>
      </c>
      <c r="J2988">
        <f>הגדרות!C7</f>
        <v/>
      </c>
      <c r="K2988">
        <f>הגדרות!D7</f>
        <v/>
      </c>
      <c r="L2988">
        <f>I2988*(1+J2988/100)+K2988</f>
        <v/>
      </c>
    </row>
    <row r="2989">
      <c r="A2989" t="inlineStr">
        <is>
          <t>מדי-מרקט</t>
        </is>
      </c>
      <c r="B2989" t="inlineStr">
        <is>
          <t>סכין ניתוח קרבון סטיל 12 1/100 פרמאונט *להוצאת תפרים*</t>
        </is>
      </c>
      <c r="C2989" t="inlineStr">
        <is>
          <t>ציוד מתכלה</t>
        </is>
      </c>
      <c r="D2989" t="inlineStr">
        <is>
          <t>500-414</t>
        </is>
      </c>
      <c r="E2989" t="inlineStr">
        <is>
          <t>2026-06</t>
        </is>
      </c>
      <c r="F2989" t="n">
        <v>15.36</v>
      </c>
      <c r="G2989" t="n">
        <v>18.12</v>
      </c>
      <c r="H2989">
        <f>הגדרות!B7</f>
        <v/>
      </c>
      <c r="I2989">
        <f>F2989*(1-H2989/100)*1.18</f>
        <v/>
      </c>
      <c r="J2989">
        <f>הגדרות!C7</f>
        <v/>
      </c>
      <c r="K2989">
        <f>הגדרות!D7</f>
        <v/>
      </c>
      <c r="L2989">
        <f>I2989*(1+J2989/100)+K2989</f>
        <v/>
      </c>
    </row>
    <row r="2990">
      <c r="A2990" t="inlineStr">
        <is>
          <t>מדי-מרקט</t>
        </is>
      </c>
      <c r="B2990" t="inlineStr">
        <is>
          <t>סכין ניתוח קרבון סטיל 15 1/100 פרמאונט</t>
        </is>
      </c>
      <c r="C2990" t="inlineStr">
        <is>
          <t>ציוד מתכלה</t>
        </is>
      </c>
      <c r="D2990" t="inlineStr">
        <is>
          <t>500-015</t>
        </is>
      </c>
      <c r="E2990" t="inlineStr">
        <is>
          <t>2026-06</t>
        </is>
      </c>
      <c r="F2990" t="n">
        <v>15.36</v>
      </c>
      <c r="G2990" t="n">
        <v>18.12</v>
      </c>
      <c r="H2990">
        <f>הגדרות!B7</f>
        <v/>
      </c>
      <c r="I2990">
        <f>F2990*(1-H2990/100)*1.18</f>
        <v/>
      </c>
      <c r="J2990">
        <f>הגדרות!C7</f>
        <v/>
      </c>
      <c r="K2990">
        <f>הגדרות!D7</f>
        <v/>
      </c>
      <c r="L2990">
        <f>I2990*(1+J2990/100)+K2990</f>
        <v/>
      </c>
    </row>
    <row r="2991">
      <c r="A2991" t="inlineStr">
        <is>
          <t>מדי-מרקט</t>
        </is>
      </c>
      <c r="B2991" t="inlineStr">
        <is>
          <t>סכין ניתוח קרבון סטיל 20 1/100 פרמאונט</t>
        </is>
      </c>
      <c r="C2991" t="inlineStr">
        <is>
          <t>ציוד מתכלה</t>
        </is>
      </c>
      <c r="D2991" t="inlineStr">
        <is>
          <t>500-412</t>
        </is>
      </c>
      <c r="E2991" t="inlineStr">
        <is>
          <t>2026-06</t>
        </is>
      </c>
      <c r="F2991" t="n">
        <v>15.36</v>
      </c>
      <c r="G2991" t="n">
        <v>18.12</v>
      </c>
      <c r="H2991">
        <f>הגדרות!B7</f>
        <v/>
      </c>
      <c r="I2991">
        <f>F2991*(1-H2991/100)*1.18</f>
        <v/>
      </c>
      <c r="J2991">
        <f>הגדרות!C7</f>
        <v/>
      </c>
      <c r="K2991">
        <f>הגדרות!D7</f>
        <v/>
      </c>
      <c r="L2991">
        <f>I2991*(1+J2991/100)+K2991</f>
        <v/>
      </c>
    </row>
    <row r="2992">
      <c r="A2992" t="inlineStr">
        <is>
          <t>מדי-מרקט</t>
        </is>
      </c>
      <c r="B2992" t="inlineStr">
        <is>
          <t>סכין ניתוח קרבון סטיל 21 1/100 פרמאונט</t>
        </is>
      </c>
      <c r="C2992" t="inlineStr">
        <is>
          <t>ציוד מתכלה</t>
        </is>
      </c>
      <c r="D2992" t="inlineStr">
        <is>
          <t>500-413</t>
        </is>
      </c>
      <c r="E2992" t="inlineStr">
        <is>
          <t>2026-06</t>
        </is>
      </c>
      <c r="F2992" t="n">
        <v>14.35</v>
      </c>
      <c r="G2992" t="n">
        <v>16.93</v>
      </c>
      <c r="H2992">
        <f>הגדרות!B7</f>
        <v/>
      </c>
      <c r="I2992">
        <f>F2992*(1-H2992/100)*1.18</f>
        <v/>
      </c>
      <c r="J2992">
        <f>הגדרות!C7</f>
        <v/>
      </c>
      <c r="K2992">
        <f>הגדרות!D7</f>
        <v/>
      </c>
      <c r="L2992">
        <f>I2992*(1+J2992/100)+K2992</f>
        <v/>
      </c>
    </row>
    <row r="2993">
      <c r="A2993" t="inlineStr">
        <is>
          <t>מדי-מרקט</t>
        </is>
      </c>
      <c r="B2993" t="inlineStr">
        <is>
          <t>סכין ניתוח קרבון סטיל 22 1/100 פרמאונט</t>
        </is>
      </c>
      <c r="C2993" t="inlineStr">
        <is>
          <t>ציוד מתכלה</t>
        </is>
      </c>
      <c r="D2993" t="inlineStr">
        <is>
          <t>500-410</t>
        </is>
      </c>
      <c r="E2993" t="inlineStr">
        <is>
          <t>2026-06</t>
        </is>
      </c>
      <c r="F2993" t="n">
        <v>15.36</v>
      </c>
      <c r="G2993" t="n">
        <v>18.12</v>
      </c>
      <c r="H2993">
        <f>הגדרות!B7</f>
        <v/>
      </c>
      <c r="I2993">
        <f>F2993*(1-H2993/100)*1.18</f>
        <v/>
      </c>
      <c r="J2993">
        <f>הגדרות!C7</f>
        <v/>
      </c>
      <c r="K2993">
        <f>הגדרות!D7</f>
        <v/>
      </c>
      <c r="L2993">
        <f>I2993*(1+J2993/100)+K2993</f>
        <v/>
      </c>
    </row>
    <row r="2994">
      <c r="A2994" t="inlineStr">
        <is>
          <t>מדי-מרקט</t>
        </is>
      </c>
      <c r="B2994" t="inlineStr">
        <is>
          <t>סכין+ ידית פלסטיק 1/10 גודל 10 פרמאונט</t>
        </is>
      </c>
      <c r="C2994" t="inlineStr">
        <is>
          <t>מזרקים,מחטים,ונפלונים,סקלפלים</t>
        </is>
      </c>
      <c r="D2994" t="inlineStr">
        <is>
          <t>500-425</t>
        </is>
      </c>
      <c r="E2994" t="inlineStr">
        <is>
          <t>2026-06</t>
        </is>
      </c>
      <c r="F2994" t="n">
        <v>5.4</v>
      </c>
      <c r="G2994" t="n">
        <v>6.37</v>
      </c>
      <c r="H2994">
        <f>הגדרות!B7</f>
        <v/>
      </c>
      <c r="I2994">
        <f>F2994*(1-H2994/100)*1.18</f>
        <v/>
      </c>
      <c r="J2994">
        <f>הגדרות!C7</f>
        <v/>
      </c>
      <c r="K2994">
        <f>הגדרות!D7</f>
        <v/>
      </c>
      <c r="L2994">
        <f>I2994*(1+J2994/100)+K2994</f>
        <v/>
      </c>
    </row>
    <row r="2995">
      <c r="A2995" t="inlineStr">
        <is>
          <t>מדי-מרקט</t>
        </is>
      </c>
      <c r="B2995" t="inlineStr">
        <is>
          <t>סכין+ ידית פלסטיק 1/10 גודל 11 פרמאונט</t>
        </is>
      </c>
      <c r="C2995" t="inlineStr">
        <is>
          <t>מזרקים,מחטים,ונפלונים,סקלפלים</t>
        </is>
      </c>
      <c r="D2995" t="inlineStr">
        <is>
          <t>500-426</t>
        </is>
      </c>
      <c r="E2995" t="inlineStr">
        <is>
          <t>2026-06</t>
        </is>
      </c>
      <c r="F2995" t="n">
        <v>5.4</v>
      </c>
      <c r="G2995" t="n">
        <v>6.37</v>
      </c>
      <c r="H2995">
        <f>הגדרות!B7</f>
        <v/>
      </c>
      <c r="I2995">
        <f>F2995*(1-H2995/100)*1.18</f>
        <v/>
      </c>
      <c r="J2995">
        <f>הגדרות!C7</f>
        <v/>
      </c>
      <c r="K2995">
        <f>הגדרות!D7</f>
        <v/>
      </c>
      <c r="L2995">
        <f>I2995*(1+J2995/100)+K2995</f>
        <v/>
      </c>
    </row>
    <row r="2996">
      <c r="A2996" t="inlineStr">
        <is>
          <t>מדי-מרקט</t>
        </is>
      </c>
      <c r="B2996" t="inlineStr">
        <is>
          <t>סכין+ ידית פלסטיק 1/10 גודל 12 פרמאונט</t>
        </is>
      </c>
      <c r="C2996" t="inlineStr">
        <is>
          <t>מזרקים,מחטים,ונפלונים,סקלפלים</t>
        </is>
      </c>
      <c r="D2996" t="inlineStr">
        <is>
          <t>500-428</t>
        </is>
      </c>
      <c r="E2996" t="inlineStr">
        <is>
          <t>2026-06</t>
        </is>
      </c>
      <c r="F2996" t="n">
        <v>6.36</v>
      </c>
      <c r="G2996" t="n">
        <v>7.5</v>
      </c>
      <c r="H2996">
        <f>הגדרות!B7</f>
        <v/>
      </c>
      <c r="I2996">
        <f>F2996*(1-H2996/100)*1.18</f>
        <v/>
      </c>
      <c r="J2996">
        <f>הגדרות!C7</f>
        <v/>
      </c>
      <c r="K2996">
        <f>הגדרות!D7</f>
        <v/>
      </c>
      <c r="L2996">
        <f>I2996*(1+J2996/100)+K2996</f>
        <v/>
      </c>
    </row>
    <row r="2997">
      <c r="A2997" t="inlineStr">
        <is>
          <t>מדי-מרקט</t>
        </is>
      </c>
      <c r="B2997" t="inlineStr">
        <is>
          <t>סכין+ ידית פלסטיק 1/10 גודל 15 פרמאונט</t>
        </is>
      </c>
      <c r="C2997" t="inlineStr">
        <is>
          <t>מזרקים,מחטים,ונפלונים,סקלפלים</t>
        </is>
      </c>
      <c r="D2997" t="inlineStr">
        <is>
          <t>500-427</t>
        </is>
      </c>
      <c r="E2997" t="inlineStr">
        <is>
          <t>2026-06</t>
        </is>
      </c>
      <c r="F2997" t="n">
        <v>6.36</v>
      </c>
      <c r="G2997" t="n">
        <v>7.5</v>
      </c>
      <c r="H2997">
        <f>הגדרות!B7</f>
        <v/>
      </c>
      <c r="I2997">
        <f>F2997*(1-H2997/100)*1.18</f>
        <v/>
      </c>
      <c r="J2997">
        <f>הגדרות!C7</f>
        <v/>
      </c>
      <c r="K2997">
        <f>הגדרות!D7</f>
        <v/>
      </c>
      <c r="L2997">
        <f>I2997*(1+J2997/100)+K2997</f>
        <v/>
      </c>
    </row>
    <row r="2998">
      <c r="A2998" t="inlineStr">
        <is>
          <t>מדי-מרקט</t>
        </is>
      </c>
      <c r="B2998" t="inlineStr">
        <is>
          <t>סליין -  SOD.CHLORIDE 0.9% 250ML INJ Bag</t>
        </is>
      </c>
      <c r="C2998" t="inlineStr">
        <is>
          <t>תמיסות לעירוי ושטיפה</t>
        </is>
      </c>
      <c r="D2998" t="inlineStr">
        <is>
          <t>1051</t>
        </is>
      </c>
      <c r="E2998" t="inlineStr">
        <is>
          <t>2026-06</t>
        </is>
      </c>
      <c r="F2998" t="n">
        <v>9.32</v>
      </c>
      <c r="G2998" t="n">
        <v>11</v>
      </c>
      <c r="H2998">
        <f>הגדרות!B7</f>
        <v/>
      </c>
      <c r="I2998">
        <f>F2998*(1-H2998/100)*1.18</f>
        <v/>
      </c>
      <c r="J2998">
        <f>הגדרות!C7</f>
        <v/>
      </c>
      <c r="K2998">
        <f>הגדרות!D7</f>
        <v/>
      </c>
      <c r="L2998">
        <f>I2998*(1+J2998/100)+K2998</f>
        <v/>
      </c>
    </row>
    <row r="2999">
      <c r="A2999" t="inlineStr">
        <is>
          <t>מדי-מרקט</t>
        </is>
      </c>
      <c r="B2999" t="inlineStr">
        <is>
          <t>סליין - SOD.CHLORIDE 0.9% 100ML INJ Bag</t>
        </is>
      </c>
      <c r="C2999" t="inlineStr">
        <is>
          <t>תמיסות לעירוי ושטיפה</t>
        </is>
      </c>
      <c r="D2999" t="inlineStr">
        <is>
          <t>3429</t>
        </is>
      </c>
      <c r="E2999" t="inlineStr">
        <is>
          <t>2026-06</t>
        </is>
      </c>
      <c r="F2999" t="n">
        <v>5.56</v>
      </c>
      <c r="G2999" t="n">
        <v>6.56</v>
      </c>
      <c r="H2999">
        <f>הגדרות!B7</f>
        <v/>
      </c>
      <c r="I2999">
        <f>F2999*(1-H2999/100)*1.18</f>
        <v/>
      </c>
      <c r="J2999">
        <f>הגדרות!C7</f>
        <v/>
      </c>
      <c r="K2999">
        <f>הגדרות!D7</f>
        <v/>
      </c>
      <c r="L2999">
        <f>I2999*(1+J2999/100)+K2999</f>
        <v/>
      </c>
    </row>
    <row r="3000">
      <c r="A3000" t="inlineStr">
        <is>
          <t>מדי-מרקט</t>
        </is>
      </c>
      <c r="B3000" t="inlineStr">
        <is>
          <t>סליין 29ג' -  SOD.CHLORIDE 0.45% 500ML INJ Bag</t>
        </is>
      </c>
      <c r="C3000" t="inlineStr">
        <is>
          <t>29 יבוא תרופות הומניות חו"ל</t>
        </is>
      </c>
      <c r="D3000" t="inlineStr">
        <is>
          <t>13131</t>
        </is>
      </c>
      <c r="E3000" t="inlineStr">
        <is>
          <t>2026-06</t>
        </is>
      </c>
      <c r="F3000" t="n">
        <v>8.31</v>
      </c>
      <c r="G3000" t="n">
        <v>9.800000000000001</v>
      </c>
      <c r="H3000">
        <f>הגדרות!B7</f>
        <v/>
      </c>
      <c r="I3000">
        <f>F3000*(1-H3000/100)*1.18</f>
        <v/>
      </c>
      <c r="J3000">
        <f>הגדרות!C7</f>
        <v/>
      </c>
      <c r="K3000">
        <f>הגדרות!D7</f>
        <v/>
      </c>
      <c r="L3000">
        <f>I3000*(1+J3000/100)+K3000</f>
        <v/>
      </c>
    </row>
    <row r="3001">
      <c r="A3001" t="inlineStr">
        <is>
          <t>מדי-מרקט</t>
        </is>
      </c>
      <c r="B3001" t="inlineStr">
        <is>
          <t>סליין Sodium Chloride 0.9% 10Ml for Injectio Bottle X100</t>
        </is>
      </c>
      <c r="C3001" t="inlineStr">
        <is>
          <t>תמיסות לעירוי ושטיפה</t>
        </is>
      </c>
      <c r="D3001" t="inlineStr">
        <is>
          <t>3438-3</t>
        </is>
      </c>
      <c r="E3001" t="inlineStr">
        <is>
          <t>2026-06</t>
        </is>
      </c>
      <c r="F3001" t="n">
        <v>72.03</v>
      </c>
      <c r="G3001" t="n">
        <v>85</v>
      </c>
      <c r="H3001">
        <f>הגדרות!B7</f>
        <v/>
      </c>
      <c r="I3001">
        <f>F3001*(1-H3001/100)*1.18</f>
        <v/>
      </c>
      <c r="J3001">
        <f>הגדרות!C7</f>
        <v/>
      </c>
      <c r="K3001">
        <f>הגדרות!D7</f>
        <v/>
      </c>
      <c r="L3001">
        <f>I3001*(1+J3001/100)+K3001</f>
        <v/>
      </c>
    </row>
    <row r="3002">
      <c r="A3002" t="inlineStr">
        <is>
          <t>מדי-מרקט</t>
        </is>
      </c>
      <c r="B3002" t="inlineStr">
        <is>
          <t>סלסלה לעגלה</t>
        </is>
      </c>
      <c r="C3002" t="inlineStr">
        <is>
          <t>ציוד ומכשור רפואי</t>
        </is>
      </c>
      <c r="D3002" t="inlineStr">
        <is>
          <t>96320</t>
        </is>
      </c>
      <c r="E3002" t="inlineStr">
        <is>
          <t>2026-06</t>
        </is>
      </c>
      <c r="F3002" t="n">
        <v>162.71</v>
      </c>
      <c r="G3002" t="n">
        <v>192</v>
      </c>
      <c r="H3002">
        <f>הגדרות!B7</f>
        <v/>
      </c>
      <c r="I3002">
        <f>F3002*(1-H3002/100)*1.18</f>
        <v/>
      </c>
      <c r="J3002">
        <f>הגדרות!C7</f>
        <v/>
      </c>
      <c r="K3002">
        <f>הגדרות!D7</f>
        <v/>
      </c>
      <c r="L3002">
        <f>I3002*(1+J3002/100)+K3002</f>
        <v/>
      </c>
    </row>
    <row r="3003">
      <c r="A3003" t="inlineStr">
        <is>
          <t>מדי-מרקט</t>
        </is>
      </c>
      <c r="B3003" t="inlineStr">
        <is>
          <t>סנסור למצלמת רנטגן ניידת LK-C62</t>
        </is>
      </c>
      <c r="C3003" t="inlineStr">
        <is>
          <t>הדמיה - רנטגן, CR , DR</t>
        </is>
      </c>
      <c r="D3003" t="inlineStr">
        <is>
          <t>LK-C62</t>
        </is>
      </c>
      <c r="E3003" t="inlineStr">
        <is>
          <t>2026-06</t>
        </is>
      </c>
      <c r="F3003" t="n">
        <v>10084.75</v>
      </c>
      <c r="G3003" t="n">
        <v>11900</v>
      </c>
      <c r="H3003">
        <f>הגדרות!B7</f>
        <v/>
      </c>
      <c r="I3003">
        <f>F3003*(1-H3003/100)*1.18</f>
        <v/>
      </c>
      <c r="J3003">
        <f>הגדרות!C7</f>
        <v/>
      </c>
      <c r="K3003">
        <f>הגדרות!D7</f>
        <v/>
      </c>
      <c r="L3003">
        <f>I3003*(1+J3003/100)+K3003</f>
        <v/>
      </c>
    </row>
    <row r="3004">
      <c r="A3004" t="inlineStr">
        <is>
          <t>מדי-מרקט</t>
        </is>
      </c>
      <c r="B3004" t="inlineStr">
        <is>
          <t>ספוגיות רחצה 18*18 ס"מ , עובי 3 מ"מ , 1000 יח'</t>
        </is>
      </c>
      <c r="C3004" t="inlineStr">
        <is>
          <t>ציוד מתכלה</t>
        </is>
      </c>
      <c r="D3004" t="inlineStr">
        <is>
          <t>2010</t>
        </is>
      </c>
      <c r="E3004" t="inlineStr">
        <is>
          <t>2026-06</t>
        </is>
      </c>
      <c r="F3004" t="n">
        <v>45.93</v>
      </c>
      <c r="G3004" t="n">
        <v>54.2</v>
      </c>
      <c r="H3004">
        <f>הגדרות!B7</f>
        <v/>
      </c>
      <c r="I3004">
        <f>F3004*(1-H3004/100)*1.18</f>
        <v/>
      </c>
      <c r="J3004">
        <f>הגדרות!C7</f>
        <v/>
      </c>
      <c r="K3004">
        <f>הגדרות!D7</f>
        <v/>
      </c>
      <c r="L3004">
        <f>I3004*(1+J3004/100)+K3004</f>
        <v/>
      </c>
    </row>
    <row r="3005">
      <c r="A3005" t="inlineStr">
        <is>
          <t>מדי-מרקט</t>
        </is>
      </c>
      <c r="B3005" t="inlineStr">
        <is>
          <t>ספק כוח לבוכנה לשולחן ניתוחים</t>
        </is>
      </c>
      <c r="C3005" t="inlineStr">
        <is>
          <t>אביזרים, חלקים ושונות</t>
        </is>
      </c>
      <c r="D3005" t="inlineStr">
        <is>
          <t>RM-SA01</t>
        </is>
      </c>
      <c r="E3005" t="inlineStr">
        <is>
          <t>2026-06</t>
        </is>
      </c>
      <c r="F3005" t="n">
        <v>291.86</v>
      </c>
      <c r="G3005" t="n">
        <v>344.4</v>
      </c>
      <c r="H3005">
        <f>הגדרות!B7</f>
        <v/>
      </c>
      <c r="I3005">
        <f>F3005*(1-H3005/100)*1.18</f>
        <v/>
      </c>
      <c r="J3005">
        <f>הגדרות!C7</f>
        <v/>
      </c>
      <c r="K3005">
        <f>הגדרות!D7</f>
        <v/>
      </c>
      <c r="L3005">
        <f>I3005*(1+J3005/100)+K3005</f>
        <v/>
      </c>
    </row>
    <row r="3006">
      <c r="A3006" t="inlineStr">
        <is>
          <t>מדי-מרקט</t>
        </is>
      </c>
      <c r="B3006" t="inlineStr">
        <is>
          <t>ספקולום וגינאלי ח.פ. L  סטר' הברגה</t>
        </is>
      </c>
      <c r="C3006" t="inlineStr">
        <is>
          <t>ציוד מתכלה</t>
        </is>
      </c>
      <c r="D3006" t="inlineStr">
        <is>
          <t>9014</t>
        </is>
      </c>
      <c r="E3006" t="inlineStr">
        <is>
          <t>2026-06</t>
        </is>
      </c>
      <c r="F3006" t="n">
        <v>1.23</v>
      </c>
      <c r="G3006" t="n">
        <v>1.45</v>
      </c>
      <c r="H3006">
        <f>הגדרות!B7</f>
        <v/>
      </c>
      <c r="I3006">
        <f>F3006*(1-H3006/100)*1.18</f>
        <v/>
      </c>
      <c r="J3006">
        <f>הגדרות!C7</f>
        <v/>
      </c>
      <c r="K3006">
        <f>הגדרות!D7</f>
        <v/>
      </c>
      <c r="L3006">
        <f>I3006*(1+J3006/100)+K3006</f>
        <v/>
      </c>
    </row>
    <row r="3007">
      <c r="A3007" t="inlineStr">
        <is>
          <t>מדי-מרקט</t>
        </is>
      </c>
      <c r="B3007" t="inlineStr">
        <is>
          <t>ספקולום וגינאלי ח.פ. S  סטר' הברגה</t>
        </is>
      </c>
      <c r="C3007" t="inlineStr">
        <is>
          <t>ציוד מתכלה</t>
        </is>
      </c>
      <c r="D3007" t="inlineStr">
        <is>
          <t>9012</t>
        </is>
      </c>
      <c r="E3007" t="inlineStr">
        <is>
          <t>2026-06</t>
        </is>
      </c>
      <c r="F3007" t="n">
        <v>0.9399999999999999</v>
      </c>
      <c r="G3007" t="n">
        <v>1.11</v>
      </c>
      <c r="H3007">
        <f>הגדרות!B7</f>
        <v/>
      </c>
      <c r="I3007">
        <f>F3007*(1-H3007/100)*1.18</f>
        <v/>
      </c>
      <c r="J3007">
        <f>הגדרות!C7</f>
        <v/>
      </c>
      <c r="K3007">
        <f>הגדרות!D7</f>
        <v/>
      </c>
      <c r="L3007">
        <f>I3007*(1+J3007/100)+K3007</f>
        <v/>
      </c>
    </row>
    <row r="3008">
      <c r="A3008" t="inlineStr">
        <is>
          <t>מדי-מרקט</t>
        </is>
      </c>
      <c r="B3008" t="inlineStr">
        <is>
          <t>ספקולום וגינלי ח.פ. M סטר' בהברגה איטלקי</t>
        </is>
      </c>
      <c r="C3008" t="inlineStr">
        <is>
          <t>ציוד מתכלה</t>
        </is>
      </c>
      <c r="D3008" t="inlineStr">
        <is>
          <t>9013</t>
        </is>
      </c>
      <c r="E3008" t="inlineStr">
        <is>
          <t>2026-06</t>
        </is>
      </c>
      <c r="F3008" t="n">
        <v>2.84</v>
      </c>
      <c r="G3008" t="n">
        <v>3.35</v>
      </c>
      <c r="H3008">
        <f>הגדרות!B7</f>
        <v/>
      </c>
      <c r="I3008">
        <f>F3008*(1-H3008/100)*1.18</f>
        <v/>
      </c>
      <c r="J3008">
        <f>הגדרות!C7</f>
        <v/>
      </c>
      <c r="K3008">
        <f>הגדרות!D7</f>
        <v/>
      </c>
      <c r="L3008">
        <f>I3008*(1+J3008/100)+K3008</f>
        <v/>
      </c>
    </row>
    <row r="3009">
      <c r="A3009" t="inlineStr">
        <is>
          <t>מדי-מרקט</t>
        </is>
      </c>
      <c r="B3009" t="inlineStr">
        <is>
          <t>ספקולום לאוטוסקופ ח"פ לאוזן גודל 4.2 מ"מ 850 יח', מדיקפרו</t>
        </is>
      </c>
      <c r="C3009" t="inlineStr">
        <is>
          <t>ציוד מתכלה</t>
        </is>
      </c>
      <c r="D3009" t="inlineStr">
        <is>
          <t>68549855</t>
        </is>
      </c>
      <c r="E3009" t="inlineStr">
        <is>
          <t>2026-06</t>
        </is>
      </c>
      <c r="F3009" t="n">
        <v>165.25</v>
      </c>
      <c r="G3009" t="n">
        <v>195</v>
      </c>
      <c r="H3009">
        <f>הגדרות!B7</f>
        <v/>
      </c>
      <c r="I3009">
        <f>F3009*(1-H3009/100)*1.18</f>
        <v/>
      </c>
      <c r="J3009">
        <f>הגדרות!C7</f>
        <v/>
      </c>
      <c r="K3009">
        <f>הגדרות!D7</f>
        <v/>
      </c>
      <c r="L3009">
        <f>I3009*(1+J3009/100)+K3009</f>
        <v/>
      </c>
    </row>
    <row r="3010">
      <c r="A3010" t="inlineStr">
        <is>
          <t>מדי-מרקט</t>
        </is>
      </c>
      <c r="B3010" t="inlineStr">
        <is>
          <t>ספקולום לאוטוסקופ לאוזן ילד 850 יח' 2.75 מ"מ, מדיקפרו</t>
        </is>
      </c>
      <c r="C3010" t="inlineStr">
        <is>
          <t>ציוד מתכלה</t>
        </is>
      </c>
      <c r="D3010" t="inlineStr">
        <is>
          <t>52432</t>
        </is>
      </c>
      <c r="E3010" t="inlineStr">
        <is>
          <t>2026-06</t>
        </is>
      </c>
      <c r="F3010" t="n">
        <v>148.31</v>
      </c>
      <c r="G3010" t="n">
        <v>175</v>
      </c>
      <c r="H3010">
        <f>הגדרות!B7</f>
        <v/>
      </c>
      <c r="I3010">
        <f>F3010*(1-H3010/100)*1.18</f>
        <v/>
      </c>
      <c r="J3010">
        <f>הגדרות!C7</f>
        <v/>
      </c>
      <c r="K3010">
        <f>הגדרות!D7</f>
        <v/>
      </c>
      <c r="L3010">
        <f>I3010*(1+J3010/100)+K3010</f>
        <v/>
      </c>
    </row>
    <row r="3011">
      <c r="A3011" t="inlineStr">
        <is>
          <t>מדי-מרקט</t>
        </is>
      </c>
      <c r="B3011" t="inlineStr">
        <is>
          <t>סקשן אסקיר חשמלי+שעון 40 ל/ד MS-30 קמי איטליה</t>
        </is>
      </c>
      <c r="C3011" t="inlineStr">
        <is>
          <t>ציוד ומכשור רפואי</t>
        </is>
      </c>
      <c r="D3011" t="inlineStr">
        <is>
          <t>330565</t>
        </is>
      </c>
      <c r="E3011" t="inlineStr">
        <is>
          <t>2026-06</t>
        </is>
      </c>
      <c r="F3011" t="n">
        <v>771.1900000000001</v>
      </c>
      <c r="G3011" t="n">
        <v>910</v>
      </c>
      <c r="H3011">
        <f>הגדרות!B7</f>
        <v/>
      </c>
      <c r="I3011">
        <f>F3011*(1-H3011/100)*1.18</f>
        <v/>
      </c>
      <c r="J3011">
        <f>הגדרות!C7</f>
        <v/>
      </c>
      <c r="K3011">
        <f>הגדרות!D7</f>
        <v/>
      </c>
      <c r="L3011">
        <f>I3011*(1+J3011/100)+K3011</f>
        <v/>
      </c>
    </row>
    <row r="3012">
      <c r="A3012" t="inlineStr">
        <is>
          <t>מדי-מרקט</t>
        </is>
      </c>
      <c r="B3012" t="inlineStr">
        <is>
          <t>סרבל בב"א 42 גרם + כובע XL צבע לבן</t>
        </is>
      </c>
      <c r="C3012" t="inlineStr">
        <is>
          <t>ביגוד ח.פ. ורב פעמי</t>
        </is>
      </c>
      <c r="D3012" t="inlineStr">
        <is>
          <t>393</t>
        </is>
      </c>
      <c r="E3012" t="inlineStr">
        <is>
          <t>2026-06</t>
        </is>
      </c>
      <c r="F3012" t="n">
        <v>7.2</v>
      </c>
      <c r="G3012" t="n">
        <v>8.5</v>
      </c>
      <c r="H3012">
        <f>הגדרות!B7</f>
        <v/>
      </c>
      <c r="I3012">
        <f>F3012*(1-H3012/100)*1.18</f>
        <v/>
      </c>
      <c r="J3012">
        <f>הגדרות!C7</f>
        <v/>
      </c>
      <c r="K3012">
        <f>הגדרות!D7</f>
        <v/>
      </c>
      <c r="L3012">
        <f>I3012*(1+J3012/100)+K3012</f>
        <v/>
      </c>
    </row>
    <row r="3013">
      <c r="A3013" t="inlineStr">
        <is>
          <t>מדי-מרקט</t>
        </is>
      </c>
      <c r="B3013" t="inlineStr">
        <is>
          <t>סרגל ברסלאוו</t>
        </is>
      </c>
      <c r="C3013" t="inlineStr">
        <is>
          <t>ציוד מתכלה</t>
        </is>
      </c>
      <c r="D3013" t="inlineStr">
        <is>
          <t>4316</t>
        </is>
      </c>
      <c r="E3013" t="inlineStr">
        <is>
          <t>2026-06</t>
        </is>
      </c>
      <c r="F3013" t="n">
        <v>160.17</v>
      </c>
      <c r="G3013" t="n">
        <v>189</v>
      </c>
      <c r="H3013">
        <f>הגדרות!B7</f>
        <v/>
      </c>
      <c r="I3013">
        <f>F3013*(1-H3013/100)*1.18</f>
        <v/>
      </c>
      <c r="J3013">
        <f>הגדרות!C7</f>
        <v/>
      </c>
      <c r="K3013">
        <f>הגדרות!D7</f>
        <v/>
      </c>
      <c r="L3013">
        <f>I3013*(1+J3013/100)+K3013</f>
        <v/>
      </c>
    </row>
    <row r="3014">
      <c r="A3014" t="inlineStr">
        <is>
          <t>מדי-מרקט</t>
        </is>
      </c>
      <c r="B3014" t="inlineStr">
        <is>
          <t>סרט סימון לאוטוקלאב 50מ'*1.9ס"מ, מדיקפרו</t>
        </is>
      </c>
      <c r="C3014" t="inlineStr">
        <is>
          <t>ציוד לסטרליזציה</t>
        </is>
      </c>
      <c r="D3014" t="inlineStr">
        <is>
          <t>300-105</t>
        </is>
      </c>
      <c r="E3014" t="inlineStr">
        <is>
          <t>2026-06</t>
        </is>
      </c>
      <c r="F3014" t="n">
        <v>6.67</v>
      </c>
      <c r="G3014" t="n">
        <v>7.87</v>
      </c>
      <c r="H3014">
        <f>הגדרות!B7</f>
        <v/>
      </c>
      <c r="I3014">
        <f>F3014*(1-H3014/100)*1.18</f>
        <v/>
      </c>
      <c r="J3014">
        <f>הגדרות!C7</f>
        <v/>
      </c>
      <c r="K3014">
        <f>הגדרות!D7</f>
        <v/>
      </c>
      <c r="L3014">
        <f>I3014*(1+J3014/100)+K3014</f>
        <v/>
      </c>
    </row>
    <row r="3015">
      <c r="A3015" t="inlineStr">
        <is>
          <t>מדי-מרקט</t>
        </is>
      </c>
      <c r="B3015" t="inlineStr">
        <is>
          <t>עגלה ייעודית לאולטרסאונד Deluxe Sonobook TR-20</t>
        </is>
      </c>
      <c r="C3015" t="inlineStr">
        <is>
          <t>אולטרסאונד</t>
        </is>
      </c>
      <c r="D3015" t="inlineStr">
        <is>
          <t>69013</t>
        </is>
      </c>
      <c r="E3015" t="inlineStr">
        <is>
          <t>2026-06</t>
        </is>
      </c>
      <c r="F3015" t="n">
        <v>6864.41</v>
      </c>
      <c r="G3015" t="n">
        <v>8100</v>
      </c>
      <c r="H3015">
        <f>הגדרות!B7</f>
        <v/>
      </c>
      <c r="I3015">
        <f>F3015*(1-H3015/100)*1.18</f>
        <v/>
      </c>
      <c r="J3015">
        <f>הגדרות!C7</f>
        <v/>
      </c>
      <c r="K3015">
        <f>הגדרות!D7</f>
        <v/>
      </c>
      <c r="L3015">
        <f>I3015*(1+J3015/100)+K3015</f>
        <v/>
      </c>
    </row>
    <row r="3016">
      <c r="A3016" t="inlineStr">
        <is>
          <t>מדי-מרקט</t>
        </is>
      </c>
      <c r="B3016" t="inlineStr">
        <is>
          <t>עגלה ייעודית לאולטרסאונד SONO AIR 70</t>
        </is>
      </c>
      <c r="C3016" t="inlineStr">
        <is>
          <t>אולטרסאונד</t>
        </is>
      </c>
      <c r="D3016" t="inlineStr">
        <is>
          <t>10393</t>
        </is>
      </c>
      <c r="E3016" t="inlineStr">
        <is>
          <t>2026-06</t>
        </is>
      </c>
      <c r="F3016" t="n">
        <v>7627.12</v>
      </c>
      <c r="G3016" t="n">
        <v>9000</v>
      </c>
      <c r="H3016">
        <f>הגדרות!B7</f>
        <v/>
      </c>
      <c r="I3016">
        <f>F3016*(1-H3016/100)*1.18</f>
        <v/>
      </c>
      <c r="J3016">
        <f>הגדרות!C7</f>
        <v/>
      </c>
      <c r="K3016">
        <f>הגדרות!D7</f>
        <v/>
      </c>
      <c r="L3016">
        <f>I3016*(1+J3016/100)+K3016</f>
        <v/>
      </c>
    </row>
    <row r="3017">
      <c r="A3017" t="inlineStr">
        <is>
          <t>מדי-מרקט</t>
        </is>
      </c>
      <c r="B3017" t="inlineStr">
        <is>
          <t>עגלה יעודית למכונת הרדמה עם סלסלה</t>
        </is>
      </c>
      <c r="C3017" t="inlineStr">
        <is>
          <t>עירוי הרדמה והנשמה</t>
        </is>
      </c>
      <c r="D3017" t="inlineStr">
        <is>
          <t>225567</t>
        </is>
      </c>
      <c r="E3017" t="inlineStr">
        <is>
          <t>2026-06</t>
        </is>
      </c>
      <c r="F3017" t="n">
        <v>381.36</v>
      </c>
      <c r="G3017" t="n">
        <v>450</v>
      </c>
      <c r="H3017">
        <f>הגדרות!B7</f>
        <v/>
      </c>
      <c r="I3017">
        <f>F3017*(1-H3017/100)*1.18</f>
        <v/>
      </c>
      <c r="J3017">
        <f>הגדרות!C7</f>
        <v/>
      </c>
      <c r="K3017">
        <f>הגדרות!D7</f>
        <v/>
      </c>
      <c r="L3017">
        <f>I3017*(1+J3017/100)+K3017</f>
        <v/>
      </c>
    </row>
    <row r="3018">
      <c r="A3018" t="inlineStr">
        <is>
          <t>מדי-מרקט</t>
        </is>
      </c>
      <c r="B3018" t="inlineStr">
        <is>
          <t>עגלה לבלון חמצן 10 ליטר</t>
        </is>
      </c>
      <c r="C3018" t="inlineStr">
        <is>
          <t>ציוד ומכשור רפואי</t>
        </is>
      </c>
      <c r="D3018" t="inlineStr">
        <is>
          <t>22558</t>
        </is>
      </c>
      <c r="E3018" t="inlineStr">
        <is>
          <t>2026-06</t>
        </is>
      </c>
      <c r="F3018" t="n">
        <v>932.2</v>
      </c>
      <c r="G3018" t="n">
        <v>1100</v>
      </c>
      <c r="H3018">
        <f>הגדרות!B7</f>
        <v/>
      </c>
      <c r="I3018">
        <f>F3018*(1-H3018/100)*1.18</f>
        <v/>
      </c>
      <c r="J3018">
        <f>הגדרות!C7</f>
        <v/>
      </c>
      <c r="K3018">
        <f>הגדרות!D7</f>
        <v/>
      </c>
      <c r="L3018">
        <f>I3018*(1+J3018/100)+K3018</f>
        <v/>
      </c>
    </row>
    <row r="3019">
      <c r="A3019" t="inlineStr">
        <is>
          <t>מדי-מרקט</t>
        </is>
      </c>
      <c r="B3019" t="inlineStr">
        <is>
          <t>עגלה למוניטור דגם EDAN-X10</t>
        </is>
      </c>
      <c r="C3019" t="inlineStr">
        <is>
          <t>ציוד ומכשור רפואי</t>
        </is>
      </c>
      <c r="D3019" t="inlineStr">
        <is>
          <t>EDAN-X10XX</t>
        </is>
      </c>
      <c r="E3019" t="inlineStr">
        <is>
          <t>2026-06</t>
        </is>
      </c>
      <c r="F3019" t="n">
        <v>1059.32</v>
      </c>
      <c r="G3019" t="n">
        <v>1250</v>
      </c>
      <c r="H3019">
        <f>הגדרות!B7</f>
        <v/>
      </c>
      <c r="I3019">
        <f>F3019*(1-H3019/100)*1.18</f>
        <v/>
      </c>
      <c r="J3019">
        <f>הגדרות!C7</f>
        <v/>
      </c>
      <c r="K3019">
        <f>הגדרות!D7</f>
        <v/>
      </c>
      <c r="L3019">
        <f>I3019*(1+J3019/100)+K3019</f>
        <v/>
      </c>
    </row>
    <row r="3020">
      <c r="A3020" t="inlineStr">
        <is>
          <t>מדי-מרקט</t>
        </is>
      </c>
      <c r="B3020" t="inlineStr">
        <is>
          <t>עגלות תיקים  20 תאים</t>
        </is>
      </c>
      <c r="C3020" t="inlineStr">
        <is>
          <t>ציוד ומכשור רפואי</t>
        </is>
      </c>
      <c r="D3020" t="inlineStr">
        <is>
          <t>10877</t>
        </is>
      </c>
      <c r="E3020" t="inlineStr">
        <is>
          <t>2026-06</t>
        </is>
      </c>
      <c r="F3020" t="n">
        <v>2796.61</v>
      </c>
      <c r="G3020" t="n">
        <v>3300</v>
      </c>
      <c r="H3020">
        <f>הגדרות!B7</f>
        <v/>
      </c>
      <c r="I3020">
        <f>F3020*(1-H3020/100)*1.18</f>
        <v/>
      </c>
      <c r="J3020">
        <f>הגדרות!C7</f>
        <v/>
      </c>
      <c r="K3020">
        <f>הגדרות!D7</f>
        <v/>
      </c>
      <c r="L3020">
        <f>I3020*(1+J3020/100)+K3020</f>
        <v/>
      </c>
    </row>
    <row r="3021">
      <c r="A3021" t="inlineStr">
        <is>
          <t>מדי-מרקט</t>
        </is>
      </c>
      <c r="B3021" t="inlineStr">
        <is>
          <t>עגלת טיפולים דו צדדית 40 * 105 *103 ס"מ</t>
        </is>
      </c>
      <c r="C3021" t="inlineStr">
        <is>
          <t>ציוד ומכשור רפואי</t>
        </is>
      </c>
      <c r="D3021" t="inlineStr">
        <is>
          <t>10706</t>
        </is>
      </c>
      <c r="E3021" t="inlineStr">
        <is>
          <t>2026-06</t>
        </is>
      </c>
      <c r="F3021" t="n">
        <v>1830.51</v>
      </c>
      <c r="G3021" t="n">
        <v>2160</v>
      </c>
      <c r="H3021">
        <f>הגדרות!B7</f>
        <v/>
      </c>
      <c r="I3021">
        <f>F3021*(1-H3021/100)*1.18</f>
        <v/>
      </c>
      <c r="J3021">
        <f>הגדרות!C7</f>
        <v/>
      </c>
      <c r="K3021">
        <f>הגדרות!D7</f>
        <v/>
      </c>
      <c r="L3021">
        <f>I3021*(1+J3021/100)+K3021</f>
        <v/>
      </c>
    </row>
    <row r="3022">
      <c r="A3022" t="inlineStr">
        <is>
          <t>מדי-מרקט</t>
        </is>
      </c>
      <c r="B3022" t="inlineStr">
        <is>
          <t>עגלת תרופות 36 מגירות + נעילה מרכזית</t>
        </is>
      </c>
      <c r="C3022" t="inlineStr">
        <is>
          <t>ציוד ומכשור רפואי</t>
        </is>
      </c>
      <c r="D3022" t="inlineStr">
        <is>
          <t>5645</t>
        </is>
      </c>
      <c r="E3022" t="inlineStr">
        <is>
          <t>2026-06</t>
        </is>
      </c>
      <c r="F3022" t="n">
        <v>3217.8</v>
      </c>
      <c r="G3022" t="n">
        <v>3797</v>
      </c>
      <c r="H3022">
        <f>הגדרות!B7</f>
        <v/>
      </c>
      <c r="I3022">
        <f>F3022*(1-H3022/100)*1.18</f>
        <v/>
      </c>
      <c r="J3022">
        <f>הגדרות!C7</f>
        <v/>
      </c>
      <c r="K3022">
        <f>הגדרות!D7</f>
        <v/>
      </c>
      <c r="L3022">
        <f>I3022*(1+J3022/100)+K3022</f>
        <v/>
      </c>
    </row>
    <row r="3023">
      <c r="A3023" t="inlineStr">
        <is>
          <t>מדי-מרקט</t>
        </is>
      </c>
      <c r="B3023" t="inlineStr">
        <is>
          <t>עדשה למיקרוסקופ M.Y 40 X</t>
        </is>
      </c>
      <c r="C3023" t="inlineStr">
        <is>
          <t>מיקרוסקופים</t>
        </is>
      </c>
      <c r="D3023" t="inlineStr">
        <is>
          <t>1008040</t>
        </is>
      </c>
      <c r="E3023" t="inlineStr">
        <is>
          <t>2026-06</t>
        </is>
      </c>
      <c r="F3023" t="n">
        <v>381.36</v>
      </c>
      <c r="G3023" t="n">
        <v>450</v>
      </c>
      <c r="H3023">
        <f>הגדרות!B7</f>
        <v/>
      </c>
      <c r="I3023">
        <f>F3023*(1-H3023/100)*1.18</f>
        <v/>
      </c>
      <c r="J3023">
        <f>הגדרות!C7</f>
        <v/>
      </c>
      <c r="K3023">
        <f>הגדרות!D7</f>
        <v/>
      </c>
      <c r="L3023">
        <f>I3023*(1+J3023/100)+K3023</f>
        <v/>
      </c>
    </row>
    <row r="3024">
      <c r="A3024" t="inlineStr">
        <is>
          <t>מדי-מרקט</t>
        </is>
      </c>
      <c r="B3024" t="inlineStr">
        <is>
          <t>עופרת לחדר רנטגן 1 ק"ג</t>
        </is>
      </c>
      <c r="C3024" t="inlineStr">
        <is>
          <t>הדמיה - רנטגן, CR , DR</t>
        </is>
      </c>
      <c r="D3024" t="inlineStr">
        <is>
          <t>65806</t>
        </is>
      </c>
      <c r="E3024" t="inlineStr">
        <is>
          <t>2026-06</t>
        </is>
      </c>
      <c r="F3024" t="n">
        <v>27.67</v>
      </c>
      <c r="G3024" t="n">
        <v>32.65</v>
      </c>
      <c r="H3024">
        <f>הגדרות!B7</f>
        <v/>
      </c>
      <c r="I3024">
        <f>F3024*(1-H3024/100)*1.18</f>
        <v/>
      </c>
      <c r="J3024">
        <f>הגדרות!C7</f>
        <v/>
      </c>
      <c r="K3024">
        <f>הגדרות!D7</f>
        <v/>
      </c>
      <c r="L3024">
        <f>I3024*(1+J3024/100)+K3024</f>
        <v/>
      </c>
    </row>
    <row r="3025">
      <c r="A3025" t="inlineStr">
        <is>
          <t>מדי-מרקט</t>
        </is>
      </c>
      <c r="B3025" t="inlineStr">
        <is>
          <t>עוצרי דימום 10X10X10 מ"מ 50 יח' ספוגיות בצבע לבן Gel-Sponge</t>
        </is>
      </c>
      <c r="C3025" t="inlineStr">
        <is>
          <t>מוצרי חבישה ופלסטרים</t>
        </is>
      </c>
      <c r="D3025" t="inlineStr">
        <is>
          <t>50-111</t>
        </is>
      </c>
      <c r="E3025" t="inlineStr">
        <is>
          <t>2026-06</t>
        </is>
      </c>
      <c r="F3025" t="n">
        <v>72.03</v>
      </c>
      <c r="G3025" t="n">
        <v>85</v>
      </c>
      <c r="H3025">
        <f>הגדרות!B7</f>
        <v/>
      </c>
      <c r="I3025">
        <f>F3025*(1-H3025/100)*1.18</f>
        <v/>
      </c>
      <c r="J3025">
        <f>הגדרות!C7</f>
        <v/>
      </c>
      <c r="K3025">
        <f>הגדרות!D7</f>
        <v/>
      </c>
      <c r="L3025">
        <f>I3025*(1+J3025/100)+K3025</f>
        <v/>
      </c>
    </row>
    <row r="3026">
      <c r="A3026" t="inlineStr">
        <is>
          <t>מדי-מרקט</t>
        </is>
      </c>
      <c r="B3026" t="inlineStr">
        <is>
          <t>עיפרון סימון לניתוח סקין מרקר סטנדרט</t>
        </is>
      </c>
      <c r="C3026" t="inlineStr">
        <is>
          <t>ציוד מתכלה</t>
        </is>
      </c>
      <c r="D3026" t="inlineStr">
        <is>
          <t>34790</t>
        </is>
      </c>
      <c r="E3026" t="inlineStr">
        <is>
          <t>2026-06</t>
        </is>
      </c>
      <c r="F3026" t="n">
        <v>3.56</v>
      </c>
      <c r="G3026" t="n">
        <v>4.2</v>
      </c>
      <c r="H3026">
        <f>הגדרות!B7</f>
        <v/>
      </c>
      <c r="I3026">
        <f>F3026*(1-H3026/100)*1.18</f>
        <v/>
      </c>
      <c r="J3026">
        <f>הגדרות!C7</f>
        <v/>
      </c>
      <c r="K3026">
        <f>הגדרות!D7</f>
        <v/>
      </c>
      <c r="L3026">
        <f>I3026*(1+J3026/100)+K3026</f>
        <v/>
      </c>
    </row>
    <row r="3027">
      <c r="A3027" t="inlineStr">
        <is>
          <t>מדי-מרקט</t>
        </is>
      </c>
      <c r="B3027" t="inlineStr">
        <is>
          <t>עמוד אינפוזייה,כרום ניקל,5 גלגל,4 ווים,מדיקפרו</t>
        </is>
      </c>
      <c r="C3027" t="inlineStr">
        <is>
          <t>ציוד ומכשור רפואי</t>
        </is>
      </c>
      <c r="D3027" t="inlineStr">
        <is>
          <t>500-043</t>
        </is>
      </c>
      <c r="E3027" t="inlineStr">
        <is>
          <t>2026-06</t>
        </is>
      </c>
      <c r="F3027" t="n">
        <v>113.24</v>
      </c>
      <c r="G3027" t="n">
        <v>133.62</v>
      </c>
      <c r="H3027">
        <f>הגדרות!B7</f>
        <v/>
      </c>
      <c r="I3027">
        <f>F3027*(1-H3027/100)*1.18</f>
        <v/>
      </c>
      <c r="J3027">
        <f>הגדרות!C7</f>
        <v/>
      </c>
      <c r="K3027">
        <f>הגדרות!D7</f>
        <v/>
      </c>
      <c r="L3027">
        <f>I3027*(1+J3027/100)+K3027</f>
        <v/>
      </c>
    </row>
    <row r="3028">
      <c r="A3028" t="inlineStr">
        <is>
          <t>מדי-מרקט</t>
        </is>
      </c>
      <c r="B3028" t="inlineStr">
        <is>
          <t>ערכה ח.פ ללידה</t>
        </is>
      </c>
      <c r="C3028" t="inlineStr">
        <is>
          <t>ציוד מתכלה</t>
        </is>
      </c>
      <c r="D3028" t="inlineStr">
        <is>
          <t>466</t>
        </is>
      </c>
      <c r="E3028" t="inlineStr">
        <is>
          <t>2026-06</t>
        </is>
      </c>
      <c r="F3028" t="n">
        <v>34.32</v>
      </c>
      <c r="G3028" t="n">
        <v>40.5</v>
      </c>
      <c r="H3028">
        <f>הגדרות!B7</f>
        <v/>
      </c>
      <c r="I3028">
        <f>F3028*(1-H3028/100)*1.18</f>
        <v/>
      </c>
      <c r="J3028">
        <f>הגדרות!C7</f>
        <v/>
      </c>
      <c r="K3028">
        <f>הגדרות!D7</f>
        <v/>
      </c>
      <c r="L3028">
        <f>I3028*(1+J3028/100)+K3028</f>
        <v/>
      </c>
    </row>
    <row r="3029">
      <c r="A3029" t="inlineStr">
        <is>
          <t>מדי-מרקט</t>
        </is>
      </c>
      <c r="B3029" t="inlineStr">
        <is>
          <t>ערכה למגיש עזרה ראשונה תקן משרד החינוך  מדיקפרו</t>
        </is>
      </c>
      <c r="C3029" t="inlineStr">
        <is>
          <t>ציוד ומכשור רפואי</t>
        </is>
      </c>
      <c r="D3029" t="inlineStr">
        <is>
          <t>M001-004</t>
        </is>
      </c>
      <c r="E3029" t="inlineStr">
        <is>
          <t>2026-06</t>
        </is>
      </c>
      <c r="F3029" t="n">
        <v>152.54</v>
      </c>
      <c r="G3029" t="n">
        <v>180</v>
      </c>
      <c r="H3029">
        <f>הגדרות!B7</f>
        <v/>
      </c>
      <c r="I3029">
        <f>F3029*(1-H3029/100)*1.18</f>
        <v/>
      </c>
      <c r="J3029">
        <f>הגדרות!C7</f>
        <v/>
      </c>
      <c r="K3029">
        <f>הגדרות!D7</f>
        <v/>
      </c>
      <c r="L3029">
        <f>I3029*(1+J3029/100)+K3029</f>
        <v/>
      </c>
    </row>
    <row r="3030">
      <c r="A3030" t="inlineStr">
        <is>
          <t>מדי-מרקט</t>
        </is>
      </c>
      <c r="B3030" t="inlineStr">
        <is>
          <t>ערכת החייאה מתקדמת מדיקפרו + ערכת חמצן</t>
        </is>
      </c>
      <c r="C3030" t="inlineStr">
        <is>
          <t>ציוד ומכשור רפואי</t>
        </is>
      </c>
      <c r="D3030" t="inlineStr">
        <is>
          <t>129520</t>
        </is>
      </c>
      <c r="E3030" t="inlineStr">
        <is>
          <t>2026-06</t>
        </is>
      </c>
      <c r="F3030" t="n">
        <v>1610.17</v>
      </c>
      <c r="G3030" t="n">
        <v>1900</v>
      </c>
      <c r="H3030">
        <f>הגדרות!B7</f>
        <v/>
      </c>
      <c r="I3030">
        <f>F3030*(1-H3030/100)*1.18</f>
        <v/>
      </c>
      <c r="J3030">
        <f>הגדרות!C7</f>
        <v/>
      </c>
      <c r="K3030">
        <f>הגדרות!D7</f>
        <v/>
      </c>
      <c r="L3030">
        <f>I3030*(1+J3030/100)+K3030</f>
        <v/>
      </c>
    </row>
    <row r="3031">
      <c r="A3031" t="inlineStr">
        <is>
          <t>מדי-מרקט</t>
        </is>
      </c>
      <c r="B3031" t="inlineStr">
        <is>
          <t>ערכת עזרה ראשונה לחובש תקן משרד החינוך מדיקפרו</t>
        </is>
      </c>
      <c r="C3031" t="inlineStr">
        <is>
          <t>ציוד ומכשור רפואי</t>
        </is>
      </c>
      <c r="D3031" t="inlineStr">
        <is>
          <t>M001-001</t>
        </is>
      </c>
      <c r="E3031" t="inlineStr">
        <is>
          <t>2026-06</t>
        </is>
      </c>
      <c r="F3031" t="n">
        <v>663.5599999999999</v>
      </c>
      <c r="G3031" t="n">
        <v>783</v>
      </c>
      <c r="H3031">
        <f>הגדרות!B7</f>
        <v/>
      </c>
      <c r="I3031">
        <f>F3031*(1-H3031/100)*1.18</f>
        <v/>
      </c>
      <c r="J3031">
        <f>הגדרות!C7</f>
        <v/>
      </c>
      <c r="K3031">
        <f>הגדרות!D7</f>
        <v/>
      </c>
      <c r="L3031">
        <f>I3031*(1+J3031/100)+K3031</f>
        <v/>
      </c>
    </row>
    <row r="3032">
      <c r="A3032" t="inlineStr">
        <is>
          <t>מדי-מרקט</t>
        </is>
      </c>
      <c r="B3032" t="inlineStr">
        <is>
          <t>ערכת עירוי ללא סליין</t>
        </is>
      </c>
      <c r="C3032" t="inlineStr">
        <is>
          <t>ציוד ומכשור רפואי</t>
        </is>
      </c>
      <c r="D3032" t="inlineStr">
        <is>
          <t>21122</t>
        </is>
      </c>
      <c r="E3032" t="inlineStr">
        <is>
          <t>2026-06</t>
        </is>
      </c>
      <c r="F3032" t="n">
        <v>8.58</v>
      </c>
      <c r="G3032" t="n">
        <v>10.13</v>
      </c>
      <c r="H3032">
        <f>הגדרות!B7</f>
        <v/>
      </c>
      <c r="I3032">
        <f>F3032*(1-H3032/100)*1.18</f>
        <v/>
      </c>
      <c r="J3032">
        <f>הגדרות!C7</f>
        <v/>
      </c>
      <c r="K3032">
        <f>הגדרות!D7</f>
        <v/>
      </c>
      <c r="L3032">
        <f>I3032*(1+J3032/100)+K3032</f>
        <v/>
      </c>
    </row>
    <row r="3033">
      <c r="A3033" t="inlineStr">
        <is>
          <t>מדי-מרקט</t>
        </is>
      </c>
      <c r="B3033" t="inlineStr">
        <is>
          <t>ערסל לרחצה aks מקורי סטנדרטי למנוף הרמה מידה XL</t>
        </is>
      </c>
      <c r="C3033" t="inlineStr">
        <is>
          <t>ציוד ומכשור רפואי</t>
        </is>
      </c>
      <c r="D3033" t="inlineStr">
        <is>
          <t>655613</t>
        </is>
      </c>
      <c r="E3033" t="inlineStr">
        <is>
          <t>2026-06</t>
        </is>
      </c>
      <c r="F3033" t="n">
        <v>838.98</v>
      </c>
      <c r="G3033" t="n">
        <v>990</v>
      </c>
      <c r="H3033">
        <f>הגדרות!B7</f>
        <v/>
      </c>
      <c r="I3033">
        <f>F3033*(1-H3033/100)*1.18</f>
        <v/>
      </c>
      <c r="J3033">
        <f>הגדרות!C7</f>
        <v/>
      </c>
      <c r="K3033">
        <f>הגדרות!D7</f>
        <v/>
      </c>
      <c r="L3033">
        <f>I3033*(1+J3033/100)+K3033</f>
        <v/>
      </c>
    </row>
    <row r="3034">
      <c r="A3034" t="inlineStr">
        <is>
          <t>מדי-מרקט</t>
        </is>
      </c>
      <c r="B3034" t="inlineStr">
        <is>
          <t>פאלס אוקסימטר וטרינרי כולל מטען PM-60Vet MINDRAY</t>
        </is>
      </c>
      <c r="C3034" t="inlineStr">
        <is>
          <t>Mindray</t>
        </is>
      </c>
      <c r="D3034" t="inlineStr">
        <is>
          <t>10852B</t>
        </is>
      </c>
      <c r="E3034" t="inlineStr">
        <is>
          <t>2026-06</t>
        </is>
      </c>
      <c r="F3034" t="n">
        <v>1610.17</v>
      </c>
      <c r="G3034" t="n">
        <v>1900</v>
      </c>
      <c r="H3034">
        <f>הגדרות!B7</f>
        <v/>
      </c>
      <c r="I3034">
        <f>F3034*(1-H3034/100)*1.18</f>
        <v/>
      </c>
      <c r="J3034">
        <f>הגדרות!C7</f>
        <v/>
      </c>
      <c r="K3034">
        <f>הגדרות!D7</f>
        <v/>
      </c>
      <c r="L3034">
        <f>I3034*(1+J3034/100)+K3034</f>
        <v/>
      </c>
    </row>
    <row r="3035">
      <c r="A3035" t="inlineStr">
        <is>
          <t>מדי-מרקט</t>
        </is>
      </c>
      <c r="B3035" t="inlineStr">
        <is>
          <t>פאלס אוקסימטר מדיקפרו לאצבע YK-83C +התראות חדש</t>
        </is>
      </c>
      <c r="C3035" t="inlineStr">
        <is>
          <t>ציוד ומכשור רפואי</t>
        </is>
      </c>
      <c r="D3035" t="inlineStr">
        <is>
          <t>100-300</t>
        </is>
      </c>
      <c r="E3035" t="inlineStr">
        <is>
          <t>2026-06</t>
        </is>
      </c>
      <c r="F3035" t="n">
        <v>35.41</v>
      </c>
      <c r="G3035" t="n">
        <v>41.78</v>
      </c>
      <c r="H3035">
        <f>הגדרות!B7</f>
        <v/>
      </c>
      <c r="I3035">
        <f>F3035*(1-H3035/100)*1.18</f>
        <v/>
      </c>
      <c r="J3035">
        <f>הגדרות!C7</f>
        <v/>
      </c>
      <c r="K3035">
        <f>הגדרות!D7</f>
        <v/>
      </c>
      <c r="L3035">
        <f>I3035*(1+J3035/100)+K3035</f>
        <v/>
      </c>
    </row>
    <row r="3036">
      <c r="A3036" t="inlineStr">
        <is>
          <t>מדי-מרקט</t>
        </is>
      </c>
      <c r="B3036" t="inlineStr">
        <is>
          <t>פאן מכופף</t>
        </is>
      </c>
      <c r="C3036" t="inlineStr">
        <is>
          <t>ציוד ומכשור רפואי</t>
        </is>
      </c>
      <c r="D3036" t="inlineStr">
        <is>
          <t>63636</t>
        </is>
      </c>
      <c r="E3036" t="inlineStr">
        <is>
          <t>2026-06</t>
        </is>
      </c>
      <c r="F3036" t="n">
        <v>22.87</v>
      </c>
      <c r="G3036" t="n">
        <v>26.99</v>
      </c>
      <c r="H3036">
        <f>הגדרות!B7</f>
        <v/>
      </c>
      <c r="I3036">
        <f>F3036*(1-H3036/100)*1.18</f>
        <v/>
      </c>
      <c r="J3036">
        <f>הגדרות!C7</f>
        <v/>
      </c>
      <c r="K3036">
        <f>הגדרות!D7</f>
        <v/>
      </c>
      <c r="L3036">
        <f>I3036*(1+J3036/100)+K3036</f>
        <v/>
      </c>
    </row>
    <row r="3037">
      <c r="A3037" t="inlineStr">
        <is>
          <t>מדי-מרקט</t>
        </is>
      </c>
      <c r="B3037" t="inlineStr">
        <is>
          <t>פד אלכוהול סטר', מדיקפרו,  1/200</t>
        </is>
      </c>
      <c r="C3037" t="inlineStr">
        <is>
          <t>מוצרי חבישה ופלסטרים</t>
        </is>
      </c>
      <c r="D3037" t="inlineStr">
        <is>
          <t>500-058</t>
        </is>
      </c>
      <c r="E3037" t="inlineStr">
        <is>
          <t>2026-06</t>
        </is>
      </c>
      <c r="F3037" t="n">
        <v>3.37</v>
      </c>
      <c r="G3037" t="n">
        <v>3.98</v>
      </c>
      <c r="H3037">
        <f>הגדרות!B7</f>
        <v/>
      </c>
      <c r="I3037">
        <f>F3037*(1-H3037/100)*1.18</f>
        <v/>
      </c>
      <c r="J3037">
        <f>הגדרות!C7</f>
        <v/>
      </c>
      <c r="K3037">
        <f>הגדרות!D7</f>
        <v/>
      </c>
      <c r="L3037">
        <f>I3037*(1+J3037/100)+K3037</f>
        <v/>
      </c>
    </row>
    <row r="3038">
      <c r="A3038" t="inlineStr">
        <is>
          <t>מדי-מרקט</t>
        </is>
      </c>
      <c r="B3038" t="inlineStr">
        <is>
          <t>פד בב"א 20*10 לא סטרילי, עם 50,X-RAY יח', מדיקפרו</t>
        </is>
      </c>
      <c r="C3038" t="inlineStr">
        <is>
          <t>מוצרי חבישה ופלסטרים</t>
        </is>
      </c>
      <c r="D3038" t="inlineStr">
        <is>
          <t>100-1301</t>
        </is>
      </c>
      <c r="E3038" t="inlineStr">
        <is>
          <t>2026-06</t>
        </is>
      </c>
      <c r="F3038" t="n">
        <v>9.32</v>
      </c>
      <c r="G3038" t="n">
        <v>11</v>
      </c>
      <c r="H3038">
        <f>הגדרות!B7</f>
        <v/>
      </c>
      <c r="I3038">
        <f>F3038*(1-H3038/100)*1.18</f>
        <v/>
      </c>
      <c r="J3038">
        <f>הגדרות!C7</f>
        <v/>
      </c>
      <c r="K3038">
        <f>הגדרות!D7</f>
        <v/>
      </c>
      <c r="L3038">
        <f>I3038*(1+J3038/100)+K3038</f>
        <v/>
      </c>
    </row>
    <row r="3039">
      <c r="A3039" t="inlineStr">
        <is>
          <t>מדי-מרקט</t>
        </is>
      </c>
      <c r="B3039" t="inlineStr">
        <is>
          <t>פד בב"א מדיקפרו 10*10 ס"מ , 1/200 יח'</t>
        </is>
      </c>
      <c r="C3039" t="inlineStr">
        <is>
          <t>מוצרי חבישה ופלסטרים</t>
        </is>
      </c>
      <c r="D3039" t="inlineStr">
        <is>
          <t>100-114</t>
        </is>
      </c>
      <c r="E3039" t="inlineStr">
        <is>
          <t>2026-06</t>
        </is>
      </c>
      <c r="F3039" t="n">
        <v>4.22</v>
      </c>
      <c r="G3039" t="n">
        <v>4.98</v>
      </c>
      <c r="H3039">
        <f>הגדרות!B7</f>
        <v/>
      </c>
      <c r="I3039">
        <f>F3039*(1-H3039/100)*1.18</f>
        <v/>
      </c>
      <c r="J3039">
        <f>הגדרות!C7</f>
        <v/>
      </c>
      <c r="K3039">
        <f>הגדרות!D7</f>
        <v/>
      </c>
      <c r="L3039">
        <f>I3039*(1+J3039/100)+K3039</f>
        <v/>
      </c>
    </row>
    <row r="3040">
      <c r="A3040" t="inlineStr">
        <is>
          <t>מדי-מרקט</t>
        </is>
      </c>
      <c r="B3040" t="inlineStr">
        <is>
          <t>פד בב"א מדיקפרו 5*5 ס"מ , 1/200 יח'</t>
        </is>
      </c>
      <c r="C3040" t="inlineStr">
        <is>
          <t>מוצרי חבישה ופלסטרים</t>
        </is>
      </c>
      <c r="D3040" t="inlineStr">
        <is>
          <t>100-112</t>
        </is>
      </c>
      <c r="E3040" t="inlineStr">
        <is>
          <t>2026-06</t>
        </is>
      </c>
      <c r="F3040" t="n">
        <v>1.17</v>
      </c>
      <c r="G3040" t="n">
        <v>1.38</v>
      </c>
      <c r="H3040">
        <f>הגדרות!B7</f>
        <v/>
      </c>
      <c r="I3040">
        <f>F3040*(1-H3040/100)*1.18</f>
        <v/>
      </c>
      <c r="J3040">
        <f>הגדרות!C7</f>
        <v/>
      </c>
      <c r="K3040">
        <f>הגדרות!D7</f>
        <v/>
      </c>
      <c r="L3040">
        <f>I3040*(1+J3040/100)+K3040</f>
        <v/>
      </c>
    </row>
    <row r="3041">
      <c r="A3041" t="inlineStr">
        <is>
          <t>מדי-מרקט</t>
        </is>
      </c>
      <c r="B3041" t="inlineStr">
        <is>
          <t>פד בב"א מדיקפרו 7.5*7.5 ס"מ , 1/200 יח'</t>
        </is>
      </c>
      <c r="C3041" t="inlineStr">
        <is>
          <t>מוצרי חבישה ופלסטרים</t>
        </is>
      </c>
      <c r="D3041" t="inlineStr">
        <is>
          <t>100-113</t>
        </is>
      </c>
      <c r="E3041" t="inlineStr">
        <is>
          <t>2026-06</t>
        </is>
      </c>
      <c r="F3041" t="n">
        <v>2.47</v>
      </c>
      <c r="G3041" t="n">
        <v>2.92</v>
      </c>
      <c r="H3041">
        <f>הגדרות!B7</f>
        <v/>
      </c>
      <c r="I3041">
        <f>F3041*(1-H3041/100)*1.18</f>
        <v/>
      </c>
      <c r="J3041">
        <f>הגדרות!C7</f>
        <v/>
      </c>
      <c r="K3041">
        <f>הגדרות!D7</f>
        <v/>
      </c>
      <c r="L3041">
        <f>I3041*(1+J3041/100)+K3041</f>
        <v/>
      </c>
    </row>
    <row r="3042">
      <c r="A3042" t="inlineStr">
        <is>
          <t>מדי-מרקט</t>
        </is>
      </c>
      <c r="B3042" t="inlineStr">
        <is>
          <t>פד גזה 10*10 ס"מ,12 שכ',17 חוט,מדיקפרו 1/100</t>
        </is>
      </c>
      <c r="C3042" t="inlineStr">
        <is>
          <t>מוצרי חבישה ופלסטרים</t>
        </is>
      </c>
      <c r="D3042" t="inlineStr">
        <is>
          <t>100-1042</t>
        </is>
      </c>
      <c r="E3042" t="inlineStr">
        <is>
          <t>2026-06</t>
        </is>
      </c>
      <c r="F3042" t="n">
        <v>6.97</v>
      </c>
      <c r="G3042" t="n">
        <v>8.220000000000001</v>
      </c>
      <c r="H3042">
        <f>הגדרות!B7</f>
        <v/>
      </c>
      <c r="I3042">
        <f>F3042*(1-H3042/100)*1.18</f>
        <v/>
      </c>
      <c r="J3042">
        <f>הגדרות!C7</f>
        <v/>
      </c>
      <c r="K3042">
        <f>הגדרות!D7</f>
        <v/>
      </c>
      <c r="L3042">
        <f>I3042*(1+J3042/100)+K3042</f>
        <v/>
      </c>
    </row>
    <row r="3043">
      <c r="A3043" t="inlineStr">
        <is>
          <t>מדי-מרקט</t>
        </is>
      </c>
      <c r="B3043" t="inlineStr">
        <is>
          <t>פד גזה 10*10 ס"מ,8 שכ',13 חוט,מדיקפרו 1/100</t>
        </is>
      </c>
      <c r="C3043" t="inlineStr">
        <is>
          <t>מוצרי חבישה ופלסטרים</t>
        </is>
      </c>
      <c r="D3043" t="inlineStr">
        <is>
          <t>100-104</t>
        </is>
      </c>
      <c r="E3043" t="inlineStr">
        <is>
          <t>2026-06</t>
        </is>
      </c>
      <c r="F3043" t="n">
        <v>4.03</v>
      </c>
      <c r="G3043" t="n">
        <v>4.75</v>
      </c>
      <c r="H3043">
        <f>הגדרות!B7</f>
        <v/>
      </c>
      <c r="I3043">
        <f>F3043*(1-H3043/100)*1.18</f>
        <v/>
      </c>
      <c r="J3043">
        <f>הגדרות!C7</f>
        <v/>
      </c>
      <c r="K3043">
        <f>הגדרות!D7</f>
        <v/>
      </c>
      <c r="L3043">
        <f>I3043*(1+J3043/100)+K3043</f>
        <v/>
      </c>
    </row>
    <row r="3044">
      <c r="A3044" t="inlineStr">
        <is>
          <t>מדי-מרקט</t>
        </is>
      </c>
      <c r="B3044" t="inlineStr">
        <is>
          <t>פד גזה 10*10, 16 שכבות,17 חוט 1/100, מדיקפרו</t>
        </is>
      </c>
      <c r="C3044" t="inlineStr">
        <is>
          <t>מוצרי חבישה ופלסטרים</t>
        </is>
      </c>
      <c r="D3044" t="inlineStr">
        <is>
          <t>44628</t>
        </is>
      </c>
      <c r="E3044" t="inlineStr">
        <is>
          <t>2026-06</t>
        </is>
      </c>
      <c r="F3044" t="n">
        <v>10.03</v>
      </c>
      <c r="G3044" t="n">
        <v>11.84</v>
      </c>
      <c r="H3044">
        <f>הגדרות!B7</f>
        <v/>
      </c>
      <c r="I3044">
        <f>F3044*(1-H3044/100)*1.18</f>
        <v/>
      </c>
      <c r="J3044">
        <f>הגדרות!C7</f>
        <v/>
      </c>
      <c r="K3044">
        <f>הגדרות!D7</f>
        <v/>
      </c>
      <c r="L3044">
        <f>I3044*(1+J3044/100)+K3044</f>
        <v/>
      </c>
    </row>
    <row r="3045">
      <c r="A3045" t="inlineStr">
        <is>
          <t>מדי-מרקט</t>
        </is>
      </c>
      <c r="B3045" t="inlineStr">
        <is>
          <t>פד גזה 5*5 ס"מ,8 שכ',13 חוט,מדיקפרו 1/100</t>
        </is>
      </c>
      <c r="C3045" t="inlineStr">
        <is>
          <t>מוצרי חבישה ופלסטרים</t>
        </is>
      </c>
      <c r="D3045" t="inlineStr">
        <is>
          <t>100-102</t>
        </is>
      </c>
      <c r="E3045" t="inlineStr">
        <is>
          <t>2026-06</t>
        </is>
      </c>
      <c r="F3045" t="n">
        <v>1.44</v>
      </c>
      <c r="G3045" t="n">
        <v>1.7</v>
      </c>
      <c r="H3045">
        <f>הגדרות!B7</f>
        <v/>
      </c>
      <c r="I3045">
        <f>F3045*(1-H3045/100)*1.18</f>
        <v/>
      </c>
      <c r="J3045">
        <f>הגדרות!C7</f>
        <v/>
      </c>
      <c r="K3045">
        <f>הגדרות!D7</f>
        <v/>
      </c>
      <c r="L3045">
        <f>I3045*(1+J3045/100)+K3045</f>
        <v/>
      </c>
    </row>
    <row r="3046">
      <c r="A3046" t="inlineStr">
        <is>
          <t>מדי-מרקט</t>
        </is>
      </c>
      <c r="B3046" t="inlineStr">
        <is>
          <t>פד גזה 7.5*7.5 ס"מ,8 שכ',13 חוט,מדיקפרו 1/100</t>
        </is>
      </c>
      <c r="C3046" t="inlineStr">
        <is>
          <t>מוצרי חבישה ופלסטרים</t>
        </is>
      </c>
      <c r="D3046" t="inlineStr">
        <is>
          <t>100-103</t>
        </is>
      </c>
      <c r="E3046" t="inlineStr">
        <is>
          <t>2026-06</t>
        </is>
      </c>
      <c r="F3046" t="n">
        <v>2.61</v>
      </c>
      <c r="G3046" t="n">
        <v>3.08</v>
      </c>
      <c r="H3046">
        <f>הגדרות!B7</f>
        <v/>
      </c>
      <c r="I3046">
        <f>F3046*(1-H3046/100)*1.18</f>
        <v/>
      </c>
      <c r="J3046">
        <f>הגדרות!C7</f>
        <v/>
      </c>
      <c r="K3046">
        <f>הגדרות!D7</f>
        <v/>
      </c>
      <c r="L3046">
        <f>I3046*(1+J3046/100)+K3046</f>
        <v/>
      </c>
    </row>
    <row r="3047">
      <c r="A3047" t="inlineStr">
        <is>
          <t>מדי-מרקט</t>
        </is>
      </c>
      <c r="B3047" t="inlineStr">
        <is>
          <t>פד גזה 7.5*7.5 ס"מ,8 שכ',17 חוט,מדיקפרו 100</t>
        </is>
      </c>
      <c r="C3047" t="inlineStr">
        <is>
          <t>מוצרי חבישה ופלסטרים</t>
        </is>
      </c>
      <c r="D3047" t="inlineStr">
        <is>
          <t>100-1031</t>
        </is>
      </c>
      <c r="E3047" t="inlineStr">
        <is>
          <t>2026-06</t>
        </is>
      </c>
      <c r="F3047" t="n">
        <v>3.47</v>
      </c>
      <c r="G3047" t="n">
        <v>4.09</v>
      </c>
      <c r="H3047">
        <f>הגדרות!B7</f>
        <v/>
      </c>
      <c r="I3047">
        <f>F3047*(1-H3047/100)*1.18</f>
        <v/>
      </c>
      <c r="J3047">
        <f>הגדרות!C7</f>
        <v/>
      </c>
      <c r="K3047">
        <f>הגדרות!D7</f>
        <v/>
      </c>
      <c r="L3047">
        <f>I3047*(1+J3047/100)+K3047</f>
        <v/>
      </c>
    </row>
    <row r="3048">
      <c r="A3048" t="inlineStr">
        <is>
          <t>מדי-מרקט</t>
        </is>
      </c>
      <c r="B3048" t="inlineStr">
        <is>
          <t>פד גזה כותנה עם פס כחול 10X10 ס"מ, 12 שכבות, 1 ק"ג מדיקפרו</t>
        </is>
      </c>
      <c r="C3048" t="inlineStr">
        <is>
          <t>מוצרי חבישה ופלסטרים</t>
        </is>
      </c>
      <c r="D3048" t="inlineStr">
        <is>
          <t>100-110</t>
        </is>
      </c>
      <c r="E3048" t="inlineStr">
        <is>
          <t>2026-06</t>
        </is>
      </c>
      <c r="F3048" t="n">
        <v>30.89</v>
      </c>
      <c r="G3048" t="n">
        <v>36.45</v>
      </c>
      <c r="H3048">
        <f>הגדרות!B7</f>
        <v/>
      </c>
      <c r="I3048">
        <f>F3048*(1-H3048/100)*1.18</f>
        <v/>
      </c>
      <c r="J3048">
        <f>הגדרות!C7</f>
        <v/>
      </c>
      <c r="K3048">
        <f>הגדרות!D7</f>
        <v/>
      </c>
      <c r="L3048">
        <f>I3048*(1+J3048/100)+K3048</f>
        <v/>
      </c>
    </row>
    <row r="3049">
      <c r="A3049" t="inlineStr">
        <is>
          <t>מדי-מרקט</t>
        </is>
      </c>
      <c r="B3049" t="inlineStr">
        <is>
          <t>פד גזה סטר' א.כפולה 10X10 ס"מ 12שכ' 2000 X-Ray יח'</t>
        </is>
      </c>
      <c r="C3049" t="inlineStr">
        <is>
          <t>מוצרי חבישה ופלסטרים</t>
        </is>
      </c>
      <c r="D3049" t="inlineStr">
        <is>
          <t>498-410</t>
        </is>
      </c>
      <c r="E3049" t="inlineStr">
        <is>
          <t>2026-06</t>
        </is>
      </c>
      <c r="F3049" t="n">
        <v>270.55</v>
      </c>
      <c r="G3049" t="n">
        <v>319.25</v>
      </c>
      <c r="H3049">
        <f>הגדרות!B7</f>
        <v/>
      </c>
      <c r="I3049">
        <f>F3049*(1-H3049/100)*1.18</f>
        <v/>
      </c>
      <c r="J3049">
        <f>הגדרות!C7</f>
        <v/>
      </c>
      <c r="K3049">
        <f>הגדרות!D7</f>
        <v/>
      </c>
      <c r="L3049">
        <f>I3049*(1+J3049/100)+K3049</f>
        <v/>
      </c>
    </row>
    <row r="3050">
      <c r="A3050" t="inlineStr">
        <is>
          <t>מדי-מרקט</t>
        </is>
      </c>
      <c r="B3050" t="inlineStr">
        <is>
          <t>פד גזה סטרילי 10*10 ס"מ 8 שכ' מדיקפרו 1/100</t>
        </is>
      </c>
      <c r="C3050" t="inlineStr">
        <is>
          <t>מוצרי חבישה ופלסטרים</t>
        </is>
      </c>
      <c r="D3050" t="inlineStr">
        <is>
          <t>100-101</t>
        </is>
      </c>
      <c r="E3050" t="inlineStr">
        <is>
          <t>2026-06</t>
        </is>
      </c>
      <c r="F3050" t="n">
        <v>15.75</v>
      </c>
      <c r="G3050" t="n">
        <v>18.58</v>
      </c>
      <c r="H3050">
        <f>הגדרות!B7</f>
        <v/>
      </c>
      <c r="I3050">
        <f>F3050*(1-H3050/100)*1.18</f>
        <v/>
      </c>
      <c r="J3050">
        <f>הגדרות!C7</f>
        <v/>
      </c>
      <c r="K3050">
        <f>הגדרות!D7</f>
        <v/>
      </c>
      <c r="L3050">
        <f>I3050*(1+J3050/100)+K3050</f>
        <v/>
      </c>
    </row>
    <row r="3051">
      <c r="A3051" t="inlineStr">
        <is>
          <t>מדי-מרקט</t>
        </is>
      </c>
      <c r="B3051" t="inlineStr">
        <is>
          <t>פד גזה סטרילי 5*5 ס"מ, 8 שכ' מדיקפרו 1/100</t>
        </is>
      </c>
      <c r="C3051" t="inlineStr">
        <is>
          <t>מוצרי חבישה ופלסטרים</t>
        </is>
      </c>
      <c r="D3051" t="inlineStr">
        <is>
          <t>100-111</t>
        </is>
      </c>
      <c r="E3051" t="inlineStr">
        <is>
          <t>2026-06</t>
        </is>
      </c>
      <c r="F3051" t="n">
        <v>5.62</v>
      </c>
      <c r="G3051" t="n">
        <v>6.63</v>
      </c>
      <c r="H3051">
        <f>הגדרות!B7</f>
        <v/>
      </c>
      <c r="I3051">
        <f>F3051*(1-H3051/100)*1.18</f>
        <v/>
      </c>
      <c r="J3051">
        <f>הגדרות!C7</f>
        <v/>
      </c>
      <c r="K3051">
        <f>הגדרות!D7</f>
        <v/>
      </c>
      <c r="L3051">
        <f>I3051*(1+J3051/100)+K3051</f>
        <v/>
      </c>
    </row>
    <row r="3052">
      <c r="A3052" t="inlineStr">
        <is>
          <t>מדי-מרקט</t>
        </is>
      </c>
      <c r="B3052" t="inlineStr">
        <is>
          <t>פד גזה סטרילי 7.5*7.5 ס"מ 8 שכ'-מדיקפרו 1/100</t>
        </is>
      </c>
      <c r="C3052" t="inlineStr">
        <is>
          <t>מוצרי חבישה ופלסטרים</t>
        </is>
      </c>
      <c r="D3052" t="inlineStr">
        <is>
          <t>100-100</t>
        </is>
      </c>
      <c r="E3052" t="inlineStr">
        <is>
          <t>2026-06</t>
        </is>
      </c>
      <c r="F3052" t="n">
        <v>8.15</v>
      </c>
      <c r="G3052" t="n">
        <v>9.619999999999999</v>
      </c>
      <c r="H3052">
        <f>הגדרות!B7</f>
        <v/>
      </c>
      <c r="I3052">
        <f>F3052*(1-H3052/100)*1.18</f>
        <v/>
      </c>
      <c r="J3052">
        <f>הגדרות!C7</f>
        <v/>
      </c>
      <c r="K3052">
        <f>הגדרות!D7</f>
        <v/>
      </c>
      <c r="L3052">
        <f>I3052*(1+J3052/100)+K3052</f>
        <v/>
      </c>
    </row>
    <row r="3053">
      <c r="A3053" t="inlineStr">
        <is>
          <t>מדי-מרקט</t>
        </is>
      </c>
      <c r="B3053" t="inlineStr">
        <is>
          <t>פד גזה סטרילי 7.5*7.5 ס"מ,ארוז בזוגות, 1/50 ,מדיקפרו</t>
        </is>
      </c>
      <c r="C3053" t="inlineStr">
        <is>
          <t>מוצרי חבישה ופלסטרים</t>
        </is>
      </c>
      <c r="D3053" t="inlineStr">
        <is>
          <t>44466</t>
        </is>
      </c>
      <c r="E3053" t="inlineStr">
        <is>
          <t>2026-06</t>
        </is>
      </c>
      <c r="F3053" t="n">
        <v>13.56</v>
      </c>
      <c r="G3053" t="n">
        <v>16</v>
      </c>
      <c r="H3053">
        <f>הגדרות!B7</f>
        <v/>
      </c>
      <c r="I3053">
        <f>F3053*(1-H3053/100)*1.18</f>
        <v/>
      </c>
      <c r="J3053">
        <f>הגדרות!C7</f>
        <v/>
      </c>
      <c r="K3053">
        <f>הגדרות!D7</f>
        <v/>
      </c>
      <c r="L3053">
        <f>I3053*(1+J3053/100)+K3053</f>
        <v/>
      </c>
    </row>
    <row r="3054">
      <c r="A3054" t="inlineStr">
        <is>
          <t>מדי-מרקט</t>
        </is>
      </c>
      <c r="B3054" t="inlineStr">
        <is>
          <t>פד וזלין/פראפין, מדיקפרו  10*10 ס"מ ,  1/10</t>
        </is>
      </c>
      <c r="C3054" t="inlineStr">
        <is>
          <t>מוצרי חבישה ופלסטרים</t>
        </is>
      </c>
      <c r="D3054" t="inlineStr">
        <is>
          <t>600-001</t>
        </is>
      </c>
      <c r="E3054" t="inlineStr">
        <is>
          <t>2026-06</t>
        </is>
      </c>
      <c r="F3054" t="n">
        <v>3.86</v>
      </c>
      <c r="G3054" t="n">
        <v>4.55</v>
      </c>
      <c r="H3054">
        <f>הגדרות!B7</f>
        <v/>
      </c>
      <c r="I3054">
        <f>F3054*(1-H3054/100)*1.18</f>
        <v/>
      </c>
      <c r="J3054">
        <f>הגדרות!C7</f>
        <v/>
      </c>
      <c r="K3054">
        <f>הגדרות!D7</f>
        <v/>
      </c>
      <c r="L3054">
        <f>I3054*(1+J3054/100)+K3054</f>
        <v/>
      </c>
    </row>
    <row r="3055">
      <c r="A3055" t="inlineStr">
        <is>
          <t>מדי-מרקט</t>
        </is>
      </c>
      <c r="B3055" t="inlineStr">
        <is>
          <t>פד טרנספור שאינו נדבק לפצע Cansin 5X7 ס"מ 10 יח</t>
        </is>
      </c>
      <c r="C3055" t="inlineStr">
        <is>
          <t>מוצרי חבישה ופלסטרים</t>
        </is>
      </c>
      <c r="D3055" t="inlineStr">
        <is>
          <t>80-520M</t>
        </is>
      </c>
      <c r="E3055" t="inlineStr">
        <is>
          <t>2026-06</t>
        </is>
      </c>
      <c r="F3055" t="n">
        <v>4.75</v>
      </c>
      <c r="G3055" t="n">
        <v>5.6</v>
      </c>
      <c r="H3055">
        <f>הגדרות!B7</f>
        <v/>
      </c>
      <c r="I3055">
        <f>F3055*(1-H3055/100)*1.18</f>
        <v/>
      </c>
      <c r="J3055">
        <f>הגדרות!C7</f>
        <v/>
      </c>
      <c r="K3055">
        <f>הגדרות!D7</f>
        <v/>
      </c>
      <c r="L3055">
        <f>I3055*(1+J3055/100)+K3055</f>
        <v/>
      </c>
    </row>
    <row r="3056">
      <c r="A3056" t="inlineStr">
        <is>
          <t>מדי-מרקט</t>
        </is>
      </c>
      <c r="B3056" t="inlineStr">
        <is>
          <t>פד טרנספור שאינו נדבק לפצע Cansin 9X10 ס"מ 25 יח</t>
        </is>
      </c>
      <c r="C3056" t="inlineStr">
        <is>
          <t>מוצרי חבישה ופלסטרים</t>
        </is>
      </c>
      <c r="D3056" t="inlineStr">
        <is>
          <t>80-522</t>
        </is>
      </c>
      <c r="E3056" t="inlineStr">
        <is>
          <t>2026-06</t>
        </is>
      </c>
      <c r="F3056" t="n">
        <v>17.81</v>
      </c>
      <c r="G3056" t="n">
        <v>21.02</v>
      </c>
      <c r="H3056">
        <f>הגדרות!B7</f>
        <v/>
      </c>
      <c r="I3056">
        <f>F3056*(1-H3056/100)*1.18</f>
        <v/>
      </c>
      <c r="J3056">
        <f>הגדרות!C7</f>
        <v/>
      </c>
      <c r="K3056">
        <f>הגדרות!D7</f>
        <v/>
      </c>
      <c r="L3056">
        <f>I3056*(1+J3056/100)+K3056</f>
        <v/>
      </c>
    </row>
    <row r="3057">
      <c r="A3057" t="inlineStr">
        <is>
          <t>מדי-מרקט</t>
        </is>
      </c>
      <c r="B3057" t="inlineStr">
        <is>
          <t>פד טרנספור שאינו נדבק לפצע Cansin 9X15 ס"מ 25 יח</t>
        </is>
      </c>
      <c r="C3057" t="inlineStr">
        <is>
          <t>מוצרי חבישה ופלסטרים</t>
        </is>
      </c>
      <c r="D3057" t="inlineStr">
        <is>
          <t>80-523</t>
        </is>
      </c>
      <c r="E3057" t="inlineStr">
        <is>
          <t>2026-06</t>
        </is>
      </c>
      <c r="F3057" t="n">
        <v>33.82</v>
      </c>
      <c r="G3057" t="n">
        <v>39.91</v>
      </c>
      <c r="H3057">
        <f>הגדרות!B7</f>
        <v/>
      </c>
      <c r="I3057">
        <f>F3057*(1-H3057/100)*1.18</f>
        <v/>
      </c>
      <c r="J3057">
        <f>הגדרות!C7</f>
        <v/>
      </c>
      <c r="K3057">
        <f>הגדרות!D7</f>
        <v/>
      </c>
      <c r="L3057">
        <f>I3057*(1+J3057/100)+K3057</f>
        <v/>
      </c>
    </row>
    <row r="3058">
      <c r="A3058" t="inlineStr">
        <is>
          <t>מדי-מרקט</t>
        </is>
      </c>
      <c r="B3058" t="inlineStr">
        <is>
          <t>פד טרנספור שאינו נדבק לפצע Cansin 9X20 ס"מ 5 יח</t>
        </is>
      </c>
      <c r="C3058" t="inlineStr">
        <is>
          <t>מוצרי חבישה ופלסטרים</t>
        </is>
      </c>
      <c r="D3058" t="inlineStr">
        <is>
          <t>80-524S</t>
        </is>
      </c>
      <c r="E3058" t="inlineStr">
        <is>
          <t>2026-06</t>
        </is>
      </c>
      <c r="F3058" t="n">
        <v>8.050000000000001</v>
      </c>
      <c r="G3058" t="n">
        <v>9.5</v>
      </c>
      <c r="H3058">
        <f>הגדרות!B7</f>
        <v/>
      </c>
      <c r="I3058">
        <f>F3058*(1-H3058/100)*1.18</f>
        <v/>
      </c>
      <c r="J3058">
        <f>הגדרות!C7</f>
        <v/>
      </c>
      <c r="K3058">
        <f>הגדרות!D7</f>
        <v/>
      </c>
      <c r="L3058">
        <f>I3058*(1+J3058/100)+K3058</f>
        <v/>
      </c>
    </row>
    <row r="3059">
      <c r="A3059" t="inlineStr">
        <is>
          <t>מדי-מרקט</t>
        </is>
      </c>
      <c r="B3059" t="inlineStr">
        <is>
          <t>פד ליגנין 12 שכ' 4X5סמ 2 גלילים של 500יח מדיקפרו</t>
        </is>
      </c>
      <c r="C3059" t="inlineStr">
        <is>
          <t>מוצרי חבישה ופלסטרים</t>
        </is>
      </c>
      <c r="D3059" t="inlineStr">
        <is>
          <t>632-100</t>
        </is>
      </c>
      <c r="E3059" t="inlineStr">
        <is>
          <t>2026-06</t>
        </is>
      </c>
      <c r="F3059" t="n">
        <v>10.69</v>
      </c>
      <c r="G3059" t="n">
        <v>12.61</v>
      </c>
      <c r="H3059">
        <f>הגדרות!B7</f>
        <v/>
      </c>
      <c r="I3059">
        <f>F3059*(1-H3059/100)*1.18</f>
        <v/>
      </c>
      <c r="J3059">
        <f>הגדרות!C7</f>
        <v/>
      </c>
      <c r="K3059">
        <f>הגדרות!D7</f>
        <v/>
      </c>
      <c r="L3059">
        <f>I3059*(1+J3059/100)+K3059</f>
        <v/>
      </c>
    </row>
    <row r="3060">
      <c r="A3060" t="inlineStr">
        <is>
          <t>מדי-מרקט</t>
        </is>
      </c>
      <c r="B3060" t="inlineStr">
        <is>
          <t>פד לכוויות , 10X10 ס"מ ,מארז של 20 יח' , MX LONDON</t>
        </is>
      </c>
      <c r="C3060" t="inlineStr">
        <is>
          <t>מוצרי חבישה ופלסטרים</t>
        </is>
      </c>
      <c r="D3060" t="inlineStr">
        <is>
          <t>OP01074</t>
        </is>
      </c>
      <c r="E3060" t="inlineStr">
        <is>
          <t>2026-06</t>
        </is>
      </c>
      <c r="F3060" t="n">
        <v>127.12</v>
      </c>
      <c r="G3060" t="n">
        <v>150</v>
      </c>
      <c r="H3060">
        <f>הגדרות!B7</f>
        <v/>
      </c>
      <c r="I3060">
        <f>F3060*(1-H3060/100)*1.18</f>
        <v/>
      </c>
      <c r="J3060">
        <f>הגדרות!C7</f>
        <v/>
      </c>
      <c r="K3060">
        <f>הגדרות!D7</f>
        <v/>
      </c>
      <c r="L3060">
        <f>I3060*(1+J3060/100)+K3060</f>
        <v/>
      </c>
    </row>
    <row r="3061">
      <c r="A3061" t="inlineStr">
        <is>
          <t>מדי-מרקט</t>
        </is>
      </c>
      <c r="B3061" t="inlineStr">
        <is>
          <t>פד לכויות ברנשילד 10*10</t>
        </is>
      </c>
      <c r="C3061" t="inlineStr">
        <is>
          <t>ציוד מתכלה</t>
        </is>
      </c>
      <c r="D3061" t="inlineStr">
        <is>
          <t>236532</t>
        </is>
      </c>
      <c r="E3061" t="inlineStr">
        <is>
          <t>2026-06</t>
        </is>
      </c>
      <c r="F3061" t="n">
        <v>16.02</v>
      </c>
      <c r="G3061" t="n">
        <v>18.9</v>
      </c>
      <c r="H3061">
        <f>הגדרות!B7</f>
        <v/>
      </c>
      <c r="I3061">
        <f>F3061*(1-H3061/100)*1.18</f>
        <v/>
      </c>
      <c r="J3061">
        <f>הגדרות!C7</f>
        <v/>
      </c>
      <c r="K3061">
        <f>הגדרות!D7</f>
        <v/>
      </c>
      <c r="L3061">
        <f>I3061*(1+J3061/100)+K3061</f>
        <v/>
      </c>
    </row>
    <row r="3062">
      <c r="A3062" t="inlineStr">
        <is>
          <t>מדי-מרקט</t>
        </is>
      </c>
      <c r="B3062" t="inlineStr">
        <is>
          <t>פד סטר' שאינו נדבק `פצע 7.5*5 50 יח מדיקפרו</t>
        </is>
      </c>
      <c r="C3062" t="inlineStr">
        <is>
          <t>מוצרי חבישה ופלסטרים</t>
        </is>
      </c>
      <c r="D3062" t="inlineStr">
        <is>
          <t>600-005</t>
        </is>
      </c>
      <c r="E3062" t="inlineStr">
        <is>
          <t>2026-06</t>
        </is>
      </c>
      <c r="F3062" t="n">
        <v>4.71</v>
      </c>
      <c r="G3062" t="n">
        <v>5.56</v>
      </c>
      <c r="H3062">
        <f>הגדרות!B7</f>
        <v/>
      </c>
      <c r="I3062">
        <f>F3062*(1-H3062/100)*1.18</f>
        <v/>
      </c>
      <c r="J3062">
        <f>הגדרות!C7</f>
        <v/>
      </c>
      <c r="K3062">
        <f>הגדרות!D7</f>
        <v/>
      </c>
      <c r="L3062">
        <f>I3062*(1+J3062/100)+K3062</f>
        <v/>
      </c>
    </row>
    <row r="3063">
      <c r="A3063" t="inlineStr">
        <is>
          <t>מדי-מרקט</t>
        </is>
      </c>
      <c r="B3063" t="inlineStr">
        <is>
          <t>פד סטר' שאינו נדבק לפצע 10*10 50 יח מדיקפרו</t>
        </is>
      </c>
      <c r="C3063" t="inlineStr">
        <is>
          <t>מוצרי חבישה ופלסטרים</t>
        </is>
      </c>
      <c r="D3063" t="inlineStr">
        <is>
          <t>600-006</t>
        </is>
      </c>
      <c r="E3063" t="inlineStr">
        <is>
          <t>2026-06</t>
        </is>
      </c>
      <c r="F3063" t="n">
        <v>8.24</v>
      </c>
      <c r="G3063" t="n">
        <v>9.720000000000001</v>
      </c>
      <c r="H3063">
        <f>הגדרות!B7</f>
        <v/>
      </c>
      <c r="I3063">
        <f>F3063*(1-H3063/100)*1.18</f>
        <v/>
      </c>
      <c r="J3063">
        <f>הגדרות!C7</f>
        <v/>
      </c>
      <c r="K3063">
        <f>הגדרות!D7</f>
        <v/>
      </c>
      <c r="L3063">
        <f>I3063*(1+J3063/100)+K3063</f>
        <v/>
      </c>
    </row>
    <row r="3064">
      <c r="A3064" t="inlineStr">
        <is>
          <t>מדי-מרקט</t>
        </is>
      </c>
      <c r="B3064" t="inlineStr">
        <is>
          <t>פד סטר' שאינו נדבק לפצע 15*10 50 יח מדיקפרו</t>
        </is>
      </c>
      <c r="C3064" t="inlineStr">
        <is>
          <t>מוצרי חבישה ופלסטרים</t>
        </is>
      </c>
      <c r="D3064" t="inlineStr">
        <is>
          <t>600-007</t>
        </is>
      </c>
      <c r="E3064" t="inlineStr">
        <is>
          <t>2026-06</t>
        </is>
      </c>
      <c r="F3064" t="n">
        <v>10.39</v>
      </c>
      <c r="G3064" t="n">
        <v>12.26</v>
      </c>
      <c r="H3064">
        <f>הגדרות!B7</f>
        <v/>
      </c>
      <c r="I3064">
        <f>F3064*(1-H3064/100)*1.18</f>
        <v/>
      </c>
      <c r="J3064">
        <f>הגדרות!C7</f>
        <v/>
      </c>
      <c r="K3064">
        <f>הגדרות!D7</f>
        <v/>
      </c>
      <c r="L3064">
        <f>I3064*(1+J3064/100)+K3064</f>
        <v/>
      </c>
    </row>
    <row r="3065">
      <c r="A3065" t="inlineStr">
        <is>
          <t>מדי-מרקט</t>
        </is>
      </c>
      <c r="B3065" t="inlineStr">
        <is>
          <t>פד סטר' שאינו נדבק לפצע 20*10 50 יח מדיקפרו</t>
        </is>
      </c>
      <c r="C3065" t="inlineStr">
        <is>
          <t>מוצרי חבישה ופלסטרים</t>
        </is>
      </c>
      <c r="D3065" t="inlineStr">
        <is>
          <t>600-008</t>
        </is>
      </c>
      <c r="E3065" t="inlineStr">
        <is>
          <t>2026-06</t>
        </is>
      </c>
      <c r="F3065" t="n">
        <v>15.25</v>
      </c>
      <c r="G3065" t="n">
        <v>18</v>
      </c>
      <c r="H3065">
        <f>הגדרות!B7</f>
        <v/>
      </c>
      <c r="I3065">
        <f>F3065*(1-H3065/100)*1.18</f>
        <v/>
      </c>
      <c r="J3065">
        <f>הגדרות!C7</f>
        <v/>
      </c>
      <c r="K3065">
        <f>הגדרות!D7</f>
        <v/>
      </c>
      <c r="L3065">
        <f>I3065*(1+J3065/100)+K3065</f>
        <v/>
      </c>
    </row>
    <row r="3066">
      <c r="A3066" t="inlineStr">
        <is>
          <t>מדי-מרקט</t>
        </is>
      </c>
      <c r="B3066" t="inlineStr">
        <is>
          <t>פד סטר' שאינו נדבק לפצע 7.5*5 1/10 יח מדיקפרו</t>
        </is>
      </c>
      <c r="C3066" t="inlineStr">
        <is>
          <t>מוצרי חבישה ופלסטרים</t>
        </is>
      </c>
      <c r="D3066" t="inlineStr">
        <is>
          <t>200-200</t>
        </is>
      </c>
      <c r="E3066" t="inlineStr">
        <is>
          <t>2026-06</t>
        </is>
      </c>
      <c r="F3066" t="n">
        <v>1.08</v>
      </c>
      <c r="G3066" t="n">
        <v>1.27</v>
      </c>
      <c r="H3066">
        <f>הגדרות!B7</f>
        <v/>
      </c>
      <c r="I3066">
        <f>F3066*(1-H3066/100)*1.18</f>
        <v/>
      </c>
      <c r="J3066">
        <f>הגדרות!C7</f>
        <v/>
      </c>
      <c r="K3066">
        <f>הגדרות!D7</f>
        <v/>
      </c>
      <c r="L3066">
        <f>I3066*(1+J3066/100)+K3066</f>
        <v/>
      </c>
    </row>
    <row r="3067">
      <c r="A3067" t="inlineStr">
        <is>
          <t>מדי-מרקט</t>
        </is>
      </c>
      <c r="B3067" t="inlineStr">
        <is>
          <t>פד עיניים,עם דבק, 5.7X8.2  , OCULAR ס"מ , 50 יחידות</t>
        </is>
      </c>
      <c r="C3067" t="inlineStr">
        <is>
          <t>מוצרי חבישה ופלסטרים</t>
        </is>
      </c>
      <c r="D3067" t="inlineStr">
        <is>
          <t>157011</t>
        </is>
      </c>
      <c r="E3067" t="inlineStr">
        <is>
          <t>2026-06</t>
        </is>
      </c>
      <c r="F3067" t="n">
        <v>13.14</v>
      </c>
      <c r="G3067" t="n">
        <v>15.5</v>
      </c>
      <c r="H3067">
        <f>הגדרות!B7</f>
        <v/>
      </c>
      <c r="I3067">
        <f>F3067*(1-H3067/100)*1.18</f>
        <v/>
      </c>
      <c r="J3067">
        <f>הגדרות!C7</f>
        <v/>
      </c>
      <c r="K3067">
        <f>הגדרות!D7</f>
        <v/>
      </c>
      <c r="L3067">
        <f>I3067*(1+J3067/100)+K3067</f>
        <v/>
      </c>
    </row>
    <row r="3068">
      <c r="A3068" t="inlineStr">
        <is>
          <t>מדי-מרקט</t>
        </is>
      </c>
      <c r="B3068" t="inlineStr">
        <is>
          <t>פולי קטטר 2 דרכים מסיליקון גודל 24</t>
        </is>
      </c>
      <c r="C3068" t="inlineStr">
        <is>
          <t>ציוד מתכלה</t>
        </is>
      </c>
      <c r="D3068" t="inlineStr">
        <is>
          <t>1968695</t>
        </is>
      </c>
      <c r="E3068" t="inlineStr">
        <is>
          <t>2026-06</t>
        </is>
      </c>
      <c r="F3068" t="n">
        <v>2.98</v>
      </c>
      <c r="G3068" t="n">
        <v>3.52</v>
      </c>
      <c r="H3068">
        <f>הגדרות!B7</f>
        <v/>
      </c>
      <c r="I3068">
        <f>F3068*(1-H3068/100)*1.18</f>
        <v/>
      </c>
      <c r="J3068">
        <f>הגדרות!C7</f>
        <v/>
      </c>
      <c r="K3068">
        <f>הגדרות!D7</f>
        <v/>
      </c>
      <c r="L3068">
        <f>I3068*(1+J3068/100)+K3068</f>
        <v/>
      </c>
    </row>
    <row r="3069">
      <c r="A3069" t="inlineStr">
        <is>
          <t>מדי-מרקט</t>
        </is>
      </c>
      <c r="B3069" t="inlineStr">
        <is>
          <t>פולי קטטר לטקס ,2 דרכים, 10FR , מדיקפרו, 1 יח'</t>
        </is>
      </c>
      <c r="C3069" t="inlineStr">
        <is>
          <t>ציוד מתכלה</t>
        </is>
      </c>
      <c r="D3069" t="inlineStr">
        <is>
          <t>400-017</t>
        </is>
      </c>
      <c r="E3069" t="inlineStr">
        <is>
          <t>2026-06</t>
        </is>
      </c>
      <c r="F3069" t="n">
        <v>1.63</v>
      </c>
      <c r="G3069" t="n">
        <v>1.92</v>
      </c>
      <c r="H3069">
        <f>הגדרות!B7</f>
        <v/>
      </c>
      <c r="I3069">
        <f>F3069*(1-H3069/100)*1.18</f>
        <v/>
      </c>
      <c r="J3069">
        <f>הגדרות!C7</f>
        <v/>
      </c>
      <c r="K3069">
        <f>הגדרות!D7</f>
        <v/>
      </c>
      <c r="L3069">
        <f>I3069*(1+J3069/100)+K3069</f>
        <v/>
      </c>
    </row>
    <row r="3070">
      <c r="A3070" t="inlineStr">
        <is>
          <t>מדי-מרקט</t>
        </is>
      </c>
      <c r="B3070" t="inlineStr">
        <is>
          <t>פולי קטטר לטקס ,2 דרכים, 12FR , מדיקפרו, 1 יח'</t>
        </is>
      </c>
      <c r="C3070" t="inlineStr">
        <is>
          <t>ציוד מתכלה</t>
        </is>
      </c>
      <c r="D3070" t="inlineStr">
        <is>
          <t>400-018</t>
        </is>
      </c>
      <c r="E3070" t="inlineStr">
        <is>
          <t>2026-06</t>
        </is>
      </c>
      <c r="F3070" t="n">
        <v>1.22</v>
      </c>
      <c r="G3070" t="n">
        <v>1.44</v>
      </c>
      <c r="H3070">
        <f>הגדרות!B7</f>
        <v/>
      </c>
      <c r="I3070">
        <f>F3070*(1-H3070/100)*1.18</f>
        <v/>
      </c>
      <c r="J3070">
        <f>הגדרות!C7</f>
        <v/>
      </c>
      <c r="K3070">
        <f>הגדרות!D7</f>
        <v/>
      </c>
      <c r="L3070">
        <f>I3070*(1+J3070/100)+K3070</f>
        <v/>
      </c>
    </row>
    <row r="3071">
      <c r="A3071" t="inlineStr">
        <is>
          <t>מדי-מרקט</t>
        </is>
      </c>
      <c r="B3071" t="inlineStr">
        <is>
          <t>פולי קטטר לטקס ,2 דרכים, 14FR , מדיקפרו, 1 יח'</t>
        </is>
      </c>
      <c r="C3071" t="inlineStr">
        <is>
          <t>ציוד מתכלה</t>
        </is>
      </c>
      <c r="D3071" t="inlineStr">
        <is>
          <t>400-007</t>
        </is>
      </c>
      <c r="E3071" t="inlineStr">
        <is>
          <t>2026-06</t>
        </is>
      </c>
      <c r="F3071" t="n">
        <v>1.28</v>
      </c>
      <c r="G3071" t="n">
        <v>1.51</v>
      </c>
      <c r="H3071">
        <f>הגדרות!B7</f>
        <v/>
      </c>
      <c r="I3071">
        <f>F3071*(1-H3071/100)*1.18</f>
        <v/>
      </c>
      <c r="J3071">
        <f>הגדרות!C7</f>
        <v/>
      </c>
      <c r="K3071">
        <f>הגדרות!D7</f>
        <v/>
      </c>
      <c r="L3071">
        <f>I3071*(1+J3071/100)+K3071</f>
        <v/>
      </c>
    </row>
    <row r="3072">
      <c r="A3072" t="inlineStr">
        <is>
          <t>מדי-מרקט</t>
        </is>
      </c>
      <c r="B3072" t="inlineStr">
        <is>
          <t>פולי קטטר לטקס ,2 דרכים, 16FR , מדיקפרו, 1 יח'</t>
        </is>
      </c>
      <c r="C3072" t="inlineStr">
        <is>
          <t>ציוד מתכלה</t>
        </is>
      </c>
      <c r="D3072" t="inlineStr">
        <is>
          <t>400-008</t>
        </is>
      </c>
      <c r="E3072" t="inlineStr">
        <is>
          <t>2026-06</t>
        </is>
      </c>
      <c r="F3072" t="n">
        <v>1.2</v>
      </c>
      <c r="G3072" t="n">
        <v>1.42</v>
      </c>
      <c r="H3072">
        <f>הגדרות!B7</f>
        <v/>
      </c>
      <c r="I3072">
        <f>F3072*(1-H3072/100)*1.18</f>
        <v/>
      </c>
      <c r="J3072">
        <f>הגדרות!C7</f>
        <v/>
      </c>
      <c r="K3072">
        <f>הגדרות!D7</f>
        <v/>
      </c>
      <c r="L3072">
        <f>I3072*(1+J3072/100)+K3072</f>
        <v/>
      </c>
    </row>
    <row r="3073">
      <c r="A3073" t="inlineStr">
        <is>
          <t>מדי-מרקט</t>
        </is>
      </c>
      <c r="B3073" t="inlineStr">
        <is>
          <t>פולי קטטר לטקס ,2 דרכים, 18FR , מדיקפרו, 1 יח'</t>
        </is>
      </c>
      <c r="C3073" t="inlineStr">
        <is>
          <t>ציוד מתכלה</t>
        </is>
      </c>
      <c r="D3073" t="inlineStr">
        <is>
          <t>400-009</t>
        </is>
      </c>
      <c r="E3073" t="inlineStr">
        <is>
          <t>2026-06</t>
        </is>
      </c>
      <c r="F3073" t="n">
        <v>1.77</v>
      </c>
      <c r="G3073" t="n">
        <v>2.09</v>
      </c>
      <c r="H3073">
        <f>הגדרות!B7</f>
        <v/>
      </c>
      <c r="I3073">
        <f>F3073*(1-H3073/100)*1.18</f>
        <v/>
      </c>
      <c r="J3073">
        <f>הגדרות!C7</f>
        <v/>
      </c>
      <c r="K3073">
        <f>הגדרות!D7</f>
        <v/>
      </c>
      <c r="L3073">
        <f>I3073*(1+J3073/100)+K3073</f>
        <v/>
      </c>
    </row>
    <row r="3074">
      <c r="A3074" t="inlineStr">
        <is>
          <t>מדי-מרקט</t>
        </is>
      </c>
      <c r="B3074" t="inlineStr">
        <is>
          <t>פולי קטטר לטקס ,2 דרכים, 20FR , מדיקפרו, 1 יח'</t>
        </is>
      </c>
      <c r="C3074" t="inlineStr">
        <is>
          <t>ציוד מתכלה</t>
        </is>
      </c>
      <c r="D3074" t="inlineStr">
        <is>
          <t>400-010</t>
        </is>
      </c>
      <c r="E3074" t="inlineStr">
        <is>
          <t>2026-06</t>
        </is>
      </c>
      <c r="F3074" t="n">
        <v>1.82</v>
      </c>
      <c r="G3074" t="n">
        <v>2.15</v>
      </c>
      <c r="H3074">
        <f>הגדרות!B7</f>
        <v/>
      </c>
      <c r="I3074">
        <f>F3074*(1-H3074/100)*1.18</f>
        <v/>
      </c>
      <c r="J3074">
        <f>הגדרות!C7</f>
        <v/>
      </c>
      <c r="K3074">
        <f>הגדרות!D7</f>
        <v/>
      </c>
      <c r="L3074">
        <f>I3074*(1+J3074/100)+K3074</f>
        <v/>
      </c>
    </row>
    <row r="3075">
      <c r="A3075" t="inlineStr">
        <is>
          <t>מדי-מרקט</t>
        </is>
      </c>
      <c r="B3075" t="inlineStr">
        <is>
          <t>פולי קטטר לטקס ,2 דרכים, 22FR , מדיקפרו, 1 יח'</t>
        </is>
      </c>
      <c r="C3075" t="inlineStr">
        <is>
          <t>ציוד מתכלה</t>
        </is>
      </c>
      <c r="D3075" t="inlineStr">
        <is>
          <t>400-006</t>
        </is>
      </c>
      <c r="E3075" t="inlineStr">
        <is>
          <t>2026-06</t>
        </is>
      </c>
      <c r="F3075" t="n">
        <v>1.92</v>
      </c>
      <c r="G3075" t="n">
        <v>2.26</v>
      </c>
      <c r="H3075">
        <f>הגדרות!B7</f>
        <v/>
      </c>
      <c r="I3075">
        <f>F3075*(1-H3075/100)*1.18</f>
        <v/>
      </c>
      <c r="J3075">
        <f>הגדרות!C7</f>
        <v/>
      </c>
      <c r="K3075">
        <f>הגדרות!D7</f>
        <v/>
      </c>
      <c r="L3075">
        <f>I3075*(1+J3075/100)+K3075</f>
        <v/>
      </c>
    </row>
    <row r="3076">
      <c r="A3076" t="inlineStr">
        <is>
          <t>מדי-מרקט</t>
        </is>
      </c>
      <c r="B3076" t="inlineStr">
        <is>
          <t>פולי קטטר לטקס ,2 דרכים, 24FR , מדיקפרו, 1 יח'</t>
        </is>
      </c>
      <c r="C3076" t="inlineStr">
        <is>
          <t>ציוד מתכלה</t>
        </is>
      </c>
      <c r="D3076" t="inlineStr">
        <is>
          <t>400-011</t>
        </is>
      </c>
      <c r="E3076" t="inlineStr">
        <is>
          <t>2026-06</t>
        </is>
      </c>
      <c r="F3076" t="n">
        <v>1.92</v>
      </c>
      <c r="G3076" t="n">
        <v>2.27</v>
      </c>
      <c r="H3076">
        <f>הגדרות!B7</f>
        <v/>
      </c>
      <c r="I3076">
        <f>F3076*(1-H3076/100)*1.18</f>
        <v/>
      </c>
      <c r="J3076">
        <f>הגדרות!C7</f>
        <v/>
      </c>
      <c r="K3076">
        <f>הגדרות!D7</f>
        <v/>
      </c>
      <c r="L3076">
        <f>I3076*(1+J3076/100)+K3076</f>
        <v/>
      </c>
    </row>
    <row r="3077">
      <c r="A3077" t="inlineStr">
        <is>
          <t>מדי-מרקט</t>
        </is>
      </c>
      <c r="B3077" t="inlineStr">
        <is>
          <t>פולי קטטר לטקס ,2 דרכים, 26FR , מדיקפרו, 1 יח',בלונית 30 מל</t>
        </is>
      </c>
      <c r="C3077" t="inlineStr">
        <is>
          <t>ציוד מתכלה</t>
        </is>
      </c>
      <c r="D3077" t="inlineStr">
        <is>
          <t>400-019</t>
        </is>
      </c>
      <c r="E3077" t="inlineStr">
        <is>
          <t>2026-06</t>
        </is>
      </c>
      <c r="F3077" t="n">
        <v>1.64</v>
      </c>
      <c r="G3077" t="n">
        <v>1.94</v>
      </c>
      <c r="H3077">
        <f>הגדרות!B7</f>
        <v/>
      </c>
      <c r="I3077">
        <f>F3077*(1-H3077/100)*1.18</f>
        <v/>
      </c>
      <c r="J3077">
        <f>הגדרות!C7</f>
        <v/>
      </c>
      <c r="K3077">
        <f>הגדרות!D7</f>
        <v/>
      </c>
      <c r="L3077">
        <f>I3077*(1+J3077/100)+K3077</f>
        <v/>
      </c>
    </row>
    <row r="3078">
      <c r="A3078" t="inlineStr">
        <is>
          <t>מדי-מרקט</t>
        </is>
      </c>
      <c r="B3078" t="inlineStr">
        <is>
          <t>פולי קטטר סיליקון מדיקפרו 2 דרכים 14F</t>
        </is>
      </c>
      <c r="C3078" t="inlineStr">
        <is>
          <t>ציוד מתכלה</t>
        </is>
      </c>
      <c r="D3078" t="inlineStr">
        <is>
          <t>566364</t>
        </is>
      </c>
      <c r="E3078" t="inlineStr">
        <is>
          <t>2026-06</t>
        </is>
      </c>
      <c r="F3078" t="n">
        <v>4.47</v>
      </c>
      <c r="G3078" t="n">
        <v>5.28</v>
      </c>
      <c r="H3078">
        <f>הגדרות!B7</f>
        <v/>
      </c>
      <c r="I3078">
        <f>F3078*(1-H3078/100)*1.18</f>
        <v/>
      </c>
      <c r="J3078">
        <f>הגדרות!C7</f>
        <v/>
      </c>
      <c r="K3078">
        <f>הגדרות!D7</f>
        <v/>
      </c>
      <c r="L3078">
        <f>I3078*(1+J3078/100)+K3078</f>
        <v/>
      </c>
    </row>
    <row r="3079">
      <c r="A3079" t="inlineStr">
        <is>
          <t>מדי-מרקט</t>
        </is>
      </c>
      <c r="B3079" t="inlineStr">
        <is>
          <t>פולי קטטר סיליקון מדיקפרו 2 דרכים 16F</t>
        </is>
      </c>
      <c r="C3079" t="inlineStr">
        <is>
          <t>ציוד מתכלה</t>
        </is>
      </c>
      <c r="D3079" t="inlineStr">
        <is>
          <t>566365</t>
        </is>
      </c>
      <c r="E3079" t="inlineStr">
        <is>
          <t>2026-06</t>
        </is>
      </c>
      <c r="F3079" t="n">
        <v>3.86</v>
      </c>
      <c r="G3079" t="n">
        <v>4.55</v>
      </c>
      <c r="H3079">
        <f>הגדרות!B7</f>
        <v/>
      </c>
      <c r="I3079">
        <f>F3079*(1-H3079/100)*1.18</f>
        <v/>
      </c>
      <c r="J3079">
        <f>הגדרות!C7</f>
        <v/>
      </c>
      <c r="K3079">
        <f>הגדרות!D7</f>
        <v/>
      </c>
      <c r="L3079">
        <f>I3079*(1+J3079/100)+K3079</f>
        <v/>
      </c>
    </row>
    <row r="3080">
      <c r="A3080" t="inlineStr">
        <is>
          <t>מדי-מרקט</t>
        </is>
      </c>
      <c r="B3080" t="inlineStr">
        <is>
          <t>פולי קטטר סיליקון מדיקפרו 2 דרכים 18F</t>
        </is>
      </c>
      <c r="C3080" t="inlineStr">
        <is>
          <t>ציוד מתכלה</t>
        </is>
      </c>
      <c r="D3080" t="inlineStr">
        <is>
          <t>655326</t>
        </is>
      </c>
      <c r="E3080" t="inlineStr">
        <is>
          <t>2026-06</t>
        </is>
      </c>
      <c r="F3080" t="n">
        <v>3.75</v>
      </c>
      <c r="G3080" t="n">
        <v>4.42</v>
      </c>
      <c r="H3080">
        <f>הגדרות!B7</f>
        <v/>
      </c>
      <c r="I3080">
        <f>F3080*(1-H3080/100)*1.18</f>
        <v/>
      </c>
      <c r="J3080">
        <f>הגדרות!C7</f>
        <v/>
      </c>
      <c r="K3080">
        <f>הגדרות!D7</f>
        <v/>
      </c>
      <c r="L3080">
        <f>I3080*(1+J3080/100)+K3080</f>
        <v/>
      </c>
    </row>
    <row r="3081">
      <c r="A3081" t="inlineStr">
        <is>
          <t>מדי-מרקט</t>
        </is>
      </c>
      <c r="B3081" t="inlineStr">
        <is>
          <t>פולי קטטר סיליקון מדיקפרו 2 דרכים 20F</t>
        </is>
      </c>
      <c r="C3081" t="inlineStr">
        <is>
          <t>ציוד מתכלה</t>
        </is>
      </c>
      <c r="D3081" t="inlineStr">
        <is>
          <t>655423</t>
        </is>
      </c>
      <c r="E3081" t="inlineStr">
        <is>
          <t>2026-06</t>
        </is>
      </c>
      <c r="F3081" t="n">
        <v>3.86</v>
      </c>
      <c r="G3081" t="n">
        <v>4.55</v>
      </c>
      <c r="H3081">
        <f>הגדרות!B7</f>
        <v/>
      </c>
      <c r="I3081">
        <f>F3081*(1-H3081/100)*1.18</f>
        <v/>
      </c>
      <c r="J3081">
        <f>הגדרות!C7</f>
        <v/>
      </c>
      <c r="K3081">
        <f>הגדרות!D7</f>
        <v/>
      </c>
      <c r="L3081">
        <f>I3081*(1+J3081/100)+K3081</f>
        <v/>
      </c>
    </row>
    <row r="3082">
      <c r="A3082" t="inlineStr">
        <is>
          <t>מדי-מרקט</t>
        </is>
      </c>
      <c r="B3082" t="inlineStr">
        <is>
          <t>פולי קטטר סיליקון מדיקפרו 2 דרכים 22F</t>
        </is>
      </c>
      <c r="C3082" t="inlineStr">
        <is>
          <t>ציוד מתכלה</t>
        </is>
      </c>
      <c r="D3082" t="inlineStr">
        <is>
          <t>633265</t>
        </is>
      </c>
      <c r="E3082" t="inlineStr">
        <is>
          <t>2026-06</t>
        </is>
      </c>
      <c r="F3082" t="n">
        <v>3.63</v>
      </c>
      <c r="G3082" t="n">
        <v>4.28</v>
      </c>
      <c r="H3082">
        <f>הגדרות!B7</f>
        <v/>
      </c>
      <c r="I3082">
        <f>F3082*(1-H3082/100)*1.18</f>
        <v/>
      </c>
      <c r="J3082">
        <f>הגדרות!C7</f>
        <v/>
      </c>
      <c r="K3082">
        <f>הגדרות!D7</f>
        <v/>
      </c>
      <c r="L3082">
        <f>I3082*(1+J3082/100)+K3082</f>
        <v/>
      </c>
    </row>
    <row r="3083">
      <c r="A3083" t="inlineStr">
        <is>
          <t>מדי-מרקט</t>
        </is>
      </c>
      <c r="B3083" t="inlineStr">
        <is>
          <t>פולידין אלכוהול טינקטורה POVIDONE IODINE 10% 1 ליטר</t>
        </is>
      </c>
      <c r="C3083" t="inlineStr">
        <is>
          <t>מוצרי חיטוי ואנטיספטיקה</t>
        </is>
      </c>
      <c r="D3083" t="inlineStr">
        <is>
          <t>6556</t>
        </is>
      </c>
      <c r="E3083" t="inlineStr">
        <is>
          <t>2026-06</t>
        </is>
      </c>
      <c r="F3083" t="n">
        <v>38.9</v>
      </c>
      <c r="G3083" t="n">
        <v>45.9</v>
      </c>
      <c r="H3083">
        <f>הגדרות!B7</f>
        <v/>
      </c>
      <c r="I3083">
        <f>F3083*(1-H3083/100)*1.18</f>
        <v/>
      </c>
      <c r="J3083">
        <f>הגדרות!C7</f>
        <v/>
      </c>
      <c r="K3083">
        <f>הגדרות!D7</f>
        <v/>
      </c>
      <c r="L3083">
        <f>I3083*(1+J3083/100)+K3083</f>
        <v/>
      </c>
    </row>
    <row r="3084">
      <c r="A3084" t="inlineStr">
        <is>
          <t>מדי-מרקט</t>
        </is>
      </c>
      <c r="B3084" t="inlineStr">
        <is>
          <t>פוסיד FUROSEMIDE 4MG 100 CPS (נופק ע"י בית מרקחת)</t>
        </is>
      </c>
      <c r="C3084" t="inlineStr">
        <is>
          <t>הכנות בית מרקחת</t>
        </is>
      </c>
      <c r="D3084" t="inlineStr">
        <is>
          <t>16796</t>
        </is>
      </c>
      <c r="E3084" t="inlineStr">
        <is>
          <t>2026-06</t>
        </is>
      </c>
      <c r="F3084" t="n">
        <v>84.75</v>
      </c>
      <c r="G3084" t="n">
        <v>100</v>
      </c>
      <c r="H3084">
        <f>הגדרות!B7</f>
        <v/>
      </c>
      <c r="I3084">
        <f>F3084*(1-H3084/100)*1.18</f>
        <v/>
      </c>
      <c r="J3084">
        <f>הגדרות!C7</f>
        <v/>
      </c>
      <c r="K3084">
        <f>הגדרות!D7</f>
        <v/>
      </c>
      <c r="L3084">
        <f>I3084*(1+J3084/100)+K3084</f>
        <v/>
      </c>
    </row>
    <row r="3085">
      <c r="A3085" t="inlineStr">
        <is>
          <t>מדי-מרקט</t>
        </is>
      </c>
      <c r="B3085" t="inlineStr">
        <is>
          <t>פוסידין קרם 30גרם  Fucidin Cream 20Gm/Gr</t>
        </is>
      </c>
      <c r="C3085" t="inlineStr">
        <is>
          <t>תרופות</t>
        </is>
      </c>
      <c r="D3085" t="inlineStr">
        <is>
          <t>0631</t>
        </is>
      </c>
      <c r="E3085" t="inlineStr">
        <is>
          <t>2026-06</t>
        </is>
      </c>
      <c r="F3085" t="n">
        <v>27.92</v>
      </c>
      <c r="G3085" t="n">
        <v>32.94</v>
      </c>
      <c r="H3085">
        <f>הגדרות!B7</f>
        <v/>
      </c>
      <c r="I3085">
        <f>F3085*(1-H3085/100)*1.18</f>
        <v/>
      </c>
      <c r="J3085">
        <f>הגדרות!C7</f>
        <v/>
      </c>
      <c r="K3085">
        <f>הגדרות!D7</f>
        <v/>
      </c>
      <c r="L3085">
        <f>I3085*(1+J3085/100)+K3085</f>
        <v/>
      </c>
    </row>
    <row r="3086">
      <c r="A3086" t="inlineStr">
        <is>
          <t>מדי-מרקט</t>
        </is>
      </c>
      <c r="B3086" t="inlineStr">
        <is>
          <t>פורוסמיד סאלפ Furosemide 250Mg/25 * 5;</t>
        </is>
      </c>
      <c r="C3086" t="inlineStr">
        <is>
          <t>תרופות</t>
        </is>
      </c>
      <c r="D3086" t="inlineStr">
        <is>
          <t>875</t>
        </is>
      </c>
      <c r="E3086" t="inlineStr">
        <is>
          <t>2026-06</t>
        </is>
      </c>
      <c r="F3086" t="n">
        <v>38.9</v>
      </c>
      <c r="G3086" t="n">
        <v>45.9</v>
      </c>
      <c r="H3086">
        <f>הגדרות!B7</f>
        <v/>
      </c>
      <c r="I3086">
        <f>F3086*(1-H3086/100)*1.18</f>
        <v/>
      </c>
      <c r="J3086">
        <f>הגדרות!C7</f>
        <v/>
      </c>
      <c r="K3086">
        <f>הגדרות!D7</f>
        <v/>
      </c>
      <c r="L3086">
        <f>I3086*(1+J3086/100)+K3086</f>
        <v/>
      </c>
    </row>
    <row r="3087">
      <c r="A3087" t="inlineStr">
        <is>
          <t>מדי-מרקט</t>
        </is>
      </c>
      <c r="B3087" t="inlineStr">
        <is>
          <t>פורמלין 10% 1 ליטר (4% פורמלדהייד) FORMALDEHYDE</t>
        </is>
      </c>
      <c r="C3087" t="inlineStr">
        <is>
          <t>מוצרי חיטוי ואנטיספטיקה</t>
        </is>
      </c>
      <c r="D3087" t="inlineStr">
        <is>
          <t>1114</t>
        </is>
      </c>
      <c r="E3087" t="inlineStr">
        <is>
          <t>2026-06</t>
        </is>
      </c>
      <c r="F3087" t="n">
        <v>10.93</v>
      </c>
      <c r="G3087" t="n">
        <v>12.9</v>
      </c>
      <c r="H3087">
        <f>הגדרות!B7</f>
        <v/>
      </c>
      <c r="I3087">
        <f>F3087*(1-H3087/100)*1.18</f>
        <v/>
      </c>
      <c r="J3087">
        <f>הגדרות!C7</f>
        <v/>
      </c>
      <c r="K3087">
        <f>הגדרות!D7</f>
        <v/>
      </c>
      <c r="L3087">
        <f>I3087*(1+J3087/100)+K3087</f>
        <v/>
      </c>
    </row>
    <row r="3088">
      <c r="A3088" t="inlineStr">
        <is>
          <t>מדי-מרקט</t>
        </is>
      </c>
      <c r="B3088" t="inlineStr">
        <is>
          <t>פחם פעיל 1 ק"ג Activated charcoal</t>
        </is>
      </c>
      <c r="C3088" t="inlineStr">
        <is>
          <t>מוצרי חיטוי ואנטיספטיקה</t>
        </is>
      </c>
      <c r="D3088" t="inlineStr">
        <is>
          <t>66123</t>
        </is>
      </c>
      <c r="E3088" t="inlineStr">
        <is>
          <t>2026-06</t>
        </is>
      </c>
      <c r="F3088" t="n">
        <v>122.88</v>
      </c>
      <c r="G3088" t="n">
        <v>145</v>
      </c>
      <c r="H3088">
        <f>הגדרות!B7</f>
        <v/>
      </c>
      <c r="I3088">
        <f>F3088*(1-H3088/100)*1.18</f>
        <v/>
      </c>
      <c r="J3088">
        <f>הגדרות!C7</f>
        <v/>
      </c>
      <c r="K3088">
        <f>הגדרות!D7</f>
        <v/>
      </c>
      <c r="L3088">
        <f>I3088*(1+J3088/100)+K3088</f>
        <v/>
      </c>
    </row>
    <row r="3089">
      <c r="A3089" t="inlineStr">
        <is>
          <t>מדי-מרקט</t>
        </is>
      </c>
      <c r="B3089" t="inlineStr">
        <is>
          <t>פחם פעיל 250 ג' Activated charcoa</t>
        </is>
      </c>
      <c r="C3089" t="inlineStr">
        <is>
          <t>מוצרי חיטוי ואנטיספטיקה</t>
        </is>
      </c>
      <c r="D3089" t="inlineStr">
        <is>
          <t>66123-1</t>
        </is>
      </c>
      <c r="E3089" t="inlineStr">
        <is>
          <t>2026-06</t>
        </is>
      </c>
      <c r="F3089" t="n">
        <v>29.66</v>
      </c>
      <c r="G3089" t="n">
        <v>35</v>
      </c>
      <c r="H3089">
        <f>הגדרות!B7</f>
        <v/>
      </c>
      <c r="I3089">
        <f>F3089*(1-H3089/100)*1.18</f>
        <v/>
      </c>
      <c r="J3089">
        <f>הגדרות!C7</f>
        <v/>
      </c>
      <c r="K3089">
        <f>הגדרות!D7</f>
        <v/>
      </c>
      <c r="L3089">
        <f>I3089*(1+J3089/100)+K3089</f>
        <v/>
      </c>
    </row>
    <row r="3090">
      <c r="A3090" t="inlineStr">
        <is>
          <t>מדי-מרקט</t>
        </is>
      </c>
      <c r="B3090" t="inlineStr">
        <is>
          <t>פיטידנט דבק לתותבות 40 גרם</t>
        </is>
      </c>
      <c r="C3090" t="inlineStr">
        <is>
          <t>מוצרי חיטוי ואנטיספטיקה</t>
        </is>
      </c>
      <c r="D3090" t="inlineStr">
        <is>
          <t>160510</t>
        </is>
      </c>
      <c r="E3090" t="inlineStr">
        <is>
          <t>2026-06</t>
        </is>
      </c>
      <c r="F3090" t="n">
        <v>14.62</v>
      </c>
      <c r="G3090" t="n">
        <v>17.25</v>
      </c>
      <c r="H3090">
        <f>הגדרות!B7</f>
        <v/>
      </c>
      <c r="I3090">
        <f>F3090*(1-H3090/100)*1.18</f>
        <v/>
      </c>
      <c r="J3090">
        <f>הגדרות!C7</f>
        <v/>
      </c>
      <c r="K3090">
        <f>הגדרות!D7</f>
        <v/>
      </c>
      <c r="L3090">
        <f>I3090*(1+J3090/100)+K3090</f>
        <v/>
      </c>
    </row>
    <row r="3091">
      <c r="A3091" t="inlineStr">
        <is>
          <t>מדי-מרקט</t>
        </is>
      </c>
      <c r="B3091" t="inlineStr">
        <is>
          <t>פיטידנט טבליות ניקוי 32 י"ח</t>
        </is>
      </c>
      <c r="C3091" t="inlineStr">
        <is>
          <t>מוצרי חיטוי ואנטיספטיקה</t>
        </is>
      </c>
      <c r="D3091" t="inlineStr">
        <is>
          <t>160530</t>
        </is>
      </c>
      <c r="E3091" t="inlineStr">
        <is>
          <t>2026-06</t>
        </is>
      </c>
      <c r="F3091" t="n">
        <v>8.01</v>
      </c>
      <c r="G3091" t="n">
        <v>9.449999999999999</v>
      </c>
      <c r="H3091">
        <f>הגדרות!B7</f>
        <v/>
      </c>
      <c r="I3091">
        <f>F3091*(1-H3091/100)*1.18</f>
        <v/>
      </c>
      <c r="J3091">
        <f>הגדרות!C7</f>
        <v/>
      </c>
      <c r="K3091">
        <f>הגדרות!D7</f>
        <v/>
      </c>
      <c r="L3091">
        <f>I3091*(1+J3091/100)+K3091</f>
        <v/>
      </c>
    </row>
    <row r="3092">
      <c r="A3092" t="inlineStr">
        <is>
          <t>מדי-מרקט</t>
        </is>
      </c>
      <c r="B3092" t="inlineStr">
        <is>
          <t>פילטר (מסנן) ויראלי להנשמה לילד HME, מדיקפרו</t>
        </is>
      </c>
      <c r="C3092" t="inlineStr">
        <is>
          <t>ציוד מתכלה</t>
        </is>
      </c>
      <c r="D3092" t="inlineStr">
        <is>
          <t>860142</t>
        </is>
      </c>
      <c r="E3092" t="inlineStr">
        <is>
          <t>2026-06</t>
        </is>
      </c>
      <c r="F3092" t="n">
        <v>5.49</v>
      </c>
      <c r="G3092" t="n">
        <v>6.48</v>
      </c>
      <c r="H3092">
        <f>הגדרות!B7</f>
        <v/>
      </c>
      <c r="I3092">
        <f>F3092*(1-H3092/100)*1.18</f>
        <v/>
      </c>
      <c r="J3092">
        <f>הגדרות!C7</f>
        <v/>
      </c>
      <c r="K3092">
        <f>הגדרות!D7</f>
        <v/>
      </c>
      <c r="L3092">
        <f>I3092*(1+J3092/100)+K3092</f>
        <v/>
      </c>
    </row>
    <row r="3093">
      <c r="A3093" t="inlineStr">
        <is>
          <t>מדי-מרקט</t>
        </is>
      </c>
      <c r="B3093" t="inlineStr">
        <is>
          <t>פילטר (מסנן) ויראלי להנשמה למבוגר, מדיקפרו</t>
        </is>
      </c>
      <c r="C3093" t="inlineStr">
        <is>
          <t>ציוד מתכלה</t>
        </is>
      </c>
      <c r="D3093" t="inlineStr">
        <is>
          <t>86556</t>
        </is>
      </c>
      <c r="E3093" t="inlineStr">
        <is>
          <t>2026-06</t>
        </is>
      </c>
      <c r="F3093" t="n">
        <v>3.01</v>
      </c>
      <c r="G3093" t="n">
        <v>3.55</v>
      </c>
      <c r="H3093">
        <f>הגדרות!B7</f>
        <v/>
      </c>
      <c r="I3093">
        <f>F3093*(1-H3093/100)*1.18</f>
        <v/>
      </c>
      <c r="J3093">
        <f>הגדרות!C7</f>
        <v/>
      </c>
      <c r="K3093">
        <f>הגדרות!D7</f>
        <v/>
      </c>
      <c r="L3093">
        <f>I3093*(1+J3093/100)+K3093</f>
        <v/>
      </c>
    </row>
    <row r="3094">
      <c r="A3094" t="inlineStr">
        <is>
          <t>מדי-מרקט</t>
        </is>
      </c>
      <c r="B3094" t="inlineStr">
        <is>
          <t>פילטר בקטריאלי מחולל עם צינור</t>
        </is>
      </c>
      <c r="C3094" t="inlineStr">
        <is>
          <t>ציוד מתכלה</t>
        </is>
      </c>
      <c r="D3094" t="inlineStr">
        <is>
          <t>4546-1</t>
        </is>
      </c>
      <c r="E3094" t="inlineStr">
        <is>
          <t>2026-06</t>
        </is>
      </c>
      <c r="F3094" t="n">
        <v>12.71</v>
      </c>
      <c r="G3094" t="n">
        <v>15</v>
      </c>
      <c r="H3094">
        <f>הגדרות!B7</f>
        <v/>
      </c>
      <c r="I3094">
        <f>F3094*(1-H3094/100)*1.18</f>
        <v/>
      </c>
      <c r="J3094">
        <f>הגדרות!C7</f>
        <v/>
      </c>
      <c r="K3094">
        <f>הגדרות!D7</f>
        <v/>
      </c>
      <c r="L3094">
        <f>I3094*(1+J3094/100)+K3094</f>
        <v/>
      </c>
    </row>
    <row r="3095">
      <c r="A3095" t="inlineStr">
        <is>
          <t>מדי-מרקט</t>
        </is>
      </c>
      <c r="B3095" t="inlineStr">
        <is>
          <t>פילטר בקטריאלי מחולל/סקשיין חשמלי 1344007S</t>
        </is>
      </c>
      <c r="C3095" t="inlineStr">
        <is>
          <t>ציוד מתכלה</t>
        </is>
      </c>
      <c r="D3095" t="inlineStr">
        <is>
          <t>4546</t>
        </is>
      </c>
      <c r="E3095" t="inlineStr">
        <is>
          <t>2026-06</t>
        </is>
      </c>
      <c r="F3095" t="n">
        <v>12.71</v>
      </c>
      <c r="G3095" t="n">
        <v>15</v>
      </c>
      <c r="H3095">
        <f>הגדרות!B7</f>
        <v/>
      </c>
      <c r="I3095">
        <f>F3095*(1-H3095/100)*1.18</f>
        <v/>
      </c>
      <c r="J3095">
        <f>הגדרות!C7</f>
        <v/>
      </c>
      <c r="K3095">
        <f>הגדרות!D7</f>
        <v/>
      </c>
      <c r="L3095">
        <f>I3095*(1+J3095/100)+K3095</f>
        <v/>
      </c>
    </row>
    <row r="3096">
      <c r="A3096" t="inlineStr">
        <is>
          <t>מדי-מרקט</t>
        </is>
      </c>
      <c r="B3096" t="inlineStr">
        <is>
          <t>פילטר ויראלי להרדמה עם מאריך HME מדיקפרו</t>
        </is>
      </c>
      <c r="C3096" t="inlineStr">
        <is>
          <t>ציוד מתכלה</t>
        </is>
      </c>
      <c r="D3096" t="inlineStr">
        <is>
          <t>6589</t>
        </is>
      </c>
      <c r="E3096" t="inlineStr">
        <is>
          <t>2026-06</t>
        </is>
      </c>
      <c r="F3096" t="n">
        <v>4.12</v>
      </c>
      <c r="G3096" t="n">
        <v>4.86</v>
      </c>
      <c r="H3096">
        <f>הגדרות!B7</f>
        <v/>
      </c>
      <c r="I3096">
        <f>F3096*(1-H3096/100)*1.18</f>
        <v/>
      </c>
      <c r="J3096">
        <f>הגדרות!C7</f>
        <v/>
      </c>
      <c r="K3096">
        <f>הגדרות!D7</f>
        <v/>
      </c>
      <c r="L3096">
        <f>I3096*(1+J3096/100)+K3096</f>
        <v/>
      </c>
    </row>
    <row r="3097">
      <c r="A3097" t="inlineStr">
        <is>
          <t>מדי-מרקט</t>
        </is>
      </c>
      <c r="B3097" t="inlineStr">
        <is>
          <t>פילטר מדחס למחולל חמצן</t>
        </is>
      </c>
      <c r="C3097" t="inlineStr">
        <is>
          <t>דיאגנוסטיקה</t>
        </is>
      </c>
      <c r="D3097" t="inlineStr">
        <is>
          <t>C19001332</t>
        </is>
      </c>
      <c r="E3097" t="inlineStr">
        <is>
          <t>2026-06</t>
        </is>
      </c>
      <c r="F3097" t="n">
        <v>63.56</v>
      </c>
      <c r="G3097" t="n">
        <v>75</v>
      </c>
      <c r="H3097">
        <f>הגדרות!B7</f>
        <v/>
      </c>
      <c r="I3097">
        <f>F3097*(1-H3097/100)*1.18</f>
        <v/>
      </c>
      <c r="J3097">
        <f>הגדרות!C7</f>
        <v/>
      </c>
      <c r="K3097">
        <f>הגדרות!D7</f>
        <v/>
      </c>
      <c r="L3097">
        <f>I3097*(1+J3097/100)+K3097</f>
        <v/>
      </c>
    </row>
    <row r="3098">
      <c r="A3098" t="inlineStr">
        <is>
          <t>מדי-מרקט</t>
        </is>
      </c>
      <c r="B3098" t="inlineStr">
        <is>
          <t>פינגר טיפ סטרילי 100 יח' ,מדיקפרו</t>
        </is>
      </c>
      <c r="C3098" t="inlineStr">
        <is>
          <t>ציוד מתכלה</t>
        </is>
      </c>
      <c r="D3098" t="inlineStr">
        <is>
          <t>3450</t>
        </is>
      </c>
      <c r="E3098" t="inlineStr">
        <is>
          <t>2026-06</t>
        </is>
      </c>
      <c r="F3098" t="n">
        <v>24.79</v>
      </c>
      <c r="G3098" t="n">
        <v>29.25</v>
      </c>
      <c r="H3098">
        <f>הגדרות!B7</f>
        <v/>
      </c>
      <c r="I3098">
        <f>F3098*(1-H3098/100)*1.18</f>
        <v/>
      </c>
      <c r="J3098">
        <f>הגדרות!C7</f>
        <v/>
      </c>
      <c r="K3098">
        <f>הגדרות!D7</f>
        <v/>
      </c>
      <c r="L3098">
        <f>I3098*(1+J3098/100)+K3098</f>
        <v/>
      </c>
    </row>
    <row r="3099">
      <c r="A3099" t="inlineStr">
        <is>
          <t>מדי-מרקט</t>
        </is>
      </c>
      <c r="B3099" t="inlineStr">
        <is>
          <t>פלורסאין טסט 100 יח'  Fluoro Touch</t>
        </is>
      </c>
      <c r="C3099" t="inlineStr">
        <is>
          <t>ציוד מעבדתי</t>
        </is>
      </c>
      <c r="D3099" t="inlineStr">
        <is>
          <t>55039</t>
        </is>
      </c>
      <c r="E3099" t="inlineStr">
        <is>
          <t>2026-06</t>
        </is>
      </c>
      <c r="F3099" t="n">
        <v>48.9</v>
      </c>
      <c r="G3099" t="n">
        <v>57.7</v>
      </c>
      <c r="H3099">
        <f>הגדרות!B7</f>
        <v/>
      </c>
      <c r="I3099">
        <f>F3099*(1-H3099/100)*1.18</f>
        <v/>
      </c>
      <c r="J3099">
        <f>הגדרות!C7</f>
        <v/>
      </c>
      <c r="K3099">
        <f>הגדרות!D7</f>
        <v/>
      </c>
      <c r="L3099">
        <f>I3099*(1+J3099/100)+K3099</f>
        <v/>
      </c>
    </row>
    <row r="3100">
      <c r="A3100" t="inlineStr">
        <is>
          <t>מדי-מרקט</t>
        </is>
      </c>
      <c r="B3100" t="inlineStr">
        <is>
          <t>פלסטלינה לקפילרות</t>
        </is>
      </c>
      <c r="C3100" t="inlineStr">
        <is>
          <t>ציוד מעבדתי</t>
        </is>
      </c>
      <c r="D3100" t="inlineStr">
        <is>
          <t>47069</t>
        </is>
      </c>
      <c r="E3100" t="inlineStr">
        <is>
          <t>2026-06</t>
        </is>
      </c>
      <c r="F3100" t="n">
        <v>63.59</v>
      </c>
      <c r="G3100" t="n">
        <v>75.04000000000001</v>
      </c>
      <c r="H3100">
        <f>הגדרות!B7</f>
        <v/>
      </c>
      <c r="I3100">
        <f>F3100*(1-H3100/100)*1.18</f>
        <v/>
      </c>
      <c r="J3100">
        <f>הגדרות!C7</f>
        <v/>
      </c>
      <c r="K3100">
        <f>הגדרות!D7</f>
        <v/>
      </c>
      <c r="L3100">
        <f>I3100*(1+J3100/100)+K3100</f>
        <v/>
      </c>
    </row>
    <row r="3101">
      <c r="A3101" t="inlineStr">
        <is>
          <t>מדי-מרקט</t>
        </is>
      </c>
      <c r="B3101" t="inlineStr">
        <is>
          <t>פלסטר Premium נגד כאבים , Medrull , 9X14</t>
        </is>
      </c>
      <c r="C3101" t="inlineStr">
        <is>
          <t>מוצרי חבישה ופלסטרים</t>
        </is>
      </c>
      <c r="D3101" t="inlineStr">
        <is>
          <t>152100</t>
        </is>
      </c>
      <c r="E3101" t="inlineStr">
        <is>
          <t>2026-06</t>
        </is>
      </c>
      <c r="F3101" t="n">
        <v>3.81</v>
      </c>
      <c r="G3101" t="n">
        <v>4.5</v>
      </c>
      <c r="H3101">
        <f>הגדרות!B7</f>
        <v/>
      </c>
      <c r="I3101">
        <f>F3101*(1-H3101/100)*1.18</f>
        <v/>
      </c>
      <c r="J3101">
        <f>הגדרות!C7</f>
        <v/>
      </c>
      <c r="K3101">
        <f>הגדרות!D7</f>
        <v/>
      </c>
      <c r="L3101">
        <f>I3101*(1+J3101/100)+K3101</f>
        <v/>
      </c>
    </row>
    <row r="3102">
      <c r="A3102" t="inlineStr">
        <is>
          <t>מדי-מרקט</t>
        </is>
      </c>
      <c r="B3102" t="inlineStr">
        <is>
          <t>פלסטר אלוורה Medrull, 1/20</t>
        </is>
      </c>
      <c r="C3102" t="inlineStr">
        <is>
          <t>מוצרי חבישה ופלסטרים</t>
        </is>
      </c>
      <c r="D3102" t="inlineStr">
        <is>
          <t>85551</t>
        </is>
      </c>
      <c r="E3102" t="inlineStr">
        <is>
          <t>2026-06</t>
        </is>
      </c>
      <c r="F3102" t="n">
        <v>3.22</v>
      </c>
      <c r="G3102" t="n">
        <v>3.8</v>
      </c>
      <c r="H3102">
        <f>הגדרות!B7</f>
        <v/>
      </c>
      <c r="I3102">
        <f>F3102*(1-H3102/100)*1.18</f>
        <v/>
      </c>
      <c r="J3102">
        <f>הגדרות!C7</f>
        <v/>
      </c>
      <c r="K3102">
        <f>הגדרות!D7</f>
        <v/>
      </c>
      <c r="L3102">
        <f>I3102*(1+J3102/100)+K3102</f>
        <v/>
      </c>
    </row>
    <row r="3103">
      <c r="A3103" t="inlineStr">
        <is>
          <t>מדי-מרקט</t>
        </is>
      </c>
      <c r="B3103" t="inlineStr">
        <is>
          <t>פלסטר בד חום 2.5 ס"מ 10 X מטר, מארז 12 יחידות, מדיקפרו</t>
        </is>
      </c>
      <c r="C3103" t="inlineStr">
        <is>
          <t>מוצרי חבישה ופלסטרים</t>
        </is>
      </c>
      <c r="D3103" t="inlineStr">
        <is>
          <t>500-102</t>
        </is>
      </c>
      <c r="E3103" t="inlineStr">
        <is>
          <t>2026-06</t>
        </is>
      </c>
      <c r="F3103" t="n">
        <v>30.84</v>
      </c>
      <c r="G3103" t="n">
        <v>36.39</v>
      </c>
      <c r="H3103">
        <f>הגדרות!B7</f>
        <v/>
      </c>
      <c r="I3103">
        <f>F3103*(1-H3103/100)*1.18</f>
        <v/>
      </c>
      <c r="J3103">
        <f>הגדרות!C7</f>
        <v/>
      </c>
      <c r="K3103">
        <f>הגדרות!D7</f>
        <v/>
      </c>
      <c r="L3103">
        <f>I3103*(1+J3103/100)+K3103</f>
        <v/>
      </c>
    </row>
    <row r="3104">
      <c r="A3104" t="inlineStr">
        <is>
          <t>מדי-מרקט</t>
        </is>
      </c>
      <c r="B3104" t="inlineStr">
        <is>
          <t>פלסטר בד חום 5 ס"מ 10 X מטר, מארז 6 יחידות, מדיקפרו</t>
        </is>
      </c>
      <c r="C3104" t="inlineStr">
        <is>
          <t>מוצרי חבישה ופלסטרים</t>
        </is>
      </c>
      <c r="D3104" t="inlineStr">
        <is>
          <t>500-103</t>
        </is>
      </c>
      <c r="E3104" t="inlineStr">
        <is>
          <t>2026-06</t>
        </is>
      </c>
      <c r="F3104" t="n">
        <v>32.42</v>
      </c>
      <c r="G3104" t="n">
        <v>38.26</v>
      </c>
      <c r="H3104">
        <f>הגדרות!B7</f>
        <v/>
      </c>
      <c r="I3104">
        <f>F3104*(1-H3104/100)*1.18</f>
        <v/>
      </c>
      <c r="J3104">
        <f>הגדרות!C7</f>
        <v/>
      </c>
      <c r="K3104">
        <f>הגדרות!D7</f>
        <v/>
      </c>
      <c r="L3104">
        <f>I3104*(1+J3104/100)+K3104</f>
        <v/>
      </c>
    </row>
    <row r="3105">
      <c r="A3105" t="inlineStr">
        <is>
          <t>מדי-מרקט</t>
        </is>
      </c>
      <c r="B3105" t="inlineStr">
        <is>
          <t>פלסטר בד חום 5 ס"מ 5 X מטר, מארז 1 יחידה CANSIN</t>
        </is>
      </c>
      <c r="C3105" t="inlineStr">
        <is>
          <t>מוצרי חבישה ופלסטרים</t>
        </is>
      </c>
      <c r="D3105" t="inlineStr">
        <is>
          <t>80-129</t>
        </is>
      </c>
      <c r="E3105" t="inlineStr">
        <is>
          <t>2026-06</t>
        </is>
      </c>
      <c r="F3105" t="n">
        <v>2.43</v>
      </c>
      <c r="G3105" t="n">
        <v>2.87</v>
      </c>
      <c r="H3105">
        <f>הגדרות!B7</f>
        <v/>
      </c>
      <c r="I3105">
        <f>F3105*(1-H3105/100)*1.18</f>
        <v/>
      </c>
      <c r="J3105">
        <f>הגדרות!C7</f>
        <v/>
      </c>
      <c r="K3105">
        <f>הגדרות!D7</f>
        <v/>
      </c>
      <c r="L3105">
        <f>I3105*(1+J3105/100)+K3105</f>
        <v/>
      </c>
    </row>
    <row r="3106">
      <c r="A3106" t="inlineStr">
        <is>
          <t>מדי-מרקט</t>
        </is>
      </c>
      <c r="B3106" t="inlineStr">
        <is>
          <t>פלסטר בד צבעוני וטר'/ספורט 3.8 ס"מ 10 X מטר, 1 יח' CANSIN</t>
        </is>
      </c>
      <c r="C3106" t="inlineStr">
        <is>
          <t>מוצרי חבישה ופלסטרים</t>
        </is>
      </c>
      <c r="D3106" t="inlineStr">
        <is>
          <t>500-110B</t>
        </is>
      </c>
      <c r="E3106" t="inlineStr">
        <is>
          <t>2026-06</t>
        </is>
      </c>
      <c r="F3106" t="n">
        <v>5.08</v>
      </c>
      <c r="G3106" t="n">
        <v>6</v>
      </c>
      <c r="H3106">
        <f>הגדרות!B7</f>
        <v/>
      </c>
      <c r="I3106">
        <f>F3106*(1-H3106/100)*1.18</f>
        <v/>
      </c>
      <c r="J3106">
        <f>הגדרות!C7</f>
        <v/>
      </c>
      <c r="K3106">
        <f>הגדרות!D7</f>
        <v/>
      </c>
      <c r="L3106">
        <f>I3106*(1+J3106/100)+K3106</f>
        <v/>
      </c>
    </row>
    <row r="3107">
      <c r="A3107" t="inlineStr">
        <is>
          <t>מדי-מרקט</t>
        </is>
      </c>
      <c r="B3107" t="inlineStr">
        <is>
          <t>פלסטר בד צינק לבן בגליל 2.5ס"מ*5 מ' פיקס</t>
        </is>
      </c>
      <c r="C3107" t="inlineStr">
        <is>
          <t>מוצרי חבישה ופלסטרים</t>
        </is>
      </c>
      <c r="D3107" t="inlineStr">
        <is>
          <t>39937</t>
        </is>
      </c>
      <c r="E3107" t="inlineStr">
        <is>
          <t>2026-06</t>
        </is>
      </c>
      <c r="F3107" t="n">
        <v>5.25</v>
      </c>
      <c r="G3107" t="n">
        <v>6.2</v>
      </c>
      <c r="H3107">
        <f>הגדרות!B7</f>
        <v/>
      </c>
      <c r="I3107">
        <f>F3107*(1-H3107/100)*1.18</f>
        <v/>
      </c>
      <c r="J3107">
        <f>הגדרות!C7</f>
        <v/>
      </c>
      <c r="K3107">
        <f>הגדרות!D7</f>
        <v/>
      </c>
      <c r="L3107">
        <f>I3107*(1+J3107/100)+K3107</f>
        <v/>
      </c>
    </row>
    <row r="3108">
      <c r="A3108" t="inlineStr">
        <is>
          <t>מדי-מרקט</t>
        </is>
      </c>
      <c r="B3108" t="inlineStr">
        <is>
          <t>פלסטר דורפור "2.5 3M 1 ס"מ 9.1 X מטר 12 יחידות 1538-1</t>
        </is>
      </c>
      <c r="C3108" t="inlineStr">
        <is>
          <t>מוצרי חבישה ופלסטרים</t>
        </is>
      </c>
      <c r="D3108" t="inlineStr">
        <is>
          <t>1169</t>
        </is>
      </c>
      <c r="E3108" t="inlineStr">
        <is>
          <t>2026-06</t>
        </is>
      </c>
      <c r="F3108" t="n">
        <v>80.48</v>
      </c>
      <c r="G3108" t="n">
        <v>94.97</v>
      </c>
      <c r="H3108">
        <f>הגדרות!B7</f>
        <v/>
      </c>
      <c r="I3108">
        <f>F3108*(1-H3108/100)*1.18</f>
        <v/>
      </c>
      <c r="J3108">
        <f>הגדרות!C7</f>
        <v/>
      </c>
      <c r="K3108">
        <f>הגדרות!D7</f>
        <v/>
      </c>
      <c r="L3108">
        <f>I3108*(1+J3108/100)+K3108</f>
        <v/>
      </c>
    </row>
    <row r="3109">
      <c r="A3109" t="inlineStr">
        <is>
          <t>מדי-מרקט</t>
        </is>
      </c>
      <c r="B3109" t="inlineStr">
        <is>
          <t>פלסטר טרנספור  "3M 1/2 מק"ט 1527-0  1/24</t>
        </is>
      </c>
      <c r="C3109" t="inlineStr">
        <is>
          <t>מוצרי חבישה ופלסטרים</t>
        </is>
      </c>
      <c r="D3109" t="inlineStr">
        <is>
          <t>329025</t>
        </is>
      </c>
      <c r="E3109" t="inlineStr">
        <is>
          <t>2026-06</t>
        </is>
      </c>
      <c r="F3109" t="n">
        <v>50.28</v>
      </c>
      <c r="G3109" t="n">
        <v>59.33</v>
      </c>
      <c r="H3109">
        <f>הגדרות!B7</f>
        <v/>
      </c>
      <c r="I3109">
        <f>F3109*(1-H3109/100)*1.18</f>
        <v/>
      </c>
      <c r="J3109">
        <f>הגדרות!C7</f>
        <v/>
      </c>
      <c r="K3109">
        <f>הגדרות!D7</f>
        <v/>
      </c>
      <c r="L3109">
        <f>I3109*(1+J3109/100)+K3109</f>
        <v/>
      </c>
    </row>
    <row r="3110">
      <c r="A3110" t="inlineStr">
        <is>
          <t>מדי-מרקט</t>
        </is>
      </c>
      <c r="B3110" t="inlineStr">
        <is>
          <t>פלסטר טרנספור  3M רוחב "2  מק"ט 1527-2 6  יח'</t>
        </is>
      </c>
      <c r="C3110" t="inlineStr">
        <is>
          <t>מוצרי חבישה ופלסטרים</t>
        </is>
      </c>
      <c r="D3110" t="inlineStr">
        <is>
          <t>4091</t>
        </is>
      </c>
      <c r="E3110" t="inlineStr">
        <is>
          <t>2026-06</t>
        </is>
      </c>
      <c r="F3110" t="n">
        <v>51.06</v>
      </c>
      <c r="G3110" t="n">
        <v>60.25</v>
      </c>
      <c r="H3110">
        <f>הגדרות!B7</f>
        <v/>
      </c>
      <c r="I3110">
        <f>F3110*(1-H3110/100)*1.18</f>
        <v/>
      </c>
      <c r="J3110">
        <f>הגדרות!C7</f>
        <v/>
      </c>
      <c r="K3110">
        <f>הגדרות!D7</f>
        <v/>
      </c>
      <c r="L3110">
        <f>I3110*(1+J3110/100)+K3110</f>
        <v/>
      </c>
    </row>
    <row r="3111">
      <c r="A3111" t="inlineStr">
        <is>
          <t>מדי-מרקט</t>
        </is>
      </c>
      <c r="B3111" t="inlineStr">
        <is>
          <t>פלסטר טרנספור (ניילון) מדיקפרו 2.5סמ9.1Xמ 12 יח'</t>
        </is>
      </c>
      <c r="C3111" t="inlineStr">
        <is>
          <t>מוצרי חבישה ופלסטרים</t>
        </is>
      </c>
      <c r="D3111" t="inlineStr">
        <is>
          <t>22210</t>
        </is>
      </c>
      <c r="E3111" t="inlineStr">
        <is>
          <t>2026-06</t>
        </is>
      </c>
      <c r="F3111" t="n">
        <v>12.54</v>
      </c>
      <c r="G3111" t="n">
        <v>14.8</v>
      </c>
      <c r="H3111">
        <f>הגדרות!B7</f>
        <v/>
      </c>
      <c r="I3111">
        <f>F3111*(1-H3111/100)*1.18</f>
        <v/>
      </c>
      <c r="J3111">
        <f>הגדרות!C7</f>
        <v/>
      </c>
      <c r="K3111">
        <f>הגדרות!D7</f>
        <v/>
      </c>
      <c r="L3111">
        <f>I3111*(1+J3111/100)+K3111</f>
        <v/>
      </c>
    </row>
    <row r="3112">
      <c r="A3112" t="inlineStr">
        <is>
          <t>מדי-מרקט</t>
        </is>
      </c>
      <c r="B3112" t="inlineStr">
        <is>
          <t>פלסטר טרנספור 3M רוחב "1 מק"ט 1527-1 12 יח'</t>
        </is>
      </c>
      <c r="C3112" t="inlineStr">
        <is>
          <t>מוצרי חבישה ופלסטרים</t>
        </is>
      </c>
      <c r="D3112" t="inlineStr">
        <is>
          <t>3547</t>
        </is>
      </c>
      <c r="E3112" t="inlineStr">
        <is>
          <t>2026-06</t>
        </is>
      </c>
      <c r="F3112" t="n">
        <v>43.22</v>
      </c>
      <c r="G3112" t="n">
        <v>51</v>
      </c>
      <c r="H3112">
        <f>הגדרות!B7</f>
        <v/>
      </c>
      <c r="I3112">
        <f>F3112*(1-H3112/100)*1.18</f>
        <v/>
      </c>
      <c r="J3112">
        <f>הגדרות!C7</f>
        <v/>
      </c>
      <c r="K3112">
        <f>הגדרות!D7</f>
        <v/>
      </c>
      <c r="L3112">
        <f>I3112*(1+J3112/100)+K3112</f>
        <v/>
      </c>
    </row>
    <row r="3113">
      <c r="A3113" t="inlineStr">
        <is>
          <t>מדי-מרקט</t>
        </is>
      </c>
      <c r="B3113" t="inlineStr">
        <is>
          <t>פלסטר לאקופלסט "1   4.6 מטר 1 יחידה</t>
        </is>
      </c>
      <c r="C3113" t="inlineStr">
        <is>
          <t>מוצרי חבישה ופלסטרים</t>
        </is>
      </c>
      <c r="D3113" t="inlineStr">
        <is>
          <t>3550</t>
        </is>
      </c>
      <c r="E3113" t="inlineStr">
        <is>
          <t>2026-06</t>
        </is>
      </c>
      <c r="F3113" t="n">
        <v>6.86</v>
      </c>
      <c r="G3113" t="n">
        <v>8.1</v>
      </c>
      <c r="H3113">
        <f>הגדרות!B7</f>
        <v/>
      </c>
      <c r="I3113">
        <f>F3113*(1-H3113/100)*1.18</f>
        <v/>
      </c>
      <c r="J3113">
        <f>הגדרות!C7</f>
        <v/>
      </c>
      <c r="K3113">
        <f>הגדרות!D7</f>
        <v/>
      </c>
      <c r="L3113">
        <f>I3113*(1+J3113/100)+K3113</f>
        <v/>
      </c>
    </row>
    <row r="3114">
      <c r="A3114" t="inlineStr">
        <is>
          <t>מדי-מרקט</t>
        </is>
      </c>
      <c r="B3114" t="inlineStr">
        <is>
          <t>פלסטר לאקופלסט "2   4.6 מטר 1 יחידה</t>
        </is>
      </c>
      <c r="C3114" t="inlineStr">
        <is>
          <t>מוצרי חבישה ופלסטרים</t>
        </is>
      </c>
      <c r="D3114" t="inlineStr">
        <is>
          <t>3552</t>
        </is>
      </c>
      <c r="E3114" t="inlineStr">
        <is>
          <t>2026-06</t>
        </is>
      </c>
      <c r="F3114" t="n">
        <v>13.47</v>
      </c>
      <c r="G3114" t="n">
        <v>15.9</v>
      </c>
      <c r="H3114">
        <f>הגדרות!B7</f>
        <v/>
      </c>
      <c r="I3114">
        <f>F3114*(1-H3114/100)*1.18</f>
        <v/>
      </c>
      <c r="J3114">
        <f>הגדרות!C7</f>
        <v/>
      </c>
      <c r="K3114">
        <f>הגדרות!D7</f>
        <v/>
      </c>
      <c r="L3114">
        <f>I3114*(1+J3114/100)+K3114</f>
        <v/>
      </c>
    </row>
    <row r="3115">
      <c r="A3115" t="inlineStr">
        <is>
          <t>מדי-מרקט</t>
        </is>
      </c>
      <c r="B3115" t="inlineStr">
        <is>
          <t>פלסטר לטיפול בהרפס , Medrull , 1/15</t>
        </is>
      </c>
      <c r="C3115" t="inlineStr">
        <is>
          <t>מוצרי חבישה ופלסטרים</t>
        </is>
      </c>
      <c r="D3115" t="inlineStr">
        <is>
          <t>150088</t>
        </is>
      </c>
      <c r="E3115" t="inlineStr">
        <is>
          <t>2026-06</t>
        </is>
      </c>
      <c r="F3115" t="n">
        <v>5.51</v>
      </c>
      <c r="G3115" t="n">
        <v>6.5</v>
      </c>
      <c r="H3115">
        <f>הגדרות!B7</f>
        <v/>
      </c>
      <c r="I3115">
        <f>F3115*(1-H3115/100)*1.18</f>
        <v/>
      </c>
      <c r="J3115">
        <f>הגדרות!C7</f>
        <v/>
      </c>
      <c r="K3115">
        <f>הגדרות!D7</f>
        <v/>
      </c>
      <c r="L3115">
        <f>I3115*(1+J3115/100)+K3115</f>
        <v/>
      </c>
    </row>
    <row r="3116">
      <c r="A3116" t="inlineStr">
        <is>
          <t>מדי-מרקט</t>
        </is>
      </c>
      <c r="B3116" t="inlineStr">
        <is>
          <t>פלסטר לטיפול בפצעי אקנה , MX LONDON , 1/24</t>
        </is>
      </c>
      <c r="C3116" t="inlineStr">
        <is>
          <t>מוצרי חבישה ופלסטרים</t>
        </is>
      </c>
      <c r="D3116" t="inlineStr">
        <is>
          <t>VP67017</t>
        </is>
      </c>
      <c r="E3116" t="inlineStr">
        <is>
          <t>2026-06</t>
        </is>
      </c>
      <c r="F3116" t="n">
        <v>8.050000000000001</v>
      </c>
      <c r="G3116" t="n">
        <v>9.5</v>
      </c>
      <c r="H3116">
        <f>הגדרות!B7</f>
        <v/>
      </c>
      <c r="I3116">
        <f>F3116*(1-H3116/100)*1.18</f>
        <v/>
      </c>
      <c r="J3116">
        <f>הגדרות!C7</f>
        <v/>
      </c>
      <c r="K3116">
        <f>הגדרות!D7</f>
        <v/>
      </c>
      <c r="L3116">
        <f>I3116*(1+J3116/100)+K3116</f>
        <v/>
      </c>
    </row>
    <row r="3117">
      <c r="A3117" t="inlineStr">
        <is>
          <t>מדי-מרקט</t>
        </is>
      </c>
      <c r="B3117" t="inlineStr">
        <is>
          <t>פלסטר לילדים (הלו קיטי) Medrull, 1/10</t>
        </is>
      </c>
      <c r="C3117" t="inlineStr">
        <is>
          <t>מוצרי חבישה ופלסטרים</t>
        </is>
      </c>
      <c r="D3117" t="inlineStr">
        <is>
          <t>150063</t>
        </is>
      </c>
      <c r="E3117" t="inlineStr">
        <is>
          <t>2026-06</t>
        </is>
      </c>
      <c r="F3117" t="n">
        <v>3.31</v>
      </c>
      <c r="G3117" t="n">
        <v>3.9</v>
      </c>
      <c r="H3117">
        <f>הגדרות!B7</f>
        <v/>
      </c>
      <c r="I3117">
        <f>F3117*(1-H3117/100)*1.18</f>
        <v/>
      </c>
      <c r="J3117">
        <f>הגדרות!C7</f>
        <v/>
      </c>
      <c r="K3117">
        <f>הגדרות!D7</f>
        <v/>
      </c>
      <c r="L3117">
        <f>I3117*(1+J3117/100)+K3117</f>
        <v/>
      </c>
    </row>
    <row r="3118">
      <c r="A3118" t="inlineStr">
        <is>
          <t>מדי-מרקט</t>
        </is>
      </c>
      <c r="B3118" t="inlineStr">
        <is>
          <t>פלסטר לילדים (פיראטים)Medrull , 1/10</t>
        </is>
      </c>
      <c r="C3118" t="inlineStr">
        <is>
          <t>מוצרי חבישה ופלסטרים</t>
        </is>
      </c>
      <c r="D3118" t="inlineStr">
        <is>
          <t>150069</t>
        </is>
      </c>
      <c r="E3118" t="inlineStr">
        <is>
          <t>2026-06</t>
        </is>
      </c>
      <c r="F3118" t="n">
        <v>3.31</v>
      </c>
      <c r="G3118" t="n">
        <v>3.9</v>
      </c>
      <c r="H3118">
        <f>הגדרות!B7</f>
        <v/>
      </c>
      <c r="I3118">
        <f>F3118*(1-H3118/100)*1.18</f>
        <v/>
      </c>
      <c r="J3118">
        <f>הגדרות!C7</f>
        <v/>
      </c>
      <c r="K3118">
        <f>הגדרות!D7</f>
        <v/>
      </c>
      <c r="L3118">
        <f>I3118*(1+J3118/100)+K3118</f>
        <v/>
      </c>
    </row>
    <row r="3119">
      <c r="A3119" t="inlineStr">
        <is>
          <t>מדי-מרקט</t>
        </is>
      </c>
      <c r="B3119" t="inlineStr">
        <is>
          <t>פלסטר לילדים לשיפור הנשימה Medrull , 1/5</t>
        </is>
      </c>
      <c r="C3119" t="inlineStr">
        <is>
          <t>מוצרי חבישה ופלסטרים</t>
        </is>
      </c>
      <c r="D3119" t="inlineStr">
        <is>
          <t>72388</t>
        </is>
      </c>
      <c r="E3119" t="inlineStr">
        <is>
          <t>2026-06</t>
        </is>
      </c>
      <c r="F3119" t="n">
        <v>6.53</v>
      </c>
      <c r="G3119" t="n">
        <v>7.7</v>
      </c>
      <c r="H3119">
        <f>הגדרות!B7</f>
        <v/>
      </c>
      <c r="I3119">
        <f>F3119*(1-H3119/100)*1.18</f>
        <v/>
      </c>
      <c r="J3119">
        <f>הגדרות!C7</f>
        <v/>
      </c>
      <c r="K3119">
        <f>הגדרות!D7</f>
        <v/>
      </c>
      <c r="L3119">
        <f>I3119*(1+J3119/100)+K3119</f>
        <v/>
      </c>
    </row>
    <row r="3120">
      <c r="A3120" t="inlineStr">
        <is>
          <t>מדי-מרקט</t>
        </is>
      </c>
      <c r="B3120" t="inlineStr">
        <is>
          <t>פלסטר לילדים לשיפור הנשימה(חיות)Medrull  , 1/6</t>
        </is>
      </c>
      <c r="C3120" t="inlineStr">
        <is>
          <t>מוצרי חבישה ופלסטרים</t>
        </is>
      </c>
      <c r="D3120" t="inlineStr">
        <is>
          <t>72371</t>
        </is>
      </c>
      <c r="E3120" t="inlineStr">
        <is>
          <t>2026-06</t>
        </is>
      </c>
      <c r="F3120" t="n">
        <v>7.2</v>
      </c>
      <c r="G3120" t="n">
        <v>8.5</v>
      </c>
      <c r="H3120">
        <f>הגדרות!B7</f>
        <v/>
      </c>
      <c r="I3120">
        <f>F3120*(1-H3120/100)*1.18</f>
        <v/>
      </c>
      <c r="J3120">
        <f>הגדרות!C7</f>
        <v/>
      </c>
      <c r="K3120">
        <f>הגדרות!D7</f>
        <v/>
      </c>
      <c r="L3120">
        <f>I3120*(1+J3120/100)+K3120</f>
        <v/>
      </c>
    </row>
    <row r="3121">
      <c r="A3121" t="inlineStr">
        <is>
          <t>מדי-מרקט</t>
        </is>
      </c>
      <c r="B3121" t="inlineStr">
        <is>
          <t>פלסטר לילדים(MIMI) עמיד במיים Medrull, 1/10</t>
        </is>
      </c>
      <c r="C3121" t="inlineStr">
        <is>
          <t>מוצרי חבישה ופלסטרים</t>
        </is>
      </c>
      <c r="D3121" t="inlineStr">
        <is>
          <t>150079</t>
        </is>
      </c>
      <c r="E3121" t="inlineStr">
        <is>
          <t>2026-06</t>
        </is>
      </c>
      <c r="F3121" t="n">
        <v>3.31</v>
      </c>
      <c r="G3121" t="n">
        <v>3.9</v>
      </c>
      <c r="H3121">
        <f>הגדרות!B7</f>
        <v/>
      </c>
      <c r="I3121">
        <f>F3121*(1-H3121/100)*1.18</f>
        <v/>
      </c>
      <c r="J3121">
        <f>הגדרות!C7</f>
        <v/>
      </c>
      <c r="K3121">
        <f>הגדרות!D7</f>
        <v/>
      </c>
      <c r="L3121">
        <f>I3121*(1+J3121/100)+K3121</f>
        <v/>
      </c>
    </row>
    <row r="3122">
      <c r="A3122" t="inlineStr">
        <is>
          <t>מדי-מרקט</t>
        </is>
      </c>
      <c r="B3122" t="inlineStr">
        <is>
          <t>פלסטר מיקרופור 3M חום רוחב "1 מק"ט 1533-1 12 יח</t>
        </is>
      </c>
      <c r="C3122" t="inlineStr">
        <is>
          <t>מוצרי חבישה ופלסטרים</t>
        </is>
      </c>
      <c r="D3122" t="inlineStr">
        <is>
          <t>3544</t>
        </is>
      </c>
      <c r="E3122" t="inlineStr">
        <is>
          <t>2026-06</t>
        </is>
      </c>
      <c r="F3122" t="n">
        <v>86.48999999999999</v>
      </c>
      <c r="G3122" t="n">
        <v>102.06</v>
      </c>
      <c r="H3122">
        <f>הגדרות!B7</f>
        <v/>
      </c>
      <c r="I3122">
        <f>F3122*(1-H3122/100)*1.18</f>
        <v/>
      </c>
      <c r="J3122">
        <f>הגדרות!C7</f>
        <v/>
      </c>
      <c r="K3122">
        <f>הגדרות!D7</f>
        <v/>
      </c>
      <c r="L3122">
        <f>I3122*(1+J3122/100)+K3122</f>
        <v/>
      </c>
    </row>
    <row r="3123">
      <c r="A3123" t="inlineStr">
        <is>
          <t>מדי-מרקט</t>
        </is>
      </c>
      <c r="B3123" t="inlineStr">
        <is>
          <t>פלסטר מיקרופור 3M רוחב "1 מק"ט 1530-1  12 יח</t>
        </is>
      </c>
      <c r="C3123" t="inlineStr">
        <is>
          <t>מוצרי חבישה ופלסטרים</t>
        </is>
      </c>
      <c r="D3123" t="inlineStr">
        <is>
          <t>3546</t>
        </is>
      </c>
      <c r="E3123" t="inlineStr">
        <is>
          <t>2026-06</t>
        </is>
      </c>
      <c r="F3123" t="n">
        <v>29.41</v>
      </c>
      <c r="G3123" t="n">
        <v>34.7</v>
      </c>
      <c r="H3123">
        <f>הגדרות!B7</f>
        <v/>
      </c>
      <c r="I3123">
        <f>F3123*(1-H3123/100)*1.18</f>
        <v/>
      </c>
      <c r="J3123">
        <f>הגדרות!C7</f>
        <v/>
      </c>
      <c r="K3123">
        <f>הגדרות!D7</f>
        <v/>
      </c>
      <c r="L3123">
        <f>I3123*(1+J3123/100)+K3123</f>
        <v/>
      </c>
    </row>
    <row r="3124">
      <c r="A3124" t="inlineStr">
        <is>
          <t>מדי-מרקט</t>
        </is>
      </c>
      <c r="B3124" t="inlineStr">
        <is>
          <t>פלסטר מיקרופור 3M רוחב "1/2 מק"ט 1530-0  24 יח'</t>
        </is>
      </c>
      <c r="C3124" t="inlineStr">
        <is>
          <t>מוצרי חבישה ופלסטרים</t>
        </is>
      </c>
      <c r="D3124" t="inlineStr">
        <is>
          <t>4457</t>
        </is>
      </c>
      <c r="E3124" t="inlineStr">
        <is>
          <t>2026-06</t>
        </is>
      </c>
      <c r="F3124" t="n">
        <v>42.01</v>
      </c>
      <c r="G3124" t="n">
        <v>49.57</v>
      </c>
      <c r="H3124">
        <f>הגדרות!B7</f>
        <v/>
      </c>
      <c r="I3124">
        <f>F3124*(1-H3124/100)*1.18</f>
        <v/>
      </c>
      <c r="J3124">
        <f>הגדרות!C7</f>
        <v/>
      </c>
      <c r="K3124">
        <f>הגדרות!D7</f>
        <v/>
      </c>
      <c r="L3124">
        <f>I3124*(1+J3124/100)+K3124</f>
        <v/>
      </c>
    </row>
    <row r="3125">
      <c r="A3125" t="inlineStr">
        <is>
          <t>מדי-מרקט</t>
        </is>
      </c>
      <c r="B3125" t="inlineStr">
        <is>
          <t>פלסטר מיקרופור 3M רוחב "2 מק"ט 1530-2  6 יח'</t>
        </is>
      </c>
      <c r="C3125" t="inlineStr">
        <is>
          <t>מוצרי חבישה ופלסטרים</t>
        </is>
      </c>
      <c r="D3125" t="inlineStr">
        <is>
          <t>4094</t>
        </is>
      </c>
      <c r="E3125" t="inlineStr">
        <is>
          <t>2026-06</t>
        </is>
      </c>
      <c r="F3125" t="n">
        <v>30.51</v>
      </c>
      <c r="G3125" t="n">
        <v>36</v>
      </c>
      <c r="H3125">
        <f>הגדרות!B7</f>
        <v/>
      </c>
      <c r="I3125">
        <f>F3125*(1-H3125/100)*1.18</f>
        <v/>
      </c>
      <c r="J3125">
        <f>הגדרות!C7</f>
        <v/>
      </c>
      <c r="K3125">
        <f>הגדרות!D7</f>
        <v/>
      </c>
      <c r="L3125">
        <f>I3125*(1+J3125/100)+K3125</f>
        <v/>
      </c>
    </row>
    <row r="3126">
      <c r="A3126" t="inlineStr">
        <is>
          <t>מדי-מרקט</t>
        </is>
      </c>
      <c r="B3126" t="inlineStr">
        <is>
          <t>פלסטר משי , Medrull , 1.2X5</t>
        </is>
      </c>
      <c r="C3126" t="inlineStr">
        <is>
          <t>מוצרי חבישה ופלסטרים</t>
        </is>
      </c>
      <c r="D3126" t="inlineStr">
        <is>
          <t>151011</t>
        </is>
      </c>
      <c r="E3126" t="inlineStr">
        <is>
          <t>2026-06</t>
        </is>
      </c>
      <c r="F3126" t="n">
        <v>2.12</v>
      </c>
      <c r="G3126" t="n">
        <v>2.5</v>
      </c>
      <c r="H3126">
        <f>הגדרות!B7</f>
        <v/>
      </c>
      <c r="I3126">
        <f>F3126*(1-H3126/100)*1.18</f>
        <v/>
      </c>
      <c r="J3126">
        <f>הגדרות!C7</f>
        <v/>
      </c>
      <c r="K3126">
        <f>הגדרות!D7</f>
        <v/>
      </c>
      <c r="L3126">
        <f>I3126*(1+J3126/100)+K3126</f>
        <v/>
      </c>
    </row>
    <row r="3127">
      <c r="A3127" t="inlineStr">
        <is>
          <t>מדי-מרקט</t>
        </is>
      </c>
      <c r="B3127" t="inlineStr">
        <is>
          <t>פלסטר משי , Medrull, 2.5X5</t>
        </is>
      </c>
      <c r="C3127" t="inlineStr">
        <is>
          <t>מוצרי חבישה ופלסטרים</t>
        </is>
      </c>
      <c r="D3127" t="inlineStr">
        <is>
          <t>151012</t>
        </is>
      </c>
      <c r="E3127" t="inlineStr">
        <is>
          <t>2026-06</t>
        </is>
      </c>
      <c r="F3127" t="n">
        <v>3.39</v>
      </c>
      <c r="G3127" t="n">
        <v>4</v>
      </c>
      <c r="H3127">
        <f>הגדרות!B7</f>
        <v/>
      </c>
      <c r="I3127">
        <f>F3127*(1-H3127/100)*1.18</f>
        <v/>
      </c>
      <c r="J3127">
        <f>הגדרות!C7</f>
        <v/>
      </c>
      <c r="K3127">
        <f>הגדרות!D7</f>
        <v/>
      </c>
      <c r="L3127">
        <f>I3127*(1+J3127/100)+K3127</f>
        <v/>
      </c>
    </row>
    <row r="3128">
      <c r="A3128" t="inlineStr">
        <is>
          <t>מדי-מרקט</t>
        </is>
      </c>
      <c r="B3128" t="inlineStr">
        <is>
          <t>פלסטר נייר מיקרופור, מדיקפרו 2.5ס"מ*9.1מ' 12 יח'</t>
        </is>
      </c>
      <c r="C3128" t="inlineStr">
        <is>
          <t>מוצרי חבישה ופלסטרים</t>
        </is>
      </c>
      <c r="D3128" t="inlineStr">
        <is>
          <t>32065</t>
        </is>
      </c>
      <c r="E3128" t="inlineStr">
        <is>
          <t>2026-06</t>
        </is>
      </c>
      <c r="F3128" t="n">
        <v>8.300000000000001</v>
      </c>
      <c r="G3128" t="n">
        <v>9.789999999999999</v>
      </c>
      <c r="H3128">
        <f>הגדרות!B7</f>
        <v/>
      </c>
      <c r="I3128">
        <f>F3128*(1-H3128/100)*1.18</f>
        <v/>
      </c>
      <c r="J3128">
        <f>הגדרות!C7</f>
        <v/>
      </c>
      <c r="K3128">
        <f>הגדרות!D7</f>
        <v/>
      </c>
      <c r="L3128">
        <f>I3128*(1+J3128/100)+K3128</f>
        <v/>
      </c>
    </row>
    <row r="3129">
      <c r="A3129" t="inlineStr">
        <is>
          <t>מדי-מרקט</t>
        </is>
      </c>
      <c r="B3129" t="inlineStr">
        <is>
          <t>פלסטר נייר מיקרופור, מדיקפרו 5 ס"מ*9.1מ' 6 יח'</t>
        </is>
      </c>
      <c r="C3129" t="inlineStr">
        <is>
          <t>מוצרי חבישה ופלסטרים</t>
        </is>
      </c>
      <c r="D3129" t="inlineStr">
        <is>
          <t>51149</t>
        </is>
      </c>
      <c r="E3129" t="inlineStr">
        <is>
          <t>2026-06</t>
        </is>
      </c>
      <c r="F3129" t="n">
        <v>10.65</v>
      </c>
      <c r="G3129" t="n">
        <v>12.57</v>
      </c>
      <c r="H3129">
        <f>הגדרות!B7</f>
        <v/>
      </c>
      <c r="I3129">
        <f>F3129*(1-H3129/100)*1.18</f>
        <v/>
      </c>
      <c r="J3129">
        <f>הגדרות!C7</f>
        <v/>
      </c>
      <c r="K3129">
        <f>הגדרות!D7</f>
        <v/>
      </c>
      <c r="L3129">
        <f>I3129*(1+J3129/100)+K3129</f>
        <v/>
      </c>
    </row>
    <row r="3130">
      <c r="A3130" t="inlineStr">
        <is>
          <t>מדי-מרקט</t>
        </is>
      </c>
      <c r="B3130" t="inlineStr">
        <is>
          <t>פלסטר נייר עם דיספנסר מדיקפרו 1/2" 1 יח</t>
        </is>
      </c>
      <c r="C3130" t="inlineStr">
        <is>
          <t>מוצרי חבישה ופלסטרים</t>
        </is>
      </c>
      <c r="D3130" t="inlineStr">
        <is>
          <t>4098</t>
        </is>
      </c>
      <c r="E3130" t="inlineStr">
        <is>
          <t>2026-06</t>
        </is>
      </c>
      <c r="F3130" t="n">
        <v>0.8</v>
      </c>
      <c r="G3130" t="n">
        <v>0.9399999999999999</v>
      </c>
      <c r="H3130">
        <f>הגדרות!B7</f>
        <v/>
      </c>
      <c r="I3130">
        <f>F3130*(1-H3130/100)*1.18</f>
        <v/>
      </c>
      <c r="J3130">
        <f>הגדרות!C7</f>
        <v/>
      </c>
      <c r="K3130">
        <f>הגדרות!D7</f>
        <v/>
      </c>
      <c r="L3130">
        <f>I3130*(1+J3130/100)+K3130</f>
        <v/>
      </c>
    </row>
    <row r="3131">
      <c r="A3131" t="inlineStr">
        <is>
          <t>מדי-מרקט</t>
        </is>
      </c>
      <c r="B3131" t="inlineStr">
        <is>
          <t>פלסטר פלפל נגד כאבים , Medrull  , 6X10 יח' אחת בודדת.</t>
        </is>
      </c>
      <c r="C3131" t="inlineStr">
        <is>
          <t>מוצרי חבישה ופלסטרים</t>
        </is>
      </c>
      <c r="D3131" t="inlineStr">
        <is>
          <t>152002</t>
        </is>
      </c>
      <c r="E3131" t="inlineStr">
        <is>
          <t>2026-06</t>
        </is>
      </c>
      <c r="F3131" t="n">
        <v>2.54</v>
      </c>
      <c r="G3131" t="n">
        <v>3</v>
      </c>
      <c r="H3131">
        <f>הגדרות!B7</f>
        <v/>
      </c>
      <c r="I3131">
        <f>F3131*(1-H3131/100)*1.18</f>
        <v/>
      </c>
      <c r="J3131">
        <f>הגדרות!C7</f>
        <v/>
      </c>
      <c r="K3131">
        <f>הגדרות!D7</f>
        <v/>
      </c>
      <c r="L3131">
        <f>I3131*(1+J3131/100)+K3131</f>
        <v/>
      </c>
    </row>
    <row r="3132">
      <c r="A3132" t="inlineStr">
        <is>
          <t>מדי-מרקט</t>
        </is>
      </c>
      <c r="B3132" t="inlineStr">
        <is>
          <t>פלסטר פלפל נגד כאבים , Medrull , 10X18 יח' אחת בודדת.</t>
        </is>
      </c>
      <c r="C3132" t="inlineStr">
        <is>
          <t>מוצרי חבישה ופלסטרים</t>
        </is>
      </c>
      <c r="D3132" t="inlineStr">
        <is>
          <t>152001</t>
        </is>
      </c>
      <c r="E3132" t="inlineStr">
        <is>
          <t>2026-06</t>
        </is>
      </c>
      <c r="F3132" t="n">
        <v>2.54</v>
      </c>
      <c r="G3132" t="n">
        <v>3</v>
      </c>
      <c r="H3132">
        <f>הגדרות!B7</f>
        <v/>
      </c>
      <c r="I3132">
        <f>F3132*(1-H3132/100)*1.18</f>
        <v/>
      </c>
      <c r="J3132">
        <f>הגדרות!C7</f>
        <v/>
      </c>
      <c r="K3132">
        <f>הגדרות!D7</f>
        <v/>
      </c>
      <c r="L3132">
        <f>I3132*(1+J3132/100)+K3132</f>
        <v/>
      </c>
    </row>
    <row r="3133">
      <c r="A3133" t="inlineStr">
        <is>
          <t>מדי-מרקט</t>
        </is>
      </c>
      <c r="B3133" t="inlineStr">
        <is>
          <t>פלסטר פרו-פיקס, מדיקפרו + משבצות לחיתוך 10ס"מ 10 Xמטר</t>
        </is>
      </c>
      <c r="C3133" t="inlineStr">
        <is>
          <t>מוצרי חבישה ופלסטרים</t>
        </is>
      </c>
      <c r="D3133" t="inlineStr">
        <is>
          <t>92811</t>
        </is>
      </c>
      <c r="E3133" t="inlineStr">
        <is>
          <t>2026-06</t>
        </is>
      </c>
      <c r="F3133" t="n">
        <v>5.51</v>
      </c>
      <c r="G3133" t="n">
        <v>6.5</v>
      </c>
      <c r="H3133">
        <f>הגדרות!B7</f>
        <v/>
      </c>
      <c r="I3133">
        <f>F3133*(1-H3133/100)*1.18</f>
        <v/>
      </c>
      <c r="J3133">
        <f>הגדרות!C7</f>
        <v/>
      </c>
      <c r="K3133">
        <f>הגדרות!D7</f>
        <v/>
      </c>
      <c r="L3133">
        <f>I3133*(1+J3133/100)+K3133</f>
        <v/>
      </c>
    </row>
    <row r="3134">
      <c r="A3134" t="inlineStr">
        <is>
          <t>מדי-מרקט</t>
        </is>
      </c>
      <c r="B3134" t="inlineStr">
        <is>
          <t>פלסטר פרו-פיקס, מדיקפרו + משבצות לחיתוך 15ס"מ 10 Xמטר</t>
        </is>
      </c>
      <c r="C3134" t="inlineStr">
        <is>
          <t>מוצרי חבישה ופלסטרים</t>
        </is>
      </c>
      <c r="D3134" t="inlineStr">
        <is>
          <t>3288</t>
        </is>
      </c>
      <c r="E3134" t="inlineStr">
        <is>
          <t>2026-06</t>
        </is>
      </c>
      <c r="F3134" t="n">
        <v>6.64</v>
      </c>
      <c r="G3134" t="n">
        <v>7.83</v>
      </c>
      <c r="H3134">
        <f>הגדרות!B7</f>
        <v/>
      </c>
      <c r="I3134">
        <f>F3134*(1-H3134/100)*1.18</f>
        <v/>
      </c>
      <c r="J3134">
        <f>הגדרות!C7</f>
        <v/>
      </c>
      <c r="K3134">
        <f>הגדרות!D7</f>
        <v/>
      </c>
      <c r="L3134">
        <f>I3134*(1+J3134/100)+K3134</f>
        <v/>
      </c>
    </row>
    <row r="3135">
      <c r="A3135" t="inlineStr">
        <is>
          <t>מדי-מרקט</t>
        </is>
      </c>
      <c r="B3135" t="inlineStr">
        <is>
          <t>פלסטר פרו-פיקס, מדיקפרו + משבצות לחיתוך 20ס"מ 10 Xמטר</t>
        </is>
      </c>
      <c r="C3135" t="inlineStr">
        <is>
          <t>מוצרי חבישה ופלסטרים</t>
        </is>
      </c>
      <c r="D3135" t="inlineStr">
        <is>
          <t>3287</t>
        </is>
      </c>
      <c r="E3135" t="inlineStr">
        <is>
          <t>2026-06</t>
        </is>
      </c>
      <c r="F3135" t="n">
        <v>8.08</v>
      </c>
      <c r="G3135" t="n">
        <v>9.529999999999999</v>
      </c>
      <c r="H3135">
        <f>הגדרות!B7</f>
        <v/>
      </c>
      <c r="I3135">
        <f>F3135*(1-H3135/100)*1.18</f>
        <v/>
      </c>
      <c r="J3135">
        <f>הגדרות!C7</f>
        <v/>
      </c>
      <c r="K3135">
        <f>הגדרות!D7</f>
        <v/>
      </c>
      <c r="L3135">
        <f>I3135*(1+J3135/100)+K3135</f>
        <v/>
      </c>
    </row>
    <row r="3136">
      <c r="A3136" t="inlineStr">
        <is>
          <t>מדי-מרקט</t>
        </is>
      </c>
      <c r="B3136" t="inlineStr">
        <is>
          <t>פלסטר פרו-פיקס, מדיקפרו + משבצות לחיתוך 7.5ס"מ 10 Xמטר</t>
        </is>
      </c>
      <c r="C3136" t="inlineStr">
        <is>
          <t>מוצרי חבישה ופלסטרים</t>
        </is>
      </c>
      <c r="D3136" t="inlineStr">
        <is>
          <t>92812</t>
        </is>
      </c>
      <c r="E3136" t="inlineStr">
        <is>
          <t>2026-06</t>
        </is>
      </c>
      <c r="F3136" t="n">
        <v>3.81</v>
      </c>
      <c r="G3136" t="n">
        <v>4.5</v>
      </c>
      <c r="H3136">
        <f>הגדרות!B7</f>
        <v/>
      </c>
      <c r="I3136">
        <f>F3136*(1-H3136/100)*1.18</f>
        <v/>
      </c>
      <c r="J3136">
        <f>הגדרות!C7</f>
        <v/>
      </c>
      <c r="K3136">
        <f>הגדרות!D7</f>
        <v/>
      </c>
      <c r="L3136">
        <f>I3136*(1+J3136/100)+K3136</f>
        <v/>
      </c>
    </row>
    <row r="3137">
      <c r="A3137" t="inlineStr">
        <is>
          <t>מדי-מרקט</t>
        </is>
      </c>
      <c r="B3137" t="inlineStr">
        <is>
          <t>פלסטריות Cansin מעורב בצורות שונות 20 יחידות</t>
        </is>
      </c>
      <c r="C3137" t="inlineStr">
        <is>
          <t>מוצרי חבישה ופלסטרים</t>
        </is>
      </c>
      <c r="D3137" t="inlineStr">
        <is>
          <t>80-214</t>
        </is>
      </c>
      <c r="E3137" t="inlineStr">
        <is>
          <t>2026-06</t>
        </is>
      </c>
      <c r="F3137" t="n">
        <v>0.8100000000000001</v>
      </c>
      <c r="G3137" t="n">
        <v>0.96</v>
      </c>
      <c r="H3137">
        <f>הגדרות!B7</f>
        <v/>
      </c>
      <c r="I3137">
        <f>F3137*(1-H3137/100)*1.18</f>
        <v/>
      </c>
      <c r="J3137">
        <f>הגדרות!C7</f>
        <v/>
      </c>
      <c r="K3137">
        <f>הגדרות!D7</f>
        <v/>
      </c>
      <c r="L3137">
        <f>I3137*(1+J3137/100)+K3137</f>
        <v/>
      </c>
    </row>
    <row r="3138">
      <c r="A3138" t="inlineStr">
        <is>
          <t>מדי-מרקט</t>
        </is>
      </c>
      <c r="B3138" t="inlineStr">
        <is>
          <t>פלסטריות Cansin קלאסי 20 יחידות</t>
        </is>
      </c>
      <c r="C3138" t="inlineStr">
        <is>
          <t>מוצרי חבישה ופלסטרים</t>
        </is>
      </c>
      <c r="D3138" t="inlineStr">
        <is>
          <t>80-211</t>
        </is>
      </c>
      <c r="E3138" t="inlineStr">
        <is>
          <t>2026-06</t>
        </is>
      </c>
      <c r="F3138" t="n">
        <v>0.79</v>
      </c>
      <c r="G3138" t="n">
        <v>0.93</v>
      </c>
      <c r="H3138">
        <f>הגדרות!B7</f>
        <v/>
      </c>
      <c r="I3138">
        <f>F3138*(1-H3138/100)*1.18</f>
        <v/>
      </c>
      <c r="J3138">
        <f>הגדרות!C7</f>
        <v/>
      </c>
      <c r="K3138">
        <f>הגדרות!D7</f>
        <v/>
      </c>
      <c r="L3138">
        <f>I3138*(1+J3138/100)+K3138</f>
        <v/>
      </c>
    </row>
    <row r="3139">
      <c r="A3139" t="inlineStr">
        <is>
          <t>מדי-מרקט</t>
        </is>
      </c>
      <c r="B3139" t="inlineStr">
        <is>
          <t>פלסטריות בד 72 מ"מ 19 X מ"מ 100 CANSIN-PLASTיח'</t>
        </is>
      </c>
      <c r="C3139" t="inlineStr">
        <is>
          <t>מוצרי חבישה ופלסטרים</t>
        </is>
      </c>
      <c r="D3139" t="inlineStr">
        <is>
          <t>500-108</t>
        </is>
      </c>
      <c r="E3139" t="inlineStr">
        <is>
          <t>2026-06</t>
        </is>
      </c>
      <c r="F3139" t="n">
        <v>2.68</v>
      </c>
      <c r="G3139" t="n">
        <v>3.16</v>
      </c>
      <c r="H3139">
        <f>הגדרות!B7</f>
        <v/>
      </c>
      <c r="I3139">
        <f>F3139*(1-H3139/100)*1.18</f>
        <v/>
      </c>
      <c r="J3139">
        <f>הגדרות!C7</f>
        <v/>
      </c>
      <c r="K3139">
        <f>הגדרות!D7</f>
        <v/>
      </c>
      <c r="L3139">
        <f>I3139*(1+J3139/100)+K3139</f>
        <v/>
      </c>
    </row>
    <row r="3140">
      <c r="A3140" t="inlineStr">
        <is>
          <t>מדי-מרקט</t>
        </is>
      </c>
      <c r="B3140" t="inlineStr">
        <is>
          <t>פלסטריות בד 72 מ"מ 19 X מ"מ מדיקפרו 100יח'</t>
        </is>
      </c>
      <c r="C3140" t="inlineStr">
        <is>
          <t>מוצרי חבישה ופלסטרים</t>
        </is>
      </c>
      <c r="D3140" t="inlineStr">
        <is>
          <t>500-1081</t>
        </is>
      </c>
      <c r="E3140" t="inlineStr">
        <is>
          <t>2026-06</t>
        </is>
      </c>
      <c r="F3140" t="n">
        <v>1.53</v>
      </c>
      <c r="G3140" t="n">
        <v>1.81</v>
      </c>
      <c r="H3140">
        <f>הגדרות!B7</f>
        <v/>
      </c>
      <c r="I3140">
        <f>F3140*(1-H3140/100)*1.18</f>
        <v/>
      </c>
      <c r="J3140">
        <f>הגדרות!C7</f>
        <v/>
      </c>
      <c r="K3140">
        <f>הגדרות!D7</f>
        <v/>
      </c>
      <c r="L3140">
        <f>I3140*(1+J3140/100)+K3140</f>
        <v/>
      </c>
    </row>
    <row r="3141">
      <c r="A3141" t="inlineStr">
        <is>
          <t>מדי-מרקט</t>
        </is>
      </c>
      <c r="B3141" t="inlineStr">
        <is>
          <t>פלקס טיוב</t>
        </is>
      </c>
      <c r="C3141" t="inlineStr">
        <is>
          <t>ציוד ומכשור רפואי</t>
        </is>
      </c>
      <c r="D3141" t="inlineStr">
        <is>
          <t>880551</t>
        </is>
      </c>
      <c r="E3141" t="inlineStr">
        <is>
          <t>2026-06</t>
        </is>
      </c>
      <c r="F3141" t="n">
        <v>1.86</v>
      </c>
      <c r="G3141" t="n">
        <v>2.2</v>
      </c>
      <c r="H3141">
        <f>הגדרות!B7</f>
        <v/>
      </c>
      <c r="I3141">
        <f>F3141*(1-H3141/100)*1.18</f>
        <v/>
      </c>
      <c r="J3141">
        <f>הגדרות!C7</f>
        <v/>
      </c>
      <c r="K3141">
        <f>הגדרות!D7</f>
        <v/>
      </c>
      <c r="L3141">
        <f>I3141*(1+J3141/100)+K3141</f>
        <v/>
      </c>
    </row>
    <row r="3142">
      <c r="A3142" t="inlineStr">
        <is>
          <t>מדי-מרקט</t>
        </is>
      </c>
      <c r="B3142" t="inlineStr">
        <is>
          <t>פנס מצח (ראש) מקצועי 3 לדים ללא סוללה, מדיקפרו</t>
        </is>
      </c>
      <c r="C3142" t="inlineStr">
        <is>
          <t>ציוד ומכשור רפואי</t>
        </is>
      </c>
      <c r="D3142" t="inlineStr">
        <is>
          <t>1862</t>
        </is>
      </c>
      <c r="E3142" t="inlineStr">
        <is>
          <t>2026-06</t>
        </is>
      </c>
      <c r="F3142" t="n">
        <v>10.17</v>
      </c>
      <c r="G3142" t="n">
        <v>12</v>
      </c>
      <c r="H3142">
        <f>הגדרות!B7</f>
        <v/>
      </c>
      <c r="I3142">
        <f>F3142*(1-H3142/100)*1.18</f>
        <v/>
      </c>
      <c r="J3142">
        <f>הגדרות!C7</f>
        <v/>
      </c>
      <c r="K3142">
        <f>הגדרות!D7</f>
        <v/>
      </c>
      <c r="L3142">
        <f>I3142*(1+J3142/100)+K3142</f>
        <v/>
      </c>
    </row>
    <row r="3143">
      <c r="A3143" t="inlineStr">
        <is>
          <t>מדי-מרקט</t>
        </is>
      </c>
      <c r="B3143" t="inlineStr">
        <is>
          <t>פנרוס דריין צינור לטקס סטר' (נקז) "1/2</t>
        </is>
      </c>
      <c r="C3143" t="inlineStr">
        <is>
          <t>ציוד מתכלה</t>
        </is>
      </c>
      <c r="D3143" t="inlineStr">
        <is>
          <t>3629</t>
        </is>
      </c>
      <c r="E3143" t="inlineStr">
        <is>
          <t>2026-06</t>
        </is>
      </c>
      <c r="F3143" t="n">
        <v>2.29</v>
      </c>
      <c r="G3143" t="n">
        <v>2.7</v>
      </c>
      <c r="H3143">
        <f>הגדרות!B7</f>
        <v/>
      </c>
      <c r="I3143">
        <f>F3143*(1-H3143/100)*1.18</f>
        <v/>
      </c>
      <c r="J3143">
        <f>הגדרות!C7</f>
        <v/>
      </c>
      <c r="K3143">
        <f>הגדרות!D7</f>
        <v/>
      </c>
      <c r="L3143">
        <f>I3143*(1+J3143/100)+K3143</f>
        <v/>
      </c>
    </row>
    <row r="3144">
      <c r="A3144" t="inlineStr">
        <is>
          <t>מדי-מרקט</t>
        </is>
      </c>
      <c r="B3144" t="inlineStr">
        <is>
          <t>פנרוס דריין צינור לטקס סטר' (נקז) "1/4</t>
        </is>
      </c>
      <c r="C3144" t="inlineStr">
        <is>
          <t>ציוד מתכלה</t>
        </is>
      </c>
      <c r="D3144" t="inlineStr">
        <is>
          <t>3626</t>
        </is>
      </c>
      <c r="E3144" t="inlineStr">
        <is>
          <t>2026-06</t>
        </is>
      </c>
      <c r="F3144" t="n">
        <v>2.13</v>
      </c>
      <c r="G3144" t="n">
        <v>2.51</v>
      </c>
      <c r="H3144">
        <f>הגדרות!B7</f>
        <v/>
      </c>
      <c r="I3144">
        <f>F3144*(1-H3144/100)*1.18</f>
        <v/>
      </c>
      <c r="J3144">
        <f>הגדרות!C7</f>
        <v/>
      </c>
      <c r="K3144">
        <f>הגדרות!D7</f>
        <v/>
      </c>
      <c r="L3144">
        <f>I3144*(1+J3144/100)+K3144</f>
        <v/>
      </c>
    </row>
    <row r="3145">
      <c r="A3145" t="inlineStr">
        <is>
          <t>מדי-מרקט</t>
        </is>
      </c>
      <c r="B3145" t="inlineStr">
        <is>
          <t>פנרוס מדיקפרו מידה 30,L מ" 100 יח'</t>
        </is>
      </c>
      <c r="C3145" t="inlineStr">
        <is>
          <t>ציוד מתכלה</t>
        </is>
      </c>
      <c r="D3145" t="inlineStr">
        <is>
          <t>510-102</t>
        </is>
      </c>
      <c r="E3145" t="inlineStr">
        <is>
          <t>2026-06</t>
        </is>
      </c>
      <c r="F3145" t="n">
        <v>38.08</v>
      </c>
      <c r="G3145" t="n">
        <v>44.94</v>
      </c>
      <c r="H3145">
        <f>הגדרות!B7</f>
        <v/>
      </c>
      <c r="I3145">
        <f>F3145*(1-H3145/100)*1.18</f>
        <v/>
      </c>
      <c r="J3145">
        <f>הגדרות!C7</f>
        <v/>
      </c>
      <c r="K3145">
        <f>הגדרות!D7</f>
        <v/>
      </c>
      <c r="L3145">
        <f>I3145*(1+J3145/100)+K3145</f>
        <v/>
      </c>
    </row>
    <row r="3146">
      <c r="A3146" t="inlineStr">
        <is>
          <t>מדי-מרקט</t>
        </is>
      </c>
      <c r="B3146" t="inlineStr">
        <is>
          <t>פנרוס מדיקפרו מידה 35,XL מ" 100 יח'</t>
        </is>
      </c>
      <c r="C3146" t="inlineStr">
        <is>
          <t>ציוד מתכלה</t>
        </is>
      </c>
      <c r="D3146" t="inlineStr">
        <is>
          <t>510-103</t>
        </is>
      </c>
      <c r="E3146" t="inlineStr">
        <is>
          <t>2026-06</t>
        </is>
      </c>
      <c r="F3146" t="n">
        <v>38.08</v>
      </c>
      <c r="G3146" t="n">
        <v>44.94</v>
      </c>
      <c r="H3146">
        <f>הגדרות!B7</f>
        <v/>
      </c>
      <c r="I3146">
        <f>F3146*(1-H3146/100)*1.18</f>
        <v/>
      </c>
      <c r="J3146">
        <f>הגדרות!C7</f>
        <v/>
      </c>
      <c r="K3146">
        <f>הגדרות!D7</f>
        <v/>
      </c>
      <c r="L3146">
        <f>I3146*(1+J3146/100)+K3146</f>
        <v/>
      </c>
    </row>
    <row r="3147">
      <c r="A3147" t="inlineStr">
        <is>
          <t>מדי-מרקט</t>
        </is>
      </c>
      <c r="B3147" t="inlineStr">
        <is>
          <t>פנרוס מזרע מידה 100 L יח'-30 מ"מ</t>
        </is>
      </c>
      <c r="C3147" t="inlineStr">
        <is>
          <t>ציוד מתכלה</t>
        </is>
      </c>
      <c r="D3147" t="inlineStr">
        <is>
          <t>14520</t>
        </is>
      </c>
      <c r="E3147" t="inlineStr">
        <is>
          <t>2026-06</t>
        </is>
      </c>
      <c r="F3147" t="n">
        <v>58.35</v>
      </c>
      <c r="G3147" t="n">
        <v>68.84999999999999</v>
      </c>
      <c r="H3147">
        <f>הגדרות!B7</f>
        <v/>
      </c>
      <c r="I3147">
        <f>F3147*(1-H3147/100)*1.18</f>
        <v/>
      </c>
      <c r="J3147">
        <f>הגדרות!C7</f>
        <v/>
      </c>
      <c r="K3147">
        <f>הגדרות!D7</f>
        <v/>
      </c>
      <c r="L3147">
        <f>I3147*(1+J3147/100)+K3147</f>
        <v/>
      </c>
    </row>
    <row r="3148">
      <c r="A3148" t="inlineStr">
        <is>
          <t>מדי-מרקט</t>
        </is>
      </c>
      <c r="B3148" t="inlineStr">
        <is>
          <t>פנרוס מזרע מידה 100 XL יח'- גודל 35 מ"מ</t>
        </is>
      </c>
      <c r="C3148" t="inlineStr">
        <is>
          <t>ציוד מתכלה</t>
        </is>
      </c>
      <c r="D3148" t="inlineStr">
        <is>
          <t>14521</t>
        </is>
      </c>
      <c r="E3148" t="inlineStr">
        <is>
          <t>2026-06</t>
        </is>
      </c>
      <c r="F3148" t="n">
        <v>58.35</v>
      </c>
      <c r="G3148" t="n">
        <v>68.84999999999999</v>
      </c>
      <c r="H3148">
        <f>הגדרות!B7</f>
        <v/>
      </c>
      <c r="I3148">
        <f>F3148*(1-H3148/100)*1.18</f>
        <v/>
      </c>
      <c r="J3148">
        <f>הגדרות!C7</f>
        <v/>
      </c>
      <c r="K3148">
        <f>הגדרות!D7</f>
        <v/>
      </c>
      <c r="L3148">
        <f>I3148*(1+J3148/100)+K3148</f>
        <v/>
      </c>
    </row>
    <row r="3149">
      <c r="A3149" t="inlineStr">
        <is>
          <t>מדי-מרקט</t>
        </is>
      </c>
      <c r="B3149" t="inlineStr">
        <is>
          <t>פנרוס מזרע מידה 25,M מ"מ 100 יח'</t>
        </is>
      </c>
      <c r="C3149" t="inlineStr">
        <is>
          <t>ציוד מתכלה</t>
        </is>
      </c>
      <c r="D3149" t="inlineStr">
        <is>
          <t>14519</t>
        </is>
      </c>
      <c r="E3149" t="inlineStr">
        <is>
          <t>2026-06</t>
        </is>
      </c>
      <c r="F3149" t="n">
        <v>72.03</v>
      </c>
      <c r="G3149" t="n">
        <v>85</v>
      </c>
      <c r="H3149">
        <f>הגדרות!B7</f>
        <v/>
      </c>
      <c r="I3149">
        <f>F3149*(1-H3149/100)*1.18</f>
        <v/>
      </c>
      <c r="J3149">
        <f>הגדרות!C7</f>
        <v/>
      </c>
      <c r="K3149">
        <f>הגדרות!D7</f>
        <v/>
      </c>
      <c r="L3149">
        <f>I3149*(1+J3149/100)+K3149</f>
        <v/>
      </c>
    </row>
    <row r="3150">
      <c r="A3150" t="inlineStr">
        <is>
          <t>מדי-מרקט</t>
        </is>
      </c>
      <c r="B3150" t="inlineStr">
        <is>
          <t>פסטה זינק בצנצנת 1 ליטר מדיקפרו</t>
        </is>
      </c>
      <c r="C3150" t="inlineStr">
        <is>
          <t>מוצרים משלימים הומני</t>
        </is>
      </c>
      <c r="D3150" t="inlineStr">
        <is>
          <t>165</t>
        </is>
      </c>
      <c r="E3150" t="inlineStr">
        <is>
          <t>2026-06</t>
        </is>
      </c>
      <c r="F3150" t="n">
        <v>12.71</v>
      </c>
      <c r="G3150" t="n">
        <v>15</v>
      </c>
      <c r="H3150">
        <f>הגדרות!B7</f>
        <v/>
      </c>
      <c r="I3150">
        <f>F3150*(1-H3150/100)*1.18</f>
        <v/>
      </c>
      <c r="J3150">
        <f>הגדרות!C7</f>
        <v/>
      </c>
      <c r="K3150">
        <f>הגדרות!D7</f>
        <v/>
      </c>
      <c r="L3150">
        <f>I3150*(1+J3150/100)+K3150</f>
        <v/>
      </c>
    </row>
    <row r="3151">
      <c r="A3151" t="inlineStr">
        <is>
          <t>מדי-מרקט</t>
        </is>
      </c>
      <c r="B3151" t="inlineStr">
        <is>
          <t>פקק אדום למזרק סטרילי מדיקפרו  100 COMBI-CAP יחידות</t>
        </is>
      </c>
      <c r="C3151" t="inlineStr">
        <is>
          <t>מזרקים,מחטים,ונפלונים,סקלפלים</t>
        </is>
      </c>
      <c r="D3151" t="inlineStr">
        <is>
          <t>300-103</t>
        </is>
      </c>
      <c r="E3151" t="inlineStr">
        <is>
          <t>2026-06</t>
        </is>
      </c>
      <c r="F3151" t="n">
        <v>7.75</v>
      </c>
      <c r="G3151" t="n">
        <v>9.140000000000001</v>
      </c>
      <c r="H3151">
        <f>הגדרות!B7</f>
        <v/>
      </c>
      <c r="I3151">
        <f>F3151*(1-H3151/100)*1.18</f>
        <v/>
      </c>
      <c r="J3151">
        <f>הגדרות!C7</f>
        <v/>
      </c>
      <c r="K3151">
        <f>הגדרות!D7</f>
        <v/>
      </c>
      <c r="L3151">
        <f>I3151*(1+J3151/100)+K3151</f>
        <v/>
      </c>
    </row>
    <row r="3152">
      <c r="A3152" t="inlineStr">
        <is>
          <t>מדי-מרקט</t>
        </is>
      </c>
      <c r="B3152" t="inlineStr">
        <is>
          <t>פקק כחול לקטטר / זונדה, מדיקפרו 50 יח';</t>
        </is>
      </c>
      <c r="C3152" t="inlineStr">
        <is>
          <t>ציוד מתכלה</t>
        </is>
      </c>
      <c r="D3152" t="inlineStr">
        <is>
          <t>200-214</t>
        </is>
      </c>
      <c r="E3152" t="inlineStr">
        <is>
          <t>2026-06</t>
        </is>
      </c>
      <c r="F3152" t="n">
        <v>13.98</v>
      </c>
      <c r="G3152" t="n">
        <v>16.5</v>
      </c>
      <c r="H3152">
        <f>הגדרות!B7</f>
        <v/>
      </c>
      <c r="I3152">
        <f>F3152*(1-H3152/100)*1.18</f>
        <v/>
      </c>
      <c r="J3152">
        <f>הגדרות!C7</f>
        <v/>
      </c>
      <c r="K3152">
        <f>הגדרות!D7</f>
        <v/>
      </c>
      <c r="L3152">
        <f>I3152*(1+J3152/100)+K3152</f>
        <v/>
      </c>
    </row>
    <row r="3153">
      <c r="A3153" t="inlineStr">
        <is>
          <t>מדי-מרקט</t>
        </is>
      </c>
      <c r="B3153" t="inlineStr">
        <is>
          <t>פקק צהוב לאינפוזייה סטרילי מדיקפרו 100 HEPARIN-CAP יחידות</t>
        </is>
      </c>
      <c r="C3153" t="inlineStr">
        <is>
          <t>מזרקים,מחטים,ונפלונים,סקלפלים</t>
        </is>
      </c>
      <c r="D3153" t="inlineStr">
        <is>
          <t>300-104</t>
        </is>
      </c>
      <c r="E3153" t="inlineStr">
        <is>
          <t>2026-06</t>
        </is>
      </c>
      <c r="F3153" t="n">
        <v>13.89</v>
      </c>
      <c r="G3153" t="n">
        <v>16.39</v>
      </c>
      <c r="H3153">
        <f>הגדרות!B7</f>
        <v/>
      </c>
      <c r="I3153">
        <f>F3153*(1-H3153/100)*1.18</f>
        <v/>
      </c>
      <c r="J3153">
        <f>הגדרות!C7</f>
        <v/>
      </c>
      <c r="K3153">
        <f>הגדרות!D7</f>
        <v/>
      </c>
      <c r="L3153">
        <f>I3153*(1+J3153/100)+K3153</f>
        <v/>
      </c>
    </row>
    <row r="3154">
      <c r="A3154" t="inlineStr">
        <is>
          <t>מדי-מרקט</t>
        </is>
      </c>
      <c r="B3154" t="inlineStr">
        <is>
          <t>פרגוד אלומניום 3 כנפיים מידה 160&amp;#215;175</t>
        </is>
      </c>
      <c r="C3154" t="inlineStr">
        <is>
          <t>ציוד ומכשור רפואי</t>
        </is>
      </c>
      <c r="D3154" t="inlineStr">
        <is>
          <t>15455</t>
        </is>
      </c>
      <c r="E3154" t="inlineStr">
        <is>
          <t>2026-06</t>
        </is>
      </c>
      <c r="F3154" t="n">
        <v>514.83</v>
      </c>
      <c r="G3154" t="n">
        <v>607.5</v>
      </c>
      <c r="H3154">
        <f>הגדרות!B7</f>
        <v/>
      </c>
      <c r="I3154">
        <f>F3154*(1-H3154/100)*1.18</f>
        <v/>
      </c>
      <c r="J3154">
        <f>הגדרות!C7</f>
        <v/>
      </c>
      <c r="K3154">
        <f>הגדרות!D7</f>
        <v/>
      </c>
      <c r="L3154">
        <f>I3154*(1+J3154/100)+K3154</f>
        <v/>
      </c>
    </row>
    <row r="3155">
      <c r="A3155" t="inlineStr">
        <is>
          <t>מדי-מרקט</t>
        </is>
      </c>
      <c r="B3155" t="inlineStr">
        <is>
          <t>פרוב בדיקה אוראלית NEW SHORT ORAL PROBE</t>
        </is>
      </c>
      <c r="C3155" t="inlineStr">
        <is>
          <t>ציוד ומכשור רפואי</t>
        </is>
      </c>
      <c r="D3155" t="inlineStr">
        <is>
          <t>WLA02892-000</t>
        </is>
      </c>
      <c r="E3155" t="inlineStr">
        <is>
          <t>2026-06</t>
        </is>
      </c>
      <c r="F3155" t="n">
        <v>559.3200000000001</v>
      </c>
      <c r="G3155" t="n">
        <v>660</v>
      </c>
      <c r="H3155">
        <f>הגדרות!B7</f>
        <v/>
      </c>
      <c r="I3155">
        <f>F3155*(1-H3155/100)*1.18</f>
        <v/>
      </c>
      <c r="J3155">
        <f>הגדרות!C7</f>
        <v/>
      </c>
      <c r="K3155">
        <f>הגדרות!D7</f>
        <v/>
      </c>
      <c r="L3155">
        <f>I3155*(1+J3155/100)+K3155</f>
        <v/>
      </c>
    </row>
    <row r="3156">
      <c r="A3156" t="inlineStr">
        <is>
          <t>מדי-מרקט</t>
        </is>
      </c>
      <c r="B3156" t="inlineStr">
        <is>
          <t>פרוב למד חום 02893-100 W.A(כחול)</t>
        </is>
      </c>
      <c r="C3156" t="inlineStr">
        <is>
          <t>ציוד ומכשור רפואי</t>
        </is>
      </c>
      <c r="D3156" t="inlineStr">
        <is>
          <t>120385</t>
        </is>
      </c>
      <c r="E3156" t="inlineStr">
        <is>
          <t>2026-06</t>
        </is>
      </c>
      <c r="F3156" t="n">
        <v>433.05</v>
      </c>
      <c r="G3156" t="n">
        <v>511</v>
      </c>
      <c r="H3156">
        <f>הגדרות!B7</f>
        <v/>
      </c>
      <c r="I3156">
        <f>F3156*(1-H3156/100)*1.18</f>
        <v/>
      </c>
      <c r="J3156">
        <f>הגדרות!C7</f>
        <v/>
      </c>
      <c r="K3156">
        <f>הגדרות!D7</f>
        <v/>
      </c>
      <c r="L3156">
        <f>I3156*(1+J3156/100)+K3156</f>
        <v/>
      </c>
    </row>
    <row r="3157">
      <c r="A3157" t="inlineStr">
        <is>
          <t>מדי-מרקט</t>
        </is>
      </c>
      <c r="B3157" t="inlineStr">
        <is>
          <t>פרוב סטורציה לאוזן למכשיר EDAN</t>
        </is>
      </c>
      <c r="C3157" t="inlineStr">
        <is>
          <t>ציוד ומכשור רפואי</t>
        </is>
      </c>
      <c r="D3157" t="inlineStr">
        <is>
          <t>354613</t>
        </is>
      </c>
      <c r="E3157" t="inlineStr">
        <is>
          <t>2026-06</t>
        </is>
      </c>
      <c r="F3157" t="n">
        <v>381.36</v>
      </c>
      <c r="G3157" t="n">
        <v>450</v>
      </c>
      <c r="H3157">
        <f>הגדרות!B7</f>
        <v/>
      </c>
      <c r="I3157">
        <f>F3157*(1-H3157/100)*1.18</f>
        <v/>
      </c>
      <c r="J3157">
        <f>הגדרות!C7</f>
        <v/>
      </c>
      <c r="K3157">
        <f>הגדרות!D7</f>
        <v/>
      </c>
      <c r="L3157">
        <f>I3157*(1+J3157/100)+K3157</f>
        <v/>
      </c>
    </row>
    <row r="3158">
      <c r="A3158" t="inlineStr">
        <is>
          <t>מדי-מרקט</t>
        </is>
      </c>
      <c r="B3158" t="inlineStr">
        <is>
          <t>פרוב סטורציה לתינוק עבור מד לחץ דם EDAN</t>
        </is>
      </c>
      <c r="C3158" t="inlineStr">
        <is>
          <t>ציוד ומכשור רפואי</t>
        </is>
      </c>
      <c r="D3158" t="inlineStr">
        <is>
          <t>354614</t>
        </is>
      </c>
      <c r="E3158" t="inlineStr">
        <is>
          <t>2026-06</t>
        </is>
      </c>
      <c r="F3158" t="n">
        <v>663.5599999999999</v>
      </c>
      <c r="G3158" t="n">
        <v>783</v>
      </c>
      <c r="H3158">
        <f>הגדרות!B7</f>
        <v/>
      </c>
      <c r="I3158">
        <f>F3158*(1-H3158/100)*1.18</f>
        <v/>
      </c>
      <c r="J3158">
        <f>הגדרות!C7</f>
        <v/>
      </c>
      <c r="K3158">
        <f>הגדרות!D7</f>
        <v/>
      </c>
      <c r="L3158">
        <f>I3158*(1+J3158/100)+K3158</f>
        <v/>
      </c>
    </row>
    <row r="3159">
      <c r="A3159" t="inlineStr">
        <is>
          <t>מדי-מרקט</t>
        </is>
      </c>
      <c r="B3159" t="inlineStr">
        <is>
          <t>פרוביוטיק דיג'סט</t>
        </is>
      </c>
      <c r="C3159" t="inlineStr">
        <is>
          <t>תרופות</t>
        </is>
      </c>
      <c r="D3159" t="inlineStr">
        <is>
          <t>9270041</t>
        </is>
      </c>
      <c r="E3159" t="inlineStr">
        <is>
          <t>2026-06</t>
        </is>
      </c>
      <c r="F3159" t="n">
        <v>96.95</v>
      </c>
      <c r="G3159" t="n">
        <v>114.4</v>
      </c>
      <c r="H3159">
        <f>הגדרות!B7</f>
        <v/>
      </c>
      <c r="I3159">
        <f>F3159*(1-H3159/100)*1.18</f>
        <v/>
      </c>
      <c r="J3159">
        <f>הגדרות!C7</f>
        <v/>
      </c>
      <c r="K3159">
        <f>הגדרות!D7</f>
        <v/>
      </c>
      <c r="L3159">
        <f>I3159*(1+J3159/100)+K3159</f>
        <v/>
      </c>
    </row>
    <row r="3160">
      <c r="A3160" t="inlineStr">
        <is>
          <t>מדי-מרקט</t>
        </is>
      </c>
      <c r="B3160" t="inlineStr">
        <is>
          <t>פרוו FASTest PARVO 10 test strips</t>
        </is>
      </c>
      <c r="C3160" t="inlineStr">
        <is>
          <t>מוצרים משלימים לווט'</t>
        </is>
      </c>
      <c r="D3160" t="inlineStr">
        <is>
          <t>920010RG1</t>
        </is>
      </c>
      <c r="E3160" t="inlineStr">
        <is>
          <t>2026-06</t>
        </is>
      </c>
      <c r="F3160" t="n">
        <v>190.68</v>
      </c>
      <c r="G3160" t="n">
        <v>225</v>
      </c>
      <c r="H3160">
        <f>הגדרות!B7</f>
        <v/>
      </c>
      <c r="I3160">
        <f>F3160*(1-H3160/100)*1.18</f>
        <v/>
      </c>
      <c r="J3160">
        <f>הגדרות!C7</f>
        <v/>
      </c>
      <c r="K3160">
        <f>הגדרות!D7</f>
        <v/>
      </c>
      <c r="L3160">
        <f>I3160*(1+J3160/100)+K3160</f>
        <v/>
      </c>
    </row>
    <row r="3161">
      <c r="A3161" t="inlineStr">
        <is>
          <t>מדי-מרקט</t>
        </is>
      </c>
      <c r="B3161" t="inlineStr">
        <is>
          <t>פרופי פסטה פוליש לשיניים, בטעם מנטה 340 גרם</t>
        </is>
      </c>
      <c r="C3161" t="inlineStr">
        <is>
          <t>מוצרי חיטוי ואנטיספטיקה</t>
        </is>
      </c>
      <c r="D3161" t="inlineStr">
        <is>
          <t>50-107</t>
        </is>
      </c>
      <c r="E3161" t="inlineStr">
        <is>
          <t>2026-06</t>
        </is>
      </c>
      <c r="F3161" t="n">
        <v>81.36</v>
      </c>
      <c r="G3161" t="n">
        <v>96</v>
      </c>
      <c r="H3161">
        <f>הגדרות!B7</f>
        <v/>
      </c>
      <c r="I3161">
        <f>F3161*(1-H3161/100)*1.18</f>
        <v/>
      </c>
      <c r="J3161">
        <f>הגדרות!C7</f>
        <v/>
      </c>
      <c r="K3161">
        <f>הגדרות!D7</f>
        <v/>
      </c>
      <c r="L3161">
        <f>I3161*(1+J3161/100)+K3161</f>
        <v/>
      </c>
    </row>
    <row r="3162">
      <c r="A3162" t="inlineStr">
        <is>
          <t>מדי-מרקט</t>
        </is>
      </c>
      <c r="B3162" t="inlineStr">
        <is>
          <t>פרופילן גליקול 1 ליטר</t>
        </is>
      </c>
      <c r="C3162" t="inlineStr">
        <is>
          <t>הכנות בית מרקחת</t>
        </is>
      </c>
      <c r="D3162" t="inlineStr">
        <is>
          <t>1650</t>
        </is>
      </c>
      <c r="E3162" t="inlineStr">
        <is>
          <t>2026-06</t>
        </is>
      </c>
      <c r="F3162" t="n">
        <v>50.85</v>
      </c>
      <c r="G3162" t="n">
        <v>60</v>
      </c>
      <c r="H3162">
        <f>הגדרות!B7</f>
        <v/>
      </c>
      <c r="I3162">
        <f>F3162*(1-H3162/100)*1.18</f>
        <v/>
      </c>
      <c r="J3162">
        <f>הגדרות!C7</f>
        <v/>
      </c>
      <c r="K3162">
        <f>הגדרות!D7</f>
        <v/>
      </c>
      <c r="L3162">
        <f>I3162*(1+J3162/100)+K3162</f>
        <v/>
      </c>
    </row>
    <row r="3163">
      <c r="A3163" t="inlineStr">
        <is>
          <t>מדי-מרקט</t>
        </is>
      </c>
      <c r="B3163" t="inlineStr">
        <is>
          <t>פריפל 3 – סירופ ברזל 110 מ"ל</t>
        </is>
      </c>
      <c r="C3163" t="inlineStr">
        <is>
          <t>תרופות</t>
        </is>
      </c>
      <c r="D3163" t="inlineStr">
        <is>
          <t>31827</t>
        </is>
      </c>
      <c r="E3163" t="inlineStr">
        <is>
          <t>2026-06</t>
        </is>
      </c>
      <c r="F3163" t="n">
        <v>27.12</v>
      </c>
      <c r="G3163" t="n">
        <v>32</v>
      </c>
      <c r="H3163">
        <f>הגדרות!B7</f>
        <v/>
      </c>
      <c r="I3163">
        <f>F3163*(1-H3163/100)*1.18</f>
        <v/>
      </c>
      <c r="J3163">
        <f>הגדרות!C7</f>
        <v/>
      </c>
      <c r="K3163">
        <f>הגדרות!D7</f>
        <v/>
      </c>
      <c r="L3163">
        <f>I3163*(1+J3163/100)+K3163</f>
        <v/>
      </c>
    </row>
    <row r="3164">
      <c r="A3164" t="inlineStr">
        <is>
          <t>מדי-מרקט</t>
        </is>
      </c>
      <c r="B3164" t="inlineStr">
        <is>
          <t>צוארון אליזבט CHECK (פס שחור)גודל KVP ,10 ארה"ב</t>
        </is>
      </c>
      <c r="C3164" t="inlineStr">
        <is>
          <t>KVP</t>
        </is>
      </c>
      <c r="D3164" t="inlineStr">
        <is>
          <t>500-205</t>
        </is>
      </c>
      <c r="E3164" t="inlineStr">
        <is>
          <t>2026-06</t>
        </is>
      </c>
      <c r="F3164" t="n">
        <v>14.41</v>
      </c>
      <c r="G3164" t="n">
        <v>17</v>
      </c>
      <c r="H3164">
        <f>הגדרות!B7</f>
        <v/>
      </c>
      <c r="I3164">
        <f>F3164*(1-H3164/100)*1.18</f>
        <v/>
      </c>
      <c r="J3164">
        <f>הגדרות!C7</f>
        <v/>
      </c>
      <c r="K3164">
        <f>הגדרות!D7</f>
        <v/>
      </c>
      <c r="L3164">
        <f>I3164*(1+J3164/100)+K3164</f>
        <v/>
      </c>
    </row>
    <row r="3165">
      <c r="A3165" t="inlineStr">
        <is>
          <t>מדי-מרקט</t>
        </is>
      </c>
      <c r="B3165" t="inlineStr">
        <is>
          <t>צוארון אליזבט CHECK (פס שחור)גודל KVP ,15 ארה"ב</t>
        </is>
      </c>
      <c r="C3165" t="inlineStr">
        <is>
          <t>KVP</t>
        </is>
      </c>
      <c r="D3165" t="inlineStr">
        <is>
          <t>500-207</t>
        </is>
      </c>
      <c r="E3165" t="inlineStr">
        <is>
          <t>2026-06</t>
        </is>
      </c>
      <c r="F3165" t="n">
        <v>17.8</v>
      </c>
      <c r="G3165" t="n">
        <v>21</v>
      </c>
      <c r="H3165">
        <f>הגדרות!B7</f>
        <v/>
      </c>
      <c r="I3165">
        <f>F3165*(1-H3165/100)*1.18</f>
        <v/>
      </c>
      <c r="J3165">
        <f>הגדרות!C7</f>
        <v/>
      </c>
      <c r="K3165">
        <f>הגדרות!D7</f>
        <v/>
      </c>
      <c r="L3165">
        <f>I3165*(1+J3165/100)+K3165</f>
        <v/>
      </c>
    </row>
    <row r="3166">
      <c r="A3166" t="inlineStr">
        <is>
          <t>מדי-מרקט</t>
        </is>
      </c>
      <c r="B3166" t="inlineStr">
        <is>
          <t>צוארון אליזבט CHECK (פס שחור)גודל KVP ,20 ארה"ב</t>
        </is>
      </c>
      <c r="C3166" t="inlineStr">
        <is>
          <t>KVP</t>
        </is>
      </c>
      <c r="D3166" t="inlineStr">
        <is>
          <t>500-208</t>
        </is>
      </c>
      <c r="E3166" t="inlineStr">
        <is>
          <t>2026-06</t>
        </is>
      </c>
      <c r="F3166" t="n">
        <v>20.34</v>
      </c>
      <c r="G3166" t="n">
        <v>24</v>
      </c>
      <c r="H3166">
        <f>הגדרות!B7</f>
        <v/>
      </c>
      <c r="I3166">
        <f>F3166*(1-H3166/100)*1.18</f>
        <v/>
      </c>
      <c r="J3166">
        <f>הגדרות!C7</f>
        <v/>
      </c>
      <c r="K3166">
        <f>הגדרות!D7</f>
        <v/>
      </c>
      <c r="L3166">
        <f>I3166*(1+J3166/100)+K3166</f>
        <v/>
      </c>
    </row>
    <row r="3167">
      <c r="A3167" t="inlineStr">
        <is>
          <t>מדי-מרקט</t>
        </is>
      </c>
      <c r="B3167" t="inlineStr">
        <is>
          <t>צוארון אליזבט CHECK (פס שחור)גודל KVP ,25 ארה"ב</t>
        </is>
      </c>
      <c r="C3167" t="inlineStr">
        <is>
          <t>KVP</t>
        </is>
      </c>
      <c r="D3167" t="inlineStr">
        <is>
          <t>500-209</t>
        </is>
      </c>
      <c r="E3167" t="inlineStr">
        <is>
          <t>2026-06</t>
        </is>
      </c>
      <c r="F3167" t="n">
        <v>23.73</v>
      </c>
      <c r="G3167" t="n">
        <v>28</v>
      </c>
      <c r="H3167">
        <f>הגדרות!B7</f>
        <v/>
      </c>
      <c r="I3167">
        <f>F3167*(1-H3167/100)*1.18</f>
        <v/>
      </c>
      <c r="J3167">
        <f>הגדרות!C7</f>
        <v/>
      </c>
      <c r="K3167">
        <f>הגדרות!D7</f>
        <v/>
      </c>
      <c r="L3167">
        <f>I3167*(1+J3167/100)+K3167</f>
        <v/>
      </c>
    </row>
    <row r="3168">
      <c r="A3168" t="inlineStr">
        <is>
          <t>מדי-מרקט</t>
        </is>
      </c>
      <c r="B3168" t="inlineStr">
        <is>
          <t>צוארון אליזבט CHECK (פס שחור)גודל KVP ,30 ארה"ב</t>
        </is>
      </c>
      <c r="C3168" t="inlineStr">
        <is>
          <t>KVP</t>
        </is>
      </c>
      <c r="D3168" t="inlineStr">
        <is>
          <t>500-210</t>
        </is>
      </c>
      <c r="E3168" t="inlineStr">
        <is>
          <t>2026-06</t>
        </is>
      </c>
      <c r="F3168" t="n">
        <v>27.97</v>
      </c>
      <c r="G3168" t="n">
        <v>33</v>
      </c>
      <c r="H3168">
        <f>הגדרות!B7</f>
        <v/>
      </c>
      <c r="I3168">
        <f>F3168*(1-H3168/100)*1.18</f>
        <v/>
      </c>
      <c r="J3168">
        <f>הגדרות!C7</f>
        <v/>
      </c>
      <c r="K3168">
        <f>הגדרות!D7</f>
        <v/>
      </c>
      <c r="L3168">
        <f>I3168*(1+J3168/100)+K3168</f>
        <v/>
      </c>
    </row>
    <row r="3169">
      <c r="A3169" t="inlineStr">
        <is>
          <t>מדי-מרקט</t>
        </is>
      </c>
      <c r="B3169" t="inlineStr">
        <is>
          <t>צוארון אליזבט CHECK (פס שחור)גודל KVP ,7.5 ארה"ב</t>
        </is>
      </c>
      <c r="C3169" t="inlineStr">
        <is>
          <t>KVP</t>
        </is>
      </c>
      <c r="D3169" t="inlineStr">
        <is>
          <t>500-204</t>
        </is>
      </c>
      <c r="E3169" t="inlineStr">
        <is>
          <t>2026-06</t>
        </is>
      </c>
      <c r="F3169" t="n">
        <v>8.470000000000001</v>
      </c>
      <c r="G3169" t="n">
        <v>10</v>
      </c>
      <c r="H3169">
        <f>הגדרות!B7</f>
        <v/>
      </c>
      <c r="I3169">
        <f>F3169*(1-H3169/100)*1.18</f>
        <v/>
      </c>
      <c r="J3169">
        <f>הגדרות!C7</f>
        <v/>
      </c>
      <c r="K3169">
        <f>הגדרות!D7</f>
        <v/>
      </c>
      <c r="L3169">
        <f>I3169*(1+J3169/100)+K3169</f>
        <v/>
      </c>
    </row>
    <row r="3170">
      <c r="A3170" t="inlineStr">
        <is>
          <t>מדי-מרקט</t>
        </is>
      </c>
      <c r="B3170" t="inlineStr">
        <is>
          <t>צוארון אליזבט CHECK (פס שחור)גודל KVP 12.5 ארה"ב</t>
        </is>
      </c>
      <c r="C3170" t="inlineStr">
        <is>
          <t>KVP</t>
        </is>
      </c>
      <c r="D3170" t="inlineStr">
        <is>
          <t>500-206</t>
        </is>
      </c>
      <c r="E3170" t="inlineStr">
        <is>
          <t>2026-06</t>
        </is>
      </c>
      <c r="F3170" t="n">
        <v>11.86</v>
      </c>
      <c r="G3170" t="n">
        <v>14</v>
      </c>
      <c r="H3170">
        <f>הגדרות!B7</f>
        <v/>
      </c>
      <c r="I3170">
        <f>F3170*(1-H3170/100)*1.18</f>
        <v/>
      </c>
      <c r="J3170">
        <f>הגדרות!C7</f>
        <v/>
      </c>
      <c r="K3170">
        <f>הגדרות!D7</f>
        <v/>
      </c>
      <c r="L3170">
        <f>I3170*(1+J3170/100)+K3170</f>
        <v/>
      </c>
    </row>
    <row r="3171">
      <c r="A3171" t="inlineStr">
        <is>
          <t>מדי-מרקט</t>
        </is>
      </c>
      <c r="B3171" t="inlineStr">
        <is>
          <t>צוארון אליזבט דגם MDC SMART גודל L 3</t>
        </is>
      </c>
      <c r="C3171" t="inlineStr">
        <is>
          <t>MDC</t>
        </is>
      </c>
      <c r="D3171" t="inlineStr">
        <is>
          <t>A148-003</t>
        </is>
      </c>
      <c r="E3171" t="inlineStr">
        <is>
          <t>2026-06</t>
        </is>
      </c>
      <c r="F3171" t="n">
        <v>29.66</v>
      </c>
      <c r="G3171" t="n">
        <v>35</v>
      </c>
      <c r="H3171">
        <f>הגדרות!B7</f>
        <v/>
      </c>
      <c r="I3171">
        <f>F3171*(1-H3171/100)*1.18</f>
        <v/>
      </c>
      <c r="J3171">
        <f>הגדרות!C7</f>
        <v/>
      </c>
      <c r="K3171">
        <f>הגדרות!D7</f>
        <v/>
      </c>
      <c r="L3171">
        <f>I3171*(1+J3171/100)+K3171</f>
        <v/>
      </c>
    </row>
    <row r="3172">
      <c r="A3172" t="inlineStr">
        <is>
          <t>מדי-מרקט</t>
        </is>
      </c>
      <c r="B3172" t="inlineStr">
        <is>
          <t>צוארון אליזבט דגם MDC SMART גודל M 2</t>
        </is>
      </c>
      <c r="C3172" t="inlineStr">
        <is>
          <t>MDC</t>
        </is>
      </c>
      <c r="D3172" t="inlineStr">
        <is>
          <t>A148-002</t>
        </is>
      </c>
      <c r="E3172" t="inlineStr">
        <is>
          <t>2026-06</t>
        </is>
      </c>
      <c r="F3172" t="n">
        <v>22.88</v>
      </c>
      <c r="G3172" t="n">
        <v>27</v>
      </c>
      <c r="H3172">
        <f>הגדרות!B7</f>
        <v/>
      </c>
      <c r="I3172">
        <f>F3172*(1-H3172/100)*1.18</f>
        <v/>
      </c>
      <c r="J3172">
        <f>הגדרות!C7</f>
        <v/>
      </c>
      <c r="K3172">
        <f>הגדרות!D7</f>
        <v/>
      </c>
      <c r="L3172">
        <f>I3172*(1+J3172/100)+K3172</f>
        <v/>
      </c>
    </row>
    <row r="3173">
      <c r="A3173" t="inlineStr">
        <is>
          <t>מדי-מרקט</t>
        </is>
      </c>
      <c r="B3173" t="inlineStr">
        <is>
          <t>צוארון אליזבט דגם MDC SMART גודל S 1</t>
        </is>
      </c>
      <c r="C3173" t="inlineStr">
        <is>
          <t>MDC</t>
        </is>
      </c>
      <c r="D3173" t="inlineStr">
        <is>
          <t>A148-001</t>
        </is>
      </c>
      <c r="E3173" t="inlineStr">
        <is>
          <t>2026-06</t>
        </is>
      </c>
      <c r="F3173" t="n">
        <v>18.64</v>
      </c>
      <c r="G3173" t="n">
        <v>22</v>
      </c>
      <c r="H3173">
        <f>הגדרות!B7</f>
        <v/>
      </c>
      <c r="I3173">
        <f>F3173*(1-H3173/100)*1.18</f>
        <v/>
      </c>
      <c r="J3173">
        <f>הגדרות!C7</f>
        <v/>
      </c>
      <c r="K3173">
        <f>הגדרות!D7</f>
        <v/>
      </c>
      <c r="L3173">
        <f>I3173*(1+J3173/100)+K3173</f>
        <v/>
      </c>
    </row>
    <row r="3174">
      <c r="A3174" t="inlineStr">
        <is>
          <t>מדי-מרקט</t>
        </is>
      </c>
      <c r="B3174" t="inlineStr">
        <is>
          <t>צוארון אליזבט דגם MDC SMART גודל XL 4</t>
        </is>
      </c>
      <c r="C3174" t="inlineStr">
        <is>
          <t>MDC</t>
        </is>
      </c>
      <c r="D3174" t="inlineStr">
        <is>
          <t>A148-004</t>
        </is>
      </c>
      <c r="E3174" t="inlineStr">
        <is>
          <t>2026-06</t>
        </is>
      </c>
      <c r="F3174" t="n">
        <v>41.53</v>
      </c>
      <c r="G3174" t="n">
        <v>49</v>
      </c>
      <c r="H3174">
        <f>הגדרות!B7</f>
        <v/>
      </c>
      <c r="I3174">
        <f>F3174*(1-H3174/100)*1.18</f>
        <v/>
      </c>
      <c r="J3174">
        <f>הגדרות!C7</f>
        <v/>
      </c>
      <c r="K3174">
        <f>הגדרות!D7</f>
        <v/>
      </c>
      <c r="L3174">
        <f>I3174*(1+J3174/100)+K3174</f>
        <v/>
      </c>
    </row>
    <row r="3175">
      <c r="A3175" t="inlineStr">
        <is>
          <t>מדי-מרקט</t>
        </is>
      </c>
      <c r="B3175" t="inlineStr">
        <is>
          <t>צוארון אליזבט דגם MDC SMART גודל XS 0</t>
        </is>
      </c>
      <c r="C3175" t="inlineStr">
        <is>
          <t>MDC</t>
        </is>
      </c>
      <c r="D3175" t="inlineStr">
        <is>
          <t>A148-000</t>
        </is>
      </c>
      <c r="E3175" t="inlineStr">
        <is>
          <t>2026-06</t>
        </is>
      </c>
      <c r="F3175" t="n">
        <v>12.29</v>
      </c>
      <c r="G3175" t="n">
        <v>14.5</v>
      </c>
      <c r="H3175">
        <f>הגדרות!B7</f>
        <v/>
      </c>
      <c r="I3175">
        <f>F3175*(1-H3175/100)*1.18</f>
        <v/>
      </c>
      <c r="J3175">
        <f>הגדרות!C7</f>
        <v/>
      </c>
      <c r="K3175">
        <f>הגדרות!D7</f>
        <v/>
      </c>
      <c r="L3175">
        <f>I3175*(1+J3175/100)+K3175</f>
        <v/>
      </c>
    </row>
    <row r="3176">
      <c r="A3176" t="inlineStr">
        <is>
          <t>מדי-מרקט</t>
        </is>
      </c>
      <c r="B3176" t="inlineStr">
        <is>
          <t>צוארון אליזבט דגם MDC SMART גודל XXL 5</t>
        </is>
      </c>
      <c r="C3176" t="inlineStr">
        <is>
          <t>MDC</t>
        </is>
      </c>
      <c r="D3176" t="inlineStr">
        <is>
          <t>A148-005</t>
        </is>
      </c>
      <c r="E3176" t="inlineStr">
        <is>
          <t>2026-06</t>
        </is>
      </c>
      <c r="F3176" t="n">
        <v>50</v>
      </c>
      <c r="G3176" t="n">
        <v>59</v>
      </c>
      <c r="H3176">
        <f>הגדרות!B7</f>
        <v/>
      </c>
      <c r="I3176">
        <f>F3176*(1-H3176/100)*1.18</f>
        <v/>
      </c>
      <c r="J3176">
        <f>הגדרות!C7</f>
        <v/>
      </c>
      <c r="K3176">
        <f>הגדרות!D7</f>
        <v/>
      </c>
      <c r="L3176">
        <f>I3176*(1+J3176/100)+K3176</f>
        <v/>
      </c>
    </row>
    <row r="3177">
      <c r="A3177" t="inlineStr">
        <is>
          <t>מדי-מרקט</t>
        </is>
      </c>
      <c r="B3177" t="inlineStr">
        <is>
          <t>צוארון אליזבט,דגם BETSY, גודל KVP , 10 ארה"ב</t>
        </is>
      </c>
      <c r="C3177" t="inlineStr">
        <is>
          <t>KVP</t>
        </is>
      </c>
      <c r="D3177" t="inlineStr">
        <is>
          <t>500-301</t>
        </is>
      </c>
      <c r="E3177" t="inlineStr">
        <is>
          <t>2026-06</t>
        </is>
      </c>
      <c r="F3177" t="n">
        <v>13.56</v>
      </c>
      <c r="G3177" t="n">
        <v>16</v>
      </c>
      <c r="H3177">
        <f>הגדרות!B7</f>
        <v/>
      </c>
      <c r="I3177">
        <f>F3177*(1-H3177/100)*1.18</f>
        <v/>
      </c>
      <c r="J3177">
        <f>הגדרות!C7</f>
        <v/>
      </c>
      <c r="K3177">
        <f>הגדרות!D7</f>
        <v/>
      </c>
      <c r="L3177">
        <f>I3177*(1+J3177/100)+K3177</f>
        <v/>
      </c>
    </row>
    <row r="3178">
      <c r="A3178" t="inlineStr">
        <is>
          <t>מדי-מרקט</t>
        </is>
      </c>
      <c r="B3178" t="inlineStr">
        <is>
          <t>צוארון אליזבט,דגם BETSY, גודל KVP , 12.5 ארה"ב</t>
        </is>
      </c>
      <c r="C3178" t="inlineStr">
        <is>
          <t>KVP</t>
        </is>
      </c>
      <c r="D3178" t="inlineStr">
        <is>
          <t>500-302</t>
        </is>
      </c>
      <c r="E3178" t="inlineStr">
        <is>
          <t>2026-06</t>
        </is>
      </c>
      <c r="F3178" t="n">
        <v>14.41</v>
      </c>
      <c r="G3178" t="n">
        <v>17</v>
      </c>
      <c r="H3178">
        <f>הגדרות!B7</f>
        <v/>
      </c>
      <c r="I3178">
        <f>F3178*(1-H3178/100)*1.18</f>
        <v/>
      </c>
      <c r="J3178">
        <f>הגדרות!C7</f>
        <v/>
      </c>
      <c r="K3178">
        <f>הגדרות!D7</f>
        <v/>
      </c>
      <c r="L3178">
        <f>I3178*(1+J3178/100)+K3178</f>
        <v/>
      </c>
    </row>
    <row r="3179">
      <c r="A3179" t="inlineStr">
        <is>
          <t>מדי-מרקט</t>
        </is>
      </c>
      <c r="B3179" t="inlineStr">
        <is>
          <t>צוארון אליזבט,דגם BETSY, גודל KVP , 15 ארה"ב</t>
        </is>
      </c>
      <c r="C3179" t="inlineStr">
        <is>
          <t>KVP</t>
        </is>
      </c>
      <c r="D3179" t="inlineStr">
        <is>
          <t>500-303</t>
        </is>
      </c>
      <c r="E3179" t="inlineStr">
        <is>
          <t>2026-06</t>
        </is>
      </c>
      <c r="F3179" t="n">
        <v>11.86</v>
      </c>
      <c r="G3179" t="n">
        <v>14</v>
      </c>
      <c r="H3179">
        <f>הגדרות!B7</f>
        <v/>
      </c>
      <c r="I3179">
        <f>F3179*(1-H3179/100)*1.18</f>
        <v/>
      </c>
      <c r="J3179">
        <f>הגדרות!C7</f>
        <v/>
      </c>
      <c r="K3179">
        <f>הגדרות!D7</f>
        <v/>
      </c>
      <c r="L3179">
        <f>I3179*(1+J3179/100)+K3179</f>
        <v/>
      </c>
    </row>
    <row r="3180">
      <c r="A3180" t="inlineStr">
        <is>
          <t>מדי-מרקט</t>
        </is>
      </c>
      <c r="B3180" t="inlineStr">
        <is>
          <t>צוארון אליזבט,דגם BETSY, גודל KVP , 20 ארה"ב</t>
        </is>
      </c>
      <c r="C3180" t="inlineStr">
        <is>
          <t>KVP</t>
        </is>
      </c>
      <c r="D3180" t="inlineStr">
        <is>
          <t>500-304</t>
        </is>
      </c>
      <c r="E3180" t="inlineStr">
        <is>
          <t>2026-06</t>
        </is>
      </c>
      <c r="F3180" t="n">
        <v>11.86</v>
      </c>
      <c r="G3180" t="n">
        <v>14</v>
      </c>
      <c r="H3180">
        <f>הגדרות!B7</f>
        <v/>
      </c>
      <c r="I3180">
        <f>F3180*(1-H3180/100)*1.18</f>
        <v/>
      </c>
      <c r="J3180">
        <f>הגדרות!C7</f>
        <v/>
      </c>
      <c r="K3180">
        <f>הגדרות!D7</f>
        <v/>
      </c>
      <c r="L3180">
        <f>I3180*(1+J3180/100)+K3180</f>
        <v/>
      </c>
    </row>
    <row r="3181">
      <c r="A3181" t="inlineStr">
        <is>
          <t>מדי-מרקט</t>
        </is>
      </c>
      <c r="B3181" t="inlineStr">
        <is>
          <t>צוארון אליזבט,דגם BETSY, גודל KVP , 25 ארה"ב</t>
        </is>
      </c>
      <c r="C3181" t="inlineStr">
        <is>
          <t>KVP</t>
        </is>
      </c>
      <c r="D3181" t="inlineStr">
        <is>
          <t>500-305</t>
        </is>
      </c>
      <c r="E3181" t="inlineStr">
        <is>
          <t>2026-06</t>
        </is>
      </c>
      <c r="F3181" t="n">
        <v>14.41</v>
      </c>
      <c r="G3181" t="n">
        <v>17</v>
      </c>
      <c r="H3181">
        <f>הגדרות!B7</f>
        <v/>
      </c>
      <c r="I3181">
        <f>F3181*(1-H3181/100)*1.18</f>
        <v/>
      </c>
      <c r="J3181">
        <f>הגדרות!C7</f>
        <v/>
      </c>
      <c r="K3181">
        <f>הגדרות!D7</f>
        <v/>
      </c>
      <c r="L3181">
        <f>I3181*(1+J3181/100)+K3181</f>
        <v/>
      </c>
    </row>
    <row r="3182">
      <c r="A3182" t="inlineStr">
        <is>
          <t>מדי-מרקט</t>
        </is>
      </c>
      <c r="B3182" t="inlineStr">
        <is>
          <t>צוארון אליזבט,דגם BETSY, גודל KVP , 30 ארה"ב</t>
        </is>
      </c>
      <c r="C3182" t="inlineStr">
        <is>
          <t>KVP</t>
        </is>
      </c>
      <c r="D3182" t="inlineStr">
        <is>
          <t>500-306</t>
        </is>
      </c>
      <c r="E3182" t="inlineStr">
        <is>
          <t>2026-06</t>
        </is>
      </c>
      <c r="F3182" t="n">
        <v>16.95</v>
      </c>
      <c r="G3182" t="n">
        <v>20</v>
      </c>
      <c r="H3182">
        <f>הגדרות!B7</f>
        <v/>
      </c>
      <c r="I3182">
        <f>F3182*(1-H3182/100)*1.18</f>
        <v/>
      </c>
      <c r="J3182">
        <f>הגדרות!C7</f>
        <v/>
      </c>
      <c r="K3182">
        <f>הגדרות!D7</f>
        <v/>
      </c>
      <c r="L3182">
        <f>I3182*(1+J3182/100)+K3182</f>
        <v/>
      </c>
    </row>
    <row r="3183">
      <c r="A3183" t="inlineStr">
        <is>
          <t>מדי-מרקט</t>
        </is>
      </c>
      <c r="B3183" t="inlineStr">
        <is>
          <t>צוארון אליזבט,דגם BETSY, גודל KVP , 40 ארה"ב</t>
        </is>
      </c>
      <c r="C3183" t="inlineStr">
        <is>
          <t>KVP</t>
        </is>
      </c>
      <c r="D3183" t="inlineStr">
        <is>
          <t>500-307</t>
        </is>
      </c>
      <c r="E3183" t="inlineStr">
        <is>
          <t>2026-06</t>
        </is>
      </c>
      <c r="F3183" t="n">
        <v>37.29</v>
      </c>
      <c r="G3183" t="n">
        <v>44</v>
      </c>
      <c r="H3183">
        <f>הגדרות!B7</f>
        <v/>
      </c>
      <c r="I3183">
        <f>F3183*(1-H3183/100)*1.18</f>
        <v/>
      </c>
      <c r="J3183">
        <f>הגדרות!C7</f>
        <v/>
      </c>
      <c r="K3183">
        <f>הגדרות!D7</f>
        <v/>
      </c>
      <c r="L3183">
        <f>I3183*(1+J3183/100)+K3183</f>
        <v/>
      </c>
    </row>
    <row r="3184">
      <c r="A3184" t="inlineStr">
        <is>
          <t>מדי-מרקט</t>
        </is>
      </c>
      <c r="B3184" t="inlineStr">
        <is>
          <t>צוארון אליזבט,דגם BETSY, גודל KVP , 7.5 ארה"ב</t>
        </is>
      </c>
      <c r="C3184" t="inlineStr">
        <is>
          <t>KVP</t>
        </is>
      </c>
      <c r="D3184" t="inlineStr">
        <is>
          <t>500-300</t>
        </is>
      </c>
      <c r="E3184" t="inlineStr">
        <is>
          <t>2026-06</t>
        </is>
      </c>
      <c r="F3184" t="n">
        <v>9.75</v>
      </c>
      <c r="G3184" t="n">
        <v>11.5</v>
      </c>
      <c r="H3184">
        <f>הגדרות!B7</f>
        <v/>
      </c>
      <c r="I3184">
        <f>F3184*(1-H3184/100)*1.18</f>
        <v/>
      </c>
      <c r="J3184">
        <f>הגדרות!C7</f>
        <v/>
      </c>
      <c r="K3184">
        <f>הגדרות!D7</f>
        <v/>
      </c>
      <c r="L3184">
        <f>I3184*(1+J3184/100)+K3184</f>
        <v/>
      </c>
    </row>
    <row r="3185">
      <c r="A3185" t="inlineStr">
        <is>
          <t>מדי-מרקט</t>
        </is>
      </c>
      <c r="B3185" t="inlineStr">
        <is>
          <t>צינור אנדוטרכיאלי אוראלי גודל 6 מ"מ - 10 * RAE W/O CUFF</t>
        </is>
      </c>
      <c r="C3185" t="inlineStr">
        <is>
          <t>ציוד ומכשור רפואי</t>
        </is>
      </c>
      <c r="D3185" t="inlineStr">
        <is>
          <t>3060207838</t>
        </is>
      </c>
      <c r="E3185" t="inlineStr">
        <is>
          <t>2026-06</t>
        </is>
      </c>
      <c r="F3185" t="n">
        <v>135.32</v>
      </c>
      <c r="G3185" t="n">
        <v>159.68</v>
      </c>
      <c r="H3185">
        <f>הגדרות!B7</f>
        <v/>
      </c>
      <c r="I3185">
        <f>F3185*(1-H3185/100)*1.18</f>
        <v/>
      </c>
      <c r="J3185">
        <f>הגדרות!C7</f>
        <v/>
      </c>
      <c r="K3185">
        <f>הגדרות!D7</f>
        <v/>
      </c>
      <c r="L3185">
        <f>I3185*(1+J3185/100)+K3185</f>
        <v/>
      </c>
    </row>
    <row r="3186">
      <c r="A3186" t="inlineStr">
        <is>
          <t>מדי-מרקט</t>
        </is>
      </c>
      <c r="B3186" t="inlineStr">
        <is>
          <t>צינור אנדוטרכיאלי אוראלי גודל 6.5 מ"מ - 10 * RAE W/O CUFF</t>
        </is>
      </c>
      <c r="C3186" t="inlineStr">
        <is>
          <t>ציוד ומכשור רפואי</t>
        </is>
      </c>
      <c r="D3186" t="inlineStr">
        <is>
          <t>3060207846</t>
        </is>
      </c>
      <c r="E3186" t="inlineStr">
        <is>
          <t>2026-06</t>
        </is>
      </c>
      <c r="F3186" t="n">
        <v>137.41</v>
      </c>
      <c r="G3186" t="n">
        <v>162.14</v>
      </c>
      <c r="H3186">
        <f>הגדרות!B7</f>
        <v/>
      </c>
      <c r="I3186">
        <f>F3186*(1-H3186/100)*1.18</f>
        <v/>
      </c>
      <c r="J3186">
        <f>הגדרות!C7</f>
        <v/>
      </c>
      <c r="K3186">
        <f>הגדרות!D7</f>
        <v/>
      </c>
      <c r="L3186">
        <f>I3186*(1+J3186/100)+K3186</f>
        <v/>
      </c>
    </row>
    <row r="3187">
      <c r="A3187" t="inlineStr">
        <is>
          <t>מדי-מרקט</t>
        </is>
      </c>
      <c r="B3187" t="inlineStr">
        <is>
          <t>צינור אנדוטרכיאלי אוראלי גודל 7 מ"מ - 10 * RAE W/O CUFF</t>
        </is>
      </c>
      <c r="C3187" t="inlineStr">
        <is>
          <t>ציוד ומכשור רפואי</t>
        </is>
      </c>
      <c r="D3187" t="inlineStr">
        <is>
          <t>3060207853</t>
        </is>
      </c>
      <c r="E3187" t="inlineStr">
        <is>
          <t>2026-06</t>
        </is>
      </c>
      <c r="F3187" t="n">
        <v>133.67</v>
      </c>
      <c r="G3187" t="n">
        <v>157.73</v>
      </c>
      <c r="H3187">
        <f>הגדרות!B7</f>
        <v/>
      </c>
      <c r="I3187">
        <f>F3187*(1-H3187/100)*1.18</f>
        <v/>
      </c>
      <c r="J3187">
        <f>הגדרות!C7</f>
        <v/>
      </c>
      <c r="K3187">
        <f>הגדרות!D7</f>
        <v/>
      </c>
      <c r="L3187">
        <f>I3187*(1+J3187/100)+K3187</f>
        <v/>
      </c>
    </row>
    <row r="3188">
      <c r="A3188" t="inlineStr">
        <is>
          <t>מדי-מרקט</t>
        </is>
      </c>
      <c r="B3188" t="inlineStr">
        <is>
          <t>צינור חמצן 7.6 מטר</t>
        </is>
      </c>
      <c r="C3188" t="inlineStr">
        <is>
          <t>ציוד ומכשור רפואי</t>
        </is>
      </c>
      <c r="D3188" t="inlineStr">
        <is>
          <t>14055</t>
        </is>
      </c>
      <c r="E3188" t="inlineStr">
        <is>
          <t>2026-06</t>
        </is>
      </c>
      <c r="F3188" t="n">
        <v>3.35</v>
      </c>
      <c r="G3188" t="n">
        <v>3.95</v>
      </c>
      <c r="H3188">
        <f>הגדרות!B7</f>
        <v/>
      </c>
      <c r="I3188">
        <f>F3188*(1-H3188/100)*1.18</f>
        <v/>
      </c>
      <c r="J3188">
        <f>הגדרות!C7</f>
        <v/>
      </c>
      <c r="K3188">
        <f>הגדרות!D7</f>
        <v/>
      </c>
      <c r="L3188">
        <f>I3188*(1+J3188/100)+K3188</f>
        <v/>
      </c>
    </row>
    <row r="3189">
      <c r="A3189" t="inlineStr">
        <is>
          <t>מדי-מרקט</t>
        </is>
      </c>
      <c r="B3189" t="inlineStr">
        <is>
          <t>צינור למכונת הרדמה + בלון 0.5 ל' לחיות קטנות</t>
        </is>
      </c>
      <c r="C3189" t="inlineStr">
        <is>
          <t>אביזרים להרדמה</t>
        </is>
      </c>
      <c r="D3189" t="inlineStr">
        <is>
          <t>TA-JRBC</t>
        </is>
      </c>
      <c r="E3189" t="inlineStr">
        <is>
          <t>2026-06</t>
        </is>
      </c>
      <c r="F3189" t="n">
        <v>127.12</v>
      </c>
      <c r="G3189" t="n">
        <v>150</v>
      </c>
      <c r="H3189">
        <f>הגדרות!B7</f>
        <v/>
      </c>
      <c r="I3189">
        <f>F3189*(1-H3189/100)*1.18</f>
        <v/>
      </c>
      <c r="J3189">
        <f>הגדרות!C7</f>
        <v/>
      </c>
      <c r="K3189">
        <f>הגדרות!D7</f>
        <v/>
      </c>
      <c r="L3189">
        <f>I3189*(1+J3189/100)+K3189</f>
        <v/>
      </c>
    </row>
    <row r="3190">
      <c r="A3190" t="inlineStr">
        <is>
          <t>מדי-מרקט</t>
        </is>
      </c>
      <c r="B3190" t="inlineStr">
        <is>
          <t>צינור לסקשיין 7 מ"מ 30 מטר מדיקפרו</t>
        </is>
      </c>
      <c r="C3190" t="inlineStr">
        <is>
          <t>ציוד ומכשור רפואי</t>
        </is>
      </c>
      <c r="D3190" t="inlineStr">
        <is>
          <t>4944</t>
        </is>
      </c>
      <c r="E3190" t="inlineStr">
        <is>
          <t>2026-06</t>
        </is>
      </c>
      <c r="F3190" t="n">
        <v>58.29</v>
      </c>
      <c r="G3190" t="n">
        <v>68.78</v>
      </c>
      <c r="H3190">
        <f>הגדרות!B7</f>
        <v/>
      </c>
      <c r="I3190">
        <f>F3190*(1-H3190/100)*1.18</f>
        <v/>
      </c>
      <c r="J3190">
        <f>הגדרות!C7</f>
        <v/>
      </c>
      <c r="K3190">
        <f>הגדרות!D7</f>
        <v/>
      </c>
      <c r="L3190">
        <f>I3190*(1+J3190/100)+K3190</f>
        <v/>
      </c>
    </row>
    <row r="3191">
      <c r="A3191" t="inlineStr">
        <is>
          <t>מדי-מרקט</t>
        </is>
      </c>
      <c r="B3191" t="inlineStr">
        <is>
          <t>צינור מאריך לחמצן ולאמבו 2 מטר, מדיקפרו</t>
        </is>
      </c>
      <c r="C3191" t="inlineStr">
        <is>
          <t>ציוד ומכשור רפואי</t>
        </is>
      </c>
      <c r="D3191" t="inlineStr">
        <is>
          <t>9314</t>
        </is>
      </c>
      <c r="E3191" t="inlineStr">
        <is>
          <t>2026-06</t>
        </is>
      </c>
      <c r="F3191" t="n">
        <v>0.66</v>
      </c>
      <c r="G3191" t="n">
        <v>0.78</v>
      </c>
      <c r="H3191">
        <f>הגדרות!B7</f>
        <v/>
      </c>
      <c r="I3191">
        <f>F3191*(1-H3191/100)*1.18</f>
        <v/>
      </c>
      <c r="J3191">
        <f>הגדרות!C7</f>
        <v/>
      </c>
      <c r="K3191">
        <f>הגדרות!D7</f>
        <v/>
      </c>
      <c r="L3191">
        <f>I3191*(1+J3191/100)+K3191</f>
        <v/>
      </c>
    </row>
    <row r="3192">
      <c r="A3192" t="inlineStr">
        <is>
          <t>מדי-מרקט</t>
        </is>
      </c>
      <c r="B3192" t="inlineStr">
        <is>
          <t>צינור מחבר בין הפילטר להרדמה R-CT-18</t>
        </is>
      </c>
      <c r="C3192" t="inlineStr">
        <is>
          <t>עירוי הרדמה והנשמה</t>
        </is>
      </c>
      <c r="D3192" t="inlineStr">
        <is>
          <t>706-00186-00</t>
        </is>
      </c>
      <c r="E3192" t="inlineStr">
        <is>
          <t>2026-06</t>
        </is>
      </c>
      <c r="F3192" t="n">
        <v>25.42</v>
      </c>
      <c r="G3192" t="n">
        <v>30</v>
      </c>
      <c r="H3192">
        <f>הגדרות!B7</f>
        <v/>
      </c>
      <c r="I3192">
        <f>F3192*(1-H3192/100)*1.18</f>
        <v/>
      </c>
      <c r="J3192">
        <f>הגדרות!C7</f>
        <v/>
      </c>
      <c r="K3192">
        <f>הגדרות!D7</f>
        <v/>
      </c>
      <c r="L3192">
        <f>I3192*(1+J3192/100)+K3192</f>
        <v/>
      </c>
    </row>
    <row r="3193">
      <c r="A3193" t="inlineStr">
        <is>
          <t>מדי-מרקט</t>
        </is>
      </c>
      <c r="B3193" t="inlineStr">
        <is>
          <t>צינור מחבר לסקשיין 2 מטר מדיקפרו (מחבר כחול)</t>
        </is>
      </c>
      <c r="C3193" t="inlineStr">
        <is>
          <t>ציוד מתכלה</t>
        </is>
      </c>
      <c r="D3193" t="inlineStr">
        <is>
          <t>100-176</t>
        </is>
      </c>
      <c r="E3193" t="inlineStr">
        <is>
          <t>2026-06</t>
        </is>
      </c>
      <c r="F3193" t="n">
        <v>1.79</v>
      </c>
      <c r="G3193" t="n">
        <v>2.11</v>
      </c>
      <c r="H3193">
        <f>הגדרות!B7</f>
        <v/>
      </c>
      <c r="I3193">
        <f>F3193*(1-H3193/100)*1.18</f>
        <v/>
      </c>
      <c r="J3193">
        <f>הגדרות!C7</f>
        <v/>
      </c>
      <c r="K3193">
        <f>הגדרות!D7</f>
        <v/>
      </c>
      <c r="L3193">
        <f>I3193*(1+J3193/100)+K3193</f>
        <v/>
      </c>
    </row>
    <row r="3194">
      <c r="A3194" t="inlineStr">
        <is>
          <t>מדי-מרקט</t>
        </is>
      </c>
      <c r="B3194" t="inlineStr">
        <is>
          <t>צינור מחבר לסקשיין 3 מטר מדיקפרו (מחבר כחול)</t>
        </is>
      </c>
      <c r="C3194" t="inlineStr">
        <is>
          <t>ציוד מתכלה</t>
        </is>
      </c>
      <c r="D3194" t="inlineStr">
        <is>
          <t>100-177</t>
        </is>
      </c>
      <c r="E3194" t="inlineStr">
        <is>
          <t>2026-06</t>
        </is>
      </c>
      <c r="F3194" t="n">
        <v>3.36</v>
      </c>
      <c r="G3194" t="n">
        <v>3.96</v>
      </c>
      <c r="H3194">
        <f>הגדרות!B7</f>
        <v/>
      </c>
      <c r="I3194">
        <f>F3194*(1-H3194/100)*1.18</f>
        <v/>
      </c>
      <c r="J3194">
        <f>הגדרות!C7</f>
        <v/>
      </c>
      <c r="K3194">
        <f>הגדרות!D7</f>
        <v/>
      </c>
      <c r="L3194">
        <f>I3194*(1+J3194/100)+K3194</f>
        <v/>
      </c>
    </row>
    <row r="3195">
      <c r="A3195" t="inlineStr">
        <is>
          <t>מדי-מרקט</t>
        </is>
      </c>
      <c r="B3195" t="inlineStr">
        <is>
          <t>צמדן זיהוי - צבע צהוב, מדיקפרו, 1/100</t>
        </is>
      </c>
      <c r="C3195" t="inlineStr">
        <is>
          <t>ציוד מתכלה</t>
        </is>
      </c>
      <c r="D3195" t="inlineStr">
        <is>
          <t>4972</t>
        </is>
      </c>
      <c r="E3195" t="inlineStr">
        <is>
          <t>2026-06</t>
        </is>
      </c>
      <c r="F3195" t="n">
        <v>10.23</v>
      </c>
      <c r="G3195" t="n">
        <v>12.07</v>
      </c>
      <c r="H3195">
        <f>הגדרות!B7</f>
        <v/>
      </c>
      <c r="I3195">
        <f>F3195*(1-H3195/100)*1.18</f>
        <v/>
      </c>
      <c r="J3195">
        <f>הגדרות!C7</f>
        <v/>
      </c>
      <c r="K3195">
        <f>הגדרות!D7</f>
        <v/>
      </c>
      <c r="L3195">
        <f>I3195*(1+J3195/100)+K3195</f>
        <v/>
      </c>
    </row>
    <row r="3196">
      <c r="A3196" t="inlineStr">
        <is>
          <t>מדי-מרקט</t>
        </is>
      </c>
      <c r="B3196" t="inlineStr">
        <is>
          <t>צמדן זיהוי למבוגר צבע ורוד , מדיקפרו 100 יח'</t>
        </is>
      </c>
      <c r="C3196" t="inlineStr">
        <is>
          <t>ציוד מתכלה</t>
        </is>
      </c>
      <c r="D3196" t="inlineStr">
        <is>
          <t>500-0160</t>
        </is>
      </c>
      <c r="E3196" t="inlineStr">
        <is>
          <t>2026-06</t>
        </is>
      </c>
      <c r="F3196" t="n">
        <v>12.04</v>
      </c>
      <c r="G3196" t="n">
        <v>14.21</v>
      </c>
      <c r="H3196">
        <f>הגדרות!B7</f>
        <v/>
      </c>
      <c r="I3196">
        <f>F3196*(1-H3196/100)*1.18</f>
        <v/>
      </c>
      <c r="J3196">
        <f>הגדרות!C7</f>
        <v/>
      </c>
      <c r="K3196">
        <f>הגדרות!D7</f>
        <v/>
      </c>
      <c r="L3196">
        <f>I3196*(1+J3196/100)+K3196</f>
        <v/>
      </c>
    </row>
    <row r="3197">
      <c r="A3197" t="inlineStr">
        <is>
          <t>מדי-מרקט</t>
        </is>
      </c>
      <c r="B3197" t="inlineStr">
        <is>
          <t>צמדן זיהוי למבוגר צבע לבן , מדיקפרו 100 יח'</t>
        </is>
      </c>
      <c r="C3197" t="inlineStr">
        <is>
          <t>ציוד מתכלה</t>
        </is>
      </c>
      <c r="D3197" t="inlineStr">
        <is>
          <t>500-016</t>
        </is>
      </c>
      <c r="E3197" t="inlineStr">
        <is>
          <t>2026-06</t>
        </is>
      </c>
      <c r="F3197" t="n">
        <v>10.75</v>
      </c>
      <c r="G3197" t="n">
        <v>12.68</v>
      </c>
      <c r="H3197">
        <f>הגדרות!B7</f>
        <v/>
      </c>
      <c r="I3197">
        <f>F3197*(1-H3197/100)*1.18</f>
        <v/>
      </c>
      <c r="J3197">
        <f>הגדרות!C7</f>
        <v/>
      </c>
      <c r="K3197">
        <f>הגדרות!D7</f>
        <v/>
      </c>
      <c r="L3197">
        <f>I3197*(1+J3197/100)+K3197</f>
        <v/>
      </c>
    </row>
    <row r="3198">
      <c r="A3198" t="inlineStr">
        <is>
          <t>מדי-מרקט</t>
        </is>
      </c>
      <c r="B3198" t="inlineStr">
        <is>
          <t>צמדן זיהוי פלסטיק 1/100 אדום מדיקפרו</t>
        </is>
      </c>
      <c r="C3198" t="inlineStr">
        <is>
          <t>ציוד ומכשור רפואי</t>
        </is>
      </c>
      <c r="D3198" t="inlineStr">
        <is>
          <t>36528</t>
        </is>
      </c>
      <c r="E3198" t="inlineStr">
        <is>
          <t>2026-06</t>
        </is>
      </c>
      <c r="F3198" t="n">
        <v>9.970000000000001</v>
      </c>
      <c r="G3198" t="n">
        <v>11.76</v>
      </c>
      <c r="H3198">
        <f>הגדרות!B7</f>
        <v/>
      </c>
      <c r="I3198">
        <f>F3198*(1-H3198/100)*1.18</f>
        <v/>
      </c>
      <c r="J3198">
        <f>הגדרות!C7</f>
        <v/>
      </c>
      <c r="K3198">
        <f>הגדרות!D7</f>
        <v/>
      </c>
      <c r="L3198">
        <f>I3198*(1+J3198/100)+K3198</f>
        <v/>
      </c>
    </row>
    <row r="3199">
      <c r="A3199" t="inlineStr">
        <is>
          <t>מדי-מרקט</t>
        </is>
      </c>
      <c r="B3199" t="inlineStr">
        <is>
          <t>צמר גפן רפואי 1 יח' 100 גרם, מדיקפרו</t>
        </is>
      </c>
      <c r="C3199" t="inlineStr">
        <is>
          <t>ציוד מתכלה</t>
        </is>
      </c>
      <c r="D3199" t="inlineStr">
        <is>
          <t>3620</t>
        </is>
      </c>
      <c r="E3199" t="inlineStr">
        <is>
          <t>2026-06</t>
        </is>
      </c>
      <c r="F3199" t="n">
        <v>1.43</v>
      </c>
      <c r="G3199" t="n">
        <v>1.69</v>
      </c>
      <c r="H3199">
        <f>הגדרות!B7</f>
        <v/>
      </c>
      <c r="I3199">
        <f>F3199*(1-H3199/100)*1.18</f>
        <v/>
      </c>
      <c r="J3199">
        <f>הגדרות!C7</f>
        <v/>
      </c>
      <c r="K3199">
        <f>הגדרות!D7</f>
        <v/>
      </c>
      <c r="L3199">
        <f>I3199*(1+J3199/100)+K3199</f>
        <v/>
      </c>
    </row>
    <row r="3200">
      <c r="A3200" t="inlineStr">
        <is>
          <t>מדי-מרקט</t>
        </is>
      </c>
      <c r="B3200" t="inlineStr">
        <is>
          <t>צמר גפן רפואי פרימיום , 100גרם , Medrull</t>
        </is>
      </c>
      <c r="C3200" t="inlineStr">
        <is>
          <t>ציוד מתכלה</t>
        </is>
      </c>
      <c r="D3200" t="inlineStr">
        <is>
          <t>130003</t>
        </is>
      </c>
      <c r="E3200" t="inlineStr">
        <is>
          <t>2026-06</t>
        </is>
      </c>
      <c r="F3200" t="n">
        <v>2.42</v>
      </c>
      <c r="G3200" t="n">
        <v>2.85</v>
      </c>
      <c r="H3200">
        <f>הגדרות!B7</f>
        <v/>
      </c>
      <c r="I3200">
        <f>F3200*(1-H3200/100)*1.18</f>
        <v/>
      </c>
      <c r="J3200">
        <f>הגדרות!C7</f>
        <v/>
      </c>
      <c r="K3200">
        <f>הגדרות!D7</f>
        <v/>
      </c>
      <c r="L3200">
        <f>I3200*(1+J3200/100)+K3200</f>
        <v/>
      </c>
    </row>
    <row r="3201">
      <c r="A3201" t="inlineStr">
        <is>
          <t>מדי-מרקט</t>
        </is>
      </c>
      <c r="B3201" t="inlineStr">
        <is>
          <t>צנטרפוגה מבוקרת מהירות 6 מקומות 4500 סל"ד PLC-02</t>
        </is>
      </c>
      <c r="C3201" t="inlineStr">
        <is>
          <t>ציוד ומכשור רפואי</t>
        </is>
      </c>
      <c r="D3201" t="inlineStr">
        <is>
          <t>2202000</t>
        </is>
      </c>
      <c r="E3201" t="inlineStr">
        <is>
          <t>2026-06</t>
        </is>
      </c>
      <c r="F3201" t="n">
        <v>1271.19</v>
      </c>
      <c r="G3201" t="n">
        <v>1500</v>
      </c>
      <c r="H3201">
        <f>הגדרות!B7</f>
        <v/>
      </c>
      <c r="I3201">
        <f>F3201*(1-H3201/100)*1.18</f>
        <v/>
      </c>
      <c r="J3201">
        <f>הגדרות!C7</f>
        <v/>
      </c>
      <c r="K3201">
        <f>הגדרות!D7</f>
        <v/>
      </c>
      <c r="L3201">
        <f>I3201*(1+J3201/100)+K3201</f>
        <v/>
      </c>
    </row>
    <row r="3202">
      <c r="A3202" t="inlineStr">
        <is>
          <t>מדי-מרקט</t>
        </is>
      </c>
      <c r="B3202" t="inlineStr">
        <is>
          <t>צנצנת פלסטיק 20 מ"ל לבן אטום + מכסה0049-1</t>
        </is>
      </c>
      <c r="C3202" t="inlineStr">
        <is>
          <t>אריזה בימ"ק ראשונה להכנות</t>
        </is>
      </c>
      <c r="D3202" t="inlineStr">
        <is>
          <t>0048</t>
        </is>
      </c>
      <c r="E3202" t="inlineStr">
        <is>
          <t>2026-06</t>
        </is>
      </c>
      <c r="F3202" t="n">
        <v>3.81</v>
      </c>
      <c r="G3202" t="n">
        <v>4.5</v>
      </c>
      <c r="H3202">
        <f>הגדרות!B7</f>
        <v/>
      </c>
      <c r="I3202">
        <f>F3202*(1-H3202/100)*1.18</f>
        <v/>
      </c>
      <c r="J3202">
        <f>הגדרות!C7</f>
        <v/>
      </c>
      <c r="K3202">
        <f>הגדרות!D7</f>
        <v/>
      </c>
      <c r="L3202">
        <f>I3202*(1+J3202/100)+K3202</f>
        <v/>
      </c>
    </row>
    <row r="3203">
      <c r="A3203" t="inlineStr">
        <is>
          <t>מדי-מרקט</t>
        </is>
      </c>
      <c r="B3203" t="inlineStr">
        <is>
          <t>צנצנת פלסטיק 50 מ"ל לבן אטום + מכסה</t>
        </is>
      </c>
      <c r="C3203" t="inlineStr">
        <is>
          <t>אריזה בימ"ק ראשונה להכנות</t>
        </is>
      </c>
      <c r="D3203" t="inlineStr">
        <is>
          <t>0046</t>
        </is>
      </c>
      <c r="E3203" t="inlineStr">
        <is>
          <t>2026-06</t>
        </is>
      </c>
      <c r="F3203" t="n">
        <v>2.69</v>
      </c>
      <c r="G3203" t="n">
        <v>3.17</v>
      </c>
      <c r="H3203">
        <f>הגדרות!B7</f>
        <v/>
      </c>
      <c r="I3203">
        <f>F3203*(1-H3203/100)*1.18</f>
        <v/>
      </c>
      <c r="J3203">
        <f>הגדרות!C7</f>
        <v/>
      </c>
      <c r="K3203">
        <f>הגדרות!D7</f>
        <v/>
      </c>
      <c r="L3203">
        <f>I3203*(1+J3203/100)+K3203</f>
        <v/>
      </c>
    </row>
    <row r="3204">
      <c r="A3204" t="inlineStr">
        <is>
          <t>מדי-מרקט</t>
        </is>
      </c>
      <c r="B3204" t="inlineStr">
        <is>
          <t>צנרת Y דקה להרדמה jin xin</t>
        </is>
      </c>
      <c r="C3204" t="inlineStr">
        <is>
          <t>אביזרים להרדמה</t>
        </is>
      </c>
      <c r="D3204" t="inlineStr">
        <is>
          <t>303-61</t>
        </is>
      </c>
      <c r="E3204" t="inlineStr">
        <is>
          <t>2026-06</t>
        </is>
      </c>
      <c r="F3204" t="n">
        <v>59.32</v>
      </c>
      <c r="G3204" t="n">
        <v>70</v>
      </c>
      <c r="H3204">
        <f>הגדרות!B7</f>
        <v/>
      </c>
      <c r="I3204">
        <f>F3204*(1-H3204/100)*1.18</f>
        <v/>
      </c>
      <c r="J3204">
        <f>הגדרות!C7</f>
        <v/>
      </c>
      <c r="K3204">
        <f>הגדרות!D7</f>
        <v/>
      </c>
      <c r="L3204">
        <f>I3204*(1+J3204/100)+K3204</f>
        <v/>
      </c>
    </row>
    <row r="3205">
      <c r="A3205" t="inlineStr">
        <is>
          <t>מדי-מרקט</t>
        </is>
      </c>
      <c r="B3205" t="inlineStr">
        <is>
          <t>צנרת Y עבה להרדמה jin xin</t>
        </is>
      </c>
      <c r="C3205" t="inlineStr">
        <is>
          <t>אביזרים להרדמה</t>
        </is>
      </c>
      <c r="D3205" t="inlineStr">
        <is>
          <t>303-65</t>
        </is>
      </c>
      <c r="E3205" t="inlineStr">
        <is>
          <t>2026-06</t>
        </is>
      </c>
      <c r="F3205" t="n">
        <v>59.32</v>
      </c>
      <c r="G3205" t="n">
        <v>70</v>
      </c>
      <c r="H3205">
        <f>הגדרות!B7</f>
        <v/>
      </c>
      <c r="I3205">
        <f>F3205*(1-H3205/100)*1.18</f>
        <v/>
      </c>
      <c r="J3205">
        <f>הגדרות!C7</f>
        <v/>
      </c>
      <c r="K3205">
        <f>הגדרות!D7</f>
        <v/>
      </c>
      <c r="L3205">
        <f>I3205*(1+J3205/100)+K3205</f>
        <v/>
      </c>
    </row>
    <row r="3206">
      <c r="A3206" t="inlineStr">
        <is>
          <t>מדי-מרקט</t>
        </is>
      </c>
      <c r="B3206" t="inlineStr">
        <is>
          <t>צנרת הרדמה למטופל 1.6מ ADULT BASIC BREATHING SYS</t>
        </is>
      </c>
      <c r="C3206" t="inlineStr">
        <is>
          <t>ציוד מתכלה</t>
        </is>
      </c>
      <c r="D3206" t="inlineStr">
        <is>
          <t>200-01</t>
        </is>
      </c>
      <c r="E3206" t="inlineStr">
        <is>
          <t>2026-06</t>
        </is>
      </c>
      <c r="F3206" t="n">
        <v>16.83</v>
      </c>
      <c r="G3206" t="n">
        <v>19.86</v>
      </c>
      <c r="H3206">
        <f>הגדרות!B7</f>
        <v/>
      </c>
      <c r="I3206">
        <f>F3206*(1-H3206/100)*1.18</f>
        <v/>
      </c>
      <c r="J3206">
        <f>הגדרות!C7</f>
        <v/>
      </c>
      <c r="K3206">
        <f>הגדרות!D7</f>
        <v/>
      </c>
      <c r="L3206">
        <f>I3206*(1+J3206/100)+K3206</f>
        <v/>
      </c>
    </row>
    <row r="3207">
      <c r="A3207" t="inlineStr">
        <is>
          <t>מדי-מרקט</t>
        </is>
      </c>
      <c r="B3207" t="inlineStr">
        <is>
          <t>קומפלס מולטי-ויט Multivit Complex 500ml TRM</t>
        </is>
      </c>
      <c r="C3207" t="inlineStr">
        <is>
          <t>TRM</t>
        </is>
      </c>
      <c r="D3207" t="inlineStr">
        <is>
          <t>800-210</t>
        </is>
      </c>
      <c r="E3207" t="inlineStr">
        <is>
          <t>2026-06</t>
        </is>
      </c>
      <c r="F3207" t="n">
        <v>59.32</v>
      </c>
      <c r="G3207" t="n">
        <v>70</v>
      </c>
      <c r="H3207">
        <f>הגדרות!B7</f>
        <v/>
      </c>
      <c r="I3207">
        <f>F3207*(1-H3207/100)*1.18</f>
        <v/>
      </c>
      <c r="J3207">
        <f>הגדרות!C7</f>
        <v/>
      </c>
      <c r="K3207">
        <f>הגדרות!D7</f>
        <v/>
      </c>
      <c r="L3207">
        <f>I3207*(1+J3207/100)+K3207</f>
        <v/>
      </c>
    </row>
    <row r="3208">
      <c r="A3208" t="inlineStr">
        <is>
          <t>מדי-מרקט</t>
        </is>
      </c>
      <c r="B3208" t="inlineStr">
        <is>
          <t>קומפלקס מולטי-ויט Multivit Complex 200ml TRM</t>
        </is>
      </c>
      <c r="C3208" t="inlineStr">
        <is>
          <t>TRM</t>
        </is>
      </c>
      <c r="D3208" t="inlineStr">
        <is>
          <t>800-211</t>
        </is>
      </c>
      <c r="E3208" t="inlineStr">
        <is>
          <t>2026-06</t>
        </is>
      </c>
      <c r="F3208" t="n">
        <v>34.75</v>
      </c>
      <c r="G3208" t="n">
        <v>41</v>
      </c>
      <c r="H3208">
        <f>הגדרות!B7</f>
        <v/>
      </c>
      <c r="I3208">
        <f>F3208*(1-H3208/100)*1.18</f>
        <v/>
      </c>
      <c r="J3208">
        <f>הגדרות!C7</f>
        <v/>
      </c>
      <c r="K3208">
        <f>הגדרות!D7</f>
        <v/>
      </c>
      <c r="L3208">
        <f>I3208*(1+J3208/100)+K3208</f>
        <v/>
      </c>
    </row>
    <row r="3209">
      <c r="A3209" t="inlineStr">
        <is>
          <t>מדי-מרקט</t>
        </is>
      </c>
      <c r="B3209" t="inlineStr">
        <is>
          <t>קופסא לשיניים תותבות מיוחדת,שני חלקים,מדיקפרו</t>
        </is>
      </c>
      <c r="C3209" t="inlineStr">
        <is>
          <t>ציוד מתכלה</t>
        </is>
      </c>
      <c r="D3209" t="inlineStr">
        <is>
          <t>300-122</t>
        </is>
      </c>
      <c r="E3209" t="inlineStr">
        <is>
          <t>2026-06</t>
        </is>
      </c>
      <c r="F3209" t="n">
        <v>1.96</v>
      </c>
      <c r="G3209" t="n">
        <v>2.31</v>
      </c>
      <c r="H3209">
        <f>הגדרות!B7</f>
        <v/>
      </c>
      <c r="I3209">
        <f>F3209*(1-H3209/100)*1.18</f>
        <v/>
      </c>
      <c r="J3209">
        <f>הגדרות!C7</f>
        <v/>
      </c>
      <c r="K3209">
        <f>הגדרות!D7</f>
        <v/>
      </c>
      <c r="L3209">
        <f>I3209*(1+J3209/100)+K3209</f>
        <v/>
      </c>
    </row>
    <row r="3210">
      <c r="A3210" t="inlineStr">
        <is>
          <t>מדי-מרקט</t>
        </is>
      </c>
      <c r="B3210" t="inlineStr">
        <is>
          <t>קופסת תרופות יומית, VITA+ LONDON</t>
        </is>
      </c>
      <c r="C3210" t="inlineStr">
        <is>
          <t>ציוד ומכשור רפואי</t>
        </is>
      </c>
      <c r="D3210" t="inlineStr">
        <is>
          <t>700-002</t>
        </is>
      </c>
      <c r="E3210" t="inlineStr">
        <is>
          <t>2026-06</t>
        </is>
      </c>
      <c r="F3210" t="n">
        <v>3.31</v>
      </c>
      <c r="G3210" t="n">
        <v>3.9</v>
      </c>
      <c r="H3210">
        <f>הגדרות!B7</f>
        <v/>
      </c>
      <c r="I3210">
        <f>F3210*(1-H3210/100)*1.18</f>
        <v/>
      </c>
      <c r="J3210">
        <f>הגדרות!C7</f>
        <v/>
      </c>
      <c r="K3210">
        <f>הגדרות!D7</f>
        <v/>
      </c>
      <c r="L3210">
        <f>I3210*(1+J3210/100)+K3210</f>
        <v/>
      </c>
    </row>
    <row r="3211">
      <c r="A3211" t="inlineStr">
        <is>
          <t>מדי-מרקט</t>
        </is>
      </c>
      <c r="B3211" t="inlineStr">
        <is>
          <t>קופסת תרופות שבועית בארנק, VITA+ LONDON</t>
        </is>
      </c>
      <c r="C3211" t="inlineStr">
        <is>
          <t>ציוד ומכשור רפואי</t>
        </is>
      </c>
      <c r="D3211" t="inlineStr">
        <is>
          <t>700-003</t>
        </is>
      </c>
      <c r="E3211" t="inlineStr">
        <is>
          <t>2026-06</t>
        </is>
      </c>
      <c r="F3211" t="n">
        <v>14.72</v>
      </c>
      <c r="G3211" t="n">
        <v>17.37</v>
      </c>
      <c r="H3211">
        <f>הגדרות!B7</f>
        <v/>
      </c>
      <c r="I3211">
        <f>F3211*(1-H3211/100)*1.18</f>
        <v/>
      </c>
      <c r="J3211">
        <f>הגדרות!C7</f>
        <v/>
      </c>
      <c r="K3211">
        <f>הגדרות!D7</f>
        <v/>
      </c>
      <c r="L3211">
        <f>I3211*(1+J3211/100)+K3211</f>
        <v/>
      </c>
    </row>
    <row r="3212">
      <c r="A3212" t="inlineStr">
        <is>
          <t>מדי-מרקט</t>
        </is>
      </c>
      <c r="B3212" t="inlineStr">
        <is>
          <t>קופסת תרופות שבועית, VITA+ LONDON</t>
        </is>
      </c>
      <c r="C3212" t="inlineStr">
        <is>
          <t>ציוד ומכשור רפואי</t>
        </is>
      </c>
      <c r="D3212" t="inlineStr">
        <is>
          <t>700-000</t>
        </is>
      </c>
      <c r="E3212" t="inlineStr">
        <is>
          <t>2026-06</t>
        </is>
      </c>
      <c r="F3212" t="n">
        <v>13.17</v>
      </c>
      <c r="G3212" t="n">
        <v>15.54</v>
      </c>
      <c r="H3212">
        <f>הגדרות!B7</f>
        <v/>
      </c>
      <c r="I3212">
        <f>F3212*(1-H3212/100)*1.18</f>
        <v/>
      </c>
      <c r="J3212">
        <f>הגדרות!C7</f>
        <v/>
      </c>
      <c r="K3212">
        <f>הגדרות!D7</f>
        <v/>
      </c>
      <c r="L3212">
        <f>I3212*(1+J3212/100)+K3212</f>
        <v/>
      </c>
    </row>
    <row r="3213">
      <c r="A3213" t="inlineStr">
        <is>
          <t>מדי-מרקט</t>
        </is>
      </c>
      <c r="B3213" t="inlineStr">
        <is>
          <t>קוצץ גדול אל חלד REISZ</t>
        </is>
      </c>
      <c r="C3213" t="inlineStr">
        <is>
          <t>ציוד ומכשור רפואי</t>
        </is>
      </c>
      <c r="D3213" t="inlineStr">
        <is>
          <t>38654</t>
        </is>
      </c>
      <c r="E3213" t="inlineStr">
        <is>
          <t>2026-06</t>
        </is>
      </c>
      <c r="F3213" t="n">
        <v>17.16</v>
      </c>
      <c r="G3213" t="n">
        <v>20.25</v>
      </c>
      <c r="H3213">
        <f>הגדרות!B7</f>
        <v/>
      </c>
      <c r="I3213">
        <f>F3213*(1-H3213/100)*1.18</f>
        <v/>
      </c>
      <c r="J3213">
        <f>הגדרות!C7</f>
        <v/>
      </c>
      <c r="K3213">
        <f>הגדרות!D7</f>
        <v/>
      </c>
      <c r="L3213">
        <f>I3213*(1+J3213/100)+K3213</f>
        <v/>
      </c>
    </row>
    <row r="3214">
      <c r="A3214" t="inlineStr">
        <is>
          <t>מדי-מרקט</t>
        </is>
      </c>
      <c r="B3214" t="inlineStr">
        <is>
          <t>קוקי דנט משחה דבק לתותבות 47 גר'</t>
        </is>
      </c>
      <c r="C3214" t="inlineStr">
        <is>
          <t>תרופות</t>
        </is>
      </c>
      <c r="D3214" t="inlineStr">
        <is>
          <t>121245</t>
        </is>
      </c>
      <c r="E3214" t="inlineStr">
        <is>
          <t>2026-06</t>
        </is>
      </c>
      <c r="F3214" t="n">
        <v>22.46</v>
      </c>
      <c r="G3214" t="n">
        <v>26.5</v>
      </c>
      <c r="H3214">
        <f>הגדרות!B7</f>
        <v/>
      </c>
      <c r="I3214">
        <f>F3214*(1-H3214/100)*1.18</f>
        <v/>
      </c>
      <c r="J3214">
        <f>הגדרות!C7</f>
        <v/>
      </c>
      <c r="K3214">
        <f>הגדרות!D7</f>
        <v/>
      </c>
      <c r="L3214">
        <f>I3214*(1+J3214/100)+K3214</f>
        <v/>
      </c>
    </row>
    <row r="3215">
      <c r="A3215" t="inlineStr">
        <is>
          <t>מדי-מרקט</t>
        </is>
      </c>
      <c r="B3215" t="inlineStr">
        <is>
          <t>קורא שבבים נטען אוניברסלי 4 א' זכרונות DATAMARS Compact Max</t>
        </is>
      </c>
      <c r="C3215" t="inlineStr">
        <is>
          <t>מוצרים משלימים לווט'</t>
        </is>
      </c>
      <c r="D3215" t="inlineStr">
        <is>
          <t>9090</t>
        </is>
      </c>
      <c r="E3215" t="inlineStr">
        <is>
          <t>2026-06</t>
        </is>
      </c>
      <c r="F3215" t="n">
        <v>847.46</v>
      </c>
      <c r="G3215" t="n">
        <v>1000</v>
      </c>
      <c r="H3215">
        <f>הגדרות!B7</f>
        <v/>
      </c>
      <c r="I3215">
        <f>F3215*(1-H3215/100)*1.18</f>
        <v/>
      </c>
      <c r="J3215">
        <f>הגדרות!C7</f>
        <v/>
      </c>
      <c r="K3215">
        <f>הגדרות!D7</f>
        <v/>
      </c>
      <c r="L3215">
        <f>I3215*(1+J3215/100)+K3215</f>
        <v/>
      </c>
    </row>
    <row r="3216">
      <c r="A3216" t="inlineStr">
        <is>
          <t>מדי-מרקט</t>
        </is>
      </c>
      <c r="B3216" t="inlineStr">
        <is>
          <t>קטטר טימן  CH 14</t>
        </is>
      </c>
      <c r="C3216" t="inlineStr">
        <is>
          <t>ציוד מתכלה</t>
        </is>
      </c>
      <c r="D3216" t="inlineStr">
        <is>
          <t>3657</t>
        </is>
      </c>
      <c r="E3216" t="inlineStr">
        <is>
          <t>2026-06</t>
        </is>
      </c>
      <c r="F3216" t="n">
        <v>3.39</v>
      </c>
      <c r="G3216" t="n">
        <v>4</v>
      </c>
      <c r="H3216">
        <f>הגדרות!B7</f>
        <v/>
      </c>
      <c r="I3216">
        <f>F3216*(1-H3216/100)*1.18</f>
        <v/>
      </c>
      <c r="J3216">
        <f>הגדרות!C7</f>
        <v/>
      </c>
      <c r="K3216">
        <f>הגדרות!D7</f>
        <v/>
      </c>
      <c r="L3216">
        <f>I3216*(1+J3216/100)+K3216</f>
        <v/>
      </c>
    </row>
    <row r="3217">
      <c r="A3217" t="inlineStr">
        <is>
          <t>מדי-מרקט</t>
        </is>
      </c>
      <c r="B3217" t="inlineStr">
        <is>
          <t>קטטר טימן NC 1716</t>
        </is>
      </c>
      <c r="C3217" t="inlineStr">
        <is>
          <t>ציוד מתכלה</t>
        </is>
      </c>
      <c r="D3217" t="inlineStr">
        <is>
          <t>3650</t>
        </is>
      </c>
      <c r="E3217" t="inlineStr">
        <is>
          <t>2026-06</t>
        </is>
      </c>
      <c r="F3217" t="n">
        <v>1.86</v>
      </c>
      <c r="G3217" t="n">
        <v>2.2</v>
      </c>
      <c r="H3217">
        <f>הגדרות!B7</f>
        <v/>
      </c>
      <c r="I3217">
        <f>F3217*(1-H3217/100)*1.18</f>
        <v/>
      </c>
      <c r="J3217">
        <f>הגדרות!C7</f>
        <v/>
      </c>
      <c r="K3217">
        <f>הגדרות!D7</f>
        <v/>
      </c>
      <c r="L3217">
        <f>I3217*(1+J3217/100)+K3217</f>
        <v/>
      </c>
    </row>
    <row r="3218">
      <c r="A3218" t="inlineStr">
        <is>
          <t>מדי-מרקט</t>
        </is>
      </c>
      <c r="B3218" t="inlineStr">
        <is>
          <t>קטטר נלטון גודל 14</t>
        </is>
      </c>
      <c r="C3218" t="inlineStr">
        <is>
          <t>ציוד מתכלה</t>
        </is>
      </c>
      <c r="D3218" t="inlineStr">
        <is>
          <t>56746</t>
        </is>
      </c>
      <c r="E3218" t="inlineStr">
        <is>
          <t>2026-06</t>
        </is>
      </c>
      <c r="F3218" t="n">
        <v>0.57</v>
      </c>
      <c r="G3218" t="n">
        <v>0.67</v>
      </c>
      <c r="H3218">
        <f>הגדרות!B7</f>
        <v/>
      </c>
      <c r="I3218">
        <f>F3218*(1-H3218/100)*1.18</f>
        <v/>
      </c>
      <c r="J3218">
        <f>הגדרות!C7</f>
        <v/>
      </c>
      <c r="K3218">
        <f>הגדרות!D7</f>
        <v/>
      </c>
      <c r="L3218">
        <f>I3218*(1+J3218/100)+K3218</f>
        <v/>
      </c>
    </row>
    <row r="3219">
      <c r="A3219" t="inlineStr">
        <is>
          <t>מדי-מרקט</t>
        </is>
      </c>
      <c r="B3219" t="inlineStr">
        <is>
          <t>קטטר סקשיין לניקוז 14CH ירוק</t>
        </is>
      </c>
      <c r="C3219" t="inlineStr">
        <is>
          <t>ציוד מתכלה</t>
        </is>
      </c>
      <c r="D3219" t="inlineStr">
        <is>
          <t>3561</t>
        </is>
      </c>
      <c r="E3219" t="inlineStr">
        <is>
          <t>2026-06</t>
        </is>
      </c>
      <c r="F3219" t="n">
        <v>0.36</v>
      </c>
      <c r="G3219" t="n">
        <v>0.43</v>
      </c>
      <c r="H3219">
        <f>הגדרות!B7</f>
        <v/>
      </c>
      <c r="I3219">
        <f>F3219*(1-H3219/100)*1.18</f>
        <v/>
      </c>
      <c r="J3219">
        <f>הגדרות!C7</f>
        <v/>
      </c>
      <c r="K3219">
        <f>הגדרות!D7</f>
        <v/>
      </c>
      <c r="L3219">
        <f>I3219*(1+J3219/100)+K3219</f>
        <v/>
      </c>
    </row>
    <row r="3220">
      <c r="A3220" t="inlineStr">
        <is>
          <t>מדי-מרקט</t>
        </is>
      </c>
      <c r="B3220" t="inlineStr">
        <is>
          <t>קטטר סקשיין מדיקפרו + פינגר טיפ 10F שחור</t>
        </is>
      </c>
      <c r="C3220" t="inlineStr">
        <is>
          <t>ציוד מתכלה</t>
        </is>
      </c>
      <c r="D3220" t="inlineStr">
        <is>
          <t>400-091</t>
        </is>
      </c>
      <c r="E3220" t="inlineStr">
        <is>
          <t>2026-06</t>
        </is>
      </c>
      <c r="F3220" t="n">
        <v>0.24</v>
      </c>
      <c r="G3220" t="n">
        <v>0.28</v>
      </c>
      <c r="H3220">
        <f>הגדרות!B7</f>
        <v/>
      </c>
      <c r="I3220">
        <f>F3220*(1-H3220/100)*1.18</f>
        <v/>
      </c>
      <c r="J3220">
        <f>הגדרות!C7</f>
        <v/>
      </c>
      <c r="K3220">
        <f>הגדרות!D7</f>
        <v/>
      </c>
      <c r="L3220">
        <f>I3220*(1+J3220/100)+K3220</f>
        <v/>
      </c>
    </row>
    <row r="3221">
      <c r="A3221" t="inlineStr">
        <is>
          <t>מדי-מרקט</t>
        </is>
      </c>
      <c r="B3221" t="inlineStr">
        <is>
          <t>קטטר סקשיין מדיקפרו + פינגר טיפ 12F לבן</t>
        </is>
      </c>
      <c r="C3221" t="inlineStr">
        <is>
          <t>ציוד מתכלה</t>
        </is>
      </c>
      <c r="D3221" t="inlineStr">
        <is>
          <t>400-014</t>
        </is>
      </c>
      <c r="E3221" t="inlineStr">
        <is>
          <t>2026-06</t>
        </is>
      </c>
      <c r="F3221" t="n">
        <v>0.24</v>
      </c>
      <c r="G3221" t="n">
        <v>0.28</v>
      </c>
      <c r="H3221">
        <f>הגדרות!B7</f>
        <v/>
      </c>
      <c r="I3221">
        <f>F3221*(1-H3221/100)*1.18</f>
        <v/>
      </c>
      <c r="J3221">
        <f>הגדרות!C7</f>
        <v/>
      </c>
      <c r="K3221">
        <f>הגדרות!D7</f>
        <v/>
      </c>
      <c r="L3221">
        <f>I3221*(1+J3221/100)+K3221</f>
        <v/>
      </c>
    </row>
    <row r="3222">
      <c r="A3222" t="inlineStr">
        <is>
          <t>מדי-מרקט</t>
        </is>
      </c>
      <c r="B3222" t="inlineStr">
        <is>
          <t>קטטר סקשיין מדיקפרו + פינגר טיפ 14F ירוק דגם חדש</t>
        </is>
      </c>
      <c r="C3222" t="inlineStr">
        <is>
          <t>ציוד מתכלה</t>
        </is>
      </c>
      <c r="D3222" t="inlineStr">
        <is>
          <t>400-015</t>
        </is>
      </c>
      <c r="E3222" t="inlineStr">
        <is>
          <t>2026-06</t>
        </is>
      </c>
      <c r="F3222" t="n">
        <v>0.22</v>
      </c>
      <c r="G3222" t="n">
        <v>0.26</v>
      </c>
      <c r="H3222">
        <f>הגדרות!B7</f>
        <v/>
      </c>
      <c r="I3222">
        <f>F3222*(1-H3222/100)*1.18</f>
        <v/>
      </c>
      <c r="J3222">
        <f>הגדרות!C7</f>
        <v/>
      </c>
      <c r="K3222">
        <f>הגדרות!D7</f>
        <v/>
      </c>
      <c r="L3222">
        <f>I3222*(1+J3222/100)+K3222</f>
        <v/>
      </c>
    </row>
    <row r="3223">
      <c r="A3223" t="inlineStr">
        <is>
          <t>מדי-מרקט</t>
        </is>
      </c>
      <c r="B3223" t="inlineStr">
        <is>
          <t>קטטר סקשיין מדיקפרו + פינגר טיפ 16F כתום דגם חדש</t>
        </is>
      </c>
      <c r="C3223" t="inlineStr">
        <is>
          <t>ציוד מתכלה</t>
        </is>
      </c>
      <c r="D3223" t="inlineStr">
        <is>
          <t>400-093</t>
        </is>
      </c>
      <c r="E3223" t="inlineStr">
        <is>
          <t>2026-06</t>
        </is>
      </c>
      <c r="F3223" t="n">
        <v>0.24</v>
      </c>
      <c r="G3223" t="n">
        <v>0.28</v>
      </c>
      <c r="H3223">
        <f>הגדרות!B7</f>
        <v/>
      </c>
      <c r="I3223">
        <f>F3223*(1-H3223/100)*1.18</f>
        <v/>
      </c>
      <c r="J3223">
        <f>הגדרות!C7</f>
        <v/>
      </c>
      <c r="K3223">
        <f>הגדרות!D7</f>
        <v/>
      </c>
      <c r="L3223">
        <f>I3223*(1+J3223/100)+K3223</f>
        <v/>
      </c>
    </row>
    <row r="3224">
      <c r="A3224" t="inlineStr">
        <is>
          <t>מדי-מרקט</t>
        </is>
      </c>
      <c r="B3224" t="inlineStr">
        <is>
          <t>קטטר סקשיין מדיקפרו + פינגר טיפ 18F אדום</t>
        </is>
      </c>
      <c r="C3224" t="inlineStr">
        <is>
          <t>ציוד מתכלה</t>
        </is>
      </c>
      <c r="D3224" t="inlineStr">
        <is>
          <t>400-092</t>
        </is>
      </c>
      <c r="E3224" t="inlineStr">
        <is>
          <t>2026-06</t>
        </is>
      </c>
      <c r="F3224" t="n">
        <v>0.23</v>
      </c>
      <c r="G3224" t="n">
        <v>0.27</v>
      </c>
      <c r="H3224">
        <f>הגדרות!B7</f>
        <v/>
      </c>
      <c r="I3224">
        <f>F3224*(1-H3224/100)*1.18</f>
        <v/>
      </c>
      <c r="J3224">
        <f>הגדרות!C7</f>
        <v/>
      </c>
      <c r="K3224">
        <f>הגדרות!D7</f>
        <v/>
      </c>
      <c r="L3224">
        <f>I3224*(1+J3224/100)+K3224</f>
        <v/>
      </c>
    </row>
    <row r="3225">
      <c r="A3225" t="inlineStr">
        <is>
          <t>מדי-מרקט</t>
        </is>
      </c>
      <c r="B3225" t="inlineStr">
        <is>
          <t>קטטר סקשיין מדיקפרו + פינגר טיפ 6F ירוק בהיר</t>
        </is>
      </c>
      <c r="C3225" t="inlineStr">
        <is>
          <t>ציוד מתכלה</t>
        </is>
      </c>
      <c r="D3225" t="inlineStr">
        <is>
          <t>400-089</t>
        </is>
      </c>
      <c r="E3225" t="inlineStr">
        <is>
          <t>2026-06</t>
        </is>
      </c>
      <c r="F3225" t="n">
        <v>0.22</v>
      </c>
      <c r="G3225" t="n">
        <v>0.26</v>
      </c>
      <c r="H3225">
        <f>הגדרות!B7</f>
        <v/>
      </c>
      <c r="I3225">
        <f>F3225*(1-H3225/100)*1.18</f>
        <v/>
      </c>
      <c r="J3225">
        <f>הגדרות!C7</f>
        <v/>
      </c>
      <c r="K3225">
        <f>הגדרות!D7</f>
        <v/>
      </c>
      <c r="L3225">
        <f>I3225*(1+J3225/100)+K3225</f>
        <v/>
      </c>
    </row>
    <row r="3226">
      <c r="A3226" t="inlineStr">
        <is>
          <t>מדי-מרקט</t>
        </is>
      </c>
      <c r="B3226" t="inlineStr">
        <is>
          <t>קטטר סקשיין מדיקפרו + פינגר טיפ 8F כחול</t>
        </is>
      </c>
      <c r="C3226" t="inlineStr">
        <is>
          <t>ציוד מתכלה</t>
        </is>
      </c>
      <c r="D3226" t="inlineStr">
        <is>
          <t>400-090</t>
        </is>
      </c>
      <c r="E3226" t="inlineStr">
        <is>
          <t>2026-06</t>
        </is>
      </c>
      <c r="F3226" t="n">
        <v>0.24</v>
      </c>
      <c r="G3226" t="n">
        <v>0.28</v>
      </c>
      <c r="H3226">
        <f>הגדרות!B7</f>
        <v/>
      </c>
      <c r="I3226">
        <f>F3226*(1-H3226/100)*1.18</f>
        <v/>
      </c>
      <c r="J3226">
        <f>הגדרות!C7</f>
        <v/>
      </c>
      <c r="K3226">
        <f>הגדרות!D7</f>
        <v/>
      </c>
      <c r="L3226">
        <f>I3226*(1+J3226/100)+K3226</f>
        <v/>
      </c>
    </row>
    <row r="3227">
      <c r="A3227" t="inlineStr">
        <is>
          <t>מדי-מרקט</t>
        </is>
      </c>
      <c r="B3227" t="inlineStr">
        <is>
          <t>קטטר רקטאלי 24F ,מדיקפרו 1 יח</t>
        </is>
      </c>
      <c r="C3227" t="inlineStr">
        <is>
          <t>ציוד מתכלה</t>
        </is>
      </c>
      <c r="D3227" t="inlineStr">
        <is>
          <t>400-001</t>
        </is>
      </c>
      <c r="E3227" t="inlineStr">
        <is>
          <t>2026-06</t>
        </is>
      </c>
      <c r="F3227" t="n">
        <v>0.42</v>
      </c>
      <c r="G3227" t="n">
        <v>0.49</v>
      </c>
      <c r="H3227">
        <f>הגדרות!B7</f>
        <v/>
      </c>
      <c r="I3227">
        <f>F3227*(1-H3227/100)*1.18</f>
        <v/>
      </c>
      <c r="J3227">
        <f>הגדרות!C7</f>
        <v/>
      </c>
      <c r="K3227">
        <f>הגדרות!D7</f>
        <v/>
      </c>
      <c r="L3227">
        <f>I3227*(1+J3227/100)+K3227</f>
        <v/>
      </c>
    </row>
    <row r="3228">
      <c r="A3228" t="inlineStr">
        <is>
          <t>מדי-מרקט</t>
        </is>
      </c>
      <c r="B3228" t="inlineStr">
        <is>
          <t>קטטר רקטאלי 26F ,מדיקפרו 1 יח'</t>
        </is>
      </c>
      <c r="C3228" t="inlineStr">
        <is>
          <t>ציוד מתכלה</t>
        </is>
      </c>
      <c r="D3228" t="inlineStr">
        <is>
          <t>400-003</t>
        </is>
      </c>
      <c r="E3228" t="inlineStr">
        <is>
          <t>2026-06</t>
        </is>
      </c>
      <c r="F3228" t="n">
        <v>0.4</v>
      </c>
      <c r="G3228" t="n">
        <v>0.47</v>
      </c>
      <c r="H3228">
        <f>הגדרות!B7</f>
        <v/>
      </c>
      <c r="I3228">
        <f>F3228*(1-H3228/100)*1.18</f>
        <v/>
      </c>
      <c r="J3228">
        <f>הגדרות!C7</f>
        <v/>
      </c>
      <c r="K3228">
        <f>הגדרות!D7</f>
        <v/>
      </c>
      <c r="L3228">
        <f>I3228*(1+J3228/100)+K3228</f>
        <v/>
      </c>
    </row>
    <row r="3229">
      <c r="A3229" t="inlineStr">
        <is>
          <t>מדי-מרקט</t>
        </is>
      </c>
      <c r="B3229" t="inlineStr">
        <is>
          <t>קטטר רקטאלי 28F ,מדיקפרו 1 יח'</t>
        </is>
      </c>
      <c r="C3229" t="inlineStr">
        <is>
          <t>ציוד מתכלה</t>
        </is>
      </c>
      <c r="D3229" t="inlineStr">
        <is>
          <t>400-002</t>
        </is>
      </c>
      <c r="E3229" t="inlineStr">
        <is>
          <t>2026-06</t>
        </is>
      </c>
      <c r="F3229" t="n">
        <v>0.5</v>
      </c>
      <c r="G3229" t="n">
        <v>0.59</v>
      </c>
      <c r="H3229">
        <f>הגדרות!B7</f>
        <v/>
      </c>
      <c r="I3229">
        <f>F3229*(1-H3229/100)*1.18</f>
        <v/>
      </c>
      <c r="J3229">
        <f>הגדרות!C7</f>
        <v/>
      </c>
      <c r="K3229">
        <f>הגדרות!D7</f>
        <v/>
      </c>
      <c r="L3229">
        <f>I3229*(1+J3229/100)+K3229</f>
        <v/>
      </c>
    </row>
    <row r="3230">
      <c r="A3230" t="inlineStr">
        <is>
          <t>מדי-מרקט</t>
        </is>
      </c>
      <c r="B3230" t="inlineStr">
        <is>
          <t>קטמיפ 25 מ"ל KETAMIP 10% Veterinary</t>
        </is>
      </c>
      <c r="C3230" t="inlineStr">
        <is>
          <t>תרופות</t>
        </is>
      </c>
      <c r="D3230" t="inlineStr">
        <is>
          <t>39704</t>
        </is>
      </c>
      <c r="E3230" t="inlineStr">
        <is>
          <t>2026-06</t>
        </is>
      </c>
      <c r="F3230" t="n">
        <v>127.12</v>
      </c>
      <c r="G3230" t="n">
        <v>150</v>
      </c>
      <c r="H3230">
        <f>הגדרות!B7</f>
        <v/>
      </c>
      <c r="I3230">
        <f>F3230*(1-H3230/100)*1.18</f>
        <v/>
      </c>
      <c r="J3230">
        <f>הגדרות!C7</f>
        <v/>
      </c>
      <c r="K3230">
        <f>הגדרות!D7</f>
        <v/>
      </c>
      <c r="L3230">
        <f>I3230*(1+J3230/100)+K3230</f>
        <v/>
      </c>
    </row>
    <row r="3231">
      <c r="A3231" t="inlineStr">
        <is>
          <t>מדי-מרקט</t>
        </is>
      </c>
      <c r="B3231" t="inlineStr">
        <is>
          <t>קיבוע לזו דה ,  SONDAFIX , מדיקפרו 1/100</t>
        </is>
      </c>
      <c r="C3231" t="inlineStr">
        <is>
          <t>מוצרי חבישה ופלסטרים</t>
        </is>
      </c>
      <c r="D3231" t="inlineStr">
        <is>
          <t>600-107</t>
        </is>
      </c>
      <c r="E3231" t="inlineStr">
        <is>
          <t>2026-06</t>
        </is>
      </c>
      <c r="F3231" t="n">
        <v>25.44</v>
      </c>
      <c r="G3231" t="n">
        <v>30.02</v>
      </c>
      <c r="H3231">
        <f>הגדרות!B7</f>
        <v/>
      </c>
      <c r="I3231">
        <f>F3231*(1-H3231/100)*1.18</f>
        <v/>
      </c>
      <c r="J3231">
        <f>הגדרות!C7</f>
        <v/>
      </c>
      <c r="K3231">
        <f>הגדרות!D7</f>
        <v/>
      </c>
      <c r="L3231">
        <f>I3231*(1+J3231/100)+K3231</f>
        <v/>
      </c>
    </row>
    <row r="3232">
      <c r="A3232" t="inlineStr">
        <is>
          <t>מדי-מרקט</t>
        </is>
      </c>
      <c r="B3232" t="inlineStr">
        <is>
          <t>קיבוע לעירוי 3M  טגדרם מק"ט  6cm x 7cm 1624W</t>
        </is>
      </c>
      <c r="C3232" t="inlineStr">
        <is>
          <t>ציוד מתכלה</t>
        </is>
      </c>
      <c r="D3232" t="inlineStr">
        <is>
          <t>1129</t>
        </is>
      </c>
      <c r="E3232" t="inlineStr">
        <is>
          <t>2026-06</t>
        </is>
      </c>
      <c r="F3232" t="n">
        <v>150.29</v>
      </c>
      <c r="G3232" t="n">
        <v>177.34</v>
      </c>
      <c r="H3232">
        <f>הגדרות!B7</f>
        <v/>
      </c>
      <c r="I3232">
        <f>F3232*(1-H3232/100)*1.18</f>
        <v/>
      </c>
      <c r="J3232">
        <f>הגדרות!C7</f>
        <v/>
      </c>
      <c r="K3232">
        <f>הגדרות!D7</f>
        <v/>
      </c>
      <c r="L3232">
        <f>I3232*(1+J3232/100)+K3232</f>
        <v/>
      </c>
    </row>
    <row r="3233">
      <c r="A3233" t="inlineStr">
        <is>
          <t>מדי-מרקט</t>
        </is>
      </c>
      <c r="B3233" t="inlineStr">
        <is>
          <t>קיבוע לעירוי 3M טגדרם 10*12 ס"מ 50 יח'  1626W</t>
        </is>
      </c>
      <c r="C3233" t="inlineStr">
        <is>
          <t>ציוד מתכלה</t>
        </is>
      </c>
      <c r="D3233" t="inlineStr">
        <is>
          <t>1130</t>
        </is>
      </c>
      <c r="E3233" t="inlineStr">
        <is>
          <t>2026-06</t>
        </is>
      </c>
      <c r="F3233" t="n">
        <v>139.83</v>
      </c>
      <c r="G3233" t="n">
        <v>165</v>
      </c>
      <c r="H3233">
        <f>הגדרות!B7</f>
        <v/>
      </c>
      <c r="I3233">
        <f>F3233*(1-H3233/100)*1.18</f>
        <v/>
      </c>
      <c r="J3233">
        <f>הגדרות!C7</f>
        <v/>
      </c>
      <c r="K3233">
        <f>הגדרות!D7</f>
        <v/>
      </c>
      <c r="L3233">
        <f>I3233*(1+J3233/100)+K3233</f>
        <v/>
      </c>
    </row>
    <row r="3234">
      <c r="A3234" t="inlineStr">
        <is>
          <t>מדי-מרקט</t>
        </is>
      </c>
      <c r="B3234" t="inlineStr">
        <is>
          <t>קיבוע לעירוי 50 יח משונץ בד לא ארוג 8*6 מדי פלוס</t>
        </is>
      </c>
      <c r="C3234" t="inlineStr">
        <is>
          <t>ציוד מתכלה</t>
        </is>
      </c>
      <c r="D3234" t="inlineStr">
        <is>
          <t>1128</t>
        </is>
      </c>
      <c r="E3234" t="inlineStr">
        <is>
          <t>2026-06</t>
        </is>
      </c>
      <c r="F3234" t="n">
        <v>28.22</v>
      </c>
      <c r="G3234" t="n">
        <v>33.3</v>
      </c>
      <c r="H3234">
        <f>הגדרות!B7</f>
        <v/>
      </c>
      <c r="I3234">
        <f>F3234*(1-H3234/100)*1.18</f>
        <v/>
      </c>
      <c r="J3234">
        <f>הגדרות!C7</f>
        <v/>
      </c>
      <c r="K3234">
        <f>הגדרות!D7</f>
        <v/>
      </c>
      <c r="L3234">
        <f>I3234*(1+J3234/100)+K3234</f>
        <v/>
      </c>
    </row>
    <row r="3235">
      <c r="A3235" t="inlineStr">
        <is>
          <t>מדי-מרקט</t>
        </is>
      </c>
      <c r="B3235" t="inlineStr">
        <is>
          <t>קיבוע לעירוי טגדרם 6cm x 7cm 100BX 3M 1623W</t>
        </is>
      </c>
      <c r="C3235" t="inlineStr">
        <is>
          <t>ציוד מתכלה</t>
        </is>
      </c>
      <c r="D3235" t="inlineStr">
        <is>
          <t>1127</t>
        </is>
      </c>
      <c r="E3235" t="inlineStr">
        <is>
          <t>2026-06</t>
        </is>
      </c>
      <c r="F3235" t="n">
        <v>125.93</v>
      </c>
      <c r="G3235" t="n">
        <v>148.6</v>
      </c>
      <c r="H3235">
        <f>הגדרות!B7</f>
        <v/>
      </c>
      <c r="I3235">
        <f>F3235*(1-H3235/100)*1.18</f>
        <v/>
      </c>
      <c r="J3235">
        <f>הגדרות!C7</f>
        <v/>
      </c>
      <c r="K3235">
        <f>הגדרות!D7</f>
        <v/>
      </c>
      <c r="L3235">
        <f>I3235*(1+J3235/100)+K3235</f>
        <v/>
      </c>
    </row>
    <row r="3236">
      <c r="A3236" t="inlineStr">
        <is>
          <t>מדי-מרקט</t>
        </is>
      </c>
      <c r="B3236" t="inlineStr">
        <is>
          <t>קיבוע לעירוי, מדיקפרו שקוף PU משונץ 6*7ס"מ 1/100</t>
        </is>
      </c>
      <c r="C3236" t="inlineStr">
        <is>
          <t>מוצרי חבישה ופלסטרים</t>
        </is>
      </c>
      <c r="D3236" t="inlineStr">
        <is>
          <t>600-103</t>
        </is>
      </c>
      <c r="E3236" t="inlineStr">
        <is>
          <t>2026-06</t>
        </is>
      </c>
      <c r="F3236" t="n">
        <v>31.06</v>
      </c>
      <c r="G3236" t="n">
        <v>36.65</v>
      </c>
      <c r="H3236">
        <f>הגדרות!B7</f>
        <v/>
      </c>
      <c r="I3236">
        <f>F3236*(1-H3236/100)*1.18</f>
        <v/>
      </c>
      <c r="J3236">
        <f>הגדרות!C7</f>
        <v/>
      </c>
      <c r="K3236">
        <f>הגדרות!D7</f>
        <v/>
      </c>
      <c r="L3236">
        <f>I3236*(1+J3236/100)+K3236</f>
        <v/>
      </c>
    </row>
    <row r="3237">
      <c r="A3237" t="inlineStr">
        <is>
          <t>מדי-מרקט</t>
        </is>
      </c>
      <c r="B3237" t="inlineStr">
        <is>
          <t>קיט דנטלי OXYFRESH</t>
        </is>
      </c>
      <c r="C3237" t="inlineStr">
        <is>
          <t>Oxyfresh</t>
        </is>
      </c>
      <c r="D3237" t="inlineStr">
        <is>
          <t>61-457</t>
        </is>
      </c>
      <c r="E3237" t="inlineStr">
        <is>
          <t>2026-06</t>
        </is>
      </c>
      <c r="F3237" t="n">
        <v>32.2</v>
      </c>
      <c r="G3237" t="n">
        <v>38</v>
      </c>
      <c r="H3237">
        <f>הגדרות!B7</f>
        <v/>
      </c>
      <c r="I3237">
        <f>F3237*(1-H3237/100)*1.18</f>
        <v/>
      </c>
      <c r="J3237">
        <f>הגדרות!C7</f>
        <v/>
      </c>
      <c r="K3237">
        <f>הגדרות!D7</f>
        <v/>
      </c>
      <c r="L3237">
        <f>I3237*(1+J3237/100)+K3237</f>
        <v/>
      </c>
    </row>
    <row r="3238">
      <c r="A3238" t="inlineStr">
        <is>
          <t>מדי-מרקט</t>
        </is>
      </c>
      <c r="B3238" t="inlineStr">
        <is>
          <t>קיט מהיר לזיהוי אנטיגן קורונה + פלוס שפעת A ו 5X B</t>
        </is>
      </c>
      <c r="C3238" t="inlineStr">
        <is>
          <t>ציוד ומכשור רפואי</t>
        </is>
      </c>
      <c r="D3238" t="inlineStr">
        <is>
          <t>968693</t>
        </is>
      </c>
      <c r="E3238" t="inlineStr">
        <is>
          <t>2026-06</t>
        </is>
      </c>
      <c r="F3238" t="n">
        <v>18.22</v>
      </c>
      <c r="G3238" t="n">
        <v>21.5</v>
      </c>
      <c r="H3238">
        <f>הגדרות!B7</f>
        <v/>
      </c>
      <c r="I3238">
        <f>F3238*(1-H3238/100)*1.18</f>
        <v/>
      </c>
      <c r="J3238">
        <f>הגדרות!C7</f>
        <v/>
      </c>
      <c r="K3238">
        <f>הגדרות!D7</f>
        <v/>
      </c>
      <c r="L3238">
        <f>I3238*(1+J3238/100)+K3238</f>
        <v/>
      </c>
    </row>
    <row r="3239">
      <c r="A3239" t="inlineStr">
        <is>
          <t>מדי-מרקט</t>
        </is>
      </c>
      <c r="B3239" t="inlineStr">
        <is>
          <t>קל בטן 100  מ"ל סירופ</t>
        </is>
      </c>
      <c r="C3239" t="inlineStr">
        <is>
          <t>תרופות</t>
        </is>
      </c>
      <c r="D3239" t="inlineStr">
        <is>
          <t>5259</t>
        </is>
      </c>
      <c r="E3239" t="inlineStr">
        <is>
          <t>2026-06</t>
        </is>
      </c>
      <c r="F3239" t="n">
        <v>16.86</v>
      </c>
      <c r="G3239" t="n">
        <v>19.9</v>
      </c>
      <c r="H3239">
        <f>הגדרות!B7</f>
        <v/>
      </c>
      <c r="I3239">
        <f>F3239*(1-H3239/100)*1.18</f>
        <v/>
      </c>
      <c r="J3239">
        <f>הגדרות!C7</f>
        <v/>
      </c>
      <c r="K3239">
        <f>הגדרות!D7</f>
        <v/>
      </c>
      <c r="L3239">
        <f>I3239*(1+J3239/100)+K3239</f>
        <v/>
      </c>
    </row>
    <row r="3240">
      <c r="A3240" t="inlineStr">
        <is>
          <t>מדי-מרקט</t>
        </is>
      </c>
      <c r="B3240" t="inlineStr">
        <is>
          <t>קל בטן 20 טב'</t>
        </is>
      </c>
      <c r="C3240" t="inlineStr">
        <is>
          <t>תרופות</t>
        </is>
      </c>
      <c r="D3240" t="inlineStr">
        <is>
          <t>40789</t>
        </is>
      </c>
      <c r="E3240" t="inlineStr">
        <is>
          <t>2026-06</t>
        </is>
      </c>
      <c r="F3240" t="n">
        <v>20.76</v>
      </c>
      <c r="G3240" t="n">
        <v>24.5</v>
      </c>
      <c r="H3240">
        <f>הגדרות!B7</f>
        <v/>
      </c>
      <c r="I3240">
        <f>F3240*(1-H3240/100)*1.18</f>
        <v/>
      </c>
      <c r="J3240">
        <f>הגדרות!C7</f>
        <v/>
      </c>
      <c r="K3240">
        <f>הגדרות!D7</f>
        <v/>
      </c>
      <c r="L3240">
        <f>I3240*(1+J3240/100)+K3240</f>
        <v/>
      </c>
    </row>
    <row r="3241">
      <c r="A3241" t="inlineStr">
        <is>
          <t>מדי-מרקט</t>
        </is>
      </c>
      <c r="B3241" t="inlineStr">
        <is>
          <t>קל בטן פורטה *10</t>
        </is>
      </c>
      <c r="C3241" t="inlineStr">
        <is>
          <t>תרופות</t>
        </is>
      </c>
      <c r="D3241" t="inlineStr">
        <is>
          <t>25601</t>
        </is>
      </c>
      <c r="E3241" t="inlineStr">
        <is>
          <t>2026-06</t>
        </is>
      </c>
      <c r="F3241" t="n">
        <v>23.46</v>
      </c>
      <c r="G3241" t="n">
        <v>27.68</v>
      </c>
      <c r="H3241">
        <f>הגדרות!B7</f>
        <v/>
      </c>
      <c r="I3241">
        <f>F3241*(1-H3241/100)*1.18</f>
        <v/>
      </c>
      <c r="J3241">
        <f>הגדרות!C7</f>
        <v/>
      </c>
      <c r="K3241">
        <f>הגדרות!D7</f>
        <v/>
      </c>
      <c r="L3241">
        <f>I3241*(1+J3241/100)+K3241</f>
        <v/>
      </c>
    </row>
    <row r="3242">
      <c r="A3242" t="inlineStr">
        <is>
          <t>מדי-מרקט</t>
        </is>
      </c>
      <c r="B3242" t="inlineStr">
        <is>
          <t>קלציום סידן 600 מ"ג בתוספת ויטמין 60 X D3 טבליות</t>
        </is>
      </c>
      <c r="C3242" t="inlineStr">
        <is>
          <t>ויטמינים ויטה יאנג</t>
        </is>
      </c>
      <c r="D3242" t="inlineStr">
        <is>
          <t>1802</t>
        </is>
      </c>
      <c r="E3242" t="inlineStr">
        <is>
          <t>2026-06</t>
        </is>
      </c>
      <c r="F3242" t="n">
        <v>6.89</v>
      </c>
      <c r="G3242" t="n">
        <v>8.130000000000001</v>
      </c>
      <c r="H3242">
        <f>הגדרות!B7</f>
        <v/>
      </c>
      <c r="I3242">
        <f>F3242*(1-H3242/100)*1.18</f>
        <v/>
      </c>
      <c r="J3242">
        <f>הגדרות!C7</f>
        <v/>
      </c>
      <c r="K3242">
        <f>הגדרות!D7</f>
        <v/>
      </c>
      <c r="L3242">
        <f>I3242*(1+J3242/100)+K3242</f>
        <v/>
      </c>
    </row>
    <row r="3243">
      <c r="A3243" t="inlineStr">
        <is>
          <t>מדי-מרקט</t>
        </is>
      </c>
      <c r="B3243" t="inlineStr">
        <is>
          <t>קלקסאן  Clexane 80Mg 2 Syring</t>
        </is>
      </c>
      <c r="C3243" t="inlineStr">
        <is>
          <t>תרופות</t>
        </is>
      </c>
      <c r="D3243" t="inlineStr">
        <is>
          <t>55999</t>
        </is>
      </c>
      <c r="E3243" t="inlineStr">
        <is>
          <t>2026-06</t>
        </is>
      </c>
      <c r="F3243" t="n">
        <v>52.8</v>
      </c>
      <c r="G3243" t="n">
        <v>62.3</v>
      </c>
      <c r="H3243">
        <f>הגדרות!B7</f>
        <v/>
      </c>
      <c r="I3243">
        <f>F3243*(1-H3243/100)*1.18</f>
        <v/>
      </c>
      <c r="J3243">
        <f>הגדרות!C7</f>
        <v/>
      </c>
      <c r="K3243">
        <f>הגדרות!D7</f>
        <v/>
      </c>
      <c r="L3243">
        <f>I3243*(1+J3243/100)+K3243</f>
        <v/>
      </c>
    </row>
    <row r="3244">
      <c r="A3244" t="inlineStr">
        <is>
          <t>מדי-מרקט</t>
        </is>
      </c>
      <c r="B3244" t="inlineStr">
        <is>
          <t>קלקסאן Clexane 20Mg 2 Syring</t>
        </is>
      </c>
      <c r="C3244" t="inlineStr">
        <is>
          <t>תרופות</t>
        </is>
      </c>
      <c r="D3244" t="inlineStr">
        <is>
          <t>99875</t>
        </is>
      </c>
      <c r="E3244" t="inlineStr">
        <is>
          <t>2026-06</t>
        </is>
      </c>
      <c r="F3244" t="n">
        <v>16.95</v>
      </c>
      <c r="G3244" t="n">
        <v>20</v>
      </c>
      <c r="H3244">
        <f>הגדרות!B7</f>
        <v/>
      </c>
      <c r="I3244">
        <f>F3244*(1-H3244/100)*1.18</f>
        <v/>
      </c>
      <c r="J3244">
        <f>הגדרות!C7</f>
        <v/>
      </c>
      <c r="K3244">
        <f>הגדרות!D7</f>
        <v/>
      </c>
      <c r="L3244">
        <f>I3244*(1+J3244/100)+K3244</f>
        <v/>
      </c>
    </row>
    <row r="3245">
      <c r="A3245" t="inlineStr">
        <is>
          <t>מדי-מרקט</t>
        </is>
      </c>
      <c r="B3245" t="inlineStr">
        <is>
          <t>קלקסאן Clexane 40Mg/0.4 Ml 2 Syring</t>
        </is>
      </c>
      <c r="C3245" t="inlineStr">
        <is>
          <t>תרופות</t>
        </is>
      </c>
      <c r="D3245" t="inlineStr">
        <is>
          <t>269741</t>
        </is>
      </c>
      <c r="E3245" t="inlineStr">
        <is>
          <t>2026-06</t>
        </is>
      </c>
      <c r="F3245" t="n">
        <v>25.13</v>
      </c>
      <c r="G3245" t="n">
        <v>29.65</v>
      </c>
      <c r="H3245">
        <f>הגדרות!B7</f>
        <v/>
      </c>
      <c r="I3245">
        <f>F3245*(1-H3245/100)*1.18</f>
        <v/>
      </c>
      <c r="J3245">
        <f>הגדרות!C7</f>
        <v/>
      </c>
      <c r="K3245">
        <f>הגדרות!D7</f>
        <v/>
      </c>
      <c r="L3245">
        <f>I3245*(1+J3245/100)+K3245</f>
        <v/>
      </c>
    </row>
    <row r="3246">
      <c r="A3246" t="inlineStr">
        <is>
          <t>מדי-מרקט</t>
        </is>
      </c>
      <c r="B3246" t="inlineStr">
        <is>
          <t>קלקסאן Clexane 60Mg 2 Syring</t>
        </is>
      </c>
      <c r="C3246" t="inlineStr">
        <is>
          <t>תרופות</t>
        </is>
      </c>
      <c r="D3246" t="inlineStr">
        <is>
          <t>6741</t>
        </is>
      </c>
      <c r="E3246" t="inlineStr">
        <is>
          <t>2026-06</t>
        </is>
      </c>
      <c r="F3246" t="n">
        <v>32.91</v>
      </c>
      <c r="G3246" t="n">
        <v>38.83</v>
      </c>
      <c r="H3246">
        <f>הגדרות!B7</f>
        <v/>
      </c>
      <c r="I3246">
        <f>F3246*(1-H3246/100)*1.18</f>
        <v/>
      </c>
      <c r="J3246">
        <f>הגדרות!C7</f>
        <v/>
      </c>
      <c r="K3246">
        <f>הגדרות!D7</f>
        <v/>
      </c>
      <c r="L3246">
        <f>I3246*(1+J3246/100)+K3246</f>
        <v/>
      </c>
    </row>
    <row r="3247">
      <c r="A3247" t="inlineStr">
        <is>
          <t>מדי-מרקט</t>
        </is>
      </c>
      <c r="B3247" t="inlineStr">
        <is>
          <t>קניגסט 15 מ"ל-פרוביוטיקה לכלבים וחתולים-TRM</t>
        </is>
      </c>
      <c r="C3247" t="inlineStr">
        <is>
          <t>TRM</t>
        </is>
      </c>
      <c r="D3247" t="inlineStr">
        <is>
          <t>800-100</t>
        </is>
      </c>
      <c r="E3247" t="inlineStr">
        <is>
          <t>2026-06</t>
        </is>
      </c>
      <c r="F3247" t="n">
        <v>24.58</v>
      </c>
      <c r="G3247" t="n">
        <v>29</v>
      </c>
      <c r="H3247">
        <f>הגדרות!B7</f>
        <v/>
      </c>
      <c r="I3247">
        <f>F3247*(1-H3247/100)*1.18</f>
        <v/>
      </c>
      <c r="J3247">
        <f>הגדרות!C7</f>
        <v/>
      </c>
      <c r="K3247">
        <f>הגדרות!D7</f>
        <v/>
      </c>
      <c r="L3247">
        <f>I3247*(1+J3247/100)+K3247</f>
        <v/>
      </c>
    </row>
    <row r="3248">
      <c r="A3248" t="inlineStr">
        <is>
          <t>מדי-מרקט</t>
        </is>
      </c>
      <c r="B3248" t="inlineStr">
        <is>
          <t>קניגסט 30 מ"ל-פרוביוטיקה לכלבים וחתולים-TRM</t>
        </is>
      </c>
      <c r="C3248" t="inlineStr">
        <is>
          <t>TRM</t>
        </is>
      </c>
      <c r="D3248" t="inlineStr">
        <is>
          <t>800-101</t>
        </is>
      </c>
      <c r="E3248" t="inlineStr">
        <is>
          <t>2026-06</t>
        </is>
      </c>
      <c r="F3248" t="n">
        <v>41.53</v>
      </c>
      <c r="G3248" t="n">
        <v>49</v>
      </c>
      <c r="H3248">
        <f>הגדרות!B7</f>
        <v/>
      </c>
      <c r="I3248">
        <f>F3248*(1-H3248/100)*1.18</f>
        <v/>
      </c>
      <c r="J3248">
        <f>הגדרות!C7</f>
        <v/>
      </c>
      <c r="K3248">
        <f>הגדרות!D7</f>
        <v/>
      </c>
      <c r="L3248">
        <f>I3248*(1+J3248/100)+K3248</f>
        <v/>
      </c>
    </row>
    <row r="3249">
      <c r="A3249" t="inlineStr">
        <is>
          <t>מדי-מרקט</t>
        </is>
      </c>
      <c r="B3249" t="inlineStr">
        <is>
          <t>קניגסט קומבי 16 מ"ל-פרוביוטיקה TRM</t>
        </is>
      </c>
      <c r="C3249" t="inlineStr">
        <is>
          <t>TRM</t>
        </is>
      </c>
      <c r="D3249" t="inlineStr">
        <is>
          <t>800-215</t>
        </is>
      </c>
      <c r="E3249" t="inlineStr">
        <is>
          <t>2026-06</t>
        </is>
      </c>
      <c r="F3249" t="n">
        <v>28.81</v>
      </c>
      <c r="G3249" t="n">
        <v>34</v>
      </c>
      <c r="H3249">
        <f>הגדרות!B7</f>
        <v/>
      </c>
      <c r="I3249">
        <f>F3249*(1-H3249/100)*1.18</f>
        <v/>
      </c>
      <c r="J3249">
        <f>הגדרות!C7</f>
        <v/>
      </c>
      <c r="K3249">
        <f>הגדרות!D7</f>
        <v/>
      </c>
      <c r="L3249">
        <f>I3249*(1+J3249/100)+K3249</f>
        <v/>
      </c>
    </row>
    <row r="3250">
      <c r="A3250" t="inlineStr">
        <is>
          <t>מדי-מרקט</t>
        </is>
      </c>
      <c r="B3250" t="inlineStr">
        <is>
          <t>קניגסט קומבי 32 מ"ל-פרוביוטיקה TRM</t>
        </is>
      </c>
      <c r="C3250" t="inlineStr">
        <is>
          <t>TRM</t>
        </is>
      </c>
      <c r="D3250" t="inlineStr">
        <is>
          <t>800-216</t>
        </is>
      </c>
      <c r="E3250" t="inlineStr">
        <is>
          <t>2026-06</t>
        </is>
      </c>
      <c r="F3250" t="n">
        <v>45.76</v>
      </c>
      <c r="G3250" t="n">
        <v>54</v>
      </c>
      <c r="H3250">
        <f>הגדרות!B7</f>
        <v/>
      </c>
      <c r="I3250">
        <f>F3250*(1-H3250/100)*1.18</f>
        <v/>
      </c>
      <c r="J3250">
        <f>הגדרות!C7</f>
        <v/>
      </c>
      <c r="K3250">
        <f>הגדרות!D7</f>
        <v/>
      </c>
      <c r="L3250">
        <f>I3250*(1+J3250/100)+K3250</f>
        <v/>
      </c>
    </row>
    <row r="3251">
      <c r="A3251" t="inlineStr">
        <is>
          <t>מדי-מרקט</t>
        </is>
      </c>
      <c r="B3251" t="inlineStr">
        <is>
          <t>קפילרות + הפרין 1/100 (אדום)</t>
        </is>
      </c>
      <c r="C3251" t="inlineStr">
        <is>
          <t>ציוד מעבדתי</t>
        </is>
      </c>
      <c r="D3251" t="inlineStr">
        <is>
          <t>3646</t>
        </is>
      </c>
      <c r="E3251" t="inlineStr">
        <is>
          <t>2026-06</t>
        </is>
      </c>
      <c r="F3251" t="n">
        <v>14.24</v>
      </c>
      <c r="G3251" t="n">
        <v>16.8</v>
      </c>
      <c r="H3251">
        <f>הגדרות!B7</f>
        <v/>
      </c>
      <c r="I3251">
        <f>F3251*(1-H3251/100)*1.18</f>
        <v/>
      </c>
      <c r="J3251">
        <f>הגדרות!C7</f>
        <v/>
      </c>
      <c r="K3251">
        <f>הגדרות!D7</f>
        <v/>
      </c>
      <c r="L3251">
        <f>I3251*(1+J3251/100)+K3251</f>
        <v/>
      </c>
    </row>
    <row r="3252">
      <c r="A3252" t="inlineStr">
        <is>
          <t>מדי-מרקט</t>
        </is>
      </c>
      <c r="B3252" t="inlineStr">
        <is>
          <t>קפילרות רגילות 1/100 (כחול)</t>
        </is>
      </c>
      <c r="C3252" t="inlineStr">
        <is>
          <t>ציוד מתכלה</t>
        </is>
      </c>
      <c r="D3252" t="inlineStr">
        <is>
          <t>3644</t>
        </is>
      </c>
      <c r="E3252" t="inlineStr">
        <is>
          <t>2026-06</t>
        </is>
      </c>
      <c r="F3252" t="n">
        <v>13.98</v>
      </c>
      <c r="G3252" t="n">
        <v>16.5</v>
      </c>
      <c r="H3252">
        <f>הגדרות!B7</f>
        <v/>
      </c>
      <c r="I3252">
        <f>F3252*(1-H3252/100)*1.18</f>
        <v/>
      </c>
      <c r="J3252">
        <f>הגדרות!C7</f>
        <v/>
      </c>
      <c r="K3252">
        <f>הגדרות!D7</f>
        <v/>
      </c>
      <c r="L3252">
        <f>I3252*(1+J3252/100)+K3252</f>
        <v/>
      </c>
    </row>
    <row r="3253">
      <c r="A3253" t="inlineStr">
        <is>
          <t>מדי-מרקט</t>
        </is>
      </c>
      <c r="B3253" t="inlineStr">
        <is>
          <t>קריפטו ג'יארדיה FASTest CRYPTO-GIARDIA 10 test strip</t>
        </is>
      </c>
      <c r="C3253" t="inlineStr">
        <is>
          <t>מוצרים משלימים לווט'</t>
        </is>
      </c>
      <c r="D3253" t="inlineStr">
        <is>
          <t>740010RG1</t>
        </is>
      </c>
      <c r="E3253" t="inlineStr">
        <is>
          <t>2026-06</t>
        </is>
      </c>
      <c r="F3253" t="n">
        <v>389.83</v>
      </c>
      <c r="G3253" t="n">
        <v>460</v>
      </c>
      <c r="H3253">
        <f>הגדרות!B7</f>
        <v/>
      </c>
      <c r="I3253">
        <f>F3253*(1-H3253/100)*1.18</f>
        <v/>
      </c>
      <c r="J3253">
        <f>הגדרות!C7</f>
        <v/>
      </c>
      <c r="K3253">
        <f>הגדרות!D7</f>
        <v/>
      </c>
      <c r="L3253">
        <f>I3253*(1+J3253/100)+K3253</f>
        <v/>
      </c>
    </row>
    <row r="3254">
      <c r="A3254" t="inlineStr">
        <is>
          <t>מדי-מרקט</t>
        </is>
      </c>
      <c r="B3254" t="inlineStr">
        <is>
          <t>קרם סיליקון כחול באריזת משאבה 1 ליטר  מדיקפרו</t>
        </is>
      </c>
      <c r="C3254" t="inlineStr">
        <is>
          <t>מוצרים משלימים הומני</t>
        </is>
      </c>
      <c r="D3254" t="inlineStr">
        <is>
          <t>40540</t>
        </is>
      </c>
      <c r="E3254" t="inlineStr">
        <is>
          <t>2026-06</t>
        </is>
      </c>
      <c r="F3254" t="n">
        <v>13.14</v>
      </c>
      <c r="G3254" t="n">
        <v>15.5</v>
      </c>
      <c r="H3254">
        <f>הגדרות!B7</f>
        <v/>
      </c>
      <c r="I3254">
        <f>F3254*(1-H3254/100)*1.18</f>
        <v/>
      </c>
      <c r="J3254">
        <f>הגדרות!C7</f>
        <v/>
      </c>
      <c r="K3254">
        <f>הגדרות!D7</f>
        <v/>
      </c>
      <c r="L3254">
        <f>I3254*(1+J3254/100)+K3254</f>
        <v/>
      </c>
    </row>
    <row r="3255">
      <c r="A3255" t="inlineStr">
        <is>
          <t>מדי-מרקט</t>
        </is>
      </c>
      <c r="B3255" t="inlineStr">
        <is>
          <t>קרם סיליקון כחול בצנצנת 1 ליטר  מדיקפרו</t>
        </is>
      </c>
      <c r="C3255" t="inlineStr">
        <is>
          <t>מוצרים משלימים הומני</t>
        </is>
      </c>
      <c r="D3255" t="inlineStr">
        <is>
          <t>4054</t>
        </is>
      </c>
      <c r="E3255" t="inlineStr">
        <is>
          <t>2026-06</t>
        </is>
      </c>
      <c r="F3255" t="n">
        <v>12.63</v>
      </c>
      <c r="G3255" t="n">
        <v>14.9</v>
      </c>
      <c r="H3255">
        <f>הגדרות!B7</f>
        <v/>
      </c>
      <c r="I3255">
        <f>F3255*(1-H3255/100)*1.18</f>
        <v/>
      </c>
      <c r="J3255">
        <f>הגדרות!C7</f>
        <v/>
      </c>
      <c r="K3255">
        <f>הגדרות!D7</f>
        <v/>
      </c>
      <c r="L3255">
        <f>I3255*(1+J3255/100)+K3255</f>
        <v/>
      </c>
    </row>
    <row r="3256">
      <c r="A3256" t="inlineStr">
        <is>
          <t>מדי-מרקט</t>
        </is>
      </c>
      <c r="B3256" t="inlineStr">
        <is>
          <t>קרם קלנדולה אריזת משאבה 1 ל לתפרחת חיתולים  מדיקפרו</t>
        </is>
      </c>
      <c r="C3256" t="inlineStr">
        <is>
          <t>מוצרים משלימים הומני</t>
        </is>
      </c>
      <c r="D3256" t="inlineStr">
        <is>
          <t>11360</t>
        </is>
      </c>
      <c r="E3256" t="inlineStr">
        <is>
          <t>2026-06</t>
        </is>
      </c>
      <c r="F3256" t="n">
        <v>15.25</v>
      </c>
      <c r="G3256" t="n">
        <v>18</v>
      </c>
      <c r="H3256">
        <f>הגדרות!B7</f>
        <v/>
      </c>
      <c r="I3256">
        <f>F3256*(1-H3256/100)*1.18</f>
        <v/>
      </c>
      <c r="J3256">
        <f>הגדרות!C7</f>
        <v/>
      </c>
      <c r="K3256">
        <f>הגדרות!D7</f>
        <v/>
      </c>
      <c r="L3256">
        <f>I3256*(1+J3256/100)+K3256</f>
        <v/>
      </c>
    </row>
    <row r="3257">
      <c r="A3257" t="inlineStr">
        <is>
          <t>מדי-מרקט</t>
        </is>
      </c>
      <c r="B3257" t="inlineStr">
        <is>
          <t>קרם קלנדולה בצנצנת 1 ליטר לתפרחת חיתולים  מדיקפרו</t>
        </is>
      </c>
      <c r="C3257" t="inlineStr">
        <is>
          <t>מוצרים משלימים הומני</t>
        </is>
      </c>
      <c r="D3257" t="inlineStr">
        <is>
          <t>1136</t>
        </is>
      </c>
      <c r="E3257" t="inlineStr">
        <is>
          <t>2026-06</t>
        </is>
      </c>
      <c r="F3257" t="n">
        <v>15.68</v>
      </c>
      <c r="G3257" t="n">
        <v>18.5</v>
      </c>
      <c r="H3257">
        <f>הגדרות!B7</f>
        <v/>
      </c>
      <c r="I3257">
        <f>F3257*(1-H3257/100)*1.18</f>
        <v/>
      </c>
      <c r="J3257">
        <f>הגדרות!C7</f>
        <v/>
      </c>
      <c r="K3257">
        <f>הגדרות!D7</f>
        <v/>
      </c>
      <c r="L3257">
        <f>I3257*(1+J3257/100)+K3257</f>
        <v/>
      </c>
    </row>
    <row r="3258">
      <c r="A3258" t="inlineStr">
        <is>
          <t>מדי-מרקט</t>
        </is>
      </c>
      <c r="B3258" t="inlineStr">
        <is>
          <t>קרמלט ישר Rochester-carmelt artery forceps  20cm</t>
        </is>
      </c>
      <c r="C3258" t="inlineStr">
        <is>
          <t>כלים כירורגיים</t>
        </is>
      </c>
      <c r="D3258" t="inlineStr">
        <is>
          <t>30-112</t>
        </is>
      </c>
      <c r="E3258" t="inlineStr">
        <is>
          <t>2026-06</t>
        </is>
      </c>
      <c r="F3258" t="n">
        <v>50.85</v>
      </c>
      <c r="G3258" t="n">
        <v>60</v>
      </c>
      <c r="H3258">
        <f>הגדרות!B7</f>
        <v/>
      </c>
      <c r="I3258">
        <f>F3258*(1-H3258/100)*1.18</f>
        <v/>
      </c>
      <c r="J3258">
        <f>הגדרות!C7</f>
        <v/>
      </c>
      <c r="K3258">
        <f>הגדרות!D7</f>
        <v/>
      </c>
      <c r="L3258">
        <f>I3258*(1+J3258/100)+K3258</f>
        <v/>
      </c>
    </row>
    <row r="3259">
      <c r="A3259" t="inlineStr">
        <is>
          <t>מדי-מרקט</t>
        </is>
      </c>
      <c r="B3259" t="inlineStr">
        <is>
          <t>ראש אוטוסקופ וטר'+ 3 ספקולום W.A21760 3.5V</t>
        </is>
      </c>
      <c r="C3259" t="inlineStr">
        <is>
          <t>ציוד ומכשור רפואי</t>
        </is>
      </c>
      <c r="D3259" t="inlineStr">
        <is>
          <t>10145</t>
        </is>
      </c>
      <c r="E3259" t="inlineStr">
        <is>
          <t>2026-06</t>
        </is>
      </c>
      <c r="F3259" t="n">
        <v>932.2</v>
      </c>
      <c r="G3259" t="n">
        <v>1100</v>
      </c>
      <c r="H3259">
        <f>הגדרות!B7</f>
        <v/>
      </c>
      <c r="I3259">
        <f>F3259*(1-H3259/100)*1.18</f>
        <v/>
      </c>
      <c r="J3259">
        <f>הגדרות!C7</f>
        <v/>
      </c>
      <c r="K3259">
        <f>הגדרות!D7</f>
        <v/>
      </c>
      <c r="L3259">
        <f>I3259*(1+J3259/100)+K3259</f>
        <v/>
      </c>
    </row>
    <row r="3260">
      <c r="A3260" t="inlineStr">
        <is>
          <t>מדי-מרקט</t>
        </is>
      </c>
      <c r="B3260" t="inlineStr">
        <is>
          <t>ראש לאוטוסקופ 25020 W.A הלוגן 3.5V</t>
        </is>
      </c>
      <c r="C3260" t="inlineStr">
        <is>
          <t>ציוד ומכשור רפואי</t>
        </is>
      </c>
      <c r="D3260" t="inlineStr">
        <is>
          <t>124551</t>
        </is>
      </c>
      <c r="E3260" t="inlineStr">
        <is>
          <t>2026-06</t>
        </is>
      </c>
      <c r="F3260" t="n">
        <v>532.6799999999999</v>
      </c>
      <c r="G3260" t="n">
        <v>628.5599999999999</v>
      </c>
      <c r="H3260">
        <f>הגדרות!B7</f>
        <v/>
      </c>
      <c r="I3260">
        <f>F3260*(1-H3260/100)*1.18</f>
        <v/>
      </c>
      <c r="J3260">
        <f>הגדרות!C7</f>
        <v/>
      </c>
      <c r="K3260">
        <f>הגדרות!D7</f>
        <v/>
      </c>
      <c r="L3260">
        <f>I3260*(1+J3260/100)+K3260</f>
        <v/>
      </c>
    </row>
    <row r="3261">
      <c r="A3261" t="inlineStr">
        <is>
          <t>מדי-מרקט</t>
        </is>
      </c>
      <c r="B3261" t="inlineStr">
        <is>
          <t>ראש לאופטלמוסקופ V3.5 מק"ט W.A 11720</t>
        </is>
      </c>
      <c r="C3261" t="inlineStr">
        <is>
          <t>ציוד ומכשור רפואי</t>
        </is>
      </c>
      <c r="D3261" t="inlineStr">
        <is>
          <t>1156</t>
        </is>
      </c>
      <c r="E3261" t="inlineStr">
        <is>
          <t>2026-06</t>
        </is>
      </c>
      <c r="F3261" t="n">
        <v>702.92</v>
      </c>
      <c r="G3261" t="n">
        <v>829.4400000000001</v>
      </c>
      <c r="H3261">
        <f>הגדרות!B7</f>
        <v/>
      </c>
      <c r="I3261">
        <f>F3261*(1-H3261/100)*1.18</f>
        <v/>
      </c>
      <c r="J3261">
        <f>הגדרות!C7</f>
        <v/>
      </c>
      <c r="K3261">
        <f>הגדרות!D7</f>
        <v/>
      </c>
      <c r="L3261">
        <f>I3261*(1+J3261/100)+K3261</f>
        <v/>
      </c>
    </row>
    <row r="3262">
      <c r="A3262" t="inlineStr">
        <is>
          <t>מדי-מרקט</t>
        </is>
      </c>
      <c r="B3262" t="inlineStr">
        <is>
          <t>ראש מיאקו מס' 40</t>
        </is>
      </c>
      <c r="C3262" t="inlineStr">
        <is>
          <t>ציוד ומכשור רפואי</t>
        </is>
      </c>
      <c r="D3262" t="inlineStr">
        <is>
          <t>6024</t>
        </is>
      </c>
      <c r="E3262" t="inlineStr">
        <is>
          <t>2026-06</t>
        </is>
      </c>
      <c r="F3262" t="n">
        <v>134.24</v>
      </c>
      <c r="G3262" t="n">
        <v>158.4</v>
      </c>
      <c r="H3262">
        <f>הגדרות!B7</f>
        <v/>
      </c>
      <c r="I3262">
        <f>F3262*(1-H3262/100)*1.18</f>
        <v/>
      </c>
      <c r="J3262">
        <f>הגדרות!C7</f>
        <v/>
      </c>
      <c r="K3262">
        <f>הגדרות!D7</f>
        <v/>
      </c>
      <c r="L3262">
        <f>I3262*(1+J3262/100)+K3262</f>
        <v/>
      </c>
    </row>
    <row r="3263">
      <c r="A3263" t="inlineStr">
        <is>
          <t>מדי-מרקט</t>
        </is>
      </c>
      <c r="B3263" t="inlineStr">
        <is>
          <t>רב-תא 1</t>
        </is>
      </c>
      <c r="C3263" t="inlineStr">
        <is>
          <t>ציוד ומכשור רפואי</t>
        </is>
      </c>
      <c r="D3263" t="inlineStr">
        <is>
          <t>3218</t>
        </is>
      </c>
      <c r="E3263" t="inlineStr">
        <is>
          <t>2026-06</t>
        </is>
      </c>
      <c r="F3263" t="n">
        <v>130.51</v>
      </c>
      <c r="G3263" t="n">
        <v>154</v>
      </c>
      <c r="H3263">
        <f>הגדרות!B7</f>
        <v/>
      </c>
      <c r="I3263">
        <f>F3263*(1-H3263/100)*1.18</f>
        <v/>
      </c>
      <c r="J3263">
        <f>הגדרות!C7</f>
        <v/>
      </c>
      <c r="K3263">
        <f>הגדרות!D7</f>
        <v/>
      </c>
      <c r="L3263">
        <f>I3263*(1+J3263/100)+K3263</f>
        <v/>
      </c>
    </row>
    <row r="3264">
      <c r="A3264" t="inlineStr">
        <is>
          <t>מדי-מרקט</t>
        </is>
      </c>
      <c r="B3264" t="inlineStr">
        <is>
          <t>רב-תא 2</t>
        </is>
      </c>
      <c r="C3264" t="inlineStr">
        <is>
          <t>ציוד ומכשור רפואי</t>
        </is>
      </c>
      <c r="D3264" t="inlineStr">
        <is>
          <t>3219</t>
        </is>
      </c>
      <c r="E3264" t="inlineStr">
        <is>
          <t>2026-06</t>
        </is>
      </c>
      <c r="F3264" t="n">
        <v>347.46</v>
      </c>
      <c r="G3264" t="n">
        <v>410</v>
      </c>
      <c r="H3264">
        <f>הגדרות!B7</f>
        <v/>
      </c>
      <c r="I3264">
        <f>F3264*(1-H3264/100)*1.18</f>
        <v/>
      </c>
      <c r="J3264">
        <f>הגדרות!C7</f>
        <v/>
      </c>
      <c r="K3264">
        <f>הגדרות!D7</f>
        <v/>
      </c>
      <c r="L3264">
        <f>I3264*(1+J3264/100)+K3264</f>
        <v/>
      </c>
    </row>
    <row r="3265">
      <c r="A3265" t="inlineStr">
        <is>
          <t>מדי-מרקט</t>
        </is>
      </c>
      <c r="B3265" t="inlineStr">
        <is>
          <t>רב-תא 3</t>
        </is>
      </c>
      <c r="C3265" t="inlineStr">
        <is>
          <t>ציוד ומכשור רפואי</t>
        </is>
      </c>
      <c r="D3265" t="inlineStr">
        <is>
          <t>3222</t>
        </is>
      </c>
      <c r="E3265" t="inlineStr">
        <is>
          <t>2026-06</t>
        </is>
      </c>
      <c r="F3265" t="n">
        <v>186.86</v>
      </c>
      <c r="G3265" t="n">
        <v>220.5</v>
      </c>
      <c r="H3265">
        <f>הגדרות!B7</f>
        <v/>
      </c>
      <c r="I3265">
        <f>F3265*(1-H3265/100)*1.18</f>
        <v/>
      </c>
      <c r="J3265">
        <f>הגדרות!C7</f>
        <v/>
      </c>
      <c r="K3265">
        <f>הגדרות!D7</f>
        <v/>
      </c>
      <c r="L3265">
        <f>I3265*(1+J3265/100)+K3265</f>
        <v/>
      </c>
    </row>
    <row r="3266">
      <c r="A3266" t="inlineStr">
        <is>
          <t>מדי-מרקט</t>
        </is>
      </c>
      <c r="B3266" t="inlineStr">
        <is>
          <t>רב-תא 4 צבע כחול</t>
        </is>
      </c>
      <c r="C3266" t="inlineStr">
        <is>
          <t>ציוד ומכשור רפואי</t>
        </is>
      </c>
      <c r="D3266" t="inlineStr">
        <is>
          <t>3223</t>
        </is>
      </c>
      <c r="E3266" t="inlineStr">
        <is>
          <t>2026-06</t>
        </is>
      </c>
      <c r="F3266" t="n">
        <v>118.64</v>
      </c>
      <c r="G3266" t="n">
        <v>140</v>
      </c>
      <c r="H3266">
        <f>הגדרות!B7</f>
        <v/>
      </c>
      <c r="I3266">
        <f>F3266*(1-H3266/100)*1.18</f>
        <v/>
      </c>
      <c r="J3266">
        <f>הגדרות!C7</f>
        <v/>
      </c>
      <c r="K3266">
        <f>הגדרות!D7</f>
        <v/>
      </c>
      <c r="L3266">
        <f>I3266*(1+J3266/100)+K3266</f>
        <v/>
      </c>
    </row>
    <row r="3267">
      <c r="A3267" t="inlineStr">
        <is>
          <t>מדי-מרקט</t>
        </is>
      </c>
      <c r="B3267" t="inlineStr">
        <is>
          <t>רב-תא 5</t>
        </is>
      </c>
      <c r="C3267" t="inlineStr">
        <is>
          <t>ציוד ומכשור רפואי</t>
        </is>
      </c>
      <c r="D3267" t="inlineStr">
        <is>
          <t>3224</t>
        </is>
      </c>
      <c r="E3267" t="inlineStr">
        <is>
          <t>2026-06</t>
        </is>
      </c>
      <c r="F3267" t="n">
        <v>76.69</v>
      </c>
      <c r="G3267" t="n">
        <v>90.5</v>
      </c>
      <c r="H3267">
        <f>הגדרות!B7</f>
        <v/>
      </c>
      <c r="I3267">
        <f>F3267*(1-H3267/100)*1.18</f>
        <v/>
      </c>
      <c r="J3267">
        <f>הגדרות!C7</f>
        <v/>
      </c>
      <c r="K3267">
        <f>הגדרות!D7</f>
        <v/>
      </c>
      <c r="L3267">
        <f>I3267*(1+J3267/100)+K3267</f>
        <v/>
      </c>
    </row>
    <row r="3268">
      <c r="A3268" t="inlineStr">
        <is>
          <t>מדי-מרקט</t>
        </is>
      </c>
      <c r="B3268" t="inlineStr">
        <is>
          <t>רוטור  900-310 Electrolite Panel 10/BOX</t>
        </is>
      </c>
      <c r="C3268" t="inlineStr">
        <is>
          <t>ביוכימיה</t>
        </is>
      </c>
      <c r="D3268" t="inlineStr">
        <is>
          <t>VBP01-C111</t>
        </is>
      </c>
      <c r="E3268" t="inlineStr">
        <is>
          <t>2026-06</t>
        </is>
      </c>
      <c r="F3268" t="n">
        <v>232.67</v>
      </c>
      <c r="G3268" t="n">
        <v>274.55</v>
      </c>
      <c r="H3268">
        <f>הגדרות!B7</f>
        <v/>
      </c>
      <c r="I3268">
        <f>F3268*(1-H3268/100)*1.18</f>
        <v/>
      </c>
      <c r="J3268">
        <f>הגדרות!C7</f>
        <v/>
      </c>
      <c r="K3268">
        <f>הגדרות!D7</f>
        <v/>
      </c>
      <c r="L3268">
        <f>I3268*(1+J3268/100)+K3268</f>
        <v/>
      </c>
    </row>
    <row r="3269">
      <c r="A3269" t="inlineStr">
        <is>
          <t>מדי-מרקט</t>
        </is>
      </c>
      <c r="B3269" t="inlineStr">
        <is>
          <t>רוטור 1 פרמטר SA-02 900-202 CREA 12/BOX</t>
        </is>
      </c>
      <c r="C3269" t="inlineStr">
        <is>
          <t>ביוכימיה</t>
        </is>
      </c>
      <c r="D3269" t="inlineStr">
        <is>
          <t>VBP01-C202</t>
        </is>
      </c>
      <c r="E3269" t="inlineStr">
        <is>
          <t>2026-06</t>
        </is>
      </c>
      <c r="F3269" t="n">
        <v>64.03</v>
      </c>
      <c r="G3269" t="n">
        <v>75.56</v>
      </c>
      <c r="H3269">
        <f>הגדרות!B7</f>
        <v/>
      </c>
      <c r="I3269">
        <f>F3269*(1-H3269/100)*1.18</f>
        <v/>
      </c>
      <c r="J3269">
        <f>הגדרות!C7</f>
        <v/>
      </c>
      <c r="K3269">
        <f>הגדרות!D7</f>
        <v/>
      </c>
      <c r="L3269">
        <f>I3269*(1+J3269/100)+K3269</f>
        <v/>
      </c>
    </row>
    <row r="3270">
      <c r="A3270" t="inlineStr">
        <is>
          <t>מדי-מרקט</t>
        </is>
      </c>
      <c r="B3270" t="inlineStr">
        <is>
          <t>רוטור 13 פרמטרים Diadnosis Plus Panel 20/BOX 900-140</t>
        </is>
      </c>
      <c r="C3270" t="inlineStr">
        <is>
          <t>ביוכימיה</t>
        </is>
      </c>
      <c r="D3270" t="inlineStr">
        <is>
          <t>VBP01-C105</t>
        </is>
      </c>
      <c r="E3270" t="inlineStr">
        <is>
          <t>2026-06</t>
        </is>
      </c>
      <c r="F3270" t="n">
        <v>702.72</v>
      </c>
      <c r="G3270" t="n">
        <v>829.21</v>
      </c>
      <c r="H3270">
        <f>הגדרות!B7</f>
        <v/>
      </c>
      <c r="I3270">
        <f>F3270*(1-H3270/100)*1.18</f>
        <v/>
      </c>
      <c r="J3270">
        <f>הגדרות!C7</f>
        <v/>
      </c>
      <c r="K3270">
        <f>הגדרות!D7</f>
        <v/>
      </c>
      <c r="L3270">
        <f>I3270*(1+J3270/100)+K3270</f>
        <v/>
      </c>
    </row>
    <row r="3271">
      <c r="A3271" t="inlineStr">
        <is>
          <t>מדי-מרקט</t>
        </is>
      </c>
      <c r="B3271" t="inlineStr">
        <is>
          <t>רוטור 14 פרמטר 900-320 Diagnosis II 10/BOX</t>
        </is>
      </c>
      <c r="C3271" t="inlineStr">
        <is>
          <t>ביוכימיה</t>
        </is>
      </c>
      <c r="D3271" t="inlineStr">
        <is>
          <t>VBP01-C112</t>
        </is>
      </c>
      <c r="E3271" t="inlineStr">
        <is>
          <t>2026-06</t>
        </is>
      </c>
      <c r="F3271" t="n">
        <v>1186.44</v>
      </c>
      <c r="G3271" t="n">
        <v>1400</v>
      </c>
      <c r="H3271">
        <f>הגדרות!B7</f>
        <v/>
      </c>
      <c r="I3271">
        <f>F3271*(1-H3271/100)*1.18</f>
        <v/>
      </c>
      <c r="J3271">
        <f>הגדרות!C7</f>
        <v/>
      </c>
      <c r="K3271">
        <f>הגדרות!D7</f>
        <v/>
      </c>
      <c r="L3271">
        <f>I3271*(1+J3271/100)+K3271</f>
        <v/>
      </c>
    </row>
    <row r="3272">
      <c r="A3272" t="inlineStr">
        <is>
          <t>מדי-מרקט</t>
        </is>
      </c>
      <c r="B3272" t="inlineStr">
        <is>
          <t>רוטור 14 פרמטרים 900-330 Critical Care Panel 10/BOX</t>
        </is>
      </c>
      <c r="C3272" t="inlineStr">
        <is>
          <t>ביוכימיה</t>
        </is>
      </c>
      <c r="D3272" t="inlineStr">
        <is>
          <t>VBP01-C113</t>
        </is>
      </c>
      <c r="E3272" t="inlineStr">
        <is>
          <t>2026-06</t>
        </is>
      </c>
      <c r="F3272" t="n">
        <v>395.85</v>
      </c>
      <c r="G3272" t="n">
        <v>467.1</v>
      </c>
      <c r="H3272">
        <f>הגדרות!B7</f>
        <v/>
      </c>
      <c r="I3272">
        <f>F3272*(1-H3272/100)*1.18</f>
        <v/>
      </c>
      <c r="J3272">
        <f>הגדרות!C7</f>
        <v/>
      </c>
      <c r="K3272">
        <f>הגדרות!D7</f>
        <v/>
      </c>
      <c r="L3272">
        <f>I3272*(1+J3272/100)+K3272</f>
        <v/>
      </c>
    </row>
    <row r="3273">
      <c r="A3273" t="inlineStr">
        <is>
          <t>מדי-מרקט</t>
        </is>
      </c>
      <c r="B3273" t="inlineStr">
        <is>
          <t>רוטור 2 פרמטרים Thyroid/T4 + CHOL Pane 10/BOX 900-160</t>
        </is>
      </c>
      <c r="C3273" t="inlineStr">
        <is>
          <t>ביוכימיה</t>
        </is>
      </c>
      <c r="D3273" t="inlineStr">
        <is>
          <t>VBP01-C107</t>
        </is>
      </c>
      <c r="E3273" t="inlineStr">
        <is>
          <t>2026-06</t>
        </is>
      </c>
      <c r="F3273" t="n">
        <v>240.94</v>
      </c>
      <c r="G3273" t="n">
        <v>284.31</v>
      </c>
      <c r="H3273">
        <f>הגדרות!B7</f>
        <v/>
      </c>
      <c r="I3273">
        <f>F3273*(1-H3273/100)*1.18</f>
        <v/>
      </c>
      <c r="J3273">
        <f>הגדרות!C7</f>
        <v/>
      </c>
      <c r="K3273">
        <f>הגדרות!D7</f>
        <v/>
      </c>
      <c r="L3273">
        <f>I3273*(1+J3273/100)+K3273</f>
        <v/>
      </c>
    </row>
    <row r="3274">
      <c r="A3274" t="inlineStr">
        <is>
          <t>מדי-מרקט</t>
        </is>
      </c>
      <c r="B3274" t="inlineStr">
        <is>
          <t>רוטור 7 פרמטרים  Preanesthetic Panel 20/BOX 900-100</t>
        </is>
      </c>
      <c r="C3274" t="inlineStr">
        <is>
          <t>ביוכימיה</t>
        </is>
      </c>
      <c r="D3274" t="inlineStr">
        <is>
          <t>VBP01-C101</t>
        </is>
      </c>
      <c r="E3274" t="inlineStr">
        <is>
          <t>2026-06</t>
        </is>
      </c>
      <c r="F3274" t="n">
        <v>538.8</v>
      </c>
      <c r="G3274" t="n">
        <v>635.78</v>
      </c>
      <c r="H3274">
        <f>הגדרות!B7</f>
        <v/>
      </c>
      <c r="I3274">
        <f>F3274*(1-H3274/100)*1.18</f>
        <v/>
      </c>
      <c r="J3274">
        <f>הגדרות!C7</f>
        <v/>
      </c>
      <c r="K3274">
        <f>הגדרות!D7</f>
        <v/>
      </c>
      <c r="L3274">
        <f>I3274*(1+J3274/100)+K3274</f>
        <v/>
      </c>
    </row>
    <row r="3275">
      <c r="A3275" t="inlineStr">
        <is>
          <t>מדי-מרקט</t>
        </is>
      </c>
      <c r="B3275" t="inlineStr">
        <is>
          <t>רטייה מרופדת Cansin לעין 8.3X5.8 ס"מ 5 יח'</t>
        </is>
      </c>
      <c r="C3275" t="inlineStr">
        <is>
          <t>מוצרי חבישה ופלסטרים</t>
        </is>
      </c>
      <c r="D3275" t="inlineStr">
        <is>
          <t>80-531s</t>
        </is>
      </c>
      <c r="E3275" t="inlineStr">
        <is>
          <t>2026-06</t>
        </is>
      </c>
      <c r="F3275" t="n">
        <v>1.86</v>
      </c>
      <c r="G3275" t="n">
        <v>2.2</v>
      </c>
      <c r="H3275">
        <f>הגדרות!B7</f>
        <v/>
      </c>
      <c r="I3275">
        <f>F3275*(1-H3275/100)*1.18</f>
        <v/>
      </c>
      <c r="J3275">
        <f>הגדרות!C7</f>
        <v/>
      </c>
      <c r="K3275">
        <f>הגדרות!D7</f>
        <v/>
      </c>
      <c r="L3275">
        <f>I3275*(1+J3275/100)+K3275</f>
        <v/>
      </c>
    </row>
    <row r="3276">
      <c r="A3276" t="inlineStr">
        <is>
          <t>מדי-מרקט</t>
        </is>
      </c>
      <c r="B3276" t="inlineStr">
        <is>
          <t>רידלייס שמפו משמיד כינים וביצי כינים 250 מ"ל / Ridlice</t>
        </is>
      </c>
      <c r="C3276" t="inlineStr">
        <is>
          <t>תרופות</t>
        </is>
      </c>
      <c r="D3276" t="inlineStr">
        <is>
          <t>163965263</t>
        </is>
      </c>
      <c r="E3276" t="inlineStr">
        <is>
          <t>2026-06</t>
        </is>
      </c>
      <c r="F3276" t="n">
        <v>44.07</v>
      </c>
      <c r="G3276" t="n">
        <v>52</v>
      </c>
      <c r="H3276">
        <f>הגדרות!B7</f>
        <v/>
      </c>
      <c r="I3276">
        <f>F3276*(1-H3276/100)*1.18</f>
        <v/>
      </c>
      <c r="J3276">
        <f>הגדרות!C7</f>
        <v/>
      </c>
      <c r="K3276">
        <f>הגדרות!D7</f>
        <v/>
      </c>
      <c r="L3276">
        <f>I3276*(1+J3276/100)+K3276</f>
        <v/>
      </c>
    </row>
    <row r="3277">
      <c r="A3277" t="inlineStr">
        <is>
          <t>מדי-מרקט</t>
        </is>
      </c>
      <c r="B3277" t="inlineStr">
        <is>
          <t>רפרקטומטר וטרינרי ספציפי גרוויטי ופרוטאיןRHC-300</t>
        </is>
      </c>
      <c r="C3277" t="inlineStr">
        <is>
          <t>ציוד ומכשור רפואי</t>
        </is>
      </c>
      <c r="D3277" t="inlineStr">
        <is>
          <t>3236</t>
        </is>
      </c>
      <c r="E3277" t="inlineStr">
        <is>
          <t>2026-06</t>
        </is>
      </c>
      <c r="F3277" t="n">
        <v>296.61</v>
      </c>
      <c r="G3277" t="n">
        <v>350</v>
      </c>
      <c r="H3277">
        <f>הגדרות!B7</f>
        <v/>
      </c>
      <c r="I3277">
        <f>F3277*(1-H3277/100)*1.18</f>
        <v/>
      </c>
      <c r="J3277">
        <f>הגדרות!C7</f>
        <v/>
      </c>
      <c r="K3277">
        <f>הגדרות!D7</f>
        <v/>
      </c>
      <c r="L3277">
        <f>I3277*(1+J3277/100)+K3277</f>
        <v/>
      </c>
    </row>
    <row r="3278">
      <c r="A3278" t="inlineStr">
        <is>
          <t>מדי-מרקט</t>
        </is>
      </c>
      <c r="B3278" t="inlineStr">
        <is>
          <t>רצועות דביקות לאיחוי חתכים ופצעים, 6&amp;#215;7.5 ס"מ,MX LONDON</t>
        </is>
      </c>
      <c r="C3278" t="inlineStr">
        <is>
          <t>מוצרי חבישה ופלסטרים</t>
        </is>
      </c>
      <c r="D3278" t="inlineStr">
        <is>
          <t>VP63192</t>
        </is>
      </c>
      <c r="E3278" t="inlineStr">
        <is>
          <t>2026-06</t>
        </is>
      </c>
      <c r="F3278" t="n">
        <v>6.69</v>
      </c>
      <c r="G3278" t="n">
        <v>7.9</v>
      </c>
      <c r="H3278">
        <f>הגדרות!B7</f>
        <v/>
      </c>
      <c r="I3278">
        <f>F3278*(1-H3278/100)*1.18</f>
        <v/>
      </c>
      <c r="J3278">
        <f>הגדרות!C7</f>
        <v/>
      </c>
      <c r="K3278">
        <f>הגדרות!D7</f>
        <v/>
      </c>
      <c r="L3278">
        <f>I3278*(1+J3278/100)+K3278</f>
        <v/>
      </c>
    </row>
    <row r="3279">
      <c r="A3279" t="inlineStr">
        <is>
          <t>מדי-מרקט</t>
        </is>
      </c>
      <c r="B3279" t="inlineStr">
        <is>
          <t>רצועות קשירה לידיים (מ)</t>
        </is>
      </c>
      <c r="C3279" t="inlineStr">
        <is>
          <t>ציוד ומכשור רפואי</t>
        </is>
      </c>
      <c r="D3279" t="inlineStr">
        <is>
          <t>109345</t>
        </is>
      </c>
      <c r="E3279" t="inlineStr">
        <is>
          <t>2026-06</t>
        </is>
      </c>
      <c r="F3279" t="n">
        <v>5</v>
      </c>
      <c r="G3279" t="n">
        <v>5.9</v>
      </c>
      <c r="H3279">
        <f>הגדרות!B7</f>
        <v/>
      </c>
      <c r="I3279">
        <f>F3279*(1-H3279/100)*1.18</f>
        <v/>
      </c>
      <c r="J3279">
        <f>הגדרות!C7</f>
        <v/>
      </c>
      <c r="K3279">
        <f>הגדרות!D7</f>
        <v/>
      </c>
      <c r="L3279">
        <f>I3279*(1+J3279/100)+K3279</f>
        <v/>
      </c>
    </row>
    <row r="3280">
      <c r="A3280" t="inlineStr">
        <is>
          <t>מדי-מרקט</t>
        </is>
      </c>
      <c r="B3280" t="inlineStr">
        <is>
          <t>רצועת הולכה לבעלי חיים  1.25*150 ס"מ, KVP ארה"ב</t>
        </is>
      </c>
      <c r="C3280" t="inlineStr">
        <is>
          <t>KVP</t>
        </is>
      </c>
      <c r="D3280" t="inlineStr">
        <is>
          <t>500-214</t>
        </is>
      </c>
      <c r="E3280" t="inlineStr">
        <is>
          <t>2026-06</t>
        </is>
      </c>
      <c r="F3280" t="n">
        <v>4.41</v>
      </c>
      <c r="G3280" t="n">
        <v>5.2</v>
      </c>
      <c r="H3280">
        <f>הגדרות!B7</f>
        <v/>
      </c>
      <c r="I3280">
        <f>F3280*(1-H3280/100)*1.18</f>
        <v/>
      </c>
      <c r="J3280">
        <f>הגדרות!C7</f>
        <v/>
      </c>
      <c r="K3280">
        <f>הגדרות!D7</f>
        <v/>
      </c>
      <c r="L3280">
        <f>I3280*(1+J3280/100)+K3280</f>
        <v/>
      </c>
    </row>
    <row r="3281">
      <c r="A3281" t="inlineStr">
        <is>
          <t>מדי-מרקט</t>
        </is>
      </c>
      <c r="B3281" t="inlineStr">
        <is>
          <t>רשת חבישה אלסטית 25 מטר מידה 0 מדיקפרו</t>
        </is>
      </c>
      <c r="C3281" t="inlineStr">
        <is>
          <t>מוצרי חבישה ופלסטרים</t>
        </is>
      </c>
      <c r="D3281" t="inlineStr">
        <is>
          <t>700-6000</t>
        </is>
      </c>
      <c r="E3281" t="inlineStr">
        <is>
          <t>2026-06</t>
        </is>
      </c>
      <c r="F3281" t="n">
        <v>2.54</v>
      </c>
      <c r="G3281" t="n">
        <v>3</v>
      </c>
      <c r="H3281">
        <f>הגדרות!B7</f>
        <v/>
      </c>
      <c r="I3281">
        <f>F3281*(1-H3281/100)*1.18</f>
        <v/>
      </c>
      <c r="J3281">
        <f>הגדרות!C7</f>
        <v/>
      </c>
      <c r="K3281">
        <f>הגדרות!D7</f>
        <v/>
      </c>
      <c r="L3281">
        <f>I3281*(1+J3281/100)+K3281</f>
        <v/>
      </c>
    </row>
    <row r="3282">
      <c r="A3282" t="inlineStr">
        <is>
          <t>מדי-מרקט</t>
        </is>
      </c>
      <c r="B3282" t="inlineStr">
        <is>
          <t>רשת חבישה אלסטית 25 מטר מידה 1 מדיקפרו</t>
        </is>
      </c>
      <c r="C3282" t="inlineStr">
        <is>
          <t>מוצרי חבישה ופלסטרים</t>
        </is>
      </c>
      <c r="D3282" t="inlineStr">
        <is>
          <t>700-6001</t>
        </is>
      </c>
      <c r="E3282" t="inlineStr">
        <is>
          <t>2026-06</t>
        </is>
      </c>
      <c r="F3282" t="n">
        <v>4.41</v>
      </c>
      <c r="G3282" t="n">
        <v>5.2</v>
      </c>
      <c r="H3282">
        <f>הגדרות!B7</f>
        <v/>
      </c>
      <c r="I3282">
        <f>F3282*(1-H3282/100)*1.18</f>
        <v/>
      </c>
      <c r="J3282">
        <f>הגדרות!C7</f>
        <v/>
      </c>
      <c r="K3282">
        <f>הגדרות!D7</f>
        <v/>
      </c>
      <c r="L3282">
        <f>I3282*(1+J3282/100)+K3282</f>
        <v/>
      </c>
    </row>
    <row r="3283">
      <c r="A3283" t="inlineStr">
        <is>
          <t>מדי-מרקט</t>
        </is>
      </c>
      <c r="B3283" t="inlineStr">
        <is>
          <t>רשת חבישה אלסטית 25 מטר מידה 2 מדיקפרו</t>
        </is>
      </c>
      <c r="C3283" t="inlineStr">
        <is>
          <t>מוצרי חבישה ופלסטרים</t>
        </is>
      </c>
      <c r="D3283" t="inlineStr">
        <is>
          <t>700-6002</t>
        </is>
      </c>
      <c r="E3283" t="inlineStr">
        <is>
          <t>2026-06</t>
        </is>
      </c>
      <c r="F3283" t="n">
        <v>5.34</v>
      </c>
      <c r="G3283" t="n">
        <v>6.3</v>
      </c>
      <c r="H3283">
        <f>הגדרות!B7</f>
        <v/>
      </c>
      <c r="I3283">
        <f>F3283*(1-H3283/100)*1.18</f>
        <v/>
      </c>
      <c r="J3283">
        <f>הגדרות!C7</f>
        <v/>
      </c>
      <c r="K3283">
        <f>הגדרות!D7</f>
        <v/>
      </c>
      <c r="L3283">
        <f>I3283*(1+J3283/100)+K3283</f>
        <v/>
      </c>
    </row>
    <row r="3284">
      <c r="A3284" t="inlineStr">
        <is>
          <t>מדי-מרקט</t>
        </is>
      </c>
      <c r="B3284" t="inlineStr">
        <is>
          <t>רשת חבישה אלסטית 25 מטר מידה 3 מדיקפרו</t>
        </is>
      </c>
      <c r="C3284" t="inlineStr">
        <is>
          <t>מוצרי חבישה ופלסטרים</t>
        </is>
      </c>
      <c r="D3284" t="inlineStr">
        <is>
          <t>700-6003</t>
        </is>
      </c>
      <c r="E3284" t="inlineStr">
        <is>
          <t>2026-06</t>
        </is>
      </c>
      <c r="F3284" t="n">
        <v>6.1</v>
      </c>
      <c r="G3284" t="n">
        <v>7.2</v>
      </c>
      <c r="H3284">
        <f>הגדרות!B7</f>
        <v/>
      </c>
      <c r="I3284">
        <f>F3284*(1-H3284/100)*1.18</f>
        <v/>
      </c>
      <c r="J3284">
        <f>הגדרות!C7</f>
        <v/>
      </c>
      <c r="K3284">
        <f>הגדרות!D7</f>
        <v/>
      </c>
      <c r="L3284">
        <f>I3284*(1+J3284/100)+K3284</f>
        <v/>
      </c>
    </row>
    <row r="3285">
      <c r="A3285" t="inlineStr">
        <is>
          <t>מדי-מרקט</t>
        </is>
      </c>
      <c r="B3285" t="inlineStr">
        <is>
          <t>רשת חבישה אלסטית 25 מטר מידה 4 מדיקפרו</t>
        </is>
      </c>
      <c r="C3285" t="inlineStr">
        <is>
          <t>מוצרי חבישה ופלסטרים</t>
        </is>
      </c>
      <c r="D3285" t="inlineStr">
        <is>
          <t>700-6004</t>
        </is>
      </c>
      <c r="E3285" t="inlineStr">
        <is>
          <t>2026-06</t>
        </is>
      </c>
      <c r="F3285" t="n">
        <v>6.91</v>
      </c>
      <c r="G3285" t="n">
        <v>8.15</v>
      </c>
      <c r="H3285">
        <f>הגדרות!B7</f>
        <v/>
      </c>
      <c r="I3285">
        <f>F3285*(1-H3285/100)*1.18</f>
        <v/>
      </c>
      <c r="J3285">
        <f>הגדרות!C7</f>
        <v/>
      </c>
      <c r="K3285">
        <f>הגדרות!D7</f>
        <v/>
      </c>
      <c r="L3285">
        <f>I3285*(1+J3285/100)+K3285</f>
        <v/>
      </c>
    </row>
    <row r="3286">
      <c r="A3286" t="inlineStr">
        <is>
          <t>מדי-מרקט</t>
        </is>
      </c>
      <c r="B3286" t="inlineStr">
        <is>
          <t>רשת חבישה אלסטית 25 מטר מידה 5 מדיקפרו</t>
        </is>
      </c>
      <c r="C3286" t="inlineStr">
        <is>
          <t>מוצרי חבישה ופלסטרים</t>
        </is>
      </c>
      <c r="D3286" t="inlineStr">
        <is>
          <t>700-6005</t>
        </is>
      </c>
      <c r="E3286" t="inlineStr">
        <is>
          <t>2026-06</t>
        </is>
      </c>
      <c r="F3286" t="n">
        <v>7.98</v>
      </c>
      <c r="G3286" t="n">
        <v>9.42</v>
      </c>
      <c r="H3286">
        <f>הגדרות!B7</f>
        <v/>
      </c>
      <c r="I3286">
        <f>F3286*(1-H3286/100)*1.18</f>
        <v/>
      </c>
      <c r="J3286">
        <f>הגדרות!C7</f>
        <v/>
      </c>
      <c r="K3286">
        <f>הגדרות!D7</f>
        <v/>
      </c>
      <c r="L3286">
        <f>I3286*(1+J3286/100)+K3286</f>
        <v/>
      </c>
    </row>
    <row r="3287">
      <c r="A3287" t="inlineStr">
        <is>
          <t>מדי-מרקט</t>
        </is>
      </c>
      <c r="B3287" t="inlineStr">
        <is>
          <t>רשת חבישה אלסטית 25 מטר מידה 6 מדיקפרו</t>
        </is>
      </c>
      <c r="C3287" t="inlineStr">
        <is>
          <t>מוצרי חבישה ופלסטרים</t>
        </is>
      </c>
      <c r="D3287" t="inlineStr">
        <is>
          <t>700-6006</t>
        </is>
      </c>
      <c r="E3287" t="inlineStr">
        <is>
          <t>2026-06</t>
        </is>
      </c>
      <c r="F3287" t="n">
        <v>13.39</v>
      </c>
      <c r="G3287" t="n">
        <v>15.8</v>
      </c>
      <c r="H3287">
        <f>הגדרות!B7</f>
        <v/>
      </c>
      <c r="I3287">
        <f>F3287*(1-H3287/100)*1.18</f>
        <v/>
      </c>
      <c r="J3287">
        <f>הגדרות!C7</f>
        <v/>
      </c>
      <c r="K3287">
        <f>הגדרות!D7</f>
        <v/>
      </c>
      <c r="L3287">
        <f>I3287*(1+J3287/100)+K3287</f>
        <v/>
      </c>
    </row>
    <row r="3288">
      <c r="A3288" t="inlineStr">
        <is>
          <t>מדי-מרקט</t>
        </is>
      </c>
      <c r="B3288" t="inlineStr">
        <is>
          <t>רשת חבישה אלסטית 25 מטר מידה 7 מדיקפרו</t>
        </is>
      </c>
      <c r="C3288" t="inlineStr">
        <is>
          <t>מוצרי חבישה ופלסטרים</t>
        </is>
      </c>
      <c r="D3288" t="inlineStr">
        <is>
          <t>700-6007</t>
        </is>
      </c>
      <c r="E3288" t="inlineStr">
        <is>
          <t>2026-06</t>
        </is>
      </c>
      <c r="F3288" t="n">
        <v>17.8</v>
      </c>
      <c r="G3288" t="n">
        <v>21</v>
      </c>
      <c r="H3288">
        <f>הגדרות!B7</f>
        <v/>
      </c>
      <c r="I3288">
        <f>F3288*(1-H3288/100)*1.18</f>
        <v/>
      </c>
      <c r="J3288">
        <f>הגדרות!C7</f>
        <v/>
      </c>
      <c r="K3288">
        <f>הגדרות!D7</f>
        <v/>
      </c>
      <c r="L3288">
        <f>I3288*(1+J3288/100)+K3288</f>
        <v/>
      </c>
    </row>
    <row r="3289">
      <c r="A3289" t="inlineStr">
        <is>
          <t>מדי-מרקט</t>
        </is>
      </c>
      <c r="B3289" t="inlineStr">
        <is>
          <t>רשת חבישה אלסטית 25 מטר מידה 8 מדיקפרו</t>
        </is>
      </c>
      <c r="C3289" t="inlineStr">
        <is>
          <t>מוצרי חבישה ופלסטרים</t>
        </is>
      </c>
      <c r="D3289" t="inlineStr">
        <is>
          <t>700-6008</t>
        </is>
      </c>
      <c r="E3289" t="inlineStr">
        <is>
          <t>2026-06</t>
        </is>
      </c>
      <c r="F3289" t="n">
        <v>22.45</v>
      </c>
      <c r="G3289" t="n">
        <v>26.49</v>
      </c>
      <c r="H3289">
        <f>הגדרות!B7</f>
        <v/>
      </c>
      <c r="I3289">
        <f>F3289*(1-H3289/100)*1.18</f>
        <v/>
      </c>
      <c r="J3289">
        <f>הגדרות!C7</f>
        <v/>
      </c>
      <c r="K3289">
        <f>הגדרות!D7</f>
        <v/>
      </c>
      <c r="L3289">
        <f>I3289*(1+J3289/100)+K3289</f>
        <v/>
      </c>
    </row>
    <row r="3290">
      <c r="A3290" t="inlineStr">
        <is>
          <t>מדי-מרקט</t>
        </is>
      </c>
      <c r="B3290" t="inlineStr">
        <is>
          <t>רשת חבישה גודל 1 , 50 ס"מ , Medrull</t>
        </is>
      </c>
      <c r="C3290" t="inlineStr">
        <is>
          <t>מוצרי חבישה ופלסטרים</t>
        </is>
      </c>
      <c r="D3290" t="inlineStr">
        <is>
          <t>252075</t>
        </is>
      </c>
      <c r="E3290" t="inlineStr">
        <is>
          <t>2026-06</t>
        </is>
      </c>
      <c r="F3290" t="n">
        <v>1.86</v>
      </c>
      <c r="G3290" t="n">
        <v>2.2</v>
      </c>
      <c r="H3290">
        <f>הגדרות!B7</f>
        <v/>
      </c>
      <c r="I3290">
        <f>F3290*(1-H3290/100)*1.18</f>
        <v/>
      </c>
      <c r="J3290">
        <f>הגדרות!C7</f>
        <v/>
      </c>
      <c r="K3290">
        <f>הגדרות!D7</f>
        <v/>
      </c>
      <c r="L3290">
        <f>I3290*(1+J3290/100)+K3290</f>
        <v/>
      </c>
    </row>
    <row r="3291">
      <c r="A3291" t="inlineStr">
        <is>
          <t>מדי-מרקט</t>
        </is>
      </c>
      <c r="B3291" t="inlineStr">
        <is>
          <t>רשת חבישה גודל 10</t>
        </is>
      </c>
      <c r="C3291" t="inlineStr">
        <is>
          <t>מוצרי חבישה ופלסטרים</t>
        </is>
      </c>
      <c r="D3291" t="inlineStr">
        <is>
          <t>3824</t>
        </is>
      </c>
      <c r="E3291" t="inlineStr">
        <is>
          <t>2026-06</t>
        </is>
      </c>
      <c r="F3291" t="n">
        <v>32.54</v>
      </c>
      <c r="G3291" t="n">
        <v>38.4</v>
      </c>
      <c r="H3291">
        <f>הגדרות!B7</f>
        <v/>
      </c>
      <c r="I3291">
        <f>F3291*(1-H3291/100)*1.18</f>
        <v/>
      </c>
      <c r="J3291">
        <f>הגדרות!C7</f>
        <v/>
      </c>
      <c r="K3291">
        <f>הגדרות!D7</f>
        <v/>
      </c>
      <c r="L3291">
        <f>I3291*(1+J3291/100)+K3291</f>
        <v/>
      </c>
    </row>
    <row r="3292">
      <c r="A3292" t="inlineStr">
        <is>
          <t>מדי-מרקט</t>
        </is>
      </c>
      <c r="B3292" t="inlineStr">
        <is>
          <t>רשת חבישה גודל 2 , 50 ס"מ , Medrull</t>
        </is>
      </c>
      <c r="C3292" t="inlineStr">
        <is>
          <t>מוצרי חבישה ופלסטרים</t>
        </is>
      </c>
      <c r="D3292" t="inlineStr">
        <is>
          <t>252082</t>
        </is>
      </c>
      <c r="E3292" t="inlineStr">
        <is>
          <t>2026-06</t>
        </is>
      </c>
      <c r="F3292" t="n">
        <v>2.37</v>
      </c>
      <c r="G3292" t="n">
        <v>2.8</v>
      </c>
      <c r="H3292">
        <f>הגדרות!B7</f>
        <v/>
      </c>
      <c r="I3292">
        <f>F3292*(1-H3292/100)*1.18</f>
        <v/>
      </c>
      <c r="J3292">
        <f>הגדרות!C7</f>
        <v/>
      </c>
      <c r="K3292">
        <f>הגדרות!D7</f>
        <v/>
      </c>
      <c r="L3292">
        <f>I3292*(1+J3292/100)+K3292</f>
        <v/>
      </c>
    </row>
    <row r="3293">
      <c r="A3293" t="inlineStr">
        <is>
          <t>מדי-מרקט</t>
        </is>
      </c>
      <c r="B3293" t="inlineStr">
        <is>
          <t>רשת חבישה גודל 3 , 50 ס"מ , Medrull</t>
        </is>
      </c>
      <c r="C3293" t="inlineStr">
        <is>
          <t>מוצרי חבישה ופלסטרים</t>
        </is>
      </c>
      <c r="D3293" t="inlineStr">
        <is>
          <t>252099</t>
        </is>
      </c>
      <c r="E3293" t="inlineStr">
        <is>
          <t>2026-06</t>
        </is>
      </c>
      <c r="F3293" t="n">
        <v>2.58</v>
      </c>
      <c r="G3293" t="n">
        <v>3.05</v>
      </c>
      <c r="H3293">
        <f>הגדרות!B7</f>
        <v/>
      </c>
      <c r="I3293">
        <f>F3293*(1-H3293/100)*1.18</f>
        <v/>
      </c>
      <c r="J3293">
        <f>הגדרות!C7</f>
        <v/>
      </c>
      <c r="K3293">
        <f>הגדרות!D7</f>
        <v/>
      </c>
      <c r="L3293">
        <f>I3293*(1+J3293/100)+K3293</f>
        <v/>
      </c>
    </row>
    <row r="3294">
      <c r="A3294" t="inlineStr">
        <is>
          <t>מדי-מרקט</t>
        </is>
      </c>
      <c r="B3294" t="inlineStr">
        <is>
          <t>רשת חבישה גודל 4 , 50 ס"מ , Medrull</t>
        </is>
      </c>
      <c r="C3294" t="inlineStr">
        <is>
          <t>מוצרי חבישה ופלסטרים</t>
        </is>
      </c>
      <c r="D3294" t="inlineStr">
        <is>
          <t>252105</t>
        </is>
      </c>
      <c r="E3294" t="inlineStr">
        <is>
          <t>2026-06</t>
        </is>
      </c>
      <c r="F3294" t="n">
        <v>2.8</v>
      </c>
      <c r="G3294" t="n">
        <v>3.3</v>
      </c>
      <c r="H3294">
        <f>הגדרות!B7</f>
        <v/>
      </c>
      <c r="I3294">
        <f>F3294*(1-H3294/100)*1.18</f>
        <v/>
      </c>
      <c r="J3294">
        <f>הגדרות!C7</f>
        <v/>
      </c>
      <c r="K3294">
        <f>הגדרות!D7</f>
        <v/>
      </c>
      <c r="L3294">
        <f>I3294*(1+J3294/100)+K3294</f>
        <v/>
      </c>
    </row>
    <row r="3295">
      <c r="A3295" t="inlineStr">
        <is>
          <t>מדי-מרקט</t>
        </is>
      </c>
      <c r="B3295" t="inlineStr">
        <is>
          <t>רשת חבישה גודל 5 , 50 ס"מ , Medrull</t>
        </is>
      </c>
      <c r="C3295" t="inlineStr">
        <is>
          <t>מוצרי חבישה ופלסטרים</t>
        </is>
      </c>
      <c r="D3295" t="inlineStr">
        <is>
          <t>252112</t>
        </is>
      </c>
      <c r="E3295" t="inlineStr">
        <is>
          <t>2026-06</t>
        </is>
      </c>
      <c r="F3295" t="n">
        <v>2.97</v>
      </c>
      <c r="G3295" t="n">
        <v>3.5</v>
      </c>
      <c r="H3295">
        <f>הגדרות!B7</f>
        <v/>
      </c>
      <c r="I3295">
        <f>F3295*(1-H3295/100)*1.18</f>
        <v/>
      </c>
      <c r="J3295">
        <f>הגדרות!C7</f>
        <v/>
      </c>
      <c r="K3295">
        <f>הגדרות!D7</f>
        <v/>
      </c>
      <c r="L3295">
        <f>I3295*(1+J3295/100)+K3295</f>
        <v/>
      </c>
    </row>
    <row r="3296">
      <c r="A3296" t="inlineStr">
        <is>
          <t>מדי-מרקט</t>
        </is>
      </c>
      <c r="B3296" t="inlineStr">
        <is>
          <t>רשת חבישה גודל 6 , 50 ס"מ , Medrull</t>
        </is>
      </c>
      <c r="C3296" t="inlineStr">
        <is>
          <t>מוצרי חבישה ופלסטרים</t>
        </is>
      </c>
      <c r="D3296" t="inlineStr">
        <is>
          <t>252129</t>
        </is>
      </c>
      <c r="E3296" t="inlineStr">
        <is>
          <t>2026-06</t>
        </is>
      </c>
      <c r="F3296" t="n">
        <v>4.41</v>
      </c>
      <c r="G3296" t="n">
        <v>5.2</v>
      </c>
      <c r="H3296">
        <f>הגדרות!B7</f>
        <v/>
      </c>
      <c r="I3296">
        <f>F3296*(1-H3296/100)*1.18</f>
        <v/>
      </c>
      <c r="J3296">
        <f>הגדרות!C7</f>
        <v/>
      </c>
      <c r="K3296">
        <f>הגדרות!D7</f>
        <v/>
      </c>
      <c r="L3296">
        <f>I3296*(1+J3296/100)+K3296</f>
        <v/>
      </c>
    </row>
    <row r="3297">
      <c r="A3297" t="inlineStr">
        <is>
          <t>מדי-מרקט</t>
        </is>
      </c>
      <c r="B3297" t="inlineStr">
        <is>
          <t>רשת חבישה גודל 9</t>
        </is>
      </c>
      <c r="C3297" t="inlineStr">
        <is>
          <t>מוצרי חבישה ופלסטרים</t>
        </is>
      </c>
      <c r="D3297" t="inlineStr">
        <is>
          <t>3825</t>
        </is>
      </c>
      <c r="E3297" t="inlineStr">
        <is>
          <t>2026-06</t>
        </is>
      </c>
      <c r="F3297" t="n">
        <v>21.95</v>
      </c>
      <c r="G3297" t="n">
        <v>25.9</v>
      </c>
      <c r="H3297">
        <f>הגדרות!B7</f>
        <v/>
      </c>
      <c r="I3297">
        <f>F3297*(1-H3297/100)*1.18</f>
        <v/>
      </c>
      <c r="J3297">
        <f>הגדרות!C7</f>
        <v/>
      </c>
      <c r="K3297">
        <f>הגדרות!D7</f>
        <v/>
      </c>
      <c r="L3297">
        <f>I3297*(1+J3297/100)+K3297</f>
        <v/>
      </c>
    </row>
    <row r="3298">
      <c r="A3298" t="inlineStr">
        <is>
          <t>מדי-מרקט</t>
        </is>
      </c>
      <c r="B3298" t="inlineStr">
        <is>
          <t>שבב קטן לזיהוי בע"ח 8.5&amp;#215;1.4 מ"מ 20 Mini Glasstag יח'</t>
        </is>
      </c>
      <c r="C3298" t="inlineStr">
        <is>
          <t>מוצרים משלימים לווט'</t>
        </is>
      </c>
      <c r="D3298" t="inlineStr">
        <is>
          <t>9020</t>
        </is>
      </c>
      <c r="E3298" t="inlineStr">
        <is>
          <t>2026-06</t>
        </is>
      </c>
      <c r="F3298" t="n">
        <v>186.44</v>
      </c>
      <c r="G3298" t="n">
        <v>220</v>
      </c>
      <c r="H3298">
        <f>הגדרות!B7</f>
        <v/>
      </c>
      <c r="I3298">
        <f>F3298*(1-H3298/100)*1.18</f>
        <v/>
      </c>
      <c r="J3298">
        <f>הגדרות!C7</f>
        <v/>
      </c>
      <c r="K3298">
        <f>הגדרות!D7</f>
        <v/>
      </c>
      <c r="L3298">
        <f>I3298*(1+J3298/100)+K3298</f>
        <v/>
      </c>
    </row>
    <row r="3299">
      <c r="A3299" t="inlineStr">
        <is>
          <t>מדי-מרקט</t>
        </is>
      </c>
      <c r="B3299" t="inlineStr">
        <is>
          <t>שדה סטר' לניתוח,50*30 ס"מ ללא דבק וחור,מדיקפרו</t>
        </is>
      </c>
      <c r="C3299" t="inlineStr">
        <is>
          <t>ציוד מתכלה</t>
        </is>
      </c>
      <c r="D3299" t="inlineStr">
        <is>
          <t>500-012</t>
        </is>
      </c>
      <c r="E3299" t="inlineStr">
        <is>
          <t>2026-06</t>
        </is>
      </c>
      <c r="F3299" t="n">
        <v>1.14</v>
      </c>
      <c r="G3299" t="n">
        <v>1.35</v>
      </c>
      <c r="H3299">
        <f>הגדרות!B7</f>
        <v/>
      </c>
      <c r="I3299">
        <f>F3299*(1-H3299/100)*1.18</f>
        <v/>
      </c>
      <c r="J3299">
        <f>הגדרות!C7</f>
        <v/>
      </c>
      <c r="K3299">
        <f>הגדרות!D7</f>
        <v/>
      </c>
      <c r="L3299">
        <f>I3299*(1+J3299/100)+K3299</f>
        <v/>
      </c>
    </row>
    <row r="3300">
      <c r="A3300" t="inlineStr">
        <is>
          <t>מדי-מרקט</t>
        </is>
      </c>
      <c r="B3300" t="inlineStr">
        <is>
          <t>שדה סטר' לניתוח,50*30 ס"מ עם דבק וחור,מדיקפרו</t>
        </is>
      </c>
      <c r="C3300" t="inlineStr">
        <is>
          <t>ציוד מתכלה</t>
        </is>
      </c>
      <c r="D3300" t="inlineStr">
        <is>
          <t>500-013</t>
        </is>
      </c>
      <c r="E3300" t="inlineStr">
        <is>
          <t>2026-06</t>
        </is>
      </c>
      <c r="F3300" t="n">
        <v>1.36</v>
      </c>
      <c r="G3300" t="n">
        <v>1.6</v>
      </c>
      <c r="H3300">
        <f>הגדרות!B7</f>
        <v/>
      </c>
      <c r="I3300">
        <f>F3300*(1-H3300/100)*1.18</f>
        <v/>
      </c>
      <c r="J3300">
        <f>הגדרות!C7</f>
        <v/>
      </c>
      <c r="K3300">
        <f>הגדרות!D7</f>
        <v/>
      </c>
      <c r="L3300">
        <f>I3300*(1+J3300/100)+K3300</f>
        <v/>
      </c>
    </row>
    <row r="3301">
      <c r="A3301" t="inlineStr">
        <is>
          <t>מדי-מרקט</t>
        </is>
      </c>
      <c r="B3301" t="inlineStr">
        <is>
          <t>שדה סטר' לניתוח,50*50 ס"מ ללא דבק וחור,מדיקפרו</t>
        </is>
      </c>
      <c r="C3301" t="inlineStr">
        <is>
          <t>ציוד מתכלה</t>
        </is>
      </c>
      <c r="D3301" t="inlineStr">
        <is>
          <t>500-110</t>
        </is>
      </c>
      <c r="E3301" t="inlineStr">
        <is>
          <t>2026-06</t>
        </is>
      </c>
      <c r="F3301" t="n">
        <v>1.36</v>
      </c>
      <c r="G3301" t="n">
        <v>1.61</v>
      </c>
      <c r="H3301">
        <f>הגדרות!B7</f>
        <v/>
      </c>
      <c r="I3301">
        <f>F3301*(1-H3301/100)*1.18</f>
        <v/>
      </c>
      <c r="J3301">
        <f>הגדרות!C7</f>
        <v/>
      </c>
      <c r="K3301">
        <f>הגדרות!D7</f>
        <v/>
      </c>
      <c r="L3301">
        <f>I3301*(1+J3301/100)+K3301</f>
        <v/>
      </c>
    </row>
    <row r="3302">
      <c r="A3302" t="inlineStr">
        <is>
          <t>מדי-מרקט</t>
        </is>
      </c>
      <c r="B3302" t="inlineStr">
        <is>
          <t>שדה סטר' לניתוח,50*50 ס"מ עם דבק וחור,מדיקפרו</t>
        </is>
      </c>
      <c r="C3302" t="inlineStr">
        <is>
          <t>ציוד מתכלה</t>
        </is>
      </c>
      <c r="D3302" t="inlineStr">
        <is>
          <t>500-0010</t>
        </is>
      </c>
      <c r="E3302" t="inlineStr">
        <is>
          <t>2026-06</t>
        </is>
      </c>
      <c r="F3302" t="n">
        <v>1.39</v>
      </c>
      <c r="G3302" t="n">
        <v>1.64</v>
      </c>
      <c r="H3302">
        <f>הגדרות!B7</f>
        <v/>
      </c>
      <c r="I3302">
        <f>F3302*(1-H3302/100)*1.18</f>
        <v/>
      </c>
      <c r="J3302">
        <f>הגדרות!C7</f>
        <v/>
      </c>
      <c r="K3302">
        <f>הגדרות!D7</f>
        <v/>
      </c>
      <c r="L3302">
        <f>I3302*(1+J3302/100)+K3302</f>
        <v/>
      </c>
    </row>
    <row r="3303">
      <c r="A3303" t="inlineStr">
        <is>
          <t>מדי-מרקט</t>
        </is>
      </c>
      <c r="B3303" t="inlineStr">
        <is>
          <t>שדה סטר' לניתוח,90*75 ס"מ ללא דבק וחור,מדיקפרו</t>
        </is>
      </c>
      <c r="C3303" t="inlineStr">
        <is>
          <t>ציוד מתכלה</t>
        </is>
      </c>
      <c r="D3303" t="inlineStr">
        <is>
          <t>500-010</t>
        </is>
      </c>
      <c r="E3303" t="inlineStr">
        <is>
          <t>2026-06</t>
        </is>
      </c>
      <c r="F3303" t="n">
        <v>2.46</v>
      </c>
      <c r="G3303" t="n">
        <v>2.9</v>
      </c>
      <c r="H3303">
        <f>הגדרות!B7</f>
        <v/>
      </c>
      <c r="I3303">
        <f>F3303*(1-H3303/100)*1.18</f>
        <v/>
      </c>
      <c r="J3303">
        <f>הגדרות!C7</f>
        <v/>
      </c>
      <c r="K3303">
        <f>הגדרות!D7</f>
        <v/>
      </c>
      <c r="L3303">
        <f>I3303*(1+J3303/100)+K3303</f>
        <v/>
      </c>
    </row>
    <row r="3304">
      <c r="A3304" t="inlineStr">
        <is>
          <t>מדי-מרקט</t>
        </is>
      </c>
      <c r="B3304" t="inlineStr">
        <is>
          <t>שדה סטר' לניתוח,90*75 ס"מ עם דבק וחור,מדיקפרו</t>
        </is>
      </c>
      <c r="C3304" t="inlineStr">
        <is>
          <t>ציוד מתכלה</t>
        </is>
      </c>
      <c r="D3304" t="inlineStr">
        <is>
          <t>500-011</t>
        </is>
      </c>
      <c r="E3304" t="inlineStr">
        <is>
          <t>2026-06</t>
        </is>
      </c>
      <c r="F3304" t="n">
        <v>2.37</v>
      </c>
      <c r="G3304" t="n">
        <v>2.8</v>
      </c>
      <c r="H3304">
        <f>הגדרות!B7</f>
        <v/>
      </c>
      <c r="I3304">
        <f>F3304*(1-H3304/100)*1.18</f>
        <v/>
      </c>
      <c r="J3304">
        <f>הגדרות!C7</f>
        <v/>
      </c>
      <c r="K3304">
        <f>הגדרות!D7</f>
        <v/>
      </c>
      <c r="L3304">
        <f>I3304*(1+J3304/100)+K3304</f>
        <v/>
      </c>
    </row>
    <row r="3305">
      <c r="A3305" t="inlineStr">
        <is>
          <t>מדי-מרקט</t>
        </is>
      </c>
      <c r="B3305" t="inlineStr">
        <is>
          <t>שדה סטר' מבד,50*50ס"מ,ר.פ.+חור1.9*10ס"מSD20204</t>
        </is>
      </c>
      <c r="C3305" t="inlineStr">
        <is>
          <t>KVP</t>
        </is>
      </c>
      <c r="D3305" t="inlineStr">
        <is>
          <t>500-215</t>
        </is>
      </c>
      <c r="E3305" t="inlineStr">
        <is>
          <t>2026-06</t>
        </is>
      </c>
      <c r="F3305" t="n">
        <v>27.97</v>
      </c>
      <c r="G3305" t="n">
        <v>33</v>
      </c>
      <c r="H3305">
        <f>הגדרות!B7</f>
        <v/>
      </c>
      <c r="I3305">
        <f>F3305*(1-H3305/100)*1.18</f>
        <v/>
      </c>
      <c r="J3305">
        <f>הגדרות!C7</f>
        <v/>
      </c>
      <c r="K3305">
        <f>הגדרות!D7</f>
        <v/>
      </c>
      <c r="L3305">
        <f>I3305*(1+J3305/100)+K3305</f>
        <v/>
      </c>
    </row>
    <row r="3306">
      <c r="A3306" t="inlineStr">
        <is>
          <t>מדי-מרקט</t>
        </is>
      </c>
      <c r="B3306" t="inlineStr">
        <is>
          <t>שדה סטר'מבד,100*100ס"מ,ר.פ+חור25*3.1ס"מ SD404010</t>
        </is>
      </c>
      <c r="C3306" t="inlineStr">
        <is>
          <t>KVP</t>
        </is>
      </c>
      <c r="D3306" t="inlineStr">
        <is>
          <t>500-017</t>
        </is>
      </c>
      <c r="E3306" t="inlineStr">
        <is>
          <t>2026-06</t>
        </is>
      </c>
      <c r="F3306" t="n">
        <v>67.8</v>
      </c>
      <c r="G3306" t="n">
        <v>80</v>
      </c>
      <c r="H3306">
        <f>הגדרות!B7</f>
        <v/>
      </c>
      <c r="I3306">
        <f>F3306*(1-H3306/100)*1.18</f>
        <v/>
      </c>
      <c r="J3306">
        <f>הגדרות!C7</f>
        <v/>
      </c>
      <c r="K3306">
        <f>הגדרות!D7</f>
        <v/>
      </c>
      <c r="L3306">
        <f>I3306*(1+J3306/100)+K3306</f>
        <v/>
      </c>
    </row>
    <row r="3307">
      <c r="A3307" t="inlineStr">
        <is>
          <t>מדי-מרקט</t>
        </is>
      </c>
      <c r="B3307" t="inlineStr">
        <is>
          <t>שדה סטר'מבד,75*75ס"מ,ר.פ.עם חור 5*2.5ס"מSD30301</t>
        </is>
      </c>
      <c r="C3307" t="inlineStr">
        <is>
          <t>KVP</t>
        </is>
      </c>
      <c r="D3307" t="inlineStr">
        <is>
          <t>500-211</t>
        </is>
      </c>
      <c r="E3307" t="inlineStr">
        <is>
          <t>2026-06</t>
        </is>
      </c>
      <c r="F3307" t="n">
        <v>36.44</v>
      </c>
      <c r="G3307" t="n">
        <v>43</v>
      </c>
      <c r="H3307">
        <f>הגדרות!B7</f>
        <v/>
      </c>
      <c r="I3307">
        <f>F3307*(1-H3307/100)*1.18</f>
        <v/>
      </c>
      <c r="J3307">
        <f>הגדרות!C7</f>
        <v/>
      </c>
      <c r="K3307">
        <f>הגדרות!D7</f>
        <v/>
      </c>
      <c r="L3307">
        <f>I3307*(1+J3307/100)+K3307</f>
        <v/>
      </c>
    </row>
    <row r="3308">
      <c r="A3308" t="inlineStr">
        <is>
          <t>מדי-מרקט</t>
        </is>
      </c>
      <c r="B3308" t="inlineStr">
        <is>
          <t>שדה סטרילי מבד 75X75ס"מ רב פעמי עם חור 17.5X3.1ס"מ 30307</t>
        </is>
      </c>
      <c r="C3308" t="inlineStr">
        <is>
          <t>KVP</t>
        </is>
      </c>
      <c r="D3308" t="inlineStr">
        <is>
          <t>500-216</t>
        </is>
      </c>
      <c r="E3308" t="inlineStr">
        <is>
          <t>2026-06</t>
        </is>
      </c>
      <c r="F3308" t="n">
        <v>33.05</v>
      </c>
      <c r="G3308" t="n">
        <v>39</v>
      </c>
      <c r="H3308">
        <f>הגדרות!B7</f>
        <v/>
      </c>
      <c r="I3308">
        <f>F3308*(1-H3308/100)*1.18</f>
        <v/>
      </c>
      <c r="J3308">
        <f>הגדרות!C7</f>
        <v/>
      </c>
      <c r="K3308">
        <f>הגדרות!D7</f>
        <v/>
      </c>
      <c r="L3308">
        <f>I3308*(1+J3308/100)+K3308</f>
        <v/>
      </c>
    </row>
    <row r="3309">
      <c r="A3309" t="inlineStr">
        <is>
          <t>מדי-מרקט</t>
        </is>
      </c>
      <c r="B3309" t="inlineStr">
        <is>
          <t>שולחן ניתוח ווטרינרי חשמלי (מינמום 42 ס"מ)</t>
        </is>
      </c>
      <c r="C3309" t="inlineStr">
        <is>
          <t>ציוד ומכשור רפואי</t>
        </is>
      </c>
      <c r="D3309" t="inlineStr">
        <is>
          <t>TTS-03</t>
        </is>
      </c>
      <c r="E3309" t="inlineStr">
        <is>
          <t>2026-06</t>
        </is>
      </c>
      <c r="F3309" t="n">
        <v>8898.309999999999</v>
      </c>
      <c r="G3309" t="n">
        <v>10500</v>
      </c>
      <c r="H3309">
        <f>הגדרות!B7</f>
        <v/>
      </c>
      <c r="I3309">
        <f>F3309*(1-H3309/100)*1.18</f>
        <v/>
      </c>
      <c r="J3309">
        <f>הגדרות!C7</f>
        <v/>
      </c>
      <c r="K3309">
        <f>הגדרות!D7</f>
        <v/>
      </c>
      <c r="L3309">
        <f>I3309*(1+J3309/100)+K3309</f>
        <v/>
      </c>
    </row>
    <row r="3310">
      <c r="A3310" t="inlineStr">
        <is>
          <t>מדי-מרקט</t>
        </is>
      </c>
      <c r="B3310" t="inlineStr">
        <is>
          <t>שולחן ניתוחים הידראולי V-TYPE</t>
        </is>
      </c>
      <c r="C3310" t="inlineStr">
        <is>
          <t>ציוד ומכשור רפואי</t>
        </is>
      </c>
      <c r="D3310" t="inlineStr">
        <is>
          <t>TTVOT-01</t>
        </is>
      </c>
      <c r="E3310" t="inlineStr">
        <is>
          <t>2026-06</t>
        </is>
      </c>
      <c r="F3310" t="n">
        <v>8580.51</v>
      </c>
      <c r="G3310" t="n">
        <v>10125</v>
      </c>
      <c r="H3310">
        <f>הגדרות!B7</f>
        <v/>
      </c>
      <c r="I3310">
        <f>F3310*(1-H3310/100)*1.18</f>
        <v/>
      </c>
      <c r="J3310">
        <f>הגדרות!C7</f>
        <v/>
      </c>
      <c r="K3310">
        <f>הגדרות!D7</f>
        <v/>
      </c>
      <c r="L3310">
        <f>I3310*(1+J3310/100)+K3310</f>
        <v/>
      </c>
    </row>
    <row r="3311">
      <c r="A3311" t="inlineStr">
        <is>
          <t>מדי-מרקט</t>
        </is>
      </c>
      <c r="B3311" t="inlineStr">
        <is>
          <t>שטיפת פה Tantum Verde 240Ml</t>
        </is>
      </c>
      <c r="C3311" t="inlineStr">
        <is>
          <t>תרופות</t>
        </is>
      </c>
      <c r="D3311" t="inlineStr">
        <is>
          <t>25902</t>
        </is>
      </c>
      <c r="E3311" t="inlineStr">
        <is>
          <t>2026-06</t>
        </is>
      </c>
      <c r="F3311" t="n">
        <v>18.31</v>
      </c>
      <c r="G3311" t="n">
        <v>21.6</v>
      </c>
      <c r="H3311">
        <f>הגדרות!B7</f>
        <v/>
      </c>
      <c r="I3311">
        <f>F3311*(1-H3311/100)*1.18</f>
        <v/>
      </c>
      <c r="J3311">
        <f>הגדרות!C7</f>
        <v/>
      </c>
      <c r="K3311">
        <f>הגדרות!D7</f>
        <v/>
      </c>
      <c r="L3311">
        <f>I3311*(1+J3311/100)+K3311</f>
        <v/>
      </c>
    </row>
    <row r="3312">
      <c r="A3312" t="inlineStr">
        <is>
          <t>מדי-מרקט</t>
        </is>
      </c>
      <c r="B3312" t="inlineStr">
        <is>
          <t>שטיפת פה דנטמיסט גרגל 300 מ"ל Dentamist Gargal</t>
        </is>
      </c>
      <c r="C3312" t="inlineStr">
        <is>
          <t>תרופות</t>
        </is>
      </c>
      <c r="D3312" t="inlineStr">
        <is>
          <t>18030</t>
        </is>
      </c>
      <c r="E3312" t="inlineStr">
        <is>
          <t>2026-06</t>
        </is>
      </c>
      <c r="F3312" t="n">
        <v>11.86</v>
      </c>
      <c r="G3312" t="n">
        <v>14</v>
      </c>
      <c r="H3312">
        <f>הגדרות!B7</f>
        <v/>
      </c>
      <c r="I3312">
        <f>F3312*(1-H3312/100)*1.18</f>
        <v/>
      </c>
      <c r="J3312">
        <f>הגדרות!C7</f>
        <v/>
      </c>
      <c r="K3312">
        <f>הגדרות!D7</f>
        <v/>
      </c>
      <c r="L3312">
        <f>I3312*(1+J3312/100)+K3312</f>
        <v/>
      </c>
    </row>
    <row r="3313">
      <c r="A3313" t="inlineStr">
        <is>
          <t>מדי-מרקט</t>
        </is>
      </c>
      <c r="B3313" t="inlineStr">
        <is>
          <t>שמיכת מילוט 1.6 X 2.1 מטר מדיקפרו</t>
        </is>
      </c>
      <c r="C3313" t="inlineStr">
        <is>
          <t>מוצרי חבישה ופלסטרים</t>
        </is>
      </c>
      <c r="D3313" t="inlineStr">
        <is>
          <t>8-2831</t>
        </is>
      </c>
      <c r="E3313" t="inlineStr">
        <is>
          <t>2026-06</t>
        </is>
      </c>
      <c r="F3313" t="n">
        <v>0.92</v>
      </c>
      <c r="G3313" t="n">
        <v>1.08</v>
      </c>
      <c r="H3313">
        <f>הגדרות!B7</f>
        <v/>
      </c>
      <c r="I3313">
        <f>F3313*(1-H3313/100)*1.18</f>
        <v/>
      </c>
      <c r="J3313">
        <f>הגדרות!C7</f>
        <v/>
      </c>
      <c r="K3313">
        <f>הגדרות!D7</f>
        <v/>
      </c>
      <c r="L3313">
        <f>I3313*(1+J3313/100)+K3313</f>
        <v/>
      </c>
    </row>
    <row r="3314">
      <c r="A3314" t="inlineStr">
        <is>
          <t>מדי-מרקט</t>
        </is>
      </c>
      <c r="B3314" t="inlineStr">
        <is>
          <t>שמן לטורבינה/זוויתן 500 מ"ל</t>
        </is>
      </c>
      <c r="C3314" t="inlineStr">
        <is>
          <t>מוצרי חיטוי ואנטיספטיקה</t>
        </is>
      </c>
      <c r="D3314" t="inlineStr">
        <is>
          <t>10212</t>
        </is>
      </c>
      <c r="E3314" t="inlineStr">
        <is>
          <t>2026-06</t>
        </is>
      </c>
      <c r="F3314" t="n">
        <v>33.35</v>
      </c>
      <c r="G3314" t="n">
        <v>39.35</v>
      </c>
      <c r="H3314">
        <f>הגדרות!B7</f>
        <v/>
      </c>
      <c r="I3314">
        <f>F3314*(1-H3314/100)*1.18</f>
        <v/>
      </c>
      <c r="J3314">
        <f>הגדרות!C7</f>
        <v/>
      </c>
      <c r="K3314">
        <f>הגדרות!D7</f>
        <v/>
      </c>
      <c r="L3314">
        <f>I3314*(1+J3314/100)+K3314</f>
        <v/>
      </c>
    </row>
    <row r="3315">
      <c r="A3315" t="inlineStr">
        <is>
          <t>מדי-מרקט</t>
        </is>
      </c>
      <c r="B3315" t="inlineStr">
        <is>
          <t>שמן פראפין 100 מ"ל FLORIS - PARAFIN</t>
        </is>
      </c>
      <c r="C3315" t="inlineStr">
        <is>
          <t>תרופות</t>
        </is>
      </c>
      <c r="D3315" t="inlineStr">
        <is>
          <t>52585</t>
        </is>
      </c>
      <c r="E3315" t="inlineStr">
        <is>
          <t>2026-06</t>
        </is>
      </c>
      <c r="F3315" t="n">
        <v>4.66</v>
      </c>
      <c r="G3315" t="n">
        <v>5.5</v>
      </c>
      <c r="H3315">
        <f>הגדרות!B7</f>
        <v/>
      </c>
      <c r="I3315">
        <f>F3315*(1-H3315/100)*1.18</f>
        <v/>
      </c>
      <c r="J3315">
        <f>הגדרות!C7</f>
        <v/>
      </c>
      <c r="K3315">
        <f>הגדרות!D7</f>
        <v/>
      </c>
      <c r="L3315">
        <f>I3315*(1+J3315/100)+K3315</f>
        <v/>
      </c>
    </row>
    <row r="3316">
      <c r="A3316" t="inlineStr">
        <is>
          <t>מדי-מרקט</t>
        </is>
      </c>
      <c r="B3316" t="inlineStr">
        <is>
          <t>שמן פראפין רפואי 1 ל'</t>
        </is>
      </c>
      <c r="C3316" t="inlineStr">
        <is>
          <t>תרופות</t>
        </is>
      </c>
      <c r="D3316" t="inlineStr">
        <is>
          <t>522</t>
        </is>
      </c>
      <c r="E3316" t="inlineStr">
        <is>
          <t>2026-06</t>
        </is>
      </c>
      <c r="F3316" t="n">
        <v>24.58</v>
      </c>
      <c r="G3316" t="n">
        <v>29</v>
      </c>
      <c r="H3316">
        <f>הגדרות!B7</f>
        <v/>
      </c>
      <c r="I3316">
        <f>F3316*(1-H3316/100)*1.18</f>
        <v/>
      </c>
      <c r="J3316">
        <f>הגדרות!C7</f>
        <v/>
      </c>
      <c r="K3316">
        <f>הגדרות!D7</f>
        <v/>
      </c>
      <c r="L3316">
        <f>I3316*(1+J3316/100)+K3316</f>
        <v/>
      </c>
    </row>
    <row r="3317">
      <c r="A3317" t="inlineStr">
        <is>
          <t>מדי-מרקט</t>
        </is>
      </c>
      <c r="B3317" t="inlineStr">
        <is>
          <t>שמן קיק 30 מ"ל רפואי פלוריש Oleum Ricini</t>
        </is>
      </c>
      <c r="C3317" t="inlineStr">
        <is>
          <t>תרופות</t>
        </is>
      </c>
      <c r="D3317" t="inlineStr">
        <is>
          <t>100611</t>
        </is>
      </c>
      <c r="E3317" t="inlineStr">
        <is>
          <t>2026-06</t>
        </is>
      </c>
      <c r="F3317" t="n">
        <v>6.78</v>
      </c>
      <c r="G3317" t="n">
        <v>8</v>
      </c>
      <c r="H3317">
        <f>הגדרות!B7</f>
        <v/>
      </c>
      <c r="I3317">
        <f>F3317*(1-H3317/100)*1.18</f>
        <v/>
      </c>
      <c r="J3317">
        <f>הגדרות!C7</f>
        <v/>
      </c>
      <c r="K3317">
        <f>הגדרות!D7</f>
        <v/>
      </c>
      <c r="L3317">
        <f>I3317*(1+J3317/100)+K3317</f>
        <v/>
      </c>
    </row>
    <row r="3318">
      <c r="A3318" t="inlineStr">
        <is>
          <t>מדי-מרקט</t>
        </is>
      </c>
      <c r="B3318" t="inlineStr">
        <is>
          <t>שנאי למטען לידית אחד W.A</t>
        </is>
      </c>
      <c r="C3318" t="inlineStr">
        <is>
          <t>ציוד ומכשור רפואי</t>
        </is>
      </c>
      <c r="D3318" t="inlineStr">
        <is>
          <t>WLA71032</t>
        </is>
      </c>
      <c r="E3318" t="inlineStr">
        <is>
          <t>2026-06</t>
        </is>
      </c>
      <c r="F3318" t="n">
        <v>203.39</v>
      </c>
      <c r="G3318" t="n">
        <v>240</v>
      </c>
      <c r="H3318">
        <f>הגדרות!B7</f>
        <v/>
      </c>
      <c r="I3318">
        <f>F3318*(1-H3318/100)*1.18</f>
        <v/>
      </c>
      <c r="J3318">
        <f>הגדרות!C7</f>
        <v/>
      </c>
      <c r="K3318">
        <f>הגדרות!D7</f>
        <v/>
      </c>
      <c r="L3318">
        <f>I3318*(1+J3318/100)+K3318</f>
        <v/>
      </c>
    </row>
    <row r="3319">
      <c r="A3319" t="inlineStr">
        <is>
          <t>מדי-מרקט</t>
        </is>
      </c>
      <c r="B3319" t="inlineStr">
        <is>
          <t>שעת עבודה / תיקון מדי טק</t>
        </is>
      </c>
      <c r="C3319" t="inlineStr">
        <is>
          <t>הדמיה - רנטגן, CR , DR</t>
        </is>
      </c>
      <c r="D3319" t="inlineStr">
        <is>
          <t>9996</t>
        </is>
      </c>
      <c r="E3319" t="inlineStr">
        <is>
          <t>2026-06</t>
        </is>
      </c>
      <c r="F3319" t="n">
        <v>296.61</v>
      </c>
      <c r="G3319" t="n">
        <v>350</v>
      </c>
      <c r="H3319">
        <f>הגדרות!B7</f>
        <v/>
      </c>
      <c r="I3319">
        <f>F3319*(1-H3319/100)*1.18</f>
        <v/>
      </c>
      <c r="J3319">
        <f>הגדרות!C7</f>
        <v/>
      </c>
      <c r="K3319">
        <f>הגדרות!D7</f>
        <v/>
      </c>
      <c r="L3319">
        <f>I3319*(1+J3319/100)+K3319</f>
        <v/>
      </c>
    </row>
    <row r="3320">
      <c r="A3320" t="inlineStr">
        <is>
          <t>מדי-מרקט</t>
        </is>
      </c>
      <c r="B3320" t="inlineStr">
        <is>
          <t>שפדלים, 100 יח' , מדיקפרו</t>
        </is>
      </c>
      <c r="C3320" t="inlineStr">
        <is>
          <t>ציוד מתכלה</t>
        </is>
      </c>
      <c r="D3320" t="inlineStr">
        <is>
          <t>500-0422</t>
        </is>
      </c>
      <c r="E3320" t="inlineStr">
        <is>
          <t>2026-06</t>
        </is>
      </c>
      <c r="F3320" t="n">
        <v>2.09</v>
      </c>
      <c r="G3320" t="n">
        <v>2.47</v>
      </c>
      <c r="H3320">
        <f>הגדרות!B7</f>
        <v/>
      </c>
      <c r="I3320">
        <f>F3320*(1-H3320/100)*1.18</f>
        <v/>
      </c>
      <c r="J3320">
        <f>הגדרות!C7</f>
        <v/>
      </c>
      <c r="K3320">
        <f>הגדרות!D7</f>
        <v/>
      </c>
      <c r="L3320">
        <f>I3320*(1+J3320/100)+K3320</f>
        <v/>
      </c>
    </row>
    <row r="3321">
      <c r="A3321" t="inlineStr">
        <is>
          <t>מדי-מרקט</t>
        </is>
      </c>
      <c r="B3321" t="inlineStr">
        <is>
          <t>שק לאוגר כביסה צבע ירוק</t>
        </is>
      </c>
      <c r="C3321" t="inlineStr">
        <is>
          <t>ציוד ומכשור רפואי</t>
        </is>
      </c>
      <c r="D3321" t="inlineStr">
        <is>
          <t>251545</t>
        </is>
      </c>
      <c r="E3321" t="inlineStr">
        <is>
          <t>2026-06</t>
        </is>
      </c>
      <c r="F3321" t="n">
        <v>50.85</v>
      </c>
      <c r="G3321" t="n">
        <v>60</v>
      </c>
      <c r="H3321">
        <f>הגדרות!B7</f>
        <v/>
      </c>
      <c r="I3321">
        <f>F3321*(1-H3321/100)*1.18</f>
        <v/>
      </c>
      <c r="J3321">
        <f>הגדרות!C7</f>
        <v/>
      </c>
      <c r="K3321">
        <f>הגדרות!D7</f>
        <v/>
      </c>
      <c r="L3321">
        <f>I3321*(1+J3321/100)+K3321</f>
        <v/>
      </c>
    </row>
    <row r="3322">
      <c r="A3322" t="inlineStr">
        <is>
          <t>מדי-מרקט</t>
        </is>
      </c>
      <c r="B3322" t="inlineStr">
        <is>
          <t>שקיות אשפה ניילון 85*76 1/20 שחור</t>
        </is>
      </c>
      <c r="C3322" t="inlineStr">
        <is>
          <t>מוצרי נייר וניקוי</t>
        </is>
      </c>
      <c r="D3322" t="inlineStr">
        <is>
          <t>7812</t>
        </is>
      </c>
      <c r="E3322" t="inlineStr">
        <is>
          <t>2026-06</t>
        </is>
      </c>
      <c r="F3322" t="n">
        <v>4.92</v>
      </c>
      <c r="G3322" t="n">
        <v>5.81</v>
      </c>
      <c r="H3322">
        <f>הגדרות!B7</f>
        <v/>
      </c>
      <c r="I3322">
        <f>F3322*(1-H3322/100)*1.18</f>
        <v/>
      </c>
      <c r="J3322">
        <f>הגדרות!C7</f>
        <v/>
      </c>
      <c r="K3322">
        <f>הגדרות!D7</f>
        <v/>
      </c>
      <c r="L3322">
        <f>I3322*(1+J3322/100)+K3322</f>
        <v/>
      </c>
    </row>
    <row r="3323">
      <c r="A3323" t="inlineStr">
        <is>
          <t>מדי-מרקט</t>
        </is>
      </c>
      <c r="B3323" t="inlineStr">
        <is>
          <t>שקיות ביו האזרד 1/1000 22*15 ארוז 10/100</t>
        </is>
      </c>
      <c r="C3323" t="inlineStr">
        <is>
          <t>ציוד מתכלה</t>
        </is>
      </c>
      <c r="D3323" t="inlineStr">
        <is>
          <t>150220</t>
        </is>
      </c>
      <c r="E3323" t="inlineStr">
        <is>
          <t>2026-06</t>
        </is>
      </c>
      <c r="F3323" t="n">
        <v>125.85</v>
      </c>
      <c r="G3323" t="n">
        <v>148.5</v>
      </c>
      <c r="H3323">
        <f>הגדרות!B7</f>
        <v/>
      </c>
      <c r="I3323">
        <f>F3323*(1-H3323/100)*1.18</f>
        <v/>
      </c>
      <c r="J3323">
        <f>הגדרות!C7</f>
        <v/>
      </c>
      <c r="K3323">
        <f>הגדרות!D7</f>
        <v/>
      </c>
      <c r="L3323">
        <f>I3323*(1+J3323/100)+K3323</f>
        <v/>
      </c>
    </row>
    <row r="3324">
      <c r="A3324" t="inlineStr">
        <is>
          <t>מדי-מרקט</t>
        </is>
      </c>
      <c r="B3324" t="inlineStr">
        <is>
          <t>שקיות גופיה גדול לבן 800 גרם</t>
        </is>
      </c>
      <c r="C3324" t="inlineStr">
        <is>
          <t>אריזה בימ"ק ראשונה להכנות</t>
        </is>
      </c>
      <c r="D3324" t="inlineStr">
        <is>
          <t>99804</t>
        </is>
      </c>
      <c r="E3324" t="inlineStr">
        <is>
          <t>2026-06</t>
        </is>
      </c>
      <c r="F3324" t="n">
        <v>9.220000000000001</v>
      </c>
      <c r="G3324" t="n">
        <v>10.88</v>
      </c>
      <c r="H3324">
        <f>הגדרות!B7</f>
        <v/>
      </c>
      <c r="I3324">
        <f>F3324*(1-H3324/100)*1.18</f>
        <v/>
      </c>
      <c r="J3324">
        <f>הגדרות!C7</f>
        <v/>
      </c>
      <c r="K3324">
        <f>הגדרות!D7</f>
        <v/>
      </c>
      <c r="L3324">
        <f>I3324*(1+J3324/100)+K3324</f>
        <v/>
      </c>
    </row>
    <row r="3325">
      <c r="A3325" t="inlineStr">
        <is>
          <t>מדי-מרקט</t>
        </is>
      </c>
      <c r="B3325" t="inlineStr">
        <is>
          <t>שקיות ניילון לתרופות 100) 8X12 יח') פס-סגור</t>
        </is>
      </c>
      <c r="C3325" t="inlineStr">
        <is>
          <t>ציוד מתכלה</t>
        </is>
      </c>
      <c r="D3325" t="inlineStr">
        <is>
          <t>22200</t>
        </is>
      </c>
      <c r="E3325" t="inlineStr">
        <is>
          <t>2026-06</t>
        </is>
      </c>
      <c r="F3325" t="n">
        <v>14.31</v>
      </c>
      <c r="G3325" t="n">
        <v>16.88</v>
      </c>
      <c r="H3325">
        <f>הגדרות!B7</f>
        <v/>
      </c>
      <c r="I3325">
        <f>F3325*(1-H3325/100)*1.18</f>
        <v/>
      </c>
      <c r="J3325">
        <f>הגדרות!C7</f>
        <v/>
      </c>
      <c r="K3325">
        <f>הגדרות!D7</f>
        <v/>
      </c>
      <c r="L3325">
        <f>I3325*(1+J3325/100)+K3325</f>
        <v/>
      </c>
    </row>
    <row r="3326">
      <c r="A3326" t="inlineStr">
        <is>
          <t>מדי-מרקט</t>
        </is>
      </c>
      <c r="B3326" t="inlineStr">
        <is>
          <t>שקיות ניילון לתרופות 10X15 ס"מ (100 יח') פס-סגור</t>
        </is>
      </c>
      <c r="C3326" t="inlineStr">
        <is>
          <t>ציוד מתכלה</t>
        </is>
      </c>
      <c r="D3326" t="inlineStr">
        <is>
          <t>22211</t>
        </is>
      </c>
      <c r="E3326" t="inlineStr">
        <is>
          <t>2026-06</t>
        </is>
      </c>
      <c r="F3326" t="n">
        <v>15.25</v>
      </c>
      <c r="G3326" t="n">
        <v>18</v>
      </c>
      <c r="H3326">
        <f>הגדרות!B7</f>
        <v/>
      </c>
      <c r="I3326">
        <f>F3326*(1-H3326/100)*1.18</f>
        <v/>
      </c>
      <c r="J3326">
        <f>הגדרות!C7</f>
        <v/>
      </c>
      <c r="K3326">
        <f>הגדרות!D7</f>
        <v/>
      </c>
      <c r="L3326">
        <f>I3326*(1+J3326/100)+K3326</f>
        <v/>
      </c>
    </row>
    <row r="3327">
      <c r="A3327" t="inlineStr">
        <is>
          <t>מדי-מרקט</t>
        </is>
      </c>
      <c r="B3327" t="inlineStr">
        <is>
          <t>שקיות שחורות עבות מאוד לאיסוף גופות 80*120 1/10</t>
        </is>
      </c>
      <c r="C3327" t="inlineStr">
        <is>
          <t>מוצרי נייר וניקוי</t>
        </is>
      </c>
      <c r="D3327" t="inlineStr">
        <is>
          <t>3731</t>
        </is>
      </c>
      <c r="E3327" t="inlineStr">
        <is>
          <t>2026-06</t>
        </is>
      </c>
      <c r="F3327" t="n">
        <v>57.71</v>
      </c>
      <c r="G3327" t="n">
        <v>68.09999999999999</v>
      </c>
      <c r="H3327">
        <f>הגדרות!B7</f>
        <v/>
      </c>
      <c r="I3327">
        <f>F3327*(1-H3327/100)*1.18</f>
        <v/>
      </c>
      <c r="J3327">
        <f>הגדרות!C7</f>
        <v/>
      </c>
      <c r="K3327">
        <f>הגדרות!D7</f>
        <v/>
      </c>
      <c r="L3327">
        <f>I3327*(1+J3327/100)+K3327</f>
        <v/>
      </c>
    </row>
    <row r="3328">
      <c r="A3328" t="inlineStr">
        <is>
          <t>מדי-מרקט</t>
        </is>
      </c>
      <c r="B3328" t="inlineStr">
        <is>
          <t>שקיות שתן - מערכת סגורה</t>
        </is>
      </c>
      <c r="C3328" t="inlineStr">
        <is>
          <t>ציוד ומכשור רפואי</t>
        </is>
      </c>
      <c r="D3328" t="inlineStr">
        <is>
          <t>3329908526</t>
        </is>
      </c>
      <c r="E3328" t="inlineStr">
        <is>
          <t>2026-06</t>
        </is>
      </c>
      <c r="F3328" t="n">
        <v>2.54</v>
      </c>
      <c r="G3328" t="n">
        <v>3</v>
      </c>
      <c r="H3328">
        <f>הגדרות!B7</f>
        <v/>
      </c>
      <c r="I3328">
        <f>F3328*(1-H3328/100)*1.18</f>
        <v/>
      </c>
      <c r="J3328">
        <f>הגדרות!C7</f>
        <v/>
      </c>
      <c r="K3328">
        <f>הגדרות!D7</f>
        <v/>
      </c>
      <c r="L3328">
        <f>I3328*(1+J3328/100)+K3328</f>
        <v/>
      </c>
    </row>
    <row r="3329">
      <c r="A3329" t="inlineStr">
        <is>
          <t>מדי-מרקט</t>
        </is>
      </c>
      <c r="B3329" t="inlineStr">
        <is>
          <t>שקיות שתן 2 ליטר ללא ברז עם שסתום, מדיקפרו</t>
        </is>
      </c>
      <c r="C3329" t="inlineStr">
        <is>
          <t>ציוד מתכלה</t>
        </is>
      </c>
      <c r="D3329" t="inlineStr">
        <is>
          <t>500-0391</t>
        </is>
      </c>
      <c r="E3329" t="inlineStr">
        <is>
          <t>2026-06</t>
        </is>
      </c>
      <c r="F3329" t="n">
        <v>0.47</v>
      </c>
      <c r="G3329" t="n">
        <v>0.55</v>
      </c>
      <c r="H3329">
        <f>הגדרות!B7</f>
        <v/>
      </c>
      <c r="I3329">
        <f>F3329*(1-H3329/100)*1.18</f>
        <v/>
      </c>
      <c r="J3329">
        <f>הגדרות!C7</f>
        <v/>
      </c>
      <c r="K3329">
        <f>הגדרות!D7</f>
        <v/>
      </c>
      <c r="L3329">
        <f>I3329*(1+J3329/100)+K3329</f>
        <v/>
      </c>
    </row>
    <row r="3330">
      <c r="A3330" t="inlineStr">
        <is>
          <t>מדי-מרקט</t>
        </is>
      </c>
      <c r="B3330" t="inlineStr">
        <is>
          <t>שקיות שתן 2 ליטר ללא ברז, מדיקפרו</t>
        </is>
      </c>
      <c r="C3330" t="inlineStr">
        <is>
          <t>ציוד מתכלה</t>
        </is>
      </c>
      <c r="D3330" t="inlineStr">
        <is>
          <t>500-039</t>
        </is>
      </c>
      <c r="E3330" t="inlineStr">
        <is>
          <t>2026-06</t>
        </is>
      </c>
      <c r="F3330" t="n">
        <v>0.47</v>
      </c>
      <c r="G3330" t="n">
        <v>0.55</v>
      </c>
      <c r="H3330">
        <f>הגדרות!B7</f>
        <v/>
      </c>
      <c r="I3330">
        <f>F3330*(1-H3330/100)*1.18</f>
        <v/>
      </c>
      <c r="J3330">
        <f>הגדרות!C7</f>
        <v/>
      </c>
      <c r="K3330">
        <f>הגדרות!D7</f>
        <v/>
      </c>
      <c r="L3330">
        <f>I3330*(1+J3330/100)+K3330</f>
        <v/>
      </c>
    </row>
    <row r="3331">
      <c r="A3331" t="inlineStr">
        <is>
          <t>מדי-מרקט</t>
        </is>
      </c>
      <c r="B3331" t="inlineStr">
        <is>
          <t>שקיות שתן סטריליות 2 ליטר עם ברז ושסתום T , מדיקפרו</t>
        </is>
      </c>
      <c r="C3331" t="inlineStr">
        <is>
          <t>ציוד מתכלה</t>
        </is>
      </c>
      <c r="D3331" t="inlineStr">
        <is>
          <t>400-032</t>
        </is>
      </c>
      <c r="E3331" t="inlineStr">
        <is>
          <t>2026-06</t>
        </is>
      </c>
      <c r="F3331" t="n">
        <v>0.7</v>
      </c>
      <c r="G3331" t="n">
        <v>0.83</v>
      </c>
      <c r="H3331">
        <f>הגדרות!B7</f>
        <v/>
      </c>
      <c r="I3331">
        <f>F3331*(1-H3331/100)*1.18</f>
        <v/>
      </c>
      <c r="J3331">
        <f>הגדרות!C7</f>
        <v/>
      </c>
      <c r="K3331">
        <f>הגדרות!D7</f>
        <v/>
      </c>
      <c r="L3331">
        <f>I3331*(1+J3331/100)+K3331</f>
        <v/>
      </c>
    </row>
    <row r="3332">
      <c r="A3332" t="inlineStr">
        <is>
          <t>מדי-מרקט</t>
        </is>
      </c>
      <c r="B3332" t="inlineStr">
        <is>
          <t>שקיות שתן עם רצועות קשירה לרגל, 800 מל, מדיקפרו</t>
        </is>
      </c>
      <c r="C3332" t="inlineStr">
        <is>
          <t>ציוד מתכלה</t>
        </is>
      </c>
      <c r="D3332" t="inlineStr">
        <is>
          <t>500-903</t>
        </is>
      </c>
      <c r="E3332" t="inlineStr">
        <is>
          <t>2026-06</t>
        </is>
      </c>
      <c r="F3332" t="n">
        <v>3.39</v>
      </c>
      <c r="G3332" t="n">
        <v>4</v>
      </c>
      <c r="H3332">
        <f>הגדרות!B7</f>
        <v/>
      </c>
      <c r="I3332">
        <f>F3332*(1-H3332/100)*1.18</f>
        <v/>
      </c>
      <c r="J3332">
        <f>הגדרות!C7</f>
        <v/>
      </c>
      <c r="K3332">
        <f>הגדרות!D7</f>
        <v/>
      </c>
      <c r="L3332">
        <f>I3332*(1+J3332/100)+K3332</f>
        <v/>
      </c>
    </row>
    <row r="3333">
      <c r="A3333" t="inlineStr">
        <is>
          <t>מדי-מרקט</t>
        </is>
      </c>
      <c r="B3333" t="inlineStr">
        <is>
          <t>שקית הנשמה למכונת הרדמה 0.5 לי' ללא לטקס מדיקפרו</t>
        </is>
      </c>
      <c r="C3333" t="inlineStr">
        <is>
          <t>ציוד מתכלה</t>
        </is>
      </c>
      <c r="D3333" t="inlineStr">
        <is>
          <t>5942</t>
        </is>
      </c>
      <c r="E3333" t="inlineStr">
        <is>
          <t>2026-06</t>
        </is>
      </c>
      <c r="F3333" t="n">
        <v>4.25</v>
      </c>
      <c r="G3333" t="n">
        <v>5.01</v>
      </c>
      <c r="H3333">
        <f>הגדרות!B7</f>
        <v/>
      </c>
      <c r="I3333">
        <f>F3333*(1-H3333/100)*1.18</f>
        <v/>
      </c>
      <c r="J3333">
        <f>הגדרות!C7</f>
        <v/>
      </c>
      <c r="K3333">
        <f>הגדרות!D7</f>
        <v/>
      </c>
      <c r="L3333">
        <f>I3333*(1+J3333/100)+K3333</f>
        <v/>
      </c>
    </row>
    <row r="3334">
      <c r="A3334" t="inlineStr">
        <is>
          <t>מדי-מרקט</t>
        </is>
      </c>
      <c r="B3334" t="inlineStr">
        <is>
          <t>שקית הנשמה למכונת הרדמה 1 לי' ללא לטקס מדיקפרו</t>
        </is>
      </c>
      <c r="C3334" t="inlineStr">
        <is>
          <t>ציוד מתכלה</t>
        </is>
      </c>
      <c r="D3334" t="inlineStr">
        <is>
          <t>5943</t>
        </is>
      </c>
      <c r="E3334" t="inlineStr">
        <is>
          <t>2026-06</t>
        </is>
      </c>
      <c r="F3334" t="n">
        <v>4.25</v>
      </c>
      <c r="G3334" t="n">
        <v>5.01</v>
      </c>
      <c r="H3334">
        <f>הגדרות!B7</f>
        <v/>
      </c>
      <c r="I3334">
        <f>F3334*(1-H3334/100)*1.18</f>
        <v/>
      </c>
      <c r="J3334">
        <f>הגדרות!C7</f>
        <v/>
      </c>
      <c r="K3334">
        <f>הגדרות!D7</f>
        <v/>
      </c>
      <c r="L3334">
        <f>I3334*(1+J3334/100)+K3334</f>
        <v/>
      </c>
    </row>
    <row r="3335">
      <c r="A3335" t="inlineStr">
        <is>
          <t>מדי-מרקט</t>
        </is>
      </c>
      <c r="B3335" t="inlineStr">
        <is>
          <t>שקית הנשמה למכונת הרדמה 2 לי' ללא לטקס מדיקפרו</t>
        </is>
      </c>
      <c r="C3335" t="inlineStr">
        <is>
          <t>ציוד מתכלה</t>
        </is>
      </c>
      <c r="D3335" t="inlineStr">
        <is>
          <t>6002</t>
        </is>
      </c>
      <c r="E3335" t="inlineStr">
        <is>
          <t>2026-06</t>
        </is>
      </c>
      <c r="F3335" t="n">
        <v>4.71</v>
      </c>
      <c r="G3335" t="n">
        <v>5.56</v>
      </c>
      <c r="H3335">
        <f>הגדרות!B7</f>
        <v/>
      </c>
      <c r="I3335">
        <f>F3335*(1-H3335/100)*1.18</f>
        <v/>
      </c>
      <c r="J3335">
        <f>הגדרות!C7</f>
        <v/>
      </c>
      <c r="K3335">
        <f>הגדרות!D7</f>
        <v/>
      </c>
      <c r="L3335">
        <f>I3335*(1+J3335/100)+K3335</f>
        <v/>
      </c>
    </row>
    <row r="3336">
      <c r="A3336" t="inlineStr">
        <is>
          <t>מדי-מרקט</t>
        </is>
      </c>
      <c r="B3336" t="inlineStr">
        <is>
          <t>שקית הנשמה למכונת הרדמה 3 לי' ללא לטקס מדיקפרו</t>
        </is>
      </c>
      <c r="C3336" t="inlineStr">
        <is>
          <t>ציוד מתכלה</t>
        </is>
      </c>
      <c r="D3336" t="inlineStr">
        <is>
          <t>6620</t>
        </is>
      </c>
      <c r="E3336" t="inlineStr">
        <is>
          <t>2026-06</t>
        </is>
      </c>
      <c r="F3336" t="n">
        <v>4.71</v>
      </c>
      <c r="G3336" t="n">
        <v>5.56</v>
      </c>
      <c r="H3336">
        <f>הגדרות!B7</f>
        <v/>
      </c>
      <c r="I3336">
        <f>F3336*(1-H3336/100)*1.18</f>
        <v/>
      </c>
      <c r="J3336">
        <f>הגדרות!C7</f>
        <v/>
      </c>
      <c r="K3336">
        <f>הגדרות!D7</f>
        <v/>
      </c>
      <c r="L3336">
        <f>I3336*(1+J3336/100)+K3336</f>
        <v/>
      </c>
    </row>
    <row r="3337">
      <c r="A3337" t="inlineStr">
        <is>
          <t>מדי-מרקט</t>
        </is>
      </c>
      <c r="B3337" t="inlineStr">
        <is>
          <t>שקית חימום קירור מג'ל 10*15 ס"מ,מדיקפרו</t>
        </is>
      </c>
      <c r="C3337" t="inlineStr">
        <is>
          <t>ציוד ומכשור רפואי</t>
        </is>
      </c>
      <c r="D3337" t="inlineStr">
        <is>
          <t>3661</t>
        </is>
      </c>
      <c r="E3337" t="inlineStr">
        <is>
          <t>2026-06</t>
        </is>
      </c>
      <c r="F3337" t="n">
        <v>2.28</v>
      </c>
      <c r="G3337" t="n">
        <v>2.69</v>
      </c>
      <c r="H3337">
        <f>הגדרות!B7</f>
        <v/>
      </c>
      <c r="I3337">
        <f>F3337*(1-H3337/100)*1.18</f>
        <v/>
      </c>
      <c r="J3337">
        <f>הגדרות!C7</f>
        <v/>
      </c>
      <c r="K3337">
        <f>הגדרות!D7</f>
        <v/>
      </c>
      <c r="L3337">
        <f>I3337*(1+J3337/100)+K3337</f>
        <v/>
      </c>
    </row>
    <row r="3338">
      <c r="A3338" t="inlineStr">
        <is>
          <t>מדי-מרקט</t>
        </is>
      </c>
      <c r="B3338" t="inlineStr">
        <is>
          <t>שקית חימום/קירור , 26.5X13.5 ס"מ, 10 יחידות, MX LONDON</t>
        </is>
      </c>
      <c r="C3338" t="inlineStr">
        <is>
          <t>ציוד ומכשור רפואי</t>
        </is>
      </c>
      <c r="D3338" t="inlineStr">
        <is>
          <t>VP65051</t>
        </is>
      </c>
      <c r="E3338" t="inlineStr">
        <is>
          <t>2026-06</t>
        </is>
      </c>
      <c r="F3338" t="n">
        <v>66.09999999999999</v>
      </c>
      <c r="G3338" t="n">
        <v>78</v>
      </c>
      <c r="H3338">
        <f>הגדרות!B7</f>
        <v/>
      </c>
      <c r="I3338">
        <f>F3338*(1-H3338/100)*1.18</f>
        <v/>
      </c>
      <c r="J3338">
        <f>הגדרות!C7</f>
        <v/>
      </c>
      <c r="K3338">
        <f>הגדרות!D7</f>
        <v/>
      </c>
      <c r="L3338">
        <f>I3338*(1+J3338/100)+K3338</f>
        <v/>
      </c>
    </row>
    <row r="3339">
      <c r="A3339" t="inlineStr">
        <is>
          <t>מדי-מרקט</t>
        </is>
      </c>
      <c r="B3339" t="inlineStr">
        <is>
          <t>שקית קירור חד פעמית 15.2X12.7 ס"מ,2 באריזה, MX LONDON</t>
        </is>
      </c>
      <c r="C3339" t="inlineStr">
        <is>
          <t>ציוד ומכשור רפואי</t>
        </is>
      </c>
      <c r="D3339" t="inlineStr">
        <is>
          <t>MX79302</t>
        </is>
      </c>
      <c r="E3339" t="inlineStr">
        <is>
          <t>2026-06</t>
        </is>
      </c>
      <c r="F3339" t="n">
        <v>3.05</v>
      </c>
      <c r="G3339" t="n">
        <v>3.6</v>
      </c>
      <c r="H3339">
        <f>הגדרות!B7</f>
        <v/>
      </c>
      <c r="I3339">
        <f>F3339*(1-H3339/100)*1.18</f>
        <v/>
      </c>
      <c r="J3339">
        <f>הגדרות!C7</f>
        <v/>
      </c>
      <c r="K3339">
        <f>הגדרות!D7</f>
        <v/>
      </c>
      <c r="L3339">
        <f>I3339*(1+J3339/100)+K3339</f>
        <v/>
      </c>
    </row>
    <row r="3340">
      <c r="A3340" t="inlineStr">
        <is>
          <t>מדי-מרקט</t>
        </is>
      </c>
      <c r="B3340" t="inlineStr">
        <is>
          <t>שקית קירור חד פעמית 15*11 ס"מ, 50 יח', מדיקפרו</t>
        </is>
      </c>
      <c r="C3340" t="inlineStr">
        <is>
          <t>ציוד ומכשור רפואי</t>
        </is>
      </c>
      <c r="D3340" t="inlineStr">
        <is>
          <t>600-650</t>
        </is>
      </c>
      <c r="E3340" t="inlineStr">
        <is>
          <t>2026-06</t>
        </is>
      </c>
      <c r="F3340" t="n">
        <v>36.02</v>
      </c>
      <c r="G3340" t="n">
        <v>42.5</v>
      </c>
      <c r="H3340">
        <f>הגדרות!B7</f>
        <v/>
      </c>
      <c r="I3340">
        <f>F3340*(1-H3340/100)*1.18</f>
        <v/>
      </c>
      <c r="J3340">
        <f>הגדרות!C7</f>
        <v/>
      </c>
      <c r="K3340">
        <f>הגדרות!D7</f>
        <v/>
      </c>
      <c r="L3340">
        <f>I3340*(1+J3340/100)+K3340</f>
        <v/>
      </c>
    </row>
    <row r="3341">
      <c r="A3341" t="inlineStr">
        <is>
          <t>מדי-מרקט</t>
        </is>
      </c>
      <c r="B3341" t="inlineStr">
        <is>
          <t>שקית קירור רב פעמית עם קשירה, 26.5&amp;#215;13.5 ס"מ, MX LONDON</t>
        </is>
      </c>
      <c r="C3341" t="inlineStr">
        <is>
          <t>ציוד ומכשור רפואי</t>
        </is>
      </c>
      <c r="D3341" t="inlineStr">
        <is>
          <t>MX79301</t>
        </is>
      </c>
      <c r="E3341" t="inlineStr">
        <is>
          <t>2026-06</t>
        </is>
      </c>
      <c r="F3341" t="n">
        <v>12.63</v>
      </c>
      <c r="G3341" t="n">
        <v>14.9</v>
      </c>
      <c r="H3341">
        <f>הגדרות!B7</f>
        <v/>
      </c>
      <c r="I3341">
        <f>F3341*(1-H3341/100)*1.18</f>
        <v/>
      </c>
      <c r="J3341">
        <f>הגדרות!C7</f>
        <v/>
      </c>
      <c r="K3341">
        <f>הגדרות!D7</f>
        <v/>
      </c>
      <c r="L3341">
        <f>I3341*(1+J3341/100)+K3341</f>
        <v/>
      </c>
    </row>
    <row r="3342">
      <c r="A3342" t="inlineStr">
        <is>
          <t>מדי-מרקט</t>
        </is>
      </c>
      <c r="B3342" t="inlineStr">
        <is>
          <t>שרוול לחץ דם 3.1-5.7 ס"מ למוניטור umec12 vet</t>
        </is>
      </c>
      <c r="C3342" t="inlineStr">
        <is>
          <t>Mindray</t>
        </is>
      </c>
      <c r="D3342" t="inlineStr">
        <is>
          <t>1001B-30-70692</t>
        </is>
      </c>
      <c r="E3342" t="inlineStr">
        <is>
          <t>2026-06</t>
        </is>
      </c>
      <c r="F3342" t="n">
        <v>38.14</v>
      </c>
      <c r="G3342" t="n">
        <v>45</v>
      </c>
      <c r="H3342">
        <f>הגדרות!B7</f>
        <v/>
      </c>
      <c r="I3342">
        <f>F3342*(1-H3342/100)*1.18</f>
        <v/>
      </c>
      <c r="J3342">
        <f>הגדרות!C7</f>
        <v/>
      </c>
      <c r="K3342">
        <f>הגדרות!D7</f>
        <v/>
      </c>
      <c r="L3342">
        <f>I3342*(1+J3342/100)+K3342</f>
        <v/>
      </c>
    </row>
    <row r="3343">
      <c r="A3343" t="inlineStr">
        <is>
          <t>מדי-מרקט</t>
        </is>
      </c>
      <c r="B3343" t="inlineStr">
        <is>
          <t>שרוול לחץ דם 4.3-8.0 ס"מ למוניטור umec12 vet</t>
        </is>
      </c>
      <c r="C3343" t="inlineStr">
        <is>
          <t>Mindray</t>
        </is>
      </c>
      <c r="D3343" t="inlineStr">
        <is>
          <t>1001B-30-70693</t>
        </is>
      </c>
      <c r="E3343" t="inlineStr">
        <is>
          <t>2026-06</t>
        </is>
      </c>
      <c r="F3343" t="n">
        <v>38.14</v>
      </c>
      <c r="G3343" t="n">
        <v>45</v>
      </c>
      <c r="H3343">
        <f>הגדרות!B7</f>
        <v/>
      </c>
      <c r="I3343">
        <f>F3343*(1-H3343/100)*1.18</f>
        <v/>
      </c>
      <c r="J3343">
        <f>הגדרות!C7</f>
        <v/>
      </c>
      <c r="K3343">
        <f>הגדרות!D7</f>
        <v/>
      </c>
      <c r="L3343">
        <f>I3343*(1+J3343/100)+K3343</f>
        <v/>
      </c>
    </row>
    <row r="3344">
      <c r="A3344" t="inlineStr">
        <is>
          <t>מדי-מרקט</t>
        </is>
      </c>
      <c r="B3344" t="inlineStr">
        <is>
          <t>שרוול לחץ דם 5.8-10.9 ס"מ למוניטור umec12 vet</t>
        </is>
      </c>
      <c r="C3344" t="inlineStr">
        <is>
          <t>Mindray</t>
        </is>
      </c>
      <c r="D3344" t="inlineStr">
        <is>
          <t>1001B-30-70694</t>
        </is>
      </c>
      <c r="E3344" t="inlineStr">
        <is>
          <t>2026-06</t>
        </is>
      </c>
      <c r="F3344" t="n">
        <v>38.14</v>
      </c>
      <c r="G3344" t="n">
        <v>45</v>
      </c>
      <c r="H3344">
        <f>הגדרות!B7</f>
        <v/>
      </c>
      <c r="I3344">
        <f>F3344*(1-H3344/100)*1.18</f>
        <v/>
      </c>
      <c r="J3344">
        <f>הגדרות!C7</f>
        <v/>
      </c>
      <c r="K3344">
        <f>הגדרות!D7</f>
        <v/>
      </c>
      <c r="L3344">
        <f>I3344*(1+J3344/100)+K3344</f>
        <v/>
      </c>
    </row>
    <row r="3345">
      <c r="A3345" t="inlineStr">
        <is>
          <t>מדי-מרקט</t>
        </is>
      </c>
      <c r="B3345" t="inlineStr">
        <is>
          <t>שרוול לחץ דם 5# למוניטור umec12 vet</t>
        </is>
      </c>
      <c r="C3345" t="inlineStr">
        <is>
          <t>Mindray</t>
        </is>
      </c>
      <c r="D3345" t="inlineStr">
        <is>
          <t>1001B-30-70696</t>
        </is>
      </c>
      <c r="E3345" t="inlineStr">
        <is>
          <t>2026-06</t>
        </is>
      </c>
      <c r="F3345" t="n">
        <v>38.14</v>
      </c>
      <c r="G3345" t="n">
        <v>45</v>
      </c>
      <c r="H3345">
        <f>הגדרות!B7</f>
        <v/>
      </c>
      <c r="I3345">
        <f>F3345*(1-H3345/100)*1.18</f>
        <v/>
      </c>
      <c r="J3345">
        <f>הגדרות!C7</f>
        <v/>
      </c>
      <c r="K3345">
        <f>הגדרות!D7</f>
        <v/>
      </c>
      <c r="L3345">
        <f>I3345*(1+J3345/100)+K3345</f>
        <v/>
      </c>
    </row>
    <row r="3346">
      <c r="A3346" t="inlineStr">
        <is>
          <t>מדי-מרקט</t>
        </is>
      </c>
      <c r="B3346" t="inlineStr">
        <is>
          <t>שרוול לחץ דם 7.1-13.1 ס"מ למוניטור umec12 vet</t>
        </is>
      </c>
      <c r="C3346" t="inlineStr">
        <is>
          <t>Mindray</t>
        </is>
      </c>
      <c r="D3346" t="inlineStr">
        <is>
          <t>1001B-30-70695</t>
        </is>
      </c>
      <c r="E3346" t="inlineStr">
        <is>
          <t>2026-06</t>
        </is>
      </c>
      <c r="F3346" t="n">
        <v>38.14</v>
      </c>
      <c r="G3346" t="n">
        <v>45</v>
      </c>
      <c r="H3346">
        <f>הגדרות!B7</f>
        <v/>
      </c>
      <c r="I3346">
        <f>F3346*(1-H3346/100)*1.18</f>
        <v/>
      </c>
      <c r="J3346">
        <f>הגדרות!C7</f>
        <v/>
      </c>
      <c r="K3346">
        <f>הגדרות!D7</f>
        <v/>
      </c>
      <c r="L3346">
        <f>I3346*(1+J3346/100)+K3346</f>
        <v/>
      </c>
    </row>
    <row r="3347">
      <c r="A3347" t="inlineStr">
        <is>
          <t>מדי-מרקט</t>
        </is>
      </c>
      <c r="B3347" t="inlineStr">
        <is>
          <t>שרוול לחץ דם וטר' בינוני 19-25 ס"מ למוניטור umec12 vet</t>
        </is>
      </c>
      <c r="C3347" t="inlineStr">
        <is>
          <t>Mindray</t>
        </is>
      </c>
      <c r="D3347" t="inlineStr">
        <is>
          <t>040-000654A-00</t>
        </is>
      </c>
      <c r="E3347" t="inlineStr">
        <is>
          <t>2026-06</t>
        </is>
      </c>
      <c r="F3347" t="n">
        <v>83.05</v>
      </c>
      <c r="G3347" t="n">
        <v>98</v>
      </c>
      <c r="H3347">
        <f>הגדרות!B7</f>
        <v/>
      </c>
      <c r="I3347">
        <f>F3347*(1-H3347/100)*1.18</f>
        <v/>
      </c>
      <c r="J3347">
        <f>הגדרות!C7</f>
        <v/>
      </c>
      <c r="K3347">
        <f>הגדרות!D7</f>
        <v/>
      </c>
      <c r="L3347">
        <f>I3347*(1+J3347/100)+K3347</f>
        <v/>
      </c>
    </row>
    <row r="3348">
      <c r="A3348" t="inlineStr">
        <is>
          <t>מדי-מרקט</t>
        </is>
      </c>
      <c r="B3348" t="inlineStr">
        <is>
          <t>שרוול למד לחץ דם וטרינרי Vet20 מידה1#  3-6 ס"מ</t>
        </is>
      </c>
      <c r="C3348" t="inlineStr">
        <is>
          <t>מוניטורים ומכשירי א.ק.ג</t>
        </is>
      </c>
      <c r="D3348" t="inlineStr">
        <is>
          <t>98-0400-80</t>
        </is>
      </c>
      <c r="E3348" t="inlineStr">
        <is>
          <t>2026-06</t>
        </is>
      </c>
      <c r="F3348" t="n">
        <v>50.85</v>
      </c>
      <c r="G3348" t="n">
        <v>60</v>
      </c>
      <c r="H3348">
        <f>הגדרות!B7</f>
        <v/>
      </c>
      <c r="I3348">
        <f>F3348*(1-H3348/100)*1.18</f>
        <v/>
      </c>
      <c r="J3348">
        <f>הגדרות!C7</f>
        <v/>
      </c>
      <c r="K3348">
        <f>הגדרות!D7</f>
        <v/>
      </c>
      <c r="L3348">
        <f>I3348*(1+J3348/100)+K3348</f>
        <v/>
      </c>
    </row>
    <row r="3349">
      <c r="A3349" t="inlineStr">
        <is>
          <t>מדי-מרקט</t>
        </is>
      </c>
      <c r="B3349" t="inlineStr">
        <is>
          <t>שרוול למד לחץ דם וטרינרי Vet20 מידה2#  4-8 ס"מ</t>
        </is>
      </c>
      <c r="C3349" t="inlineStr">
        <is>
          <t>מוניטורים ומכשירי א.ק.ג</t>
        </is>
      </c>
      <c r="D3349" t="inlineStr">
        <is>
          <t>98-0400-81</t>
        </is>
      </c>
      <c r="E3349" t="inlineStr">
        <is>
          <t>2026-06</t>
        </is>
      </c>
      <c r="F3349" t="n">
        <v>50.85</v>
      </c>
      <c r="G3349" t="n">
        <v>60</v>
      </c>
      <c r="H3349">
        <f>הגדרות!B7</f>
        <v/>
      </c>
      <c r="I3349">
        <f>F3349*(1-H3349/100)*1.18</f>
        <v/>
      </c>
      <c r="J3349">
        <f>הגדרות!C7</f>
        <v/>
      </c>
      <c r="K3349">
        <f>הגדרות!D7</f>
        <v/>
      </c>
      <c r="L3349">
        <f>I3349*(1+J3349/100)+K3349</f>
        <v/>
      </c>
    </row>
    <row r="3350">
      <c r="A3350" t="inlineStr">
        <is>
          <t>מדי-מרקט</t>
        </is>
      </c>
      <c r="B3350" t="inlineStr">
        <is>
          <t>שרוול למד לחץ דם וטרינרי Vet20 מידה3#  6-11 ס"מ</t>
        </is>
      </c>
      <c r="C3350" t="inlineStr">
        <is>
          <t>מוניטורים ומכשירי א.ק.ג</t>
        </is>
      </c>
      <c r="D3350" t="inlineStr">
        <is>
          <t>98-0400-82</t>
        </is>
      </c>
      <c r="E3350" t="inlineStr">
        <is>
          <t>2026-06</t>
        </is>
      </c>
      <c r="F3350" t="n">
        <v>50.85</v>
      </c>
      <c r="G3350" t="n">
        <v>60</v>
      </c>
      <c r="H3350">
        <f>הגדרות!B7</f>
        <v/>
      </c>
      <c r="I3350">
        <f>F3350*(1-H3350/100)*1.18</f>
        <v/>
      </c>
      <c r="J3350">
        <f>הגדרות!C7</f>
        <v/>
      </c>
      <c r="K3350">
        <f>הגדרות!D7</f>
        <v/>
      </c>
      <c r="L3350">
        <f>I3350*(1+J3350/100)+K3350</f>
        <v/>
      </c>
    </row>
    <row r="3351">
      <c r="A3351" t="inlineStr">
        <is>
          <t>מדי-מרקט</t>
        </is>
      </c>
      <c r="B3351" t="inlineStr">
        <is>
          <t>שרוול למד לחץ דם וטרינרי Vet20 מידה4#  7-13 ס"מ</t>
        </is>
      </c>
      <c r="C3351" t="inlineStr">
        <is>
          <t>מוניטורים ומכשירי א.ק.ג</t>
        </is>
      </c>
      <c r="D3351" t="inlineStr">
        <is>
          <t>98-0400-83</t>
        </is>
      </c>
      <c r="E3351" t="inlineStr">
        <is>
          <t>2026-06</t>
        </is>
      </c>
      <c r="F3351" t="n">
        <v>59.32</v>
      </c>
      <c r="G3351" t="n">
        <v>70</v>
      </c>
      <c r="H3351">
        <f>הגדרות!B7</f>
        <v/>
      </c>
      <c r="I3351">
        <f>F3351*(1-H3351/100)*1.18</f>
        <v/>
      </c>
      <c r="J3351">
        <f>הגדרות!C7</f>
        <v/>
      </c>
      <c r="K3351">
        <f>הגדרות!D7</f>
        <v/>
      </c>
      <c r="L3351">
        <f>I3351*(1+J3351/100)+K3351</f>
        <v/>
      </c>
    </row>
    <row r="3352">
      <c r="A3352" t="inlineStr">
        <is>
          <t>מדי-מרקט</t>
        </is>
      </c>
      <c r="B3352" t="inlineStr">
        <is>
          <t>שרוול למד לחץ דם וטרינרי Vet20 מידה5#  8-15 ס"מ</t>
        </is>
      </c>
      <c r="C3352" t="inlineStr">
        <is>
          <t>מוניטורים ומכשירי א.ק.ג</t>
        </is>
      </c>
      <c r="D3352" t="inlineStr">
        <is>
          <t>98-0400-84</t>
        </is>
      </c>
      <c r="E3352" t="inlineStr">
        <is>
          <t>2026-06</t>
        </is>
      </c>
      <c r="F3352" t="n">
        <v>59.32</v>
      </c>
      <c r="G3352" t="n">
        <v>70</v>
      </c>
      <c r="H3352">
        <f>הגדרות!B7</f>
        <v/>
      </c>
      <c r="I3352">
        <f>F3352*(1-H3352/100)*1.18</f>
        <v/>
      </c>
      <c r="J3352">
        <f>הגדרות!C7</f>
        <v/>
      </c>
      <c r="K3352">
        <f>הגדרות!D7</f>
        <v/>
      </c>
      <c r="L3352">
        <f>I3352*(1+J3352/100)+K3352</f>
        <v/>
      </c>
    </row>
    <row r="3353">
      <c r="A3353" t="inlineStr">
        <is>
          <t>מדי-מרקט</t>
        </is>
      </c>
      <c r="B3353" t="inlineStr">
        <is>
          <t>שרוול למד לחץ דם וטרינרי Vet20 מידה6#  12-19 ס"מ</t>
        </is>
      </c>
      <c r="C3353" t="inlineStr">
        <is>
          <t>מוניטורים ומכשירי א.ק.ג</t>
        </is>
      </c>
      <c r="D3353" t="inlineStr">
        <is>
          <t>98-0400-F1</t>
        </is>
      </c>
      <c r="E3353" t="inlineStr">
        <is>
          <t>2026-06</t>
        </is>
      </c>
      <c r="F3353" t="n">
        <v>59.32</v>
      </c>
      <c r="G3353" t="n">
        <v>70</v>
      </c>
      <c r="H3353">
        <f>הגדרות!B7</f>
        <v/>
      </c>
      <c r="I3353">
        <f>F3353*(1-H3353/100)*1.18</f>
        <v/>
      </c>
      <c r="J3353">
        <f>הגדרות!C7</f>
        <v/>
      </c>
      <c r="K3353">
        <f>הגדרות!D7</f>
        <v/>
      </c>
      <c r="L3353">
        <f>I3353*(1+J3353/100)+K3353</f>
        <v/>
      </c>
    </row>
    <row r="3354">
      <c r="A3354" t="inlineStr">
        <is>
          <t>מדי-מרקט</t>
        </is>
      </c>
      <c r="B3354" t="inlineStr">
        <is>
          <t>שרוול למד לחץ דם וטרינרי Vet20 מידה7#  17-25 ס"מ</t>
        </is>
      </c>
      <c r="C3354" t="inlineStr">
        <is>
          <t>מוניטורים ומכשירי א.ק.ג</t>
        </is>
      </c>
      <c r="D3354" t="inlineStr">
        <is>
          <t>98-0400-F3</t>
        </is>
      </c>
      <c r="E3354" t="inlineStr">
        <is>
          <t>2026-06</t>
        </is>
      </c>
      <c r="F3354" t="n">
        <v>59.32</v>
      </c>
      <c r="G3354" t="n">
        <v>70</v>
      </c>
      <c r="H3354">
        <f>הגדרות!B7</f>
        <v/>
      </c>
      <c r="I3354">
        <f>F3354*(1-H3354/100)*1.18</f>
        <v/>
      </c>
      <c r="J3354">
        <f>הגדרות!C7</f>
        <v/>
      </c>
      <c r="K3354">
        <f>הגדרות!D7</f>
        <v/>
      </c>
      <c r="L3354">
        <f>I3354*(1+J3354/100)+K3354</f>
        <v/>
      </c>
    </row>
    <row r="3355">
      <c r="A3355" t="inlineStr">
        <is>
          <t>מדי-מרקט</t>
        </is>
      </c>
      <c r="B3355" t="inlineStr">
        <is>
          <t>שרוך לטובוס 100 מטר מדיקפרו</t>
        </is>
      </c>
      <c r="C3355" t="inlineStr">
        <is>
          <t>ציוד מתכלה</t>
        </is>
      </c>
      <c r="D3355" t="inlineStr">
        <is>
          <t>500-112</t>
        </is>
      </c>
      <c r="E3355" t="inlineStr">
        <is>
          <t>2026-06</t>
        </is>
      </c>
      <c r="F3355" t="n">
        <v>16.1</v>
      </c>
      <c r="G3355" t="n">
        <v>19</v>
      </c>
      <c r="H3355">
        <f>הגדרות!B7</f>
        <v/>
      </c>
      <c r="I3355">
        <f>F3355*(1-H3355/100)*1.18</f>
        <v/>
      </c>
      <c r="J3355">
        <f>הגדרות!C7</f>
        <v/>
      </c>
      <c r="K3355">
        <f>הגדרות!D7</f>
        <v/>
      </c>
      <c r="L3355">
        <f>I3355*(1+J3355/100)+K3355</f>
        <v/>
      </c>
    </row>
    <row r="3356">
      <c r="A3356" t="inlineStr">
        <is>
          <t>מדי-מרקט</t>
        </is>
      </c>
      <c r="B3356" t="inlineStr">
        <is>
          <t>שרימר טסט TEAR FLO בדיקת דמעות 1/100</t>
        </is>
      </c>
      <c r="C3356" t="inlineStr">
        <is>
          <t>מוצרים לטיפוח ונשיאת בע"ח</t>
        </is>
      </c>
      <c r="D3356" t="inlineStr">
        <is>
          <t>3738</t>
        </is>
      </c>
      <c r="E3356" t="inlineStr">
        <is>
          <t>2026-06</t>
        </is>
      </c>
      <c r="F3356" t="n">
        <v>137.29</v>
      </c>
      <c r="G3356" t="n">
        <v>162</v>
      </c>
      <c r="H3356">
        <f>הגדרות!B7</f>
        <v/>
      </c>
      <c r="I3356">
        <f>F3356*(1-H3356/100)*1.18</f>
        <v/>
      </c>
      <c r="J3356">
        <f>הגדרות!C7</f>
        <v/>
      </c>
      <c r="K3356">
        <f>הגדרות!D7</f>
        <v/>
      </c>
      <c r="L3356">
        <f>I3356*(1+J3356/100)+K3356</f>
        <v/>
      </c>
    </row>
    <row r="3357">
      <c r="A3357" t="inlineStr">
        <is>
          <t>מדי-מרקט</t>
        </is>
      </c>
      <c r="B3357" t="inlineStr">
        <is>
          <t>תא שאיפה (Aerochamber) עם מסיכת סיליקון לילדים</t>
        </is>
      </c>
      <c r="C3357" t="inlineStr">
        <is>
          <t>ציוד מתכלה</t>
        </is>
      </c>
      <c r="D3357" t="inlineStr">
        <is>
          <t>300-525</t>
        </is>
      </c>
      <c r="E3357" t="inlineStr">
        <is>
          <t>2026-06</t>
        </is>
      </c>
      <c r="F3357" t="n">
        <v>29.66</v>
      </c>
      <c r="G3357" t="n">
        <v>35</v>
      </c>
      <c r="H3357">
        <f>הגדרות!B7</f>
        <v/>
      </c>
      <c r="I3357">
        <f>F3357*(1-H3357/100)*1.18</f>
        <v/>
      </c>
      <c r="J3357">
        <f>הגדרות!C7</f>
        <v/>
      </c>
      <c r="K3357">
        <f>הגדרות!D7</f>
        <v/>
      </c>
      <c r="L3357">
        <f>I3357*(1+J3357/100)+K3357</f>
        <v/>
      </c>
    </row>
    <row r="3358">
      <c r="A3358" t="inlineStr">
        <is>
          <t>מדי-מרקט</t>
        </is>
      </c>
      <c r="B3358" t="inlineStr">
        <is>
          <t>תא שאיפה (Aerochamber) עם מסיכת סיליקון לתינוקות</t>
        </is>
      </c>
      <c r="C3358" t="inlineStr">
        <is>
          <t>ציוד מתכלה</t>
        </is>
      </c>
      <c r="D3358" t="inlineStr">
        <is>
          <t>300-526</t>
        </is>
      </c>
      <c r="E3358" t="inlineStr">
        <is>
          <t>2026-06</t>
        </is>
      </c>
      <c r="F3358" t="n">
        <v>29.66</v>
      </c>
      <c r="G3358" t="n">
        <v>35</v>
      </c>
      <c r="H3358">
        <f>הגדרות!B7</f>
        <v/>
      </c>
      <c r="I3358">
        <f>F3358*(1-H3358/100)*1.18</f>
        <v/>
      </c>
      <c r="J3358">
        <f>הגדרות!C7</f>
        <v/>
      </c>
      <c r="K3358">
        <f>הגדרות!D7</f>
        <v/>
      </c>
      <c r="L3358">
        <f>I3358*(1+J3358/100)+K3358</f>
        <v/>
      </c>
    </row>
    <row r="3359">
      <c r="A3359" t="inlineStr">
        <is>
          <t>מדי-מרקט</t>
        </is>
      </c>
      <c r="B3359" t="inlineStr">
        <is>
          <t>תומך  פרימיום MX LONDON ,UNI S/M/L ,Tennis Elbow</t>
        </is>
      </c>
      <c r="C3359" t="inlineStr">
        <is>
          <t>תחבושות אורטופדיות</t>
        </is>
      </c>
      <c r="D3359" t="inlineStr">
        <is>
          <t>MX74391</t>
        </is>
      </c>
      <c r="E3359" t="inlineStr">
        <is>
          <t>2026-06</t>
        </is>
      </c>
      <c r="F3359" t="n">
        <v>8.27</v>
      </c>
      <c r="G3359" t="n">
        <v>9.76</v>
      </c>
      <c r="H3359">
        <f>הגדרות!B7</f>
        <v/>
      </c>
      <c r="I3359">
        <f>F3359*(1-H3359/100)*1.18</f>
        <v/>
      </c>
      <c r="J3359">
        <f>הגדרות!C7</f>
        <v/>
      </c>
      <c r="K3359">
        <f>הגדרות!D7</f>
        <v/>
      </c>
      <c r="L3359">
        <f>I3359*(1+J3359/100)+K3359</f>
        <v/>
      </c>
    </row>
    <row r="3360">
      <c r="A3360" t="inlineStr">
        <is>
          <t>מדי-מרקט</t>
        </is>
      </c>
      <c r="B3360" t="inlineStr">
        <is>
          <t>תומך אגודל פרימיום Neoprene, מתאים לשני צדדים, MX LONDON</t>
        </is>
      </c>
      <c r="C3360" t="inlineStr">
        <is>
          <t>תחבושות אורטופדיות</t>
        </is>
      </c>
      <c r="D3360" t="inlineStr">
        <is>
          <t>MX75022</t>
        </is>
      </c>
      <c r="E3360" t="inlineStr">
        <is>
          <t>2026-06</t>
        </is>
      </c>
      <c r="F3360" t="n">
        <v>12.78</v>
      </c>
      <c r="G3360" t="n">
        <v>15.08</v>
      </c>
      <c r="H3360">
        <f>הגדרות!B7</f>
        <v/>
      </c>
      <c r="I3360">
        <f>F3360*(1-H3360/100)*1.18</f>
        <v/>
      </c>
      <c r="J3360">
        <f>הגדרות!C7</f>
        <v/>
      </c>
      <c r="K3360">
        <f>הגדרות!D7</f>
        <v/>
      </c>
      <c r="L3360">
        <f>I3360*(1+J3360/100)+K3360</f>
        <v/>
      </c>
    </row>
    <row r="3361">
      <c r="A3361" t="inlineStr">
        <is>
          <t>מדי-מרקט</t>
        </is>
      </c>
      <c r="B3361" t="inlineStr">
        <is>
          <t>תומך אורטופדי לקיבוע הקרסול,הקרסול ימין,MX LONDON,M-L</t>
        </is>
      </c>
      <c r="C3361" t="inlineStr">
        <is>
          <t>תחבושות אורטופדיות</t>
        </is>
      </c>
      <c r="D3361" t="inlineStr">
        <is>
          <t>MX77058</t>
        </is>
      </c>
      <c r="E3361" t="inlineStr">
        <is>
          <t>2026-06</t>
        </is>
      </c>
      <c r="F3361" t="n">
        <v>50.85</v>
      </c>
      <c r="G3361" t="n">
        <v>60</v>
      </c>
      <c r="H3361">
        <f>הגדרות!B7</f>
        <v/>
      </c>
      <c r="I3361">
        <f>F3361*(1-H3361/100)*1.18</f>
        <v/>
      </c>
      <c r="J3361">
        <f>הגדרות!C7</f>
        <v/>
      </c>
      <c r="K3361">
        <f>הגדרות!D7</f>
        <v/>
      </c>
      <c r="L3361">
        <f>I3361*(1+J3361/100)+K3361</f>
        <v/>
      </c>
    </row>
    <row r="3362">
      <c r="A3362" t="inlineStr">
        <is>
          <t>מדי-מרקט</t>
        </is>
      </c>
      <c r="B3362" t="inlineStr">
        <is>
          <t>תומך אורטופדי לקיבוע פרק כף יד,יד ימין,MX LONDON,M-L</t>
        </is>
      </c>
      <c r="C3362" t="inlineStr">
        <is>
          <t>תחבושות אורטופדיות</t>
        </is>
      </c>
      <c r="D3362" t="inlineStr">
        <is>
          <t>MX77055</t>
        </is>
      </c>
      <c r="E3362" t="inlineStr">
        <is>
          <t>2026-06</t>
        </is>
      </c>
      <c r="F3362" t="n">
        <v>50.85</v>
      </c>
      <c r="G3362" t="n">
        <v>60</v>
      </c>
      <c r="H3362">
        <f>הגדרות!B7</f>
        <v/>
      </c>
      <c r="I3362">
        <f>F3362*(1-H3362/100)*1.18</f>
        <v/>
      </c>
      <c r="J3362">
        <f>הגדרות!C7</f>
        <v/>
      </c>
      <c r="K3362">
        <f>הגדרות!D7</f>
        <v/>
      </c>
      <c r="L3362">
        <f>I3362*(1+J3362/100)+K3362</f>
        <v/>
      </c>
    </row>
    <row r="3363">
      <c r="A3363" t="inlineStr">
        <is>
          <t>מדי-מרקט</t>
        </is>
      </c>
      <c r="B3363" t="inlineStr">
        <is>
          <t>תומך אורטופדי לקיבוע פרק כף יד,יד שמאל,MX LONDON,M-L</t>
        </is>
      </c>
      <c r="C3363" t="inlineStr">
        <is>
          <t>תחבושות אורטופדיות</t>
        </is>
      </c>
      <c r="D3363" t="inlineStr">
        <is>
          <t>MX77054</t>
        </is>
      </c>
      <c r="E3363" t="inlineStr">
        <is>
          <t>2026-06</t>
        </is>
      </c>
      <c r="F3363" t="n">
        <v>50.85</v>
      </c>
      <c r="G3363" t="n">
        <v>60</v>
      </c>
      <c r="H3363">
        <f>הגדרות!B7</f>
        <v/>
      </c>
      <c r="I3363">
        <f>F3363*(1-H3363/100)*1.18</f>
        <v/>
      </c>
      <c r="J3363">
        <f>הגדרות!C7</f>
        <v/>
      </c>
      <c r="K3363">
        <f>הגדרות!D7</f>
        <v/>
      </c>
      <c r="L3363">
        <f>I3363*(1+J3363/100)+K3363</f>
        <v/>
      </c>
    </row>
    <row r="3364">
      <c r="A3364" t="inlineStr">
        <is>
          <t>מדי-מרקט</t>
        </is>
      </c>
      <c r="B3364" t="inlineStr">
        <is>
          <t>תומך ברך 2 Premium UNI רצועות, MX LONDON ,S/M/L</t>
        </is>
      </c>
      <c r="C3364" t="inlineStr">
        <is>
          <t>תחבושות אורטופדיות</t>
        </is>
      </c>
      <c r="D3364" t="inlineStr">
        <is>
          <t>MX74191</t>
        </is>
      </c>
      <c r="E3364" t="inlineStr">
        <is>
          <t>2026-06</t>
        </is>
      </c>
      <c r="F3364" t="n">
        <v>22.88</v>
      </c>
      <c r="G3364" t="n">
        <v>27</v>
      </c>
      <c r="H3364">
        <f>הגדרות!B7</f>
        <v/>
      </c>
      <c r="I3364">
        <f>F3364*(1-H3364/100)*1.18</f>
        <v/>
      </c>
      <c r="J3364">
        <f>הגדרות!C7</f>
        <v/>
      </c>
      <c r="K3364">
        <f>הגדרות!D7</f>
        <v/>
      </c>
      <c r="L3364">
        <f>I3364*(1+J3364/100)+K3364</f>
        <v/>
      </c>
    </row>
    <row r="3365">
      <c r="A3365" t="inlineStr">
        <is>
          <t>מדי-מרקט</t>
        </is>
      </c>
      <c r="B3365" t="inlineStr">
        <is>
          <t>תומך ברך פרימיום, מידה MX LONDON ,L</t>
        </is>
      </c>
      <c r="C3365" t="inlineStr">
        <is>
          <t>תחבושות אורטופדיות</t>
        </is>
      </c>
      <c r="D3365" t="inlineStr">
        <is>
          <t>MX72131</t>
        </is>
      </c>
      <c r="E3365" t="inlineStr">
        <is>
          <t>2026-06</t>
        </is>
      </c>
      <c r="F3365" t="n">
        <v>13.37</v>
      </c>
      <c r="G3365" t="n">
        <v>15.78</v>
      </c>
      <c r="H3365">
        <f>הגדרות!B7</f>
        <v/>
      </c>
      <c r="I3365">
        <f>F3365*(1-H3365/100)*1.18</f>
        <v/>
      </c>
      <c r="J3365">
        <f>הגדרות!C7</f>
        <v/>
      </c>
      <c r="K3365">
        <f>הגדרות!D7</f>
        <v/>
      </c>
      <c r="L3365">
        <f>I3365*(1+J3365/100)+K3365</f>
        <v/>
      </c>
    </row>
    <row r="3366">
      <c r="A3366" t="inlineStr">
        <is>
          <t>מדי-מרקט</t>
        </is>
      </c>
      <c r="B3366" t="inlineStr">
        <is>
          <t>תומך ברך פרימיום, מידה MX LONDON ,M</t>
        </is>
      </c>
      <c r="C3366" t="inlineStr">
        <is>
          <t>תחבושות אורטופדיות</t>
        </is>
      </c>
      <c r="D3366" t="inlineStr">
        <is>
          <t>MX72121</t>
        </is>
      </c>
      <c r="E3366" t="inlineStr">
        <is>
          <t>2026-06</t>
        </is>
      </c>
      <c r="F3366" t="n">
        <v>12.84</v>
      </c>
      <c r="G3366" t="n">
        <v>15.15</v>
      </c>
      <c r="H3366">
        <f>הגדרות!B7</f>
        <v/>
      </c>
      <c r="I3366">
        <f>F3366*(1-H3366/100)*1.18</f>
        <v/>
      </c>
      <c r="J3366">
        <f>הגדרות!C7</f>
        <v/>
      </c>
      <c r="K3366">
        <f>הגדרות!D7</f>
        <v/>
      </c>
      <c r="L3366">
        <f>I3366*(1+J3366/100)+K3366</f>
        <v/>
      </c>
    </row>
    <row r="3367">
      <c r="A3367" t="inlineStr">
        <is>
          <t>מדי-מרקט</t>
        </is>
      </c>
      <c r="B3367" t="inlineStr">
        <is>
          <t>תומך ברך פרימיום, מידה MX LONDON ,S</t>
        </is>
      </c>
      <c r="C3367" t="inlineStr">
        <is>
          <t>תחבושות אורטופדיות</t>
        </is>
      </c>
      <c r="D3367" t="inlineStr">
        <is>
          <t>MX72111</t>
        </is>
      </c>
      <c r="E3367" t="inlineStr">
        <is>
          <t>2026-06</t>
        </is>
      </c>
      <c r="F3367" t="n">
        <v>12.84</v>
      </c>
      <c r="G3367" t="n">
        <v>15.15</v>
      </c>
      <c r="H3367">
        <f>הגדרות!B7</f>
        <v/>
      </c>
      <c r="I3367">
        <f>F3367*(1-H3367/100)*1.18</f>
        <v/>
      </c>
      <c r="J3367">
        <f>הגדרות!C7</f>
        <v/>
      </c>
      <c r="K3367">
        <f>הגדרות!D7</f>
        <v/>
      </c>
      <c r="L3367">
        <f>I3367*(1+J3367/100)+K3367</f>
        <v/>
      </c>
    </row>
    <row r="3368">
      <c r="A3368" t="inlineStr">
        <is>
          <t>מדי-מרקט</t>
        </is>
      </c>
      <c r="B3368" t="inlineStr">
        <is>
          <t>תומך ברך פרימיום, מידה MX LONDON ,XL</t>
        </is>
      </c>
      <c r="C3368" t="inlineStr">
        <is>
          <t>תחבושות אורטופדיות</t>
        </is>
      </c>
      <c r="D3368" t="inlineStr">
        <is>
          <t>MX72141</t>
        </is>
      </c>
      <c r="E3368" t="inlineStr">
        <is>
          <t>2026-06</t>
        </is>
      </c>
      <c r="F3368" t="n">
        <v>12.84</v>
      </c>
      <c r="G3368" t="n">
        <v>15.15</v>
      </c>
      <c r="H3368">
        <f>הגדרות!B7</f>
        <v/>
      </c>
      <c r="I3368">
        <f>F3368*(1-H3368/100)*1.18</f>
        <v/>
      </c>
      <c r="J3368">
        <f>הגדרות!C7</f>
        <v/>
      </c>
      <c r="K3368">
        <f>הגדרות!D7</f>
        <v/>
      </c>
      <c r="L3368">
        <f>I3368*(1+J3368/100)+K3368</f>
        <v/>
      </c>
    </row>
    <row r="3369">
      <c r="A3369" t="inlineStr">
        <is>
          <t>מדי-מרקט</t>
        </is>
      </c>
      <c r="B3369" t="inlineStr">
        <is>
          <t>תומך ברך פרימיום, מידה MX LONDON ,XXL</t>
        </is>
      </c>
      <c r="C3369" t="inlineStr">
        <is>
          <t>תחבושות אורטופדיות</t>
        </is>
      </c>
      <c r="D3369" t="inlineStr">
        <is>
          <t>MX72151</t>
        </is>
      </c>
      <c r="E3369" t="inlineStr">
        <is>
          <t>2026-06</t>
        </is>
      </c>
      <c r="F3369" t="n">
        <v>14</v>
      </c>
      <c r="G3369" t="n">
        <v>16.52</v>
      </c>
      <c r="H3369">
        <f>הגדרות!B7</f>
        <v/>
      </c>
      <c r="I3369">
        <f>F3369*(1-H3369/100)*1.18</f>
        <v/>
      </c>
      <c r="J3369">
        <f>הגדרות!C7</f>
        <v/>
      </c>
      <c r="K3369">
        <f>הגדרות!D7</f>
        <v/>
      </c>
      <c r="L3369">
        <f>I3369*(1+J3369/100)+K3369</f>
        <v/>
      </c>
    </row>
    <row r="3370">
      <c r="A3370" t="inlineStr">
        <is>
          <t>מדי-מרקט</t>
        </is>
      </c>
      <c r="B3370" t="inlineStr">
        <is>
          <t>תומך לגב פרימיום MX LONDON ,UNI 3XL-XL ,Neoprene</t>
        </is>
      </c>
      <c r="C3370" t="inlineStr">
        <is>
          <t>תחבושות אורטופדיות</t>
        </is>
      </c>
      <c r="D3370" t="inlineStr">
        <is>
          <t>MX74721</t>
        </is>
      </c>
      <c r="E3370" t="inlineStr">
        <is>
          <t>2026-06</t>
        </is>
      </c>
      <c r="F3370" t="n">
        <v>42.06</v>
      </c>
      <c r="G3370" t="n">
        <v>49.63</v>
      </c>
      <c r="H3370">
        <f>הגדרות!B7</f>
        <v/>
      </c>
      <c r="I3370">
        <f>F3370*(1-H3370/100)*1.18</f>
        <v/>
      </c>
      <c r="J3370">
        <f>הגדרות!C7</f>
        <v/>
      </c>
      <c r="K3370">
        <f>הגדרות!D7</f>
        <v/>
      </c>
      <c r="L3370">
        <f>I3370*(1+J3370/100)+K3370</f>
        <v/>
      </c>
    </row>
    <row r="3371">
      <c r="A3371" t="inlineStr">
        <is>
          <t>מדי-מרקט</t>
        </is>
      </c>
      <c r="B3371" t="inlineStr">
        <is>
          <t>תומך לגב פרימיום MX LONDON ,UNI+ S/M/L ,Neoprene</t>
        </is>
      </c>
      <c r="C3371" t="inlineStr">
        <is>
          <t>תחבושות אורטופדיות</t>
        </is>
      </c>
      <c r="D3371" t="inlineStr">
        <is>
          <t>MX74711</t>
        </is>
      </c>
      <c r="E3371" t="inlineStr">
        <is>
          <t>2026-06</t>
        </is>
      </c>
      <c r="F3371" t="n">
        <v>42.06</v>
      </c>
      <c r="G3371" t="n">
        <v>49.63</v>
      </c>
      <c r="H3371">
        <f>הגדרות!B7</f>
        <v/>
      </c>
      <c r="I3371">
        <f>F3371*(1-H3371/100)*1.18</f>
        <v/>
      </c>
      <c r="J3371">
        <f>הגדרות!C7</f>
        <v/>
      </c>
      <c r="K3371">
        <f>הגדרות!D7</f>
        <v/>
      </c>
      <c r="L3371">
        <f>I3371*(1+J3371/100)+K3371</f>
        <v/>
      </c>
    </row>
    <row r="3372">
      <c r="A3372" t="inlineStr">
        <is>
          <t>מדי-מרקט</t>
        </is>
      </c>
      <c r="B3372" t="inlineStr">
        <is>
          <t>תומך לגב פרימיום, MX LONDON ,UNI L-XXL</t>
        </is>
      </c>
      <c r="C3372" t="inlineStr">
        <is>
          <t>תחבושות אורטופדיות</t>
        </is>
      </c>
      <c r="D3372" t="inlineStr">
        <is>
          <t>MX72721</t>
        </is>
      </c>
      <c r="E3372" t="inlineStr">
        <is>
          <t>2026-06</t>
        </is>
      </c>
      <c r="F3372" t="n">
        <v>76.34999999999999</v>
      </c>
      <c r="G3372" t="n">
        <v>90.09</v>
      </c>
      <c r="H3372">
        <f>הגדרות!B7</f>
        <v/>
      </c>
      <c r="I3372">
        <f>F3372*(1-H3372/100)*1.18</f>
        <v/>
      </c>
      <c r="J3372">
        <f>הגדרות!C7</f>
        <v/>
      </c>
      <c r="K3372">
        <f>הגדרות!D7</f>
        <v/>
      </c>
      <c r="L3372">
        <f>I3372*(1+J3372/100)+K3372</f>
        <v/>
      </c>
    </row>
    <row r="3373">
      <c r="A3373" t="inlineStr">
        <is>
          <t>מדי-מרקט</t>
        </is>
      </c>
      <c r="B3373" t="inlineStr">
        <is>
          <t>תומך לגב פרימיום, MX LONDON ,UNI S/M/L</t>
        </is>
      </c>
      <c r="C3373" t="inlineStr">
        <is>
          <t>תחבושות אורטופדיות</t>
        </is>
      </c>
      <c r="D3373" t="inlineStr">
        <is>
          <t>MX72711</t>
        </is>
      </c>
      <c r="E3373" t="inlineStr">
        <is>
          <t>2026-06</t>
        </is>
      </c>
      <c r="F3373" t="n">
        <v>76.34999999999999</v>
      </c>
      <c r="G3373" t="n">
        <v>90.09</v>
      </c>
      <c r="H3373">
        <f>הגדרות!B7</f>
        <v/>
      </c>
      <c r="I3373">
        <f>F3373*(1-H3373/100)*1.18</f>
        <v/>
      </c>
      <c r="J3373">
        <f>הגדרות!C7</f>
        <v/>
      </c>
      <c r="K3373">
        <f>הגדרות!D7</f>
        <v/>
      </c>
      <c r="L3373">
        <f>I3373*(1+J3373/100)+K3373</f>
        <v/>
      </c>
    </row>
    <row r="3374">
      <c r="A3374" t="inlineStr">
        <is>
          <t>מדי-מרקט</t>
        </is>
      </c>
      <c r="B3374" t="inlineStr">
        <is>
          <t>תומך ליד פרימיום, מידה MX LONDON ,L</t>
        </is>
      </c>
      <c r="C3374" t="inlineStr">
        <is>
          <t>תחבושות אורטופדיות</t>
        </is>
      </c>
      <c r="D3374" t="inlineStr">
        <is>
          <t>MX72831</t>
        </is>
      </c>
      <c r="E3374" t="inlineStr">
        <is>
          <t>2026-06</t>
        </is>
      </c>
      <c r="F3374" t="n">
        <v>8.56</v>
      </c>
      <c r="G3374" t="n">
        <v>10.1</v>
      </c>
      <c r="H3374">
        <f>הגדרות!B7</f>
        <v/>
      </c>
      <c r="I3374">
        <f>F3374*(1-H3374/100)*1.18</f>
        <v/>
      </c>
      <c r="J3374">
        <f>הגדרות!C7</f>
        <v/>
      </c>
      <c r="K3374">
        <f>הגדרות!D7</f>
        <v/>
      </c>
      <c r="L3374">
        <f>I3374*(1+J3374/100)+K3374</f>
        <v/>
      </c>
    </row>
    <row r="3375">
      <c r="A3375" t="inlineStr">
        <is>
          <t>מדי-מרקט</t>
        </is>
      </c>
      <c r="B3375" t="inlineStr">
        <is>
          <t>תומך ליד פרימיום, מידה MX LONDON ,M</t>
        </is>
      </c>
      <c r="C3375" t="inlineStr">
        <is>
          <t>תחבושות אורטופדיות</t>
        </is>
      </c>
      <c r="D3375" t="inlineStr">
        <is>
          <t>MX72821</t>
        </is>
      </c>
      <c r="E3375" t="inlineStr">
        <is>
          <t>2026-06</t>
        </is>
      </c>
      <c r="F3375" t="n">
        <v>8.56</v>
      </c>
      <c r="G3375" t="n">
        <v>10.1</v>
      </c>
      <c r="H3375">
        <f>הגדרות!B7</f>
        <v/>
      </c>
      <c r="I3375">
        <f>F3375*(1-H3375/100)*1.18</f>
        <v/>
      </c>
      <c r="J3375">
        <f>הגדרות!C7</f>
        <v/>
      </c>
      <c r="K3375">
        <f>הגדרות!D7</f>
        <v/>
      </c>
      <c r="L3375">
        <f>I3375*(1+J3375/100)+K3375</f>
        <v/>
      </c>
    </row>
    <row r="3376">
      <c r="A3376" t="inlineStr">
        <is>
          <t>מדי-מרקט</t>
        </is>
      </c>
      <c r="B3376" t="inlineStr">
        <is>
          <t>תומך ליד פרימיום, מידה MX LONDON ,S</t>
        </is>
      </c>
      <c r="C3376" t="inlineStr">
        <is>
          <t>תחבושות אורטופדיות</t>
        </is>
      </c>
      <c r="D3376" t="inlineStr">
        <is>
          <t>MX72811</t>
        </is>
      </c>
      <c r="E3376" t="inlineStr">
        <is>
          <t>2026-06</t>
        </is>
      </c>
      <c r="F3376" t="n">
        <v>8.56</v>
      </c>
      <c r="G3376" t="n">
        <v>10.1</v>
      </c>
      <c r="H3376">
        <f>הגדרות!B7</f>
        <v/>
      </c>
      <c r="I3376">
        <f>F3376*(1-H3376/100)*1.18</f>
        <v/>
      </c>
      <c r="J3376">
        <f>הגדרות!C7</f>
        <v/>
      </c>
      <c r="K3376">
        <f>הגדרות!D7</f>
        <v/>
      </c>
      <c r="L3376">
        <f>I3376*(1+J3376/100)+K3376</f>
        <v/>
      </c>
    </row>
    <row r="3377">
      <c r="A3377" t="inlineStr">
        <is>
          <t>מדי-מרקט</t>
        </is>
      </c>
      <c r="B3377" t="inlineStr">
        <is>
          <t>תומך ליד פרימיום, מידה MX LONDON ,XL</t>
        </is>
      </c>
      <c r="C3377" t="inlineStr">
        <is>
          <t>תחבושות אורטופדיות</t>
        </is>
      </c>
      <c r="D3377" t="inlineStr">
        <is>
          <t>MX72841</t>
        </is>
      </c>
      <c r="E3377" t="inlineStr">
        <is>
          <t>2026-06</t>
        </is>
      </c>
      <c r="F3377" t="n">
        <v>8.56</v>
      </c>
      <c r="G3377" t="n">
        <v>10.1</v>
      </c>
      <c r="H3377">
        <f>הגדרות!B7</f>
        <v/>
      </c>
      <c r="I3377">
        <f>F3377*(1-H3377/100)*1.18</f>
        <v/>
      </c>
      <c r="J3377">
        <f>הגדרות!C7</f>
        <v/>
      </c>
      <c r="K3377">
        <f>הגדרות!D7</f>
        <v/>
      </c>
      <c r="L3377">
        <f>I3377*(1+J3377/100)+K3377</f>
        <v/>
      </c>
    </row>
    <row r="3378">
      <c r="A3378" t="inlineStr">
        <is>
          <t>מדי-מרקט</t>
        </is>
      </c>
      <c r="B3378" t="inlineStr">
        <is>
          <t>תומך ליד פרימיום, מידה MX LONDON ,XXL</t>
        </is>
      </c>
      <c r="C3378" t="inlineStr">
        <is>
          <t>תחבושות אורטופדיות</t>
        </is>
      </c>
      <c r="D3378" t="inlineStr">
        <is>
          <t>MX72851</t>
        </is>
      </c>
      <c r="E3378" t="inlineStr">
        <is>
          <t>2026-06</t>
        </is>
      </c>
      <c r="F3378" t="n">
        <v>8.56</v>
      </c>
      <c r="G3378" t="n">
        <v>10.1</v>
      </c>
      <c r="H3378">
        <f>הגדרות!B7</f>
        <v/>
      </c>
      <c r="I3378">
        <f>F3378*(1-H3378/100)*1.18</f>
        <v/>
      </c>
      <c r="J3378">
        <f>הגדרות!C7</f>
        <v/>
      </c>
      <c r="K3378">
        <f>הגדרות!D7</f>
        <v/>
      </c>
      <c r="L3378">
        <f>I3378*(1+J3378/100)+K3378</f>
        <v/>
      </c>
    </row>
    <row r="3379">
      <c r="A3379" t="inlineStr">
        <is>
          <t>מדי-מרקט</t>
        </is>
      </c>
      <c r="B3379" t="inlineStr">
        <is>
          <t>תומך מרפק פרימיום, מידה MX LONDON ,L</t>
        </is>
      </c>
      <c r="C3379" t="inlineStr">
        <is>
          <t>תחבושות אורטופדיות</t>
        </is>
      </c>
      <c r="D3379" t="inlineStr">
        <is>
          <t>MX72331</t>
        </is>
      </c>
      <c r="E3379" t="inlineStr">
        <is>
          <t>2026-06</t>
        </is>
      </c>
      <c r="F3379" t="n">
        <v>9.91</v>
      </c>
      <c r="G3379" t="n">
        <v>11.69</v>
      </c>
      <c r="H3379">
        <f>הגדרות!B7</f>
        <v/>
      </c>
      <c r="I3379">
        <f>F3379*(1-H3379/100)*1.18</f>
        <v/>
      </c>
      <c r="J3379">
        <f>הגדרות!C7</f>
        <v/>
      </c>
      <c r="K3379">
        <f>הגדרות!D7</f>
        <v/>
      </c>
      <c r="L3379">
        <f>I3379*(1+J3379/100)+K3379</f>
        <v/>
      </c>
    </row>
    <row r="3380">
      <c r="A3380" t="inlineStr">
        <is>
          <t>מדי-מרקט</t>
        </is>
      </c>
      <c r="B3380" t="inlineStr">
        <is>
          <t>תומך מרפק פרימיום, מידה MX LONDON ,M</t>
        </is>
      </c>
      <c r="C3380" t="inlineStr">
        <is>
          <t>תחבושות אורטופדיות</t>
        </is>
      </c>
      <c r="D3380" t="inlineStr">
        <is>
          <t>MX72321</t>
        </is>
      </c>
      <c r="E3380" t="inlineStr">
        <is>
          <t>2026-06</t>
        </is>
      </c>
      <c r="F3380" t="n">
        <v>9.91</v>
      </c>
      <c r="G3380" t="n">
        <v>11.69</v>
      </c>
      <c r="H3380">
        <f>הגדרות!B7</f>
        <v/>
      </c>
      <c r="I3380">
        <f>F3380*(1-H3380/100)*1.18</f>
        <v/>
      </c>
      <c r="J3380">
        <f>הגדרות!C7</f>
        <v/>
      </c>
      <c r="K3380">
        <f>הגדרות!D7</f>
        <v/>
      </c>
      <c r="L3380">
        <f>I3380*(1+J3380/100)+K3380</f>
        <v/>
      </c>
    </row>
    <row r="3381">
      <c r="A3381" t="inlineStr">
        <is>
          <t>מדי-מרקט</t>
        </is>
      </c>
      <c r="B3381" t="inlineStr">
        <is>
          <t>תומך מרפק פרימיום, מידה MX LONDON ,S</t>
        </is>
      </c>
      <c r="C3381" t="inlineStr">
        <is>
          <t>תחבושות אורטופדיות</t>
        </is>
      </c>
      <c r="D3381" t="inlineStr">
        <is>
          <t>MX72311</t>
        </is>
      </c>
      <c r="E3381" t="inlineStr">
        <is>
          <t>2026-06</t>
        </is>
      </c>
      <c r="F3381" t="n">
        <v>9.91</v>
      </c>
      <c r="G3381" t="n">
        <v>11.69</v>
      </c>
      <c r="H3381">
        <f>הגדרות!B7</f>
        <v/>
      </c>
      <c r="I3381">
        <f>F3381*(1-H3381/100)*1.18</f>
        <v/>
      </c>
      <c r="J3381">
        <f>הגדרות!C7</f>
        <v/>
      </c>
      <c r="K3381">
        <f>הגדרות!D7</f>
        <v/>
      </c>
      <c r="L3381">
        <f>I3381*(1+J3381/100)+K3381</f>
        <v/>
      </c>
    </row>
    <row r="3382">
      <c r="A3382" t="inlineStr">
        <is>
          <t>מדי-מרקט</t>
        </is>
      </c>
      <c r="B3382" t="inlineStr">
        <is>
          <t>תומך מרפק פרימיום, מידה MX LONDON ,XL</t>
        </is>
      </c>
      <c r="C3382" t="inlineStr">
        <is>
          <t>תחבושות אורטופדיות</t>
        </is>
      </c>
      <c r="D3382" t="inlineStr">
        <is>
          <t>MX72341</t>
        </is>
      </c>
      <c r="E3382" t="inlineStr">
        <is>
          <t>2026-06</t>
        </is>
      </c>
      <c r="F3382" t="n">
        <v>9.91</v>
      </c>
      <c r="G3382" t="n">
        <v>11.69</v>
      </c>
      <c r="H3382">
        <f>הגדרות!B7</f>
        <v/>
      </c>
      <c r="I3382">
        <f>F3382*(1-H3382/100)*1.18</f>
        <v/>
      </c>
      <c r="J3382">
        <f>הגדרות!C7</f>
        <v/>
      </c>
      <c r="K3382">
        <f>הגדרות!D7</f>
        <v/>
      </c>
      <c r="L3382">
        <f>I3382*(1+J3382/100)+K3382</f>
        <v/>
      </c>
    </row>
    <row r="3383">
      <c r="A3383" t="inlineStr">
        <is>
          <t>מדי-מרקט</t>
        </is>
      </c>
      <c r="B3383" t="inlineStr">
        <is>
          <t>תומך פרימיום לשורש כף יד,דגם MX LONDON ,UNIVERSAL</t>
        </is>
      </c>
      <c r="C3383" t="inlineStr">
        <is>
          <t>תחבושות אורטופדיות</t>
        </is>
      </c>
      <c r="D3383" t="inlineStr">
        <is>
          <t>MX74581</t>
        </is>
      </c>
      <c r="E3383" t="inlineStr">
        <is>
          <t>2026-06</t>
        </is>
      </c>
      <c r="F3383" t="n">
        <v>13.66</v>
      </c>
      <c r="G3383" t="n">
        <v>16.12</v>
      </c>
      <c r="H3383">
        <f>הגדרות!B7</f>
        <v/>
      </c>
      <c r="I3383">
        <f>F3383*(1-H3383/100)*1.18</f>
        <v/>
      </c>
      <c r="J3383">
        <f>הגדרות!C7</f>
        <v/>
      </c>
      <c r="K3383">
        <f>הגדרות!D7</f>
        <v/>
      </c>
      <c r="L3383">
        <f>I3383*(1+J3383/100)+K3383</f>
        <v/>
      </c>
    </row>
    <row r="3384">
      <c r="A3384" t="inlineStr">
        <is>
          <t>מדי-מרקט</t>
        </is>
      </c>
      <c r="B3384" t="inlineStr">
        <is>
          <t>תומך צוואר אורטופדי , מידה  MX LONDON , M</t>
        </is>
      </c>
      <c r="C3384" t="inlineStr">
        <is>
          <t>תחבושות אורטופדיות</t>
        </is>
      </c>
      <c r="D3384" t="inlineStr">
        <is>
          <t>MX75221</t>
        </is>
      </c>
      <c r="E3384" t="inlineStr">
        <is>
          <t>2026-06</t>
        </is>
      </c>
      <c r="F3384" t="n">
        <v>21.19</v>
      </c>
      <c r="G3384" t="n">
        <v>25</v>
      </c>
      <c r="H3384">
        <f>הגדרות!B7</f>
        <v/>
      </c>
      <c r="I3384">
        <f>F3384*(1-H3384/100)*1.18</f>
        <v/>
      </c>
      <c r="J3384">
        <f>הגדרות!C7</f>
        <v/>
      </c>
      <c r="K3384">
        <f>הגדרות!D7</f>
        <v/>
      </c>
      <c r="L3384">
        <f>I3384*(1+J3384/100)+K3384</f>
        <v/>
      </c>
    </row>
    <row r="3385">
      <c r="A3385" t="inlineStr">
        <is>
          <t>מדי-מרקט</t>
        </is>
      </c>
      <c r="B3385" t="inlineStr">
        <is>
          <t>תומך צוואר אורטופדי , מידה  MX LONDON , S</t>
        </is>
      </c>
      <c r="C3385" t="inlineStr">
        <is>
          <t>תחבושות אורטופדיות</t>
        </is>
      </c>
      <c r="D3385" t="inlineStr">
        <is>
          <t>MX75211</t>
        </is>
      </c>
      <c r="E3385" t="inlineStr">
        <is>
          <t>2026-06</t>
        </is>
      </c>
      <c r="F3385" t="n">
        <v>21.19</v>
      </c>
      <c r="G3385" t="n">
        <v>25</v>
      </c>
      <c r="H3385">
        <f>הגדרות!B7</f>
        <v/>
      </c>
      <c r="I3385">
        <f>F3385*(1-H3385/100)*1.18</f>
        <v/>
      </c>
      <c r="J3385">
        <f>הגדרות!C7</f>
        <v/>
      </c>
      <c r="K3385">
        <f>הגדרות!D7</f>
        <v/>
      </c>
      <c r="L3385">
        <f>I3385*(1+J3385/100)+K3385</f>
        <v/>
      </c>
    </row>
    <row r="3386">
      <c r="A3386" t="inlineStr">
        <is>
          <t>מדי-מרקט</t>
        </is>
      </c>
      <c r="B3386" t="inlineStr">
        <is>
          <t>תומך צוואר אורטופדי , מידה MX LONDON , L</t>
        </is>
      </c>
      <c r="C3386" t="inlineStr">
        <is>
          <t>תחבושות אורטופדיות</t>
        </is>
      </c>
      <c r="D3386" t="inlineStr">
        <is>
          <t>MX75231</t>
        </is>
      </c>
      <c r="E3386" t="inlineStr">
        <is>
          <t>2026-06</t>
        </is>
      </c>
      <c r="F3386" t="n">
        <v>21.19</v>
      </c>
      <c r="G3386" t="n">
        <v>25</v>
      </c>
      <c r="H3386">
        <f>הגדרות!B7</f>
        <v/>
      </c>
      <c r="I3386">
        <f>F3386*(1-H3386/100)*1.18</f>
        <v/>
      </c>
      <c r="J3386">
        <f>הגדרות!C7</f>
        <v/>
      </c>
      <c r="K3386">
        <f>הגדרות!D7</f>
        <v/>
      </c>
      <c r="L3386">
        <f>I3386*(1+J3386/100)+K3386</f>
        <v/>
      </c>
    </row>
    <row r="3387">
      <c r="A3387" t="inlineStr">
        <is>
          <t>מדי-מרקט</t>
        </is>
      </c>
      <c r="B3387" t="inlineStr">
        <is>
          <t>תומך צוואר אורטופדי , מידה MX LONDON , XL</t>
        </is>
      </c>
      <c r="C3387" t="inlineStr">
        <is>
          <t>תחבושות אורטופדיות</t>
        </is>
      </c>
      <c r="D3387" t="inlineStr">
        <is>
          <t>MX75241</t>
        </is>
      </c>
      <c r="E3387" t="inlineStr">
        <is>
          <t>2026-06</t>
        </is>
      </c>
      <c r="F3387" t="n">
        <v>21.19</v>
      </c>
      <c r="G3387" t="n">
        <v>25</v>
      </c>
      <c r="H3387">
        <f>הגדרות!B7</f>
        <v/>
      </c>
      <c r="I3387">
        <f>F3387*(1-H3387/100)*1.18</f>
        <v/>
      </c>
      <c r="J3387">
        <f>הגדרות!C7</f>
        <v/>
      </c>
      <c r="K3387">
        <f>הגדרות!D7</f>
        <v/>
      </c>
      <c r="L3387">
        <f>I3387*(1+J3387/100)+K3387</f>
        <v/>
      </c>
    </row>
    <row r="3388">
      <c r="A3388" t="inlineStr">
        <is>
          <t>מדי-מרקט</t>
        </is>
      </c>
      <c r="B3388" t="inlineStr">
        <is>
          <t>תומך קרסול פרימיום Neoprene, מידה MX LONDON ,L</t>
        </is>
      </c>
      <c r="C3388" t="inlineStr">
        <is>
          <t>תחבושות אורטופדיות</t>
        </is>
      </c>
      <c r="D3388" t="inlineStr">
        <is>
          <t>MX74231</t>
        </is>
      </c>
      <c r="E3388" t="inlineStr">
        <is>
          <t>2026-06</t>
        </is>
      </c>
      <c r="F3388" t="n">
        <v>10.01</v>
      </c>
      <c r="G3388" t="n">
        <v>11.81</v>
      </c>
      <c r="H3388">
        <f>הגדרות!B7</f>
        <v/>
      </c>
      <c r="I3388">
        <f>F3388*(1-H3388/100)*1.18</f>
        <v/>
      </c>
      <c r="J3388">
        <f>הגדרות!C7</f>
        <v/>
      </c>
      <c r="K3388">
        <f>הגדרות!D7</f>
        <v/>
      </c>
      <c r="L3388">
        <f>I3388*(1+J3388/100)+K3388</f>
        <v/>
      </c>
    </row>
    <row r="3389">
      <c r="A3389" t="inlineStr">
        <is>
          <t>מדי-מרקט</t>
        </is>
      </c>
      <c r="B3389" t="inlineStr">
        <is>
          <t>תומך קרסול פרימיום Neoprene, מידה MX LONDON ,M</t>
        </is>
      </c>
      <c r="C3389" t="inlineStr">
        <is>
          <t>תחבושות אורטופדיות</t>
        </is>
      </c>
      <c r="D3389" t="inlineStr">
        <is>
          <t>MX74221</t>
        </is>
      </c>
      <c r="E3389" t="inlineStr">
        <is>
          <t>2026-06</t>
        </is>
      </c>
      <c r="F3389" t="n">
        <v>10.01</v>
      </c>
      <c r="G3389" t="n">
        <v>11.81</v>
      </c>
      <c r="H3389">
        <f>הגדרות!B7</f>
        <v/>
      </c>
      <c r="I3389">
        <f>F3389*(1-H3389/100)*1.18</f>
        <v/>
      </c>
      <c r="J3389">
        <f>הגדרות!C7</f>
        <v/>
      </c>
      <c r="K3389">
        <f>הגדרות!D7</f>
        <v/>
      </c>
      <c r="L3389">
        <f>I3389*(1+J3389/100)+K3389</f>
        <v/>
      </c>
    </row>
    <row r="3390">
      <c r="A3390" t="inlineStr">
        <is>
          <t>מדי-מרקט</t>
        </is>
      </c>
      <c r="B3390" t="inlineStr">
        <is>
          <t>תומך קרסול פרימיום Neoprene, מידה MX LONDON ,S</t>
        </is>
      </c>
      <c r="C3390" t="inlineStr">
        <is>
          <t>תחבושות אורטופדיות</t>
        </is>
      </c>
      <c r="D3390" t="inlineStr">
        <is>
          <t>MX74211</t>
        </is>
      </c>
      <c r="E3390" t="inlineStr">
        <is>
          <t>2026-06</t>
        </is>
      </c>
      <c r="F3390" t="n">
        <v>10.01</v>
      </c>
      <c r="G3390" t="n">
        <v>11.81</v>
      </c>
      <c r="H3390">
        <f>הגדרות!B7</f>
        <v/>
      </c>
      <c r="I3390">
        <f>F3390*(1-H3390/100)*1.18</f>
        <v/>
      </c>
      <c r="J3390">
        <f>הגדרות!C7</f>
        <v/>
      </c>
      <c r="K3390">
        <f>הגדרות!D7</f>
        <v/>
      </c>
      <c r="L3390">
        <f>I3390*(1+J3390/100)+K3390</f>
        <v/>
      </c>
    </row>
    <row r="3391">
      <c r="A3391" t="inlineStr">
        <is>
          <t>מדי-מרקט</t>
        </is>
      </c>
      <c r="B3391" t="inlineStr">
        <is>
          <t>תומך קרסול פרימיום Neoprene, מידה MX LONDON ,XL</t>
        </is>
      </c>
      <c r="C3391" t="inlineStr">
        <is>
          <t>תחבושות אורטופדיות</t>
        </is>
      </c>
      <c r="D3391" t="inlineStr">
        <is>
          <t>MX74241</t>
        </is>
      </c>
      <c r="E3391" t="inlineStr">
        <is>
          <t>2026-06</t>
        </is>
      </c>
      <c r="F3391" t="n">
        <v>10.01</v>
      </c>
      <c r="G3391" t="n">
        <v>11.81</v>
      </c>
      <c r="H3391">
        <f>הגדרות!B7</f>
        <v/>
      </c>
      <c r="I3391">
        <f>F3391*(1-H3391/100)*1.18</f>
        <v/>
      </c>
      <c r="J3391">
        <f>הגדרות!C7</f>
        <v/>
      </c>
      <c r="K3391">
        <f>הגדרות!D7</f>
        <v/>
      </c>
      <c r="L3391">
        <f>I3391*(1+J3391/100)+K3391</f>
        <v/>
      </c>
    </row>
    <row r="3392">
      <c r="A3392" t="inlineStr">
        <is>
          <t>מדי-מרקט</t>
        </is>
      </c>
      <c r="B3392" t="inlineStr">
        <is>
          <t>תומך קרסול פרימיום, מידה MX LONDON ,L</t>
        </is>
      </c>
      <c r="C3392" t="inlineStr">
        <is>
          <t>תחבושות אורטופדיות</t>
        </is>
      </c>
      <c r="D3392" t="inlineStr">
        <is>
          <t>MX72231</t>
        </is>
      </c>
      <c r="E3392" t="inlineStr">
        <is>
          <t>2026-06</t>
        </is>
      </c>
      <c r="F3392" t="n">
        <v>10.19</v>
      </c>
      <c r="G3392" t="n">
        <v>12.03</v>
      </c>
      <c r="H3392">
        <f>הגדרות!B7</f>
        <v/>
      </c>
      <c r="I3392">
        <f>F3392*(1-H3392/100)*1.18</f>
        <v/>
      </c>
      <c r="J3392">
        <f>הגדרות!C7</f>
        <v/>
      </c>
      <c r="K3392">
        <f>הגדרות!D7</f>
        <v/>
      </c>
      <c r="L3392">
        <f>I3392*(1+J3392/100)+K3392</f>
        <v/>
      </c>
    </row>
    <row r="3393">
      <c r="A3393" t="inlineStr">
        <is>
          <t>מדי-מרקט</t>
        </is>
      </c>
      <c r="B3393" t="inlineStr">
        <is>
          <t>תומך קרסול פרימיום, מידה MX LONDON ,M</t>
        </is>
      </c>
      <c r="C3393" t="inlineStr">
        <is>
          <t>תחבושות אורטופדיות</t>
        </is>
      </c>
      <c r="D3393" t="inlineStr">
        <is>
          <t>MX72221</t>
        </is>
      </c>
      <c r="E3393" t="inlineStr">
        <is>
          <t>2026-06</t>
        </is>
      </c>
      <c r="F3393" t="n">
        <v>9.75</v>
      </c>
      <c r="G3393" t="n">
        <v>11.5</v>
      </c>
      <c r="H3393">
        <f>הגדרות!B7</f>
        <v/>
      </c>
      <c r="I3393">
        <f>F3393*(1-H3393/100)*1.18</f>
        <v/>
      </c>
      <c r="J3393">
        <f>הגדרות!C7</f>
        <v/>
      </c>
      <c r="K3393">
        <f>הגדרות!D7</f>
        <v/>
      </c>
      <c r="L3393">
        <f>I3393*(1+J3393/100)+K3393</f>
        <v/>
      </c>
    </row>
    <row r="3394">
      <c r="A3394" t="inlineStr">
        <is>
          <t>מדי-מרקט</t>
        </is>
      </c>
      <c r="B3394" t="inlineStr">
        <is>
          <t>תומך קרסול פרימיום, מידה MX LONDON ,S</t>
        </is>
      </c>
      <c r="C3394" t="inlineStr">
        <is>
          <t>תחבושות אורטופדיות</t>
        </is>
      </c>
      <c r="D3394" t="inlineStr">
        <is>
          <t>MX72211</t>
        </is>
      </c>
      <c r="E3394" t="inlineStr">
        <is>
          <t>2026-06</t>
        </is>
      </c>
      <c r="F3394" t="n">
        <v>9.75</v>
      </c>
      <c r="G3394" t="n">
        <v>11.5</v>
      </c>
      <c r="H3394">
        <f>הגדרות!B7</f>
        <v/>
      </c>
      <c r="I3394">
        <f>F3394*(1-H3394/100)*1.18</f>
        <v/>
      </c>
      <c r="J3394">
        <f>הגדרות!C7</f>
        <v/>
      </c>
      <c r="K3394">
        <f>הגדרות!D7</f>
        <v/>
      </c>
      <c r="L3394">
        <f>I3394*(1+J3394/100)+K3394</f>
        <v/>
      </c>
    </row>
    <row r="3395">
      <c r="A3395" t="inlineStr">
        <is>
          <t>מדי-מרקט</t>
        </is>
      </c>
      <c r="B3395" t="inlineStr">
        <is>
          <t>תומך קרסול פרימיום, מידה MX LONDON ,XL</t>
        </is>
      </c>
      <c r="C3395" t="inlineStr">
        <is>
          <t>תחבושות אורטופדיות</t>
        </is>
      </c>
      <c r="D3395" t="inlineStr">
        <is>
          <t>MX72241</t>
        </is>
      </c>
      <c r="E3395" t="inlineStr">
        <is>
          <t>2026-06</t>
        </is>
      </c>
      <c r="F3395" t="n">
        <v>9.75</v>
      </c>
      <c r="G3395" t="n">
        <v>11.5</v>
      </c>
      <c r="H3395">
        <f>הגדרות!B7</f>
        <v/>
      </c>
      <c r="I3395">
        <f>F3395*(1-H3395/100)*1.18</f>
        <v/>
      </c>
      <c r="J3395">
        <f>הגדרות!C7</f>
        <v/>
      </c>
      <c r="K3395">
        <f>הגדרות!D7</f>
        <v/>
      </c>
      <c r="L3395">
        <f>I3395*(1+J3395/100)+K3395</f>
        <v/>
      </c>
    </row>
    <row r="3396">
      <c r="A3396" t="inlineStr">
        <is>
          <t>מדי-מרקט</t>
        </is>
      </c>
      <c r="B3396" t="inlineStr">
        <is>
          <t>תומך שורש כף יד MX LONDON ,L/XL/XXL ,Neoprene</t>
        </is>
      </c>
      <c r="C3396" t="inlineStr">
        <is>
          <t>תחבושות אורטופדיות</t>
        </is>
      </c>
      <c r="D3396" t="inlineStr">
        <is>
          <t>MX74591</t>
        </is>
      </c>
      <c r="E3396" t="inlineStr">
        <is>
          <t>2026-06</t>
        </is>
      </c>
      <c r="F3396" t="n">
        <v>22.03</v>
      </c>
      <c r="G3396" t="n">
        <v>26</v>
      </c>
      <c r="H3396">
        <f>הגדרות!B7</f>
        <v/>
      </c>
      <c r="I3396">
        <f>F3396*(1-H3396/100)*1.18</f>
        <v/>
      </c>
      <c r="J3396">
        <f>הגדרות!C7</f>
        <v/>
      </c>
      <c r="K3396">
        <f>הגדרות!D7</f>
        <v/>
      </c>
      <c r="L3396">
        <f>I3396*(1+J3396/100)+K3396</f>
        <v/>
      </c>
    </row>
    <row r="3397">
      <c r="A3397" t="inlineStr">
        <is>
          <t>מדי-מרקט</t>
        </is>
      </c>
      <c r="B3397" t="inlineStr">
        <is>
          <t>תומך שורש כף יד MX LONDON ,S/M/L ,Neoprene</t>
        </is>
      </c>
      <c r="C3397" t="inlineStr">
        <is>
          <t>תחבושות אורטופדיות</t>
        </is>
      </c>
      <c r="D3397" t="inlineStr">
        <is>
          <t>MX74590</t>
        </is>
      </c>
      <c r="E3397" t="inlineStr">
        <is>
          <t>2026-06</t>
        </is>
      </c>
      <c r="F3397" t="n">
        <v>22.03</v>
      </c>
      <c r="G3397" t="n">
        <v>26</v>
      </c>
      <c r="H3397">
        <f>הגדרות!B7</f>
        <v/>
      </c>
      <c r="I3397">
        <f>F3397*(1-H3397/100)*1.18</f>
        <v/>
      </c>
      <c r="J3397">
        <f>הגדרות!C7</f>
        <v/>
      </c>
      <c r="K3397">
        <f>הגדרות!D7</f>
        <v/>
      </c>
      <c r="L3397">
        <f>I3397*(1+J3397/100)+K3397</f>
        <v/>
      </c>
    </row>
    <row r="3398">
      <c r="A3398" t="inlineStr">
        <is>
          <t>מדי-מרקט</t>
        </is>
      </c>
      <c r="B3398" t="inlineStr">
        <is>
          <t>תומך שורש כף יד פרימיום, מידה MX LONDON ,L</t>
        </is>
      </c>
      <c r="C3398" t="inlineStr">
        <is>
          <t>תחבושות אורטופדיות</t>
        </is>
      </c>
      <c r="D3398" t="inlineStr">
        <is>
          <t>MX72531</t>
        </is>
      </c>
      <c r="E3398" t="inlineStr">
        <is>
          <t>2026-06</t>
        </is>
      </c>
      <c r="F3398" t="n">
        <v>7.97</v>
      </c>
      <c r="G3398" t="n">
        <v>9.41</v>
      </c>
      <c r="H3398">
        <f>הגדרות!B7</f>
        <v/>
      </c>
      <c r="I3398">
        <f>F3398*(1-H3398/100)*1.18</f>
        <v/>
      </c>
      <c r="J3398">
        <f>הגדרות!C7</f>
        <v/>
      </c>
      <c r="K3398">
        <f>הגדרות!D7</f>
        <v/>
      </c>
      <c r="L3398">
        <f>I3398*(1+J3398/100)+K3398</f>
        <v/>
      </c>
    </row>
    <row r="3399">
      <c r="A3399" t="inlineStr">
        <is>
          <t>מדי-מרקט</t>
        </is>
      </c>
      <c r="B3399" t="inlineStr">
        <is>
          <t>תומך שורש כף יד פרימיום, מידה MX LONDON ,M</t>
        </is>
      </c>
      <c r="C3399" t="inlineStr">
        <is>
          <t>תחבושות אורטופדיות</t>
        </is>
      </c>
      <c r="D3399" t="inlineStr">
        <is>
          <t>MX72521</t>
        </is>
      </c>
      <c r="E3399" t="inlineStr">
        <is>
          <t>2026-06</t>
        </is>
      </c>
      <c r="F3399" t="n">
        <v>7.97</v>
      </c>
      <c r="G3399" t="n">
        <v>9.41</v>
      </c>
      <c r="H3399">
        <f>הגדרות!B7</f>
        <v/>
      </c>
      <c r="I3399">
        <f>F3399*(1-H3399/100)*1.18</f>
        <v/>
      </c>
      <c r="J3399">
        <f>הגדרות!C7</f>
        <v/>
      </c>
      <c r="K3399">
        <f>הגדרות!D7</f>
        <v/>
      </c>
      <c r="L3399">
        <f>I3399*(1+J3399/100)+K3399</f>
        <v/>
      </c>
    </row>
    <row r="3400">
      <c r="A3400" t="inlineStr">
        <is>
          <t>מדי-מרקט</t>
        </is>
      </c>
      <c r="B3400" t="inlineStr">
        <is>
          <t>תומך שורש כף יד פרימיום, מידה MX LONDON ,S</t>
        </is>
      </c>
      <c r="C3400" t="inlineStr">
        <is>
          <t>תחבושות אורטופדיות</t>
        </is>
      </c>
      <c r="D3400" t="inlineStr">
        <is>
          <t>MX72511</t>
        </is>
      </c>
      <c r="E3400" t="inlineStr">
        <is>
          <t>2026-06</t>
        </is>
      </c>
      <c r="F3400" t="n">
        <v>7.97</v>
      </c>
      <c r="G3400" t="n">
        <v>9.41</v>
      </c>
      <c r="H3400">
        <f>הגדרות!B7</f>
        <v/>
      </c>
      <c r="I3400">
        <f>F3400*(1-H3400/100)*1.18</f>
        <v/>
      </c>
      <c r="J3400">
        <f>הגדרות!C7</f>
        <v/>
      </c>
      <c r="K3400">
        <f>הגדרות!D7</f>
        <v/>
      </c>
      <c r="L3400">
        <f>I3400*(1+J3400/100)+K3400</f>
        <v/>
      </c>
    </row>
    <row r="3401">
      <c r="A3401" t="inlineStr">
        <is>
          <t>מדי-מרקט</t>
        </is>
      </c>
      <c r="B3401" t="inlineStr">
        <is>
          <t>תומך שורש כף יד פרימיום, מידה MX LONDON ,XL</t>
        </is>
      </c>
      <c r="C3401" t="inlineStr">
        <is>
          <t>תחבושות אורטופדיות</t>
        </is>
      </c>
      <c r="D3401" t="inlineStr">
        <is>
          <t>MX72541</t>
        </is>
      </c>
      <c r="E3401" t="inlineStr">
        <is>
          <t>2026-06</t>
        </is>
      </c>
      <c r="F3401" t="n">
        <v>7.97</v>
      </c>
      <c r="G3401" t="n">
        <v>9.41</v>
      </c>
      <c r="H3401">
        <f>הגדרות!B7</f>
        <v/>
      </c>
      <c r="I3401">
        <f>F3401*(1-H3401/100)*1.18</f>
        <v/>
      </c>
      <c r="J3401">
        <f>הגדרות!C7</f>
        <v/>
      </c>
      <c r="K3401">
        <f>הגדרות!D7</f>
        <v/>
      </c>
      <c r="L3401">
        <f>I3401*(1+J3401/100)+K3401</f>
        <v/>
      </c>
    </row>
    <row r="3402">
      <c r="A3402" t="inlineStr">
        <is>
          <t>מדי-מרקט</t>
        </is>
      </c>
      <c r="B3402" t="inlineStr">
        <is>
          <t>תומך שורש כף יד פרימיום, מידה MX LONDON ,XXL</t>
        </is>
      </c>
      <c r="C3402" t="inlineStr">
        <is>
          <t>תחבושות אורטופדיות</t>
        </is>
      </c>
      <c r="D3402" t="inlineStr">
        <is>
          <t>MX72551</t>
        </is>
      </c>
      <c r="E3402" t="inlineStr">
        <is>
          <t>2026-06</t>
        </is>
      </c>
      <c r="F3402" t="n">
        <v>8.69</v>
      </c>
      <c r="G3402" t="n">
        <v>10.26</v>
      </c>
      <c r="H3402">
        <f>הגדרות!B7</f>
        <v/>
      </c>
      <c r="I3402">
        <f>F3402*(1-H3402/100)*1.18</f>
        <v/>
      </c>
      <c r="J3402">
        <f>הגדרות!C7</f>
        <v/>
      </c>
      <c r="K3402">
        <f>הגדרות!D7</f>
        <v/>
      </c>
      <c r="L3402">
        <f>I3402*(1+J3402/100)+K3402</f>
        <v/>
      </c>
    </row>
    <row r="3403">
      <c r="A3403" t="inlineStr">
        <is>
          <t>מדי-מרקט</t>
        </is>
      </c>
      <c r="B3403" t="inlineStr">
        <is>
          <t>תוסף למי שתיה 473 מ"ל OXYFRESH</t>
        </is>
      </c>
      <c r="C3403" t="inlineStr">
        <is>
          <t>Oxyfresh</t>
        </is>
      </c>
      <c r="D3403" t="inlineStr">
        <is>
          <t>61-456</t>
        </is>
      </c>
      <c r="E3403" t="inlineStr">
        <is>
          <t>2026-06</t>
        </is>
      </c>
      <c r="F3403" t="n">
        <v>15.76</v>
      </c>
      <c r="G3403" t="n">
        <v>18.6</v>
      </c>
      <c r="H3403">
        <f>הגדרות!B7</f>
        <v/>
      </c>
      <c r="I3403">
        <f>F3403*(1-H3403/100)*1.18</f>
        <v/>
      </c>
      <c r="J3403">
        <f>הגדרות!C7</f>
        <v/>
      </c>
      <c r="K3403">
        <f>הגדרות!D7</f>
        <v/>
      </c>
      <c r="L3403">
        <f>I3403*(1+J3403/100)+K3403</f>
        <v/>
      </c>
    </row>
    <row r="3404">
      <c r="A3404" t="inlineStr">
        <is>
          <t>מדי-מרקט</t>
        </is>
      </c>
      <c r="B3404" t="inlineStr">
        <is>
          <t>תחבושת אישית אריזת ואקום, מדיקפרו</t>
        </is>
      </c>
      <c r="C3404" t="inlineStr">
        <is>
          <t>מוצרי חבישה ופלסטרים</t>
        </is>
      </c>
      <c r="D3404" t="inlineStr">
        <is>
          <t>1901</t>
        </is>
      </c>
      <c r="E3404" t="inlineStr">
        <is>
          <t>2026-06</t>
        </is>
      </c>
      <c r="F3404" t="n">
        <v>2.58</v>
      </c>
      <c r="G3404" t="n">
        <v>3.04</v>
      </c>
      <c r="H3404">
        <f>הגדרות!B7</f>
        <v/>
      </c>
      <c r="I3404">
        <f>F3404*(1-H3404/100)*1.18</f>
        <v/>
      </c>
      <c r="J3404">
        <f>הגדרות!C7</f>
        <v/>
      </c>
      <c r="K3404">
        <f>הגדרות!D7</f>
        <v/>
      </c>
      <c r="L3404">
        <f>I3404*(1+J3404/100)+K3404</f>
        <v/>
      </c>
    </row>
    <row r="3405">
      <c r="A3405" t="inlineStr">
        <is>
          <t>מדי-מרקט</t>
        </is>
      </c>
      <c r="B3405" t="inlineStr">
        <is>
          <t>תחבושת גבס מדיקפרו 12.5 ס"מ</t>
        </is>
      </c>
      <c r="C3405" t="inlineStr">
        <is>
          <t>מוצרי חבישה ופלסטרים</t>
        </is>
      </c>
      <c r="D3405" t="inlineStr">
        <is>
          <t>500-025</t>
        </is>
      </c>
      <c r="E3405" t="inlineStr">
        <is>
          <t>2026-06</t>
        </is>
      </c>
      <c r="F3405" t="n">
        <v>1.1</v>
      </c>
      <c r="G3405" t="n">
        <v>1.3</v>
      </c>
      <c r="H3405">
        <f>הגדרות!B7</f>
        <v/>
      </c>
      <c r="I3405">
        <f>F3405*(1-H3405/100)*1.18</f>
        <v/>
      </c>
      <c r="J3405">
        <f>הגדרות!C7</f>
        <v/>
      </c>
      <c r="K3405">
        <f>הגדרות!D7</f>
        <v/>
      </c>
      <c r="L3405">
        <f>I3405*(1+J3405/100)+K3405</f>
        <v/>
      </c>
    </row>
    <row r="3406">
      <c r="A3406" t="inlineStr">
        <is>
          <t>מדי-מרקט</t>
        </is>
      </c>
      <c r="B3406" t="inlineStr">
        <is>
          <t>תחבושת גבס מדיקפרו 15 ס"מ</t>
        </is>
      </c>
      <c r="C3406" t="inlineStr">
        <is>
          <t>מוצרי חבישה ופלסטרים</t>
        </is>
      </c>
      <c r="D3406" t="inlineStr">
        <is>
          <t>500-026</t>
        </is>
      </c>
      <c r="E3406" t="inlineStr">
        <is>
          <t>2026-06</t>
        </is>
      </c>
      <c r="F3406" t="n">
        <v>1.19</v>
      </c>
      <c r="G3406" t="n">
        <v>1.4</v>
      </c>
      <c r="H3406">
        <f>הגדרות!B7</f>
        <v/>
      </c>
      <c r="I3406">
        <f>F3406*(1-H3406/100)*1.18</f>
        <v/>
      </c>
      <c r="J3406">
        <f>הגדרות!C7</f>
        <v/>
      </c>
      <c r="K3406">
        <f>הגדרות!D7</f>
        <v/>
      </c>
      <c r="L3406">
        <f>I3406*(1+J3406/100)+K3406</f>
        <v/>
      </c>
    </row>
    <row r="3407">
      <c r="A3407" t="inlineStr">
        <is>
          <t>מדי-מרקט</t>
        </is>
      </c>
      <c r="B3407" t="inlineStr">
        <is>
          <t>תחבושת גבס מדיקפרו 20 ס"מ</t>
        </is>
      </c>
      <c r="C3407" t="inlineStr">
        <is>
          <t>מוצרי חבישה ופלסטרים</t>
        </is>
      </c>
      <c r="D3407" t="inlineStr">
        <is>
          <t>500-027</t>
        </is>
      </c>
      <c r="E3407" t="inlineStr">
        <is>
          <t>2026-06</t>
        </is>
      </c>
      <c r="F3407" t="n">
        <v>1.86</v>
      </c>
      <c r="G3407" t="n">
        <v>2.2</v>
      </c>
      <c r="H3407">
        <f>הגדרות!B7</f>
        <v/>
      </c>
      <c r="I3407">
        <f>F3407*(1-H3407/100)*1.18</f>
        <v/>
      </c>
      <c r="J3407">
        <f>הגדרות!C7</f>
        <v/>
      </c>
      <c r="K3407">
        <f>הגדרות!D7</f>
        <v/>
      </c>
      <c r="L3407">
        <f>I3407*(1+J3407/100)+K3407</f>
        <v/>
      </c>
    </row>
    <row r="3408">
      <c r="A3408" t="inlineStr">
        <is>
          <t>מדי-מרקט</t>
        </is>
      </c>
      <c r="B3408" t="inlineStr">
        <is>
          <t>תחבושת גבס מדיקפרו 7.5 ס"מ</t>
        </is>
      </c>
      <c r="C3408" t="inlineStr">
        <is>
          <t>מוצרי חבישה ופלסטרים</t>
        </is>
      </c>
      <c r="D3408" t="inlineStr">
        <is>
          <t>500-023</t>
        </is>
      </c>
      <c r="E3408" t="inlineStr">
        <is>
          <t>2026-06</t>
        </is>
      </c>
      <c r="F3408" t="n">
        <v>0.8100000000000001</v>
      </c>
      <c r="G3408" t="n">
        <v>0.95</v>
      </c>
      <c r="H3408">
        <f>הגדרות!B7</f>
        <v/>
      </c>
      <c r="I3408">
        <f>F3408*(1-H3408/100)*1.18</f>
        <v/>
      </c>
      <c r="J3408">
        <f>הגדרות!C7</f>
        <v/>
      </c>
      <c r="K3408">
        <f>הגדרות!D7</f>
        <v/>
      </c>
      <c r="L3408">
        <f>I3408*(1+J3408/100)+K3408</f>
        <v/>
      </c>
    </row>
    <row r="3409">
      <c r="A3409" t="inlineStr">
        <is>
          <t>מדי-מרקט</t>
        </is>
      </c>
      <c r="B3409" t="inlineStr">
        <is>
          <t>תחבושת גבס מדיקפרו,10 ס"מ</t>
        </is>
      </c>
      <c r="C3409" t="inlineStr">
        <is>
          <t>מוצרי חבישה ופלסטרים</t>
        </is>
      </c>
      <c r="D3409" t="inlineStr">
        <is>
          <t>500-024</t>
        </is>
      </c>
      <c r="E3409" t="inlineStr">
        <is>
          <t>2026-06</t>
        </is>
      </c>
      <c r="F3409" t="n">
        <v>0.86</v>
      </c>
      <c r="G3409" t="n">
        <v>1.01</v>
      </c>
      <c r="H3409">
        <f>הגדרות!B7</f>
        <v/>
      </c>
      <c r="I3409">
        <f>F3409*(1-H3409/100)*1.18</f>
        <v/>
      </c>
      <c r="J3409">
        <f>הגדרות!C7</f>
        <v/>
      </c>
      <c r="K3409">
        <f>הגדרות!D7</f>
        <v/>
      </c>
      <c r="L3409">
        <f>I3409*(1+J3409/100)+K3409</f>
        <v/>
      </c>
    </row>
    <row r="3410">
      <c r="A3410" t="inlineStr">
        <is>
          <t>מדי-מרקט</t>
        </is>
      </c>
      <c r="B3410" t="inlineStr">
        <is>
          <t>תחבושת לפגיעת חזה נושמת / שסתום אשרמן</t>
        </is>
      </c>
      <c r="C3410" t="inlineStr">
        <is>
          <t>ציוד ומכשור רפואי</t>
        </is>
      </c>
      <c r="D3410" t="inlineStr">
        <is>
          <t>2107-1</t>
        </is>
      </c>
      <c r="E3410" t="inlineStr">
        <is>
          <t>2026-06</t>
        </is>
      </c>
      <c r="F3410" t="n">
        <v>72.03</v>
      </c>
      <c r="G3410" t="n">
        <v>85</v>
      </c>
      <c r="H3410">
        <f>הגדרות!B7</f>
        <v/>
      </c>
      <c r="I3410">
        <f>F3410*(1-H3410/100)*1.18</f>
        <v/>
      </c>
      <c r="J3410">
        <f>הגדרות!C7</f>
        <v/>
      </c>
      <c r="K3410">
        <f>הגדרות!D7</f>
        <v/>
      </c>
      <c r="L3410">
        <f>I3410*(1+J3410/100)+K3410</f>
        <v/>
      </c>
    </row>
    <row r="3411">
      <c r="A3411" t="inlineStr">
        <is>
          <t>מדי-מרקט</t>
        </is>
      </c>
      <c r="B3411" t="inlineStr">
        <is>
          <t>תחבושת קרליקס סטרילי 1  6-ply 4.5" X 4.1ydsיח' מדיקפרו</t>
        </is>
      </c>
      <c r="C3411" t="inlineStr">
        <is>
          <t>מוצרי חבישה ופלסטרים</t>
        </is>
      </c>
      <c r="D3411" t="inlineStr">
        <is>
          <t>5101</t>
        </is>
      </c>
      <c r="E3411" t="inlineStr">
        <is>
          <t>2026-06</t>
        </is>
      </c>
      <c r="F3411" t="n">
        <v>1.75</v>
      </c>
      <c r="G3411" t="n">
        <v>2.06</v>
      </c>
      <c r="H3411">
        <f>הגדרות!B7</f>
        <v/>
      </c>
      <c r="I3411">
        <f>F3411*(1-H3411/100)*1.18</f>
        <v/>
      </c>
      <c r="J3411">
        <f>הגדרות!C7</f>
        <v/>
      </c>
      <c r="K3411">
        <f>הגדרות!D7</f>
        <v/>
      </c>
      <c r="L3411">
        <f>I3411*(1+J3411/100)+K3411</f>
        <v/>
      </c>
    </row>
    <row r="3412">
      <c r="A3412" t="inlineStr">
        <is>
          <t>מדי-מרקט</t>
        </is>
      </c>
      <c r="B3412" t="inlineStr">
        <is>
          <t>תיק 3 תאים משרד הרווחה</t>
        </is>
      </c>
      <c r="C3412" t="inlineStr">
        <is>
          <t>ציוד ומכשור רפואי</t>
        </is>
      </c>
      <c r="D3412" t="inlineStr">
        <is>
          <t>M001-009</t>
        </is>
      </c>
      <c r="E3412" t="inlineStr">
        <is>
          <t>2026-06</t>
        </is>
      </c>
      <c r="F3412" t="n">
        <v>137.29</v>
      </c>
      <c r="G3412" t="n">
        <v>162</v>
      </c>
      <c r="H3412">
        <f>הגדרות!B7</f>
        <v/>
      </c>
      <c r="I3412">
        <f>F3412*(1-H3412/100)*1.18</f>
        <v/>
      </c>
      <c r="J3412">
        <f>הגדרות!C7</f>
        <v/>
      </c>
      <c r="K3412">
        <f>הגדרות!D7</f>
        <v/>
      </c>
      <c r="L3412">
        <f>I3412*(1+J3412/100)+K3412</f>
        <v/>
      </c>
    </row>
    <row r="3413">
      <c r="A3413" t="inlineStr">
        <is>
          <t>מדי-מרקט</t>
        </is>
      </c>
      <c r="B3413" t="inlineStr">
        <is>
          <t>תיק 3 תאים קטן ריק</t>
        </is>
      </c>
      <c r="C3413" t="inlineStr">
        <is>
          <t>ציוד ומכשור רפואי</t>
        </is>
      </c>
      <c r="D3413" t="inlineStr">
        <is>
          <t>30766</t>
        </is>
      </c>
      <c r="E3413" t="inlineStr">
        <is>
          <t>2026-06</t>
        </is>
      </c>
      <c r="F3413" t="n">
        <v>0.8100000000000001</v>
      </c>
      <c r="G3413" t="n">
        <v>0.95</v>
      </c>
      <c r="H3413">
        <f>הגדרות!B7</f>
        <v/>
      </c>
      <c r="I3413">
        <f>F3413*(1-H3413/100)*1.18</f>
        <v/>
      </c>
      <c r="J3413">
        <f>הגדרות!C7</f>
        <v/>
      </c>
      <c r="K3413">
        <f>הגדרות!D7</f>
        <v/>
      </c>
      <c r="L3413">
        <f>I3413*(1+J3413/100)+K3413</f>
        <v/>
      </c>
    </row>
    <row r="3414">
      <c r="A3414" t="inlineStr">
        <is>
          <t>מדי-מרקט</t>
        </is>
      </c>
      <c r="B3414" t="inlineStr">
        <is>
          <t>תיק לבלון חמצן</t>
        </is>
      </c>
      <c r="C3414" t="inlineStr">
        <is>
          <t>ציוד ומכשור רפואי</t>
        </is>
      </c>
      <c r="D3414" t="inlineStr">
        <is>
          <t>254641</t>
        </is>
      </c>
      <c r="E3414" t="inlineStr">
        <is>
          <t>2026-06</t>
        </is>
      </c>
      <c r="F3414" t="n">
        <v>80.08</v>
      </c>
      <c r="G3414" t="n">
        <v>94.5</v>
      </c>
      <c r="H3414">
        <f>הגדרות!B7</f>
        <v/>
      </c>
      <c r="I3414">
        <f>F3414*(1-H3414/100)*1.18</f>
        <v/>
      </c>
      <c r="J3414">
        <f>הגדרות!C7</f>
        <v/>
      </c>
      <c r="K3414">
        <f>הגדרות!D7</f>
        <v/>
      </c>
      <c r="L3414">
        <f>I3414*(1+J3414/100)+K3414</f>
        <v/>
      </c>
    </row>
    <row r="3415">
      <c r="A3415" t="inlineStr">
        <is>
          <t>מדי-מרקט</t>
        </is>
      </c>
      <c r="B3415" t="inlineStr">
        <is>
          <t>תיק נשיאה למכשיר CARDIOAID</t>
        </is>
      </c>
      <c r="C3415" t="inlineStr">
        <is>
          <t>ציוד ומכשור רפואי</t>
        </is>
      </c>
      <c r="D3415" t="inlineStr">
        <is>
          <t>58985</t>
        </is>
      </c>
      <c r="E3415" t="inlineStr">
        <is>
          <t>2026-06</t>
        </is>
      </c>
      <c r="F3415" t="n">
        <v>754.24</v>
      </c>
      <c r="G3415" t="n">
        <v>890</v>
      </c>
      <c r="H3415">
        <f>הגדרות!B7</f>
        <v/>
      </c>
      <c r="I3415">
        <f>F3415*(1-H3415/100)*1.18</f>
        <v/>
      </c>
      <c r="J3415">
        <f>הגדרות!C7</f>
        <v/>
      </c>
      <c r="K3415">
        <f>הגדרות!D7</f>
        <v/>
      </c>
      <c r="L3415">
        <f>I3415*(1+J3415/100)+K3415</f>
        <v/>
      </c>
    </row>
    <row r="3416">
      <c r="A3416" t="inlineStr">
        <is>
          <t>מדי-מרקט</t>
        </is>
      </c>
      <c r="B3416" t="inlineStr">
        <is>
          <t>תיק עזרה ראשונה למקלטים</t>
        </is>
      </c>
      <c r="C3416" t="inlineStr">
        <is>
          <t>ציוד ומכשור רפואי</t>
        </is>
      </c>
      <c r="D3416" t="inlineStr">
        <is>
          <t>1723</t>
        </is>
      </c>
      <c r="E3416" t="inlineStr">
        <is>
          <t>2026-06</t>
        </is>
      </c>
      <c r="F3416" t="n">
        <v>233.05</v>
      </c>
      <c r="G3416" t="n">
        <v>275</v>
      </c>
      <c r="H3416">
        <f>הגדרות!B7</f>
        <v/>
      </c>
      <c r="I3416">
        <f>F3416*(1-H3416/100)*1.18</f>
        <v/>
      </c>
      <c r="J3416">
        <f>הגדרות!C7</f>
        <v/>
      </c>
      <c r="K3416">
        <f>הגדרות!D7</f>
        <v/>
      </c>
      <c r="L3416">
        <f>I3416*(1+J3416/100)+K3416</f>
        <v/>
      </c>
    </row>
    <row r="3417">
      <c r="A3417" t="inlineStr">
        <is>
          <t>מדי-מרקט</t>
        </is>
      </c>
      <c r="B3417" t="inlineStr">
        <is>
          <t>תרודנט 0.2 % 300 מ"ל</t>
        </is>
      </c>
      <c r="C3417" t="inlineStr">
        <is>
          <t>תרופות</t>
        </is>
      </c>
      <c r="D3417" t="inlineStr">
        <is>
          <t>00135</t>
        </is>
      </c>
      <c r="E3417" t="inlineStr">
        <is>
          <t>2026-06</t>
        </is>
      </c>
      <c r="F3417" t="n">
        <v>16.06</v>
      </c>
      <c r="G3417" t="n">
        <v>18.95</v>
      </c>
      <c r="H3417">
        <f>הגדרות!B7</f>
        <v/>
      </c>
      <c r="I3417">
        <f>F3417*(1-H3417/100)*1.18</f>
        <v/>
      </c>
      <c r="J3417">
        <f>הגדרות!C7</f>
        <v/>
      </c>
      <c r="K3417">
        <f>הגדרות!D7</f>
        <v/>
      </c>
      <c r="L3417">
        <f>I3417*(1+J3417/100)+K3417</f>
        <v/>
      </c>
    </row>
    <row r="3418">
      <c r="A3418" t="inlineStr">
        <is>
          <t>מדי-מרקט</t>
        </is>
      </c>
      <c r="B3418" t="inlineStr">
        <is>
          <t>תרמיל מגיש עזרה ראשונה- ריק</t>
        </is>
      </c>
      <c r="C3418" t="inlineStr">
        <is>
          <t>ציוד ומכשור רפואי</t>
        </is>
      </c>
      <c r="D3418" t="inlineStr">
        <is>
          <t>23235</t>
        </is>
      </c>
      <c r="E3418" t="inlineStr">
        <is>
          <t>2026-06</t>
        </is>
      </c>
      <c r="F3418" t="n">
        <v>41.53</v>
      </c>
      <c r="G3418" t="n">
        <v>49</v>
      </c>
      <c r="H3418">
        <f>הגדרות!B7</f>
        <v/>
      </c>
      <c r="I3418">
        <f>F3418*(1-H3418/100)*1.18</f>
        <v/>
      </c>
      <c r="J3418">
        <f>הגדרות!C7</f>
        <v/>
      </c>
      <c r="K3418">
        <f>הגדרות!D7</f>
        <v/>
      </c>
      <c r="L3418">
        <f>I3418*(1+J3418/100)+K3418</f>
        <v/>
      </c>
    </row>
    <row r="3419">
      <c r="A3419" t="inlineStr">
        <is>
          <t>מדי-מרקט</t>
        </is>
      </c>
      <c r="B3419" t="inlineStr">
        <is>
          <t>תרסיס / ספריי פלסטר 150 מ"ל להגנה וחיטוי פצעים</t>
        </is>
      </c>
      <c r="C3419" t="inlineStr">
        <is>
          <t>מוצרי חבישה ופלסטרים</t>
        </is>
      </c>
      <c r="D3419" t="inlineStr">
        <is>
          <t>58586</t>
        </is>
      </c>
      <c r="E3419" t="inlineStr">
        <is>
          <t>2026-06</t>
        </is>
      </c>
      <c r="F3419" t="n">
        <v>17.29</v>
      </c>
      <c r="G3419" t="n">
        <v>20.4</v>
      </c>
      <c r="H3419">
        <f>הגדרות!B7</f>
        <v/>
      </c>
      <c r="I3419">
        <f>F3419*(1-H3419/100)*1.18</f>
        <v/>
      </c>
      <c r="J3419">
        <f>הגדרות!C7</f>
        <v/>
      </c>
      <c r="K3419">
        <f>הגדרות!D7</f>
        <v/>
      </c>
      <c r="L3419">
        <f>I3419*(1+J3419/100)+K3419</f>
        <v/>
      </c>
    </row>
    <row r="3420">
      <c r="A3420" t="inlineStr">
        <is>
          <t>מדי-מרקט</t>
        </is>
      </c>
      <c r="B3420" t="inlineStr">
        <is>
          <t>תרסיס דנטלי 89 מ"ל OXYFRESH @</t>
        </is>
      </c>
      <c r="C3420" t="inlineStr">
        <is>
          <t>Oxyfresh</t>
        </is>
      </c>
      <c r="D3420" t="inlineStr">
        <is>
          <t>61-454</t>
        </is>
      </c>
      <c r="E3420" t="inlineStr">
        <is>
          <t>2026-06</t>
        </is>
      </c>
      <c r="F3420" t="n">
        <v>11.86</v>
      </c>
      <c r="G3420" t="n">
        <v>14</v>
      </c>
      <c r="H3420">
        <f>הגדרות!B7</f>
        <v/>
      </c>
      <c r="I3420">
        <f>F3420*(1-H3420/100)*1.18</f>
        <v/>
      </c>
      <c r="J3420">
        <f>הגדרות!C7</f>
        <v/>
      </c>
      <c r="K3420">
        <f>הגדרות!D7</f>
        <v/>
      </c>
      <c r="L3420">
        <f>I3420*(1+J3420/100)+K3420</f>
        <v/>
      </c>
    </row>
    <row r="3421">
      <c r="A3421" t="inlineStr">
        <is>
          <t>מדי-מרקט</t>
        </is>
      </c>
      <c r="B3421" t="inlineStr">
        <is>
          <t>תרסיס להסרת פלסטר 50 מ"ל SILMED</t>
        </is>
      </c>
      <c r="C3421" t="inlineStr">
        <is>
          <t>ציוד מתכלה</t>
        </is>
      </c>
      <c r="D3421" t="inlineStr">
        <is>
          <t>18037</t>
        </is>
      </c>
      <c r="E3421" t="inlineStr">
        <is>
          <t>2026-06</t>
        </is>
      </c>
      <c r="F3421" t="n">
        <v>48.05</v>
      </c>
      <c r="G3421" t="n">
        <v>56.7</v>
      </c>
      <c r="H3421">
        <f>הגדרות!B7</f>
        <v/>
      </c>
      <c r="I3421">
        <f>F3421*(1-H3421/100)*1.18</f>
        <v/>
      </c>
      <c r="J3421">
        <f>הגדרות!C7</f>
        <v/>
      </c>
      <c r="K3421">
        <f>הגדרות!D7</f>
        <v/>
      </c>
      <c r="L3421">
        <f>I3421*(1+J3421/100)+K3421</f>
        <v/>
      </c>
    </row>
    <row r="3422">
      <c r="A3422" t="inlineStr">
        <is>
          <t>מדי-מרקט</t>
        </is>
      </c>
      <c r="B3422" t="inlineStr">
        <is>
          <t>תרסיס לכוויות ברנשילד 125 מ"ל</t>
        </is>
      </c>
      <c r="C3422" t="inlineStr">
        <is>
          <t>ציוד מתכלה</t>
        </is>
      </c>
      <c r="D3422" t="inlineStr">
        <is>
          <t>4589686</t>
        </is>
      </c>
      <c r="E3422" t="inlineStr">
        <is>
          <t>2026-06</t>
        </is>
      </c>
      <c r="F3422" t="n">
        <v>32.54</v>
      </c>
      <c r="G3422" t="n">
        <v>38.4</v>
      </c>
      <c r="H3422">
        <f>הגדרות!B7</f>
        <v/>
      </c>
      <c r="I3422">
        <f>F3422*(1-H3422/100)*1.18</f>
        <v/>
      </c>
      <c r="J3422">
        <f>הגדרות!C7</f>
        <v/>
      </c>
      <c r="K3422">
        <f>הגדרות!D7</f>
        <v/>
      </c>
      <c r="L3422">
        <f>I3422*(1+J3422/100)+K3422</f>
        <v/>
      </c>
    </row>
    <row r="3423">
      <c r="A3423" t="inlineStr">
        <is>
          <t>מדי-מרקט</t>
        </is>
      </c>
      <c r="B3423" t="inlineStr">
        <is>
          <t>תרסיס לניקוי והטריית פצעים  Wound Clean  250 Ml</t>
        </is>
      </c>
      <c r="C3423" t="inlineStr">
        <is>
          <t>תרופות</t>
        </is>
      </c>
      <c r="D3423" t="inlineStr">
        <is>
          <t>18036</t>
        </is>
      </c>
      <c r="E3423" t="inlineStr">
        <is>
          <t>2026-06</t>
        </is>
      </c>
      <c r="F3423" t="n">
        <v>25.81</v>
      </c>
      <c r="G3423" t="n">
        <v>30.45</v>
      </c>
      <c r="H3423">
        <f>הגדרות!B7</f>
        <v/>
      </c>
      <c r="I3423">
        <f>F3423*(1-H3423/100)*1.18</f>
        <v/>
      </c>
      <c r="J3423">
        <f>הגדרות!C7</f>
        <v/>
      </c>
      <c r="K3423">
        <f>הגדרות!D7</f>
        <v/>
      </c>
      <c r="L3423">
        <f>I3423*(1+J3423/100)+K3423</f>
        <v/>
      </c>
    </row>
    <row r="3424">
      <c r="A3424" t="inlineStr">
        <is>
          <t>מדי-מרקט</t>
        </is>
      </c>
      <c r="B3424" t="inlineStr">
        <is>
          <t>תרסיס לניקוי ושימון מכונות וסכינים  480 מ"ל</t>
        </is>
      </c>
      <c r="C3424" t="inlineStr">
        <is>
          <t>ציוד מתכלה</t>
        </is>
      </c>
      <c r="D3424" t="inlineStr">
        <is>
          <t>357</t>
        </is>
      </c>
      <c r="E3424" t="inlineStr">
        <is>
          <t>2026-06</t>
        </is>
      </c>
      <c r="F3424" t="n">
        <v>16.02</v>
      </c>
      <c r="G3424" t="n">
        <v>18.9</v>
      </c>
      <c r="H3424">
        <f>הגדרות!B7</f>
        <v/>
      </c>
      <c r="I3424">
        <f>F3424*(1-H3424/100)*1.18</f>
        <v/>
      </c>
      <c r="J3424">
        <f>הגדרות!C7</f>
        <v/>
      </c>
      <c r="K3424">
        <f>הגדרות!D7</f>
        <v/>
      </c>
      <c r="L3424">
        <f>I3424*(1+J3424/100)+K3424</f>
        <v/>
      </c>
    </row>
    <row r="3425">
      <c r="A3425" t="inlineStr">
        <is>
          <t>מדי-מרקט</t>
        </is>
      </c>
      <c r="B3425" t="inlineStr">
        <is>
          <t>תרסיס קירור 150 מ"ל לספורטאים</t>
        </is>
      </c>
      <c r="C3425" t="inlineStr">
        <is>
          <t>ציוד מתכלה</t>
        </is>
      </c>
      <c r="D3425" t="inlineStr">
        <is>
          <t>355</t>
        </is>
      </c>
      <c r="E3425" t="inlineStr">
        <is>
          <t>2026-06</t>
        </is>
      </c>
      <c r="F3425" t="n">
        <v>8.81</v>
      </c>
      <c r="G3425" t="n">
        <v>10.4</v>
      </c>
      <c r="H3425">
        <f>הגדרות!B7</f>
        <v/>
      </c>
      <c r="I3425">
        <f>F3425*(1-H3425/100)*1.18</f>
        <v/>
      </c>
      <c r="J3425">
        <f>הגדרות!C7</f>
        <v/>
      </c>
      <c r="K3425">
        <f>הגדרות!D7</f>
        <v/>
      </c>
      <c r="L3425">
        <f>I3425*(1+J3425/100)+K3425</f>
        <v/>
      </c>
    </row>
    <row r="3426">
      <c r="A3426" t="inlineStr">
        <is>
          <t>מדי-מרקט</t>
        </is>
      </c>
      <c r="B3426" t="inlineStr">
        <is>
          <t>תרסיס קירור 400 מ"ל לספורטאים PIC</t>
        </is>
      </c>
      <c r="C3426" t="inlineStr">
        <is>
          <t>ציוד מתכלה</t>
        </is>
      </c>
      <c r="D3426" t="inlineStr">
        <is>
          <t>356</t>
        </is>
      </c>
      <c r="E3426" t="inlineStr">
        <is>
          <t>2026-06</t>
        </is>
      </c>
      <c r="F3426" t="n">
        <v>13.85</v>
      </c>
      <c r="G3426" t="n">
        <v>16.34</v>
      </c>
      <c r="H3426">
        <f>הגדרות!B7</f>
        <v/>
      </c>
      <c r="I3426">
        <f>F3426*(1-H3426/100)*1.18</f>
        <v/>
      </c>
      <c r="J3426">
        <f>הגדרות!C7</f>
        <v/>
      </c>
      <c r="K3426">
        <f>הגדרות!D7</f>
        <v/>
      </c>
      <c r="L3426">
        <f>I3426*(1+J3426/100)+K3426</f>
        <v/>
      </c>
    </row>
    <row r="3427">
      <c r="A3427" t="inlineStr">
        <is>
          <t>פט-וט ביומד</t>
        </is>
      </c>
      <c r="B3427" t="inlineStr">
        <is>
          <t>Ear Cleansing Solution 236ml</t>
        </is>
      </c>
      <c r="C3427" t="inlineStr">
        <is>
          <t>DermatoVet</t>
        </is>
      </c>
      <c r="D3427" t="inlineStr">
        <is>
          <t>DERMA-SP1035</t>
        </is>
      </c>
      <c r="E3427" t="inlineStr">
        <is>
          <t>2026-05</t>
        </is>
      </c>
      <c r="F3427" t="n">
        <v>39</v>
      </c>
      <c r="G3427" t="n">
        <v>46.02</v>
      </c>
      <c r="H3427">
        <f>הגדרות!B8</f>
        <v/>
      </c>
      <c r="I3427">
        <f>F3427*(1-H3427/100)*1.18</f>
        <v/>
      </c>
      <c r="J3427">
        <f>הגדרות!C8</f>
        <v/>
      </c>
      <c r="K3427">
        <f>הגדרות!D8</f>
        <v/>
      </c>
      <c r="L3427">
        <f>I3427*(1+J3427/100)+K3427</f>
        <v/>
      </c>
    </row>
    <row r="3428">
      <c r="A3428" t="inlineStr">
        <is>
          <t>פט-וט ביומד</t>
        </is>
      </c>
      <c r="B3428" t="inlineStr">
        <is>
          <t>Ear Cleansing Advanced 236ml</t>
        </is>
      </c>
      <c r="C3428" t="inlineStr">
        <is>
          <t>DermatoVet</t>
        </is>
      </c>
      <c r="D3428" t="inlineStr">
        <is>
          <t>DERMA-SP1011</t>
        </is>
      </c>
      <c r="E3428" t="inlineStr">
        <is>
          <t>2026-05</t>
        </is>
      </c>
      <c r="F3428" t="n">
        <v>48</v>
      </c>
      <c r="G3428" t="n">
        <v>56.64</v>
      </c>
      <c r="H3428">
        <f>הגדרות!B8</f>
        <v/>
      </c>
      <c r="I3428">
        <f>F3428*(1-H3428/100)*1.18</f>
        <v/>
      </c>
      <c r="J3428">
        <f>הגדרות!C8</f>
        <v/>
      </c>
      <c r="K3428">
        <f>הגדרות!D8</f>
        <v/>
      </c>
      <c r="L3428">
        <f>I3428*(1+J3428/100)+K3428</f>
        <v/>
      </c>
    </row>
    <row r="3429">
      <c r="A3429" t="inlineStr">
        <is>
          <t>פט-וט ביומד</t>
        </is>
      </c>
      <c r="B3429" t="inlineStr">
        <is>
          <t>Ear Cleansing Keto-C Flush 118ml</t>
        </is>
      </c>
      <c r="C3429" t="inlineStr">
        <is>
          <t>DermatoVet</t>
        </is>
      </c>
      <c r="D3429" t="inlineStr">
        <is>
          <t>DERMA-SP1002</t>
        </is>
      </c>
      <c r="E3429" t="inlineStr">
        <is>
          <t>2026-05</t>
        </is>
      </c>
      <c r="F3429" t="n">
        <v>44</v>
      </c>
      <c r="G3429" t="n">
        <v>51.92</v>
      </c>
      <c r="H3429">
        <f>הגדרות!B8</f>
        <v/>
      </c>
      <c r="I3429">
        <f>F3429*(1-H3429/100)*1.18</f>
        <v/>
      </c>
      <c r="J3429">
        <f>הגדרות!C8</f>
        <v/>
      </c>
      <c r="K3429">
        <f>הגדרות!D8</f>
        <v/>
      </c>
      <c r="L3429">
        <f>I3429*(1+J3429/100)+K3429</f>
        <v/>
      </c>
    </row>
    <row r="3430">
      <c r="A3430" t="inlineStr">
        <is>
          <t>פט-וט ביומד</t>
        </is>
      </c>
      <c r="B3430" t="inlineStr">
        <is>
          <t>Keto-C Tris Flush 355ml</t>
        </is>
      </c>
      <c r="C3430" t="inlineStr">
        <is>
          <t>DermatoVet</t>
        </is>
      </c>
      <c r="D3430" t="inlineStr">
        <is>
          <t>DERMA-SP1012</t>
        </is>
      </c>
      <c r="E3430" t="inlineStr">
        <is>
          <t>2026-05</t>
        </is>
      </c>
      <c r="F3430" t="n">
        <v>69</v>
      </c>
      <c r="G3430" t="n">
        <v>81.42</v>
      </c>
      <c r="H3430">
        <f>הגדרות!B8</f>
        <v/>
      </c>
      <c r="I3430">
        <f>F3430*(1-H3430/100)*1.18</f>
        <v/>
      </c>
      <c r="J3430">
        <f>הגדרות!C8</f>
        <v/>
      </c>
      <c r="K3430">
        <f>הגדרות!D8</f>
        <v/>
      </c>
      <c r="L3430">
        <f>I3430*(1+J3430/100)+K3430</f>
        <v/>
      </c>
    </row>
    <row r="3431">
      <c r="A3431" t="inlineStr">
        <is>
          <t>פט-וט ביומד</t>
        </is>
      </c>
      <c r="B3431" t="inlineStr">
        <is>
          <t>Auris Clean Finger Wipes 50 units</t>
        </is>
      </c>
      <c r="C3431" t="inlineStr">
        <is>
          <t>DermatoVet</t>
        </is>
      </c>
      <c r="D3431" t="inlineStr">
        <is>
          <t>DERMA-SP1310</t>
        </is>
      </c>
      <c r="E3431" t="inlineStr">
        <is>
          <t>2026-05</t>
        </is>
      </c>
      <c r="F3431" t="n">
        <v>57</v>
      </c>
      <c r="G3431" t="n">
        <v>67.26000000000001</v>
      </c>
      <c r="H3431">
        <f>הגדרות!B8</f>
        <v/>
      </c>
      <c r="I3431">
        <f>F3431*(1-H3431/100)*1.18</f>
        <v/>
      </c>
      <c r="J3431">
        <f>הגדרות!C8</f>
        <v/>
      </c>
      <c r="K3431">
        <f>הגדרות!D8</f>
        <v/>
      </c>
      <c r="L3431">
        <f>I3431*(1+J3431/100)+K3431</f>
        <v/>
      </c>
    </row>
    <row r="3432">
      <c r="A3432" t="inlineStr">
        <is>
          <t>פט-וט ביומד</t>
        </is>
      </c>
      <c r="B3432" t="inlineStr">
        <is>
          <t>Auris PRO Finger Wipes 50 units</t>
        </is>
      </c>
      <c r="C3432" t="inlineStr">
        <is>
          <t>DermatoVet</t>
        </is>
      </c>
      <c r="D3432" t="inlineStr">
        <is>
          <t>DERMA-SP1315</t>
        </is>
      </c>
      <c r="E3432" t="inlineStr">
        <is>
          <t>2026-05</t>
        </is>
      </c>
      <c r="F3432" t="n">
        <v>67</v>
      </c>
      <c r="G3432" t="n">
        <v>79.06</v>
      </c>
      <c r="H3432">
        <f>הגדרות!B8</f>
        <v/>
      </c>
      <c r="I3432">
        <f>F3432*(1-H3432/100)*1.18</f>
        <v/>
      </c>
      <c r="J3432">
        <f>הגדרות!C8</f>
        <v/>
      </c>
      <c r="K3432">
        <f>הגדרות!D8</f>
        <v/>
      </c>
      <c r="L3432">
        <f>I3432*(1+J3432/100)+K3432</f>
        <v/>
      </c>
    </row>
    <row r="3433">
      <c r="A3433" t="inlineStr">
        <is>
          <t>פט-וט ביומד</t>
        </is>
      </c>
      <c r="B3433" t="inlineStr">
        <is>
          <t>OroCare Finger Wipes 50 units</t>
        </is>
      </c>
      <c r="C3433" t="inlineStr">
        <is>
          <t>DermatoVet</t>
        </is>
      </c>
      <c r="D3433" t="inlineStr">
        <is>
          <t>DERMA-SP1320</t>
        </is>
      </c>
      <c r="E3433" t="inlineStr">
        <is>
          <t>2026-05</t>
        </is>
      </c>
      <c r="F3433" t="n">
        <v>76</v>
      </c>
      <c r="G3433" t="n">
        <v>89.68000000000001</v>
      </c>
      <c r="H3433">
        <f>הגדרות!B8</f>
        <v/>
      </c>
      <c r="I3433">
        <f>F3433*(1-H3433/100)*1.18</f>
        <v/>
      </c>
      <c r="J3433">
        <f>הגדרות!C8</f>
        <v/>
      </c>
      <c r="K3433">
        <f>הגדרות!D8</f>
        <v/>
      </c>
      <c r="L3433">
        <f>I3433*(1+J3433/100)+K3433</f>
        <v/>
      </c>
    </row>
    <row r="3434">
      <c r="A3434" t="inlineStr">
        <is>
          <t>פט-וט ביומד</t>
        </is>
      </c>
      <c r="B3434" t="inlineStr">
        <is>
          <t>Tear Clear Finger Wipes 50 units</t>
        </is>
      </c>
      <c r="C3434" t="inlineStr">
        <is>
          <t>DermatoVet</t>
        </is>
      </c>
      <c r="D3434" t="inlineStr">
        <is>
          <t>DERMA-SP1335</t>
        </is>
      </c>
      <c r="E3434" t="inlineStr">
        <is>
          <t>2026-05</t>
        </is>
      </c>
      <c r="F3434" t="n">
        <v>59</v>
      </c>
      <c r="G3434" t="n">
        <v>69.62</v>
      </c>
      <c r="H3434">
        <f>הגדרות!B8</f>
        <v/>
      </c>
      <c r="I3434">
        <f>F3434*(1-H3434/100)*1.18</f>
        <v/>
      </c>
      <c r="J3434">
        <f>הגדרות!C8</f>
        <v/>
      </c>
      <c r="K3434">
        <f>הגדרות!D8</f>
        <v/>
      </c>
      <c r="L3434">
        <f>I3434*(1+J3434/100)+K3434</f>
        <v/>
      </c>
    </row>
    <row r="3435">
      <c r="A3435" t="inlineStr">
        <is>
          <t>פט-וט ביומד</t>
        </is>
      </c>
      <c r="B3435" t="inlineStr">
        <is>
          <t>Keto-C Shampoo 355ml</t>
        </is>
      </c>
      <c r="C3435" t="inlineStr">
        <is>
          <t>DermatoVet</t>
        </is>
      </c>
      <c r="D3435" t="inlineStr">
        <is>
          <t>DERMA-SP1024</t>
        </is>
      </c>
      <c r="E3435" t="inlineStr">
        <is>
          <t>2026-05</t>
        </is>
      </c>
      <c r="F3435" t="n">
        <v>69</v>
      </c>
      <c r="G3435" t="n">
        <v>81.42</v>
      </c>
      <c r="H3435">
        <f>הגדרות!B8</f>
        <v/>
      </c>
      <c r="I3435">
        <f>F3435*(1-H3435/100)*1.18</f>
        <v/>
      </c>
      <c r="J3435">
        <f>הגדרות!C8</f>
        <v/>
      </c>
      <c r="K3435">
        <f>הגדרות!D8</f>
        <v/>
      </c>
      <c r="L3435">
        <f>I3435*(1+J3435/100)+K3435</f>
        <v/>
      </c>
    </row>
    <row r="3436">
      <c r="A3436" t="inlineStr">
        <is>
          <t>פט-וט ביומד</t>
        </is>
      </c>
      <c r="B3436" t="inlineStr">
        <is>
          <t>Spray Keto-C 236ml</t>
        </is>
      </c>
      <c r="C3436" t="inlineStr">
        <is>
          <t>DermatoVet</t>
        </is>
      </c>
      <c r="D3436" t="inlineStr">
        <is>
          <t>DERMA-SP1003</t>
        </is>
      </c>
      <c r="E3436" t="inlineStr">
        <is>
          <t>2026-05</t>
        </is>
      </c>
      <c r="F3436" t="n">
        <v>69</v>
      </c>
      <c r="G3436" t="n">
        <v>81.42</v>
      </c>
      <c r="H3436">
        <f>הגדרות!B8</f>
        <v/>
      </c>
      <c r="I3436">
        <f>F3436*(1-H3436/100)*1.18</f>
        <v/>
      </c>
      <c r="J3436">
        <f>הגדרות!C8</f>
        <v/>
      </c>
      <c r="K3436">
        <f>הגדרות!D8</f>
        <v/>
      </c>
      <c r="L3436">
        <f>I3436*(1+J3436/100)+K3436</f>
        <v/>
      </c>
    </row>
    <row r="3437">
      <c r="A3437" t="inlineStr">
        <is>
          <t>פט-וט ביומד</t>
        </is>
      </c>
      <c r="B3437" t="inlineStr">
        <is>
          <t>CeroShield Keto-C Shampoo 237ml</t>
        </is>
      </c>
      <c r="C3437" t="inlineStr">
        <is>
          <t>DermatoVet</t>
        </is>
      </c>
      <c r="D3437" t="inlineStr">
        <is>
          <t>DERMA-SF1510</t>
        </is>
      </c>
      <c r="E3437" t="inlineStr">
        <is>
          <t>2026-05</t>
        </is>
      </c>
      <c r="F3437" t="n">
        <v>57</v>
      </c>
      <c r="G3437" t="n">
        <v>67.26000000000001</v>
      </c>
      <c r="H3437">
        <f>הגדרות!B8</f>
        <v/>
      </c>
      <c r="I3437">
        <f>F3437*(1-H3437/100)*1.18</f>
        <v/>
      </c>
      <c r="J3437">
        <f>הגדרות!C8</f>
        <v/>
      </c>
      <c r="K3437">
        <f>הגדרות!D8</f>
        <v/>
      </c>
      <c r="L3437">
        <f>I3437*(1+J3437/100)+K3437</f>
        <v/>
      </c>
    </row>
    <row r="3438">
      <c r="A3438" t="inlineStr">
        <is>
          <t>פט-וט ביומד</t>
        </is>
      </c>
      <c r="B3438" t="inlineStr">
        <is>
          <t>Hexi-4 Derm Shampoo 355ml</t>
        </is>
      </c>
      <c r="C3438" t="inlineStr">
        <is>
          <t>DermatoVet</t>
        </is>
      </c>
      <c r="D3438" t="inlineStr">
        <is>
          <t>DERMA-SP1022</t>
        </is>
      </c>
      <c r="E3438" t="inlineStr">
        <is>
          <t>2026-05</t>
        </is>
      </c>
      <c r="F3438" t="n">
        <v>67</v>
      </c>
      <c r="G3438" t="n">
        <v>79.06</v>
      </c>
      <c r="H3438">
        <f>הגדרות!B8</f>
        <v/>
      </c>
      <c r="I3438">
        <f>F3438*(1-H3438/100)*1.18</f>
        <v/>
      </c>
      <c r="J3438">
        <f>הגדרות!C8</f>
        <v/>
      </c>
      <c r="K3438">
        <f>הגדרות!D8</f>
        <v/>
      </c>
      <c r="L3438">
        <f>I3438*(1+J3438/100)+K3438</f>
        <v/>
      </c>
    </row>
    <row r="3439">
      <c r="A3439" t="inlineStr">
        <is>
          <t>פט-וט ביומד</t>
        </is>
      </c>
      <c r="B3439" t="inlineStr">
        <is>
          <t>Bright Whitening Shampoo 355ml</t>
        </is>
      </c>
      <c r="C3439" t="inlineStr">
        <is>
          <t>DermatoVet</t>
        </is>
      </c>
      <c r="D3439" t="inlineStr">
        <is>
          <t>DERMA-SP1063</t>
        </is>
      </c>
      <c r="E3439" t="inlineStr">
        <is>
          <t>2026-05</t>
        </is>
      </c>
      <c r="F3439" t="n">
        <v>52</v>
      </c>
      <c r="G3439" t="n">
        <v>61.36</v>
      </c>
      <c r="H3439">
        <f>הגדרות!B8</f>
        <v/>
      </c>
      <c r="I3439">
        <f>F3439*(1-H3439/100)*1.18</f>
        <v/>
      </c>
      <c r="J3439">
        <f>הגדרות!C8</f>
        <v/>
      </c>
      <c r="K3439">
        <f>הגדרות!D8</f>
        <v/>
      </c>
      <c r="L3439">
        <f>I3439*(1+J3439/100)+K3439</f>
        <v/>
      </c>
    </row>
    <row r="3440">
      <c r="A3440" t="inlineStr">
        <is>
          <t>פט-וט ביומד</t>
        </is>
      </c>
      <c r="B3440" t="inlineStr">
        <is>
          <t>Benzoyl Peroxide Shampoo 355ml</t>
        </is>
      </c>
      <c r="C3440" t="inlineStr">
        <is>
          <t>DermatoVet</t>
        </is>
      </c>
      <c r="D3440" t="inlineStr">
        <is>
          <t>DERMA-SP1030</t>
        </is>
      </c>
      <c r="E3440" t="inlineStr">
        <is>
          <t>2026-05</t>
        </is>
      </c>
      <c r="F3440" t="n">
        <v>69</v>
      </c>
      <c r="G3440" t="n">
        <v>81.42</v>
      </c>
      <c r="H3440">
        <f>הגדרות!B8</f>
        <v/>
      </c>
      <c r="I3440">
        <f>F3440*(1-H3440/100)*1.18</f>
        <v/>
      </c>
      <c r="J3440">
        <f>הגדרות!C8</f>
        <v/>
      </c>
      <c r="K3440">
        <f>הגדרות!D8</f>
        <v/>
      </c>
      <c r="L3440">
        <f>I3440*(1+J3440/100)+K3440</f>
        <v/>
      </c>
    </row>
    <row r="3441">
      <c r="A3441" t="inlineStr">
        <is>
          <t>פט-וט ביומד</t>
        </is>
      </c>
      <c r="B3441" t="inlineStr">
        <is>
          <t>Pramox-1 Shampoo 475ml</t>
        </is>
      </c>
      <c r="C3441" t="inlineStr">
        <is>
          <t>DermatoVet</t>
        </is>
      </c>
      <c r="D3441" t="inlineStr">
        <is>
          <t>DERMA-SP1227</t>
        </is>
      </c>
      <c r="E3441" t="inlineStr">
        <is>
          <t>2026-05</t>
        </is>
      </c>
      <c r="F3441" t="n">
        <v>80</v>
      </c>
      <c r="G3441" t="n">
        <v>94.40000000000001</v>
      </c>
      <c r="H3441">
        <f>הגדרות!B8</f>
        <v/>
      </c>
      <c r="I3441">
        <f>F3441*(1-H3441/100)*1.18</f>
        <v/>
      </c>
      <c r="J3441">
        <f>הגדרות!C8</f>
        <v/>
      </c>
      <c r="K3441">
        <f>הגדרות!D8</f>
        <v/>
      </c>
      <c r="L3441">
        <f>I3441*(1+J3441/100)+K3441</f>
        <v/>
      </c>
    </row>
    <row r="3442">
      <c r="A3442" t="inlineStr">
        <is>
          <t>פט-וט ביומד</t>
        </is>
      </c>
      <c r="B3442" t="inlineStr">
        <is>
          <t>Nusaderm Shampoo 355ml</t>
        </is>
      </c>
      <c r="C3442" t="inlineStr">
        <is>
          <t>DermatoVet</t>
        </is>
      </c>
      <c r="D3442" t="inlineStr">
        <is>
          <t>DERMA-SP1038</t>
        </is>
      </c>
      <c r="E3442" t="inlineStr">
        <is>
          <t>2026-05</t>
        </is>
      </c>
      <c r="F3442" t="n">
        <v>69</v>
      </c>
      <c r="G3442" t="n">
        <v>81.42</v>
      </c>
      <c r="H3442">
        <f>הגדרות!B8</f>
        <v/>
      </c>
      <c r="I3442">
        <f>F3442*(1-H3442/100)*1.18</f>
        <v/>
      </c>
      <c r="J3442">
        <f>הגדרות!C8</f>
        <v/>
      </c>
      <c r="K3442">
        <f>הגדרות!D8</f>
        <v/>
      </c>
      <c r="L3442">
        <f>I3442*(1+J3442/100)+K3442</f>
        <v/>
      </c>
    </row>
    <row r="3443">
      <c r="A3443" t="inlineStr">
        <is>
          <t>פט-וט ביומד</t>
        </is>
      </c>
      <c r="B3443" t="inlineStr">
        <is>
          <t>EFA Hypoallergenic Shampoo 355ml</t>
        </is>
      </c>
      <c r="C3443" t="inlineStr">
        <is>
          <t>DermatoVet</t>
        </is>
      </c>
      <c r="D3443" t="inlineStr">
        <is>
          <t>DERMA-SP1046</t>
        </is>
      </c>
      <c r="E3443" t="inlineStr">
        <is>
          <t>2026-05</t>
        </is>
      </c>
      <c r="F3443" t="n">
        <v>46</v>
      </c>
      <c r="G3443" t="n">
        <v>54.28</v>
      </c>
      <c r="H3443">
        <f>הגדרות!B8</f>
        <v/>
      </c>
      <c r="I3443">
        <f>F3443*(1-H3443/100)*1.18</f>
        <v/>
      </c>
      <c r="J3443">
        <f>הגדרות!C8</f>
        <v/>
      </c>
      <c r="K3443">
        <f>הגדרות!D8</f>
        <v/>
      </c>
      <c r="L3443">
        <f>I3443*(1+J3443/100)+K3443</f>
        <v/>
      </c>
    </row>
    <row r="3444">
      <c r="A3444" t="inlineStr">
        <is>
          <t>פט-וט ביומד</t>
        </is>
      </c>
      <c r="B3444" t="inlineStr">
        <is>
          <t>Aloe &amp; Oatmeal Shampoo 355ml</t>
        </is>
      </c>
      <c r="C3444" t="inlineStr">
        <is>
          <t>DermatoVet</t>
        </is>
      </c>
      <c r="D3444" t="inlineStr">
        <is>
          <t>DERMA-SP1055</t>
        </is>
      </c>
      <c r="E3444" t="inlineStr">
        <is>
          <t>2026-05</t>
        </is>
      </c>
      <c r="F3444" t="n">
        <v>46</v>
      </c>
      <c r="G3444" t="n">
        <v>54.28</v>
      </c>
      <c r="H3444">
        <f>הגדרות!B8</f>
        <v/>
      </c>
      <c r="I3444">
        <f>F3444*(1-H3444/100)*1.18</f>
        <v/>
      </c>
      <c r="J3444">
        <f>הגדרות!C8</f>
        <v/>
      </c>
      <c r="K3444">
        <f>הגדרות!D8</f>
        <v/>
      </c>
      <c r="L3444">
        <f>I3444*(1+J3444/100)+K3444</f>
        <v/>
      </c>
    </row>
    <row r="3445">
      <c r="A3445" t="inlineStr">
        <is>
          <t>פט-וט ביומד</t>
        </is>
      </c>
      <c r="B3445" t="inlineStr">
        <is>
          <t>Keto-C Wipes 50 units</t>
        </is>
      </c>
      <c r="C3445" t="inlineStr">
        <is>
          <t>DermatoVet</t>
        </is>
      </c>
      <c r="D3445" t="inlineStr">
        <is>
          <t>DERMA-SP1004</t>
        </is>
      </c>
      <c r="E3445" t="inlineStr">
        <is>
          <t>2026-05</t>
        </is>
      </c>
      <c r="F3445" t="n">
        <v>55</v>
      </c>
      <c r="G3445" t="n">
        <v>64.90000000000001</v>
      </c>
      <c r="H3445">
        <f>הגדרות!B8</f>
        <v/>
      </c>
      <c r="I3445">
        <f>F3445*(1-H3445/100)*1.18</f>
        <v/>
      </c>
      <c r="J3445">
        <f>הגדרות!C8</f>
        <v/>
      </c>
      <c r="K3445">
        <f>הגדרות!D8</f>
        <v/>
      </c>
      <c r="L3445">
        <f>I3445*(1+J3445/100)+K3445</f>
        <v/>
      </c>
    </row>
    <row r="3446">
      <c r="A3446" t="inlineStr">
        <is>
          <t>פט-וט ביומד</t>
        </is>
      </c>
      <c r="B3446" t="inlineStr">
        <is>
          <t>Soft Chews Omega-V3 60ct</t>
        </is>
      </c>
      <c r="C3446" t="inlineStr">
        <is>
          <t>DermatoVet</t>
        </is>
      </c>
      <c r="D3446" t="inlineStr">
        <is>
          <t>DERMA-SC1087</t>
        </is>
      </c>
      <c r="E3446" t="inlineStr">
        <is>
          <t>2026-05</t>
        </is>
      </c>
      <c r="F3446" t="n">
        <v>99</v>
      </c>
      <c r="G3446" t="n">
        <v>116.82</v>
      </c>
      <c r="H3446">
        <f>הגדרות!B8</f>
        <v/>
      </c>
      <c r="I3446">
        <f>F3446*(1-H3446/100)*1.18</f>
        <v/>
      </c>
      <c r="J3446">
        <f>הגדרות!C8</f>
        <v/>
      </c>
      <c r="K3446">
        <f>הגדרות!D8</f>
        <v/>
      </c>
      <c r="L3446">
        <f>I3446*(1+J3446/100)+K3446</f>
        <v/>
      </c>
    </row>
    <row r="3447">
      <c r="A3447" t="inlineStr">
        <is>
          <t>פט-וט ביומד</t>
        </is>
      </c>
      <c r="B3447" t="inlineStr">
        <is>
          <t>Omega-V3 Liquid 236ml</t>
        </is>
      </c>
      <c r="C3447" t="inlineStr">
        <is>
          <t>DermatoVet</t>
        </is>
      </c>
      <c r="D3447" t="inlineStr">
        <is>
          <t>DERMA-SP1086</t>
        </is>
      </c>
      <c r="E3447" t="inlineStr">
        <is>
          <t>2026-05</t>
        </is>
      </c>
      <c r="F3447" t="n">
        <v>70</v>
      </c>
      <c r="G3447" t="n">
        <v>82.59999999999999</v>
      </c>
      <c r="H3447">
        <f>הגדרות!B8</f>
        <v/>
      </c>
      <c r="I3447">
        <f>F3447*(1-H3447/100)*1.18</f>
        <v/>
      </c>
      <c r="J3447">
        <f>הגדרות!C8</f>
        <v/>
      </c>
      <c r="K3447">
        <f>הגדרות!D8</f>
        <v/>
      </c>
      <c r="L3447">
        <f>I3447*(1+J3447/100)+K3447</f>
        <v/>
      </c>
    </row>
    <row r="3448">
      <c r="A3448" t="inlineStr">
        <is>
          <t>פט-וט ביומד</t>
        </is>
      </c>
      <c r="B3448" t="inlineStr">
        <is>
          <t>Mousse CeroShield Keto-C 200ml</t>
        </is>
      </c>
      <c r="C3448" t="inlineStr">
        <is>
          <t>DermatoVet</t>
        </is>
      </c>
      <c r="D3448" t="inlineStr">
        <is>
          <t>DERMA-SF1510</t>
        </is>
      </c>
      <c r="E3448" t="inlineStr">
        <is>
          <t>2026-05</t>
        </is>
      </c>
      <c r="F3448" t="n">
        <v>57</v>
      </c>
      <c r="G3448" t="n">
        <v>67.26000000000001</v>
      </c>
      <c r="H3448">
        <f>הגדרות!B8</f>
        <v/>
      </c>
      <c r="I3448">
        <f>F3448*(1-H3448/100)*1.18</f>
        <v/>
      </c>
      <c r="J3448">
        <f>הגדרות!C8</f>
        <v/>
      </c>
      <c r="K3448">
        <f>הגדרות!D8</f>
        <v/>
      </c>
      <c r="L3448">
        <f>I3448*(1+J3448/100)+K3448</f>
        <v/>
      </c>
    </row>
    <row r="3449">
      <c r="A3449" t="inlineStr">
        <is>
          <t>פט-וט ביומד</t>
        </is>
      </c>
      <c r="B3449" t="inlineStr">
        <is>
          <t>IDROP VET GEL 10ml</t>
        </is>
      </c>
      <c r="C3449" t="inlineStr">
        <is>
          <t>I-MED</t>
        </is>
      </c>
      <c r="D3449" t="inlineStr">
        <is>
          <t>IMED-204</t>
        </is>
      </c>
      <c r="E3449" t="inlineStr">
        <is>
          <t>2026-05</t>
        </is>
      </c>
      <c r="F3449" t="n">
        <v>62</v>
      </c>
      <c r="G3449" t="n">
        <v>73.16</v>
      </c>
      <c r="H3449">
        <f>הגדרות!B8</f>
        <v/>
      </c>
      <c r="I3449">
        <f>F3449*(1-H3449/100)*1.18</f>
        <v/>
      </c>
      <c r="J3449">
        <f>הגדרות!C8</f>
        <v/>
      </c>
      <c r="K3449">
        <f>הגדרות!D8</f>
        <v/>
      </c>
      <c r="L3449">
        <f>I3449*(1+J3449/100)+K3449</f>
        <v/>
      </c>
    </row>
    <row r="3450">
      <c r="A3450" t="inlineStr">
        <is>
          <t>פט-וט ביומד</t>
        </is>
      </c>
      <c r="B3450" t="inlineStr">
        <is>
          <t>I-LID 'N LASH VET Wipes 60 ct</t>
        </is>
      </c>
      <c r="C3450" t="inlineStr">
        <is>
          <t>I-MED</t>
        </is>
      </c>
      <c r="D3450" t="inlineStr">
        <is>
          <t>IMED-218</t>
        </is>
      </c>
      <c r="E3450" t="inlineStr">
        <is>
          <t>2026-05</t>
        </is>
      </c>
      <c r="F3450" t="n">
        <v>64</v>
      </c>
      <c r="G3450" t="n">
        <v>75.52</v>
      </c>
      <c r="H3450">
        <f>הגדרות!B8</f>
        <v/>
      </c>
      <c r="I3450">
        <f>F3450*(1-H3450/100)*1.18</f>
        <v/>
      </c>
      <c r="J3450">
        <f>הגדרות!C8</f>
        <v/>
      </c>
      <c r="K3450">
        <f>הגדרות!D8</f>
        <v/>
      </c>
      <c r="L3450">
        <f>I3450*(1+J3450/100)+K3450</f>
        <v/>
      </c>
    </row>
    <row r="3451">
      <c r="A3451" t="inlineStr">
        <is>
          <t>פט-וט ביומד</t>
        </is>
      </c>
      <c r="B3451" t="inlineStr">
        <is>
          <t>Otic Enzymatic Solution 36ml</t>
        </is>
      </c>
      <c r="C3451" t="inlineStr">
        <is>
          <t>Zymox</t>
        </is>
      </c>
      <c r="D3451" t="inlineStr">
        <is>
          <t>PKB-1000F-GREEN</t>
        </is>
      </c>
      <c r="E3451" t="inlineStr">
        <is>
          <t>2026-05</t>
        </is>
      </c>
      <c r="F3451" t="n">
        <v>77</v>
      </c>
      <c r="G3451" t="n">
        <v>90.86</v>
      </c>
      <c r="H3451">
        <f>הגדרות!B8</f>
        <v/>
      </c>
      <c r="I3451">
        <f>F3451*(1-H3451/100)*1.18</f>
        <v/>
      </c>
      <c r="J3451">
        <f>הגדרות!C8</f>
        <v/>
      </c>
      <c r="K3451">
        <f>הגדרות!D8</f>
        <v/>
      </c>
      <c r="L3451">
        <f>I3451*(1+J3451/100)+K3451</f>
        <v/>
      </c>
    </row>
    <row r="3452">
      <c r="A3452" t="inlineStr">
        <is>
          <t>פט-וט ביומד</t>
        </is>
      </c>
      <c r="B3452" t="inlineStr">
        <is>
          <t>Otic Advanced with HC 36ml</t>
        </is>
      </c>
      <c r="C3452" t="inlineStr">
        <is>
          <t>Zymox</t>
        </is>
      </c>
      <c r="D3452" t="inlineStr">
        <is>
          <t>PKB-1201A-RED</t>
        </is>
      </c>
      <c r="E3452" t="inlineStr">
        <is>
          <t>2026-05</t>
        </is>
      </c>
      <c r="F3452" t="n">
        <v>125</v>
      </c>
      <c r="G3452" t="n">
        <v>147.5</v>
      </c>
      <c r="H3452">
        <f>הגדרות!B8</f>
        <v/>
      </c>
      <c r="I3452">
        <f>F3452*(1-H3452/100)*1.18</f>
        <v/>
      </c>
      <c r="J3452">
        <f>הגדרות!C8</f>
        <v/>
      </c>
      <c r="K3452">
        <f>הגדרות!D8</f>
        <v/>
      </c>
      <c r="L3452">
        <f>I3452*(1+J3452/100)+K3452</f>
        <v/>
      </c>
    </row>
    <row r="3453">
      <c r="A3453" t="inlineStr">
        <is>
          <t>פט-וט ביומד</t>
        </is>
      </c>
      <c r="B3453" t="inlineStr">
        <is>
          <t>Ear Cleanser 118ml</t>
        </is>
      </c>
      <c r="C3453" t="inlineStr">
        <is>
          <t>Zymox</t>
        </is>
      </c>
      <c r="D3453" t="inlineStr">
        <is>
          <t>PKB-ZYC12</t>
        </is>
      </c>
      <c r="E3453" t="inlineStr">
        <is>
          <t>2026-05</t>
        </is>
      </c>
      <c r="F3453" t="n">
        <v>56</v>
      </c>
      <c r="G3453" t="n">
        <v>66.08</v>
      </c>
      <c r="H3453">
        <f>הגדרות!B8</f>
        <v/>
      </c>
      <c r="I3453">
        <f>F3453*(1-H3453/100)*1.18</f>
        <v/>
      </c>
      <c r="J3453">
        <f>הגדרות!C8</f>
        <v/>
      </c>
      <c r="K3453">
        <f>הגדרות!D8</f>
        <v/>
      </c>
      <c r="L3453">
        <f>I3453*(1+J3453/100)+K3453</f>
        <v/>
      </c>
    </row>
    <row r="3454">
      <c r="A3454" t="inlineStr">
        <is>
          <t>פט-וט ביומד</t>
        </is>
      </c>
      <c r="B3454" t="inlineStr">
        <is>
          <t>Topical Cream 28ml</t>
        </is>
      </c>
      <c r="C3454" t="inlineStr">
        <is>
          <t>Zymox</t>
        </is>
      </c>
      <c r="D3454" t="inlineStr">
        <is>
          <t>PKB-ZYTCWO</t>
        </is>
      </c>
      <c r="E3454" t="inlineStr">
        <is>
          <t>2026-05</t>
        </is>
      </c>
      <c r="F3454" t="n">
        <v>59</v>
      </c>
      <c r="G3454" t="n">
        <v>69.62</v>
      </c>
      <c r="H3454">
        <f>הגדרות!B8</f>
        <v/>
      </c>
      <c r="I3454">
        <f>F3454*(1-H3454/100)*1.18</f>
        <v/>
      </c>
      <c r="J3454">
        <f>הגדרות!C8</f>
        <v/>
      </c>
      <c r="K3454">
        <f>הגדרות!D8</f>
        <v/>
      </c>
      <c r="L3454">
        <f>I3454*(1+J3454/100)+K3454</f>
        <v/>
      </c>
    </row>
    <row r="3455">
      <c r="A3455" t="inlineStr">
        <is>
          <t>פט-וט ביומד</t>
        </is>
      </c>
      <c r="B3455" t="inlineStr">
        <is>
          <t>Cream with 1% Hydrocortisone 28ml</t>
        </is>
      </c>
      <c r="C3455" t="inlineStr">
        <is>
          <t>Zymox</t>
        </is>
      </c>
      <c r="D3455" t="inlineStr">
        <is>
          <t>PKB-ZYTC</t>
        </is>
      </c>
      <c r="E3455" t="inlineStr">
        <is>
          <t>2026-05</t>
        </is>
      </c>
      <c r="F3455" t="n">
        <v>64</v>
      </c>
      <c r="G3455" t="n">
        <v>75.52</v>
      </c>
      <c r="H3455">
        <f>הגדרות!B8</f>
        <v/>
      </c>
      <c r="I3455">
        <f>F3455*(1-H3455/100)*1.18</f>
        <v/>
      </c>
      <c r="J3455">
        <f>הגדרות!C8</f>
        <v/>
      </c>
      <c r="K3455">
        <f>הגדרות!D8</f>
        <v/>
      </c>
      <c r="L3455">
        <f>I3455*(1+J3455/100)+K3455</f>
        <v/>
      </c>
    </row>
    <row r="3456">
      <c r="A3456" t="inlineStr">
        <is>
          <t>פט-וט ביומד</t>
        </is>
      </c>
      <c r="B3456" t="inlineStr">
        <is>
          <t>Small Animal &amp; Exotic Topical Spray w/o Hydrocortisone</t>
        </is>
      </c>
      <c r="C3456" t="inlineStr">
        <is>
          <t>Zymox</t>
        </is>
      </c>
      <c r="D3456" t="inlineStr">
        <is>
          <t>PKB-RZSMETS</t>
        </is>
      </c>
      <c r="E3456" t="inlineStr">
        <is>
          <t>2026-05</t>
        </is>
      </c>
      <c r="F3456" t="n">
        <v>62</v>
      </c>
      <c r="G3456" t="n">
        <v>73.16</v>
      </c>
      <c r="H3456">
        <f>הגדרות!B8</f>
        <v/>
      </c>
      <c r="I3456">
        <f>F3456*(1-H3456/100)*1.18</f>
        <v/>
      </c>
      <c r="J3456">
        <f>הגדרות!C8</f>
        <v/>
      </c>
      <c r="K3456">
        <f>הגדרות!D8</f>
        <v/>
      </c>
      <c r="L3456">
        <f>I3456*(1+J3456/100)+K3456</f>
        <v/>
      </c>
    </row>
    <row r="3457">
      <c r="A3457" t="inlineStr">
        <is>
          <t>פט-וט ביומד</t>
        </is>
      </c>
      <c r="B3457" t="inlineStr">
        <is>
          <t>Spray with 1% Hydrocortisone 59ml</t>
        </is>
      </c>
      <c r="C3457" t="inlineStr">
        <is>
          <t>Zymox</t>
        </is>
      </c>
      <c r="D3457" t="inlineStr">
        <is>
          <t>PKB-ZYTS</t>
        </is>
      </c>
      <c r="E3457" t="inlineStr">
        <is>
          <t>2026-05</t>
        </is>
      </c>
      <c r="F3457" t="n">
        <v>68</v>
      </c>
      <c r="G3457" t="n">
        <v>80.23999999999999</v>
      </c>
      <c r="H3457">
        <f>הגדרות!B8</f>
        <v/>
      </c>
      <c r="I3457">
        <f>F3457*(1-H3457/100)*1.18</f>
        <v/>
      </c>
      <c r="J3457">
        <f>הגדרות!C8</f>
        <v/>
      </c>
      <c r="K3457">
        <f>הגדרות!D8</f>
        <v/>
      </c>
      <c r="L3457">
        <f>I3457*(1+J3457/100)+K3457</f>
        <v/>
      </c>
    </row>
    <row r="3458">
      <c r="A3458" t="inlineStr">
        <is>
          <t>פט-וט ביומד</t>
        </is>
      </c>
      <c r="B3458" t="inlineStr">
        <is>
          <t>Funky Paw 90g</t>
        </is>
      </c>
      <c r="C3458" t="inlineStr">
        <is>
          <t>Zymox</t>
        </is>
      </c>
      <c r="D3458" t="inlineStr">
        <is>
          <t>PKB-RZFP032</t>
        </is>
      </c>
      <c r="E3458" t="inlineStr">
        <is>
          <t>2026-05</t>
        </is>
      </c>
      <c r="F3458" t="n">
        <v>60</v>
      </c>
      <c r="G3458" t="n">
        <v>70.8</v>
      </c>
      <c r="H3458">
        <f>הגדרות!B8</f>
        <v/>
      </c>
      <c r="I3458">
        <f>F3458*(1-H3458/100)*1.18</f>
        <v/>
      </c>
      <c r="J3458">
        <f>הגדרות!C8</f>
        <v/>
      </c>
      <c r="K3458">
        <f>הגדרות!D8</f>
        <v/>
      </c>
      <c r="L3458">
        <f>I3458*(1+J3458/100)+K3458</f>
        <v/>
      </c>
    </row>
    <row r="3459">
      <c r="A3459" t="inlineStr">
        <is>
          <t>פט-וט ביומד</t>
        </is>
      </c>
      <c r="B3459" t="inlineStr">
        <is>
          <t>Antiseptic Oral Gel 28ml</t>
        </is>
      </c>
      <c r="C3459" t="inlineStr">
        <is>
          <t>Oratene</t>
        </is>
      </c>
      <c r="D3459" t="inlineStr">
        <is>
          <t>PKB-OVAG1</t>
        </is>
      </c>
      <c r="E3459" t="inlineStr">
        <is>
          <t>2026-05</t>
        </is>
      </c>
      <c r="F3459" t="n">
        <v>47</v>
      </c>
      <c r="G3459" t="n">
        <v>55.46</v>
      </c>
      <c r="H3459">
        <f>הגדרות!B8</f>
        <v/>
      </c>
      <c r="I3459">
        <f>F3459*(1-H3459/100)*1.18</f>
        <v/>
      </c>
      <c r="J3459">
        <f>הגדרות!C8</f>
        <v/>
      </c>
      <c r="K3459">
        <f>הגדרות!D8</f>
        <v/>
      </c>
      <c r="L3459">
        <f>I3459*(1+J3459/100)+K3459</f>
        <v/>
      </c>
    </row>
    <row r="3460">
      <c r="A3460" t="inlineStr">
        <is>
          <t>פט-וט ביומד</t>
        </is>
      </c>
      <c r="B3460" t="inlineStr">
        <is>
          <t>Oral Gel 70g</t>
        </is>
      </c>
      <c r="C3460" t="inlineStr">
        <is>
          <t>Oratene</t>
        </is>
      </c>
      <c r="D3460" t="inlineStr">
        <is>
          <t>PKB-ROGD0205</t>
        </is>
      </c>
      <c r="E3460" t="inlineStr">
        <is>
          <t>2026-05</t>
        </is>
      </c>
      <c r="F3460" t="n">
        <v>60</v>
      </c>
      <c r="G3460" t="n">
        <v>70.8</v>
      </c>
      <c r="H3460">
        <f>הגדרות!B8</f>
        <v/>
      </c>
      <c r="I3460">
        <f>F3460*(1-H3460/100)*1.18</f>
        <v/>
      </c>
      <c r="J3460">
        <f>הגדרות!C8</f>
        <v/>
      </c>
      <c r="K3460">
        <f>הגדרות!D8</f>
        <v/>
      </c>
      <c r="L3460">
        <f>I3460*(1+J3460/100)+K3460</f>
        <v/>
      </c>
    </row>
    <row r="3461">
      <c r="A3461" t="inlineStr">
        <is>
          <t>פט-וט ביומד</t>
        </is>
      </c>
      <c r="B3461" t="inlineStr">
        <is>
          <t>Water Additive 118ml</t>
        </is>
      </c>
      <c r="C3461" t="inlineStr">
        <is>
          <t>Oratene</t>
        </is>
      </c>
      <c r="D3461" t="inlineStr">
        <is>
          <t>PKB-ROWA0400</t>
        </is>
      </c>
      <c r="E3461" t="inlineStr">
        <is>
          <t>2026-05</t>
        </is>
      </c>
      <c r="F3461" t="n">
        <v>81</v>
      </c>
      <c r="G3461" t="n">
        <v>95.58</v>
      </c>
      <c r="H3461">
        <f>הגדרות!B8</f>
        <v/>
      </c>
      <c r="I3461">
        <f>F3461*(1-H3461/100)*1.18</f>
        <v/>
      </c>
      <c r="J3461">
        <f>הגדרות!C8</f>
        <v/>
      </c>
      <c r="K3461">
        <f>הגדרות!D8</f>
        <v/>
      </c>
      <c r="L3461">
        <f>I3461*(1+J3461/100)+K3461</f>
        <v/>
      </c>
    </row>
    <row r="3462">
      <c r="A3462" t="inlineStr">
        <is>
          <t>פט-וט ביומד</t>
        </is>
      </c>
      <c r="B3462" t="inlineStr">
        <is>
          <t>Water Additive 236ml</t>
        </is>
      </c>
      <c r="C3462" t="inlineStr">
        <is>
          <t>Oratene</t>
        </is>
      </c>
      <c r="D3462" t="inlineStr">
        <is>
          <t>PKB-ROWA0800</t>
        </is>
      </c>
      <c r="E3462" t="inlineStr">
        <is>
          <t>2026-05</t>
        </is>
      </c>
      <c r="F3462" t="n">
        <v>118</v>
      </c>
      <c r="G3462" t="n">
        <v>139.24</v>
      </c>
      <c r="H3462">
        <f>הגדרות!B8</f>
        <v/>
      </c>
      <c r="I3462">
        <f>F3462*(1-H3462/100)*1.18</f>
        <v/>
      </c>
      <c r="J3462">
        <f>הגדרות!C8</f>
        <v/>
      </c>
      <c r="K3462">
        <f>הגדרות!D8</f>
        <v/>
      </c>
      <c r="L3462">
        <f>I3462*(1+J3462/100)+K3462</f>
        <v/>
      </c>
    </row>
    <row r="3463">
      <c r="A3463" t="inlineStr">
        <is>
          <t>פט-וט ביומד</t>
        </is>
      </c>
      <c r="B3463" t="inlineStr">
        <is>
          <t>Breath Freshner 118ml</t>
        </is>
      </c>
      <c r="C3463" t="inlineStr">
        <is>
          <t>Oratene</t>
        </is>
      </c>
      <c r="D3463" t="inlineStr">
        <is>
          <t>PKB-ROBF0400</t>
        </is>
      </c>
      <c r="E3463" t="inlineStr">
        <is>
          <t>2026-05</t>
        </is>
      </c>
      <c r="F3463" t="n">
        <v>35</v>
      </c>
      <c r="G3463" t="n">
        <v>41.3</v>
      </c>
      <c r="H3463">
        <f>הגדרות!B8</f>
        <v/>
      </c>
      <c r="I3463">
        <f>F3463*(1-H3463/100)*1.18</f>
        <v/>
      </c>
      <c r="J3463">
        <f>הגדרות!C8</f>
        <v/>
      </c>
      <c r="K3463">
        <f>הגדרות!D8</f>
        <v/>
      </c>
      <c r="L3463">
        <f>I3463*(1+J3463/100)+K3463</f>
        <v/>
      </c>
    </row>
    <row r="3464">
      <c r="A3464" t="inlineStr">
        <is>
          <t>פט-וט ביומד</t>
        </is>
      </c>
      <c r="B3464" t="inlineStr">
        <is>
          <t>GlycoZoo Otic 118ml</t>
        </is>
      </c>
      <c r="C3464" t="inlineStr">
        <is>
          <t>DermaZoo</t>
        </is>
      </c>
      <c r="D3464" t="inlineStr">
        <is>
          <t>DZOO-GOX</t>
        </is>
      </c>
      <c r="E3464" t="inlineStr">
        <is>
          <t>2026-05</t>
        </is>
      </c>
      <c r="F3464" t="n">
        <v>41</v>
      </c>
      <c r="G3464" t="n">
        <v>48.38</v>
      </c>
      <c r="H3464">
        <f>הגדרות!B8</f>
        <v/>
      </c>
      <c r="I3464">
        <f>F3464*(1-H3464/100)*1.18</f>
        <v/>
      </c>
      <c r="J3464">
        <f>הגדרות!C8</f>
        <v/>
      </c>
      <c r="K3464">
        <f>הגדרות!D8</f>
        <v/>
      </c>
      <c r="L3464">
        <f>I3464*(1+J3464/100)+K3464</f>
        <v/>
      </c>
    </row>
    <row r="3465">
      <c r="A3465" t="inlineStr">
        <is>
          <t>פט-וט ביומד</t>
        </is>
      </c>
      <c r="B3465" t="inlineStr">
        <is>
          <t>KC Oto-Pack 54ml</t>
        </is>
      </c>
      <c r="C3465" t="inlineStr">
        <is>
          <t>DermaZoo</t>
        </is>
      </c>
      <c r="D3465" t="inlineStr">
        <is>
          <t>DZOO-KCOX</t>
        </is>
      </c>
      <c r="E3465" t="inlineStr">
        <is>
          <t>2026-05</t>
        </is>
      </c>
      <c r="F3465" t="n">
        <v>550</v>
      </c>
      <c r="G3465" t="n">
        <v>649</v>
      </c>
      <c r="H3465">
        <f>הגדרות!B8</f>
        <v/>
      </c>
      <c r="I3465">
        <f>F3465*(1-H3465/100)*1.18</f>
        <v/>
      </c>
      <c r="J3465">
        <f>הגדרות!C8</f>
        <v/>
      </c>
      <c r="K3465">
        <f>הגדרות!D8</f>
        <v/>
      </c>
      <c r="L3465">
        <f>I3465*(1+J3465/100)+K3465</f>
        <v/>
      </c>
    </row>
    <row r="3466">
      <c r="A3466" t="inlineStr">
        <is>
          <t>פט-וט ביומד</t>
        </is>
      </c>
      <c r="B3466" t="inlineStr">
        <is>
          <t>Tris Otic 118ml</t>
        </is>
      </c>
      <c r="C3466" t="inlineStr">
        <is>
          <t>DermaZoo</t>
        </is>
      </c>
      <c r="D3466" t="inlineStr">
        <is>
          <t>DZOO-TOX</t>
        </is>
      </c>
      <c r="E3466" t="inlineStr">
        <is>
          <t>2026-05</t>
        </is>
      </c>
      <c r="F3466" t="n">
        <v>48</v>
      </c>
      <c r="G3466" t="n">
        <v>56.64</v>
      </c>
      <c r="H3466">
        <f>הגדרות!B8</f>
        <v/>
      </c>
      <c r="I3466">
        <f>F3466*(1-H3466/100)*1.18</f>
        <v/>
      </c>
      <c r="J3466">
        <f>הגדרות!C8</f>
        <v/>
      </c>
      <c r="K3466">
        <f>הגדרות!D8</f>
        <v/>
      </c>
      <c r="L3466">
        <f>I3466*(1+J3466/100)+K3466</f>
        <v/>
      </c>
    </row>
    <row r="3467">
      <c r="A3467" t="inlineStr">
        <is>
          <t>פט-וט ביומד</t>
        </is>
      </c>
      <c r="B3467" t="inlineStr">
        <is>
          <t>WEJOINT SMALL BREED 30tab</t>
        </is>
      </c>
      <c r="C3467" t="inlineStr">
        <is>
          <t>WePharm</t>
        </is>
      </c>
      <c r="D3467" t="inlineStr">
        <is>
          <t>WEPHARM-010001</t>
        </is>
      </c>
      <c r="E3467" t="inlineStr">
        <is>
          <t>2026-05</t>
        </is>
      </c>
      <c r="F3467" t="n">
        <v>60</v>
      </c>
      <c r="G3467" t="n">
        <v>70.8</v>
      </c>
      <c r="H3467">
        <f>הגדרות!B8</f>
        <v/>
      </c>
      <c r="I3467">
        <f>F3467*(1-H3467/100)*1.18</f>
        <v/>
      </c>
      <c r="J3467">
        <f>הגדרות!C8</f>
        <v/>
      </c>
      <c r="K3467">
        <f>הגדרות!D8</f>
        <v/>
      </c>
      <c r="L3467">
        <f>I3467*(1+J3467/100)+K3467</f>
        <v/>
      </c>
    </row>
    <row r="3468">
      <c r="A3468" t="inlineStr">
        <is>
          <t>פט-וט ביומד</t>
        </is>
      </c>
      <c r="B3468" t="inlineStr">
        <is>
          <t>WEJOINT MEDIUM BREED 30tab</t>
        </is>
      </c>
      <c r="C3468" t="inlineStr">
        <is>
          <t>WePharm</t>
        </is>
      </c>
      <c r="D3468" t="inlineStr">
        <is>
          <t>WEPHARM-010003</t>
        </is>
      </c>
      <c r="E3468" t="inlineStr">
        <is>
          <t>2026-05</t>
        </is>
      </c>
      <c r="F3468" t="n">
        <v>68</v>
      </c>
      <c r="G3468" t="n">
        <v>80.23999999999999</v>
      </c>
      <c r="H3468">
        <f>הגדרות!B8</f>
        <v/>
      </c>
      <c r="I3468">
        <f>F3468*(1-H3468/100)*1.18</f>
        <v/>
      </c>
      <c r="J3468">
        <f>הגדרות!C8</f>
        <v/>
      </c>
      <c r="K3468">
        <f>הגדרות!D8</f>
        <v/>
      </c>
      <c r="L3468">
        <f>I3468*(1+J3468/100)+K3468</f>
        <v/>
      </c>
    </row>
    <row r="3469">
      <c r="A3469" t="inlineStr">
        <is>
          <t>פט-וט ביומד</t>
        </is>
      </c>
      <c r="B3469" t="inlineStr">
        <is>
          <t>WEJOINT LARGE BREED 30tab</t>
        </is>
      </c>
      <c r="C3469" t="inlineStr">
        <is>
          <t>WePharm</t>
        </is>
      </c>
      <c r="D3469" t="inlineStr">
        <is>
          <t>WEPHARM-010005</t>
        </is>
      </c>
      <c r="E3469" t="inlineStr">
        <is>
          <t>2026-05</t>
        </is>
      </c>
      <c r="F3469" t="n">
        <v>82</v>
      </c>
      <c r="G3469" t="n">
        <v>96.76000000000001</v>
      </c>
      <c r="H3469">
        <f>הגדרות!B8</f>
        <v/>
      </c>
      <c r="I3469">
        <f>F3469*(1-H3469/100)*1.18</f>
        <v/>
      </c>
      <c r="J3469">
        <f>הגדרות!C8</f>
        <v/>
      </c>
      <c r="K3469">
        <f>הגדרות!D8</f>
        <v/>
      </c>
      <c r="L3469">
        <f>I3469*(1+J3469/100)+K3469</f>
        <v/>
      </c>
    </row>
    <row r="3470">
      <c r="A3470" t="inlineStr">
        <is>
          <t>פט-וט ביומד</t>
        </is>
      </c>
      <c r="B3470" t="inlineStr">
        <is>
          <t>WEJOINT PLUS LARGE BREED 30tab</t>
        </is>
      </c>
      <c r="C3470" t="inlineStr">
        <is>
          <t>WePharm</t>
        </is>
      </c>
      <c r="D3470" t="inlineStr">
        <is>
          <t>WEPHARM-010104</t>
        </is>
      </c>
      <c r="E3470" t="inlineStr">
        <is>
          <t>2026-05</t>
        </is>
      </c>
      <c r="F3470" t="n">
        <v>102</v>
      </c>
      <c r="G3470" t="n">
        <v>120.36</v>
      </c>
      <c r="H3470">
        <f>הגדרות!B8</f>
        <v/>
      </c>
      <c r="I3470">
        <f>F3470*(1-H3470/100)*1.18</f>
        <v/>
      </c>
      <c r="J3470">
        <f>הגדרות!C8</f>
        <v/>
      </c>
      <c r="K3470">
        <f>הגדרות!D8</f>
        <v/>
      </c>
      <c r="L3470">
        <f>I3470*(1+J3470/100)+K3470</f>
        <v/>
      </c>
    </row>
    <row r="3471">
      <c r="A3471" t="inlineStr">
        <is>
          <t>פט-וט ביומד</t>
        </is>
      </c>
      <c r="B3471" t="inlineStr">
        <is>
          <t>WEJOINT PLUS PASTE 30ml</t>
        </is>
      </c>
      <c r="C3471" t="inlineStr">
        <is>
          <t>WePharm</t>
        </is>
      </c>
      <c r="D3471" t="inlineStr">
        <is>
          <t>WEPHARM-010106</t>
        </is>
      </c>
      <c r="E3471" t="inlineStr">
        <is>
          <t>2026-05</t>
        </is>
      </c>
      <c r="F3471" t="n">
        <v>56</v>
      </c>
      <c r="G3471" t="n">
        <v>66.08</v>
      </c>
      <c r="H3471">
        <f>הגדרות!B8</f>
        <v/>
      </c>
      <c r="I3471">
        <f>F3471*(1-H3471/100)*1.18</f>
        <v/>
      </c>
      <c r="J3471">
        <f>הגדרות!C8</f>
        <v/>
      </c>
      <c r="K3471">
        <f>הגדרות!D8</f>
        <v/>
      </c>
      <c r="L3471">
        <f>I3471*(1+J3471/100)+K3471</f>
        <v/>
      </c>
    </row>
    <row r="3472">
      <c r="A3472" t="inlineStr">
        <is>
          <t>פט-וט ביומד</t>
        </is>
      </c>
      <c r="B3472" t="inlineStr">
        <is>
          <t>WEPATICARE MEDIUM AND LARGE BREED 30tab</t>
        </is>
      </c>
      <c r="C3472" t="inlineStr">
        <is>
          <t>WePharm</t>
        </is>
      </c>
      <c r="D3472" t="inlineStr">
        <is>
          <t>WEPHARM-0101123</t>
        </is>
      </c>
      <c r="E3472" t="inlineStr">
        <is>
          <t>2026-05</t>
        </is>
      </c>
      <c r="F3472" t="n">
        <v>238</v>
      </c>
      <c r="G3472" t="n">
        <v>280.84</v>
      </c>
      <c r="H3472">
        <f>הגדרות!B8</f>
        <v/>
      </c>
      <c r="I3472">
        <f>F3472*(1-H3472/100)*1.18</f>
        <v/>
      </c>
      <c r="J3472">
        <f>הגדרות!C8</f>
        <v/>
      </c>
      <c r="K3472">
        <f>הגדרות!D8</f>
        <v/>
      </c>
      <c r="L3472">
        <f>I3472*(1+J3472/100)+K3472</f>
        <v/>
      </c>
    </row>
    <row r="3473">
      <c r="A3473" t="inlineStr">
        <is>
          <t>פט-וט ביומד</t>
        </is>
      </c>
      <c r="B3473" t="inlineStr">
        <is>
          <t>WEPATICARE SMALL BREED AND CATS 30tab</t>
        </is>
      </c>
      <c r="C3473" t="inlineStr">
        <is>
          <t>WePharm</t>
        </is>
      </c>
      <c r="D3473" t="inlineStr">
        <is>
          <t>WEPHARM-0101122</t>
        </is>
      </c>
      <c r="E3473" t="inlineStr">
        <is>
          <t>2026-05</t>
        </is>
      </c>
      <c r="F3473" t="n">
        <v>112</v>
      </c>
      <c r="G3473" t="n">
        <v>132.16</v>
      </c>
      <c r="H3473">
        <f>הגדרות!B8</f>
        <v/>
      </c>
      <c r="I3473">
        <f>F3473*(1-H3473/100)*1.18</f>
        <v/>
      </c>
      <c r="J3473">
        <f>הגדרות!C8</f>
        <v/>
      </c>
      <c r="K3473">
        <f>הגדרות!D8</f>
        <v/>
      </c>
      <c r="L3473">
        <f>I3473*(1+J3473/100)+K3473</f>
        <v/>
      </c>
    </row>
    <row r="3474">
      <c r="A3474" t="inlineStr">
        <is>
          <t>פט-וט ביומד</t>
        </is>
      </c>
      <c r="B3474" t="inlineStr">
        <is>
          <t>WEBIOTIC FAST 15ml</t>
        </is>
      </c>
      <c r="C3474" t="inlineStr">
        <is>
          <t>WePharm</t>
        </is>
      </c>
      <c r="D3474" t="inlineStr">
        <is>
          <t>WEPHARM-010044</t>
        </is>
      </c>
      <c r="E3474" t="inlineStr">
        <is>
          <t>2026-05</t>
        </is>
      </c>
      <c r="F3474" t="n">
        <v>38</v>
      </c>
      <c r="G3474" t="n">
        <v>44.84</v>
      </c>
      <c r="H3474">
        <f>הגדרות!B8</f>
        <v/>
      </c>
      <c r="I3474">
        <f>F3474*(1-H3474/100)*1.18</f>
        <v/>
      </c>
      <c r="J3474">
        <f>הגדרות!C8</f>
        <v/>
      </c>
      <c r="K3474">
        <f>הגדרות!D8</f>
        <v/>
      </c>
      <c r="L3474">
        <f>I3474*(1+J3474/100)+K3474</f>
        <v/>
      </c>
    </row>
    <row r="3475">
      <c r="A3475" t="inlineStr">
        <is>
          <t>פט-וט ביומד</t>
        </is>
      </c>
      <c r="B3475" t="inlineStr">
        <is>
          <t>WEBIOTIC FAST 30ml</t>
        </is>
      </c>
      <c r="C3475" t="inlineStr">
        <is>
          <t>WePharm</t>
        </is>
      </c>
      <c r="D3475" t="inlineStr">
        <is>
          <t>WEPHARM-010045</t>
        </is>
      </c>
      <c r="E3475" t="inlineStr">
        <is>
          <t>2026-05</t>
        </is>
      </c>
      <c r="F3475" t="n">
        <v>54</v>
      </c>
      <c r="G3475" t="n">
        <v>63.72</v>
      </c>
      <c r="H3475">
        <f>הגדרות!B8</f>
        <v/>
      </c>
      <c r="I3475">
        <f>F3475*(1-H3475/100)*1.18</f>
        <v/>
      </c>
      <c r="J3475">
        <f>הגדרות!C8</f>
        <v/>
      </c>
      <c r="K3475">
        <f>הגדרות!D8</f>
        <v/>
      </c>
      <c r="L3475">
        <f>I3475*(1+J3475/100)+K3475</f>
        <v/>
      </c>
    </row>
    <row r="3476">
      <c r="A3476" t="inlineStr">
        <is>
          <t>פט-וט ביומד</t>
        </is>
      </c>
      <c r="B3476" t="inlineStr">
        <is>
          <t>WEBIOTIC 30tab</t>
        </is>
      </c>
      <c r="C3476" t="inlineStr">
        <is>
          <t>WePharm</t>
        </is>
      </c>
      <c r="D3476" t="inlineStr">
        <is>
          <t>WEPHARM-010049</t>
        </is>
      </c>
      <c r="E3476" t="inlineStr">
        <is>
          <t>2026-05</t>
        </is>
      </c>
      <c r="F3476" t="n">
        <v>75</v>
      </c>
      <c r="G3476" t="n">
        <v>88.5</v>
      </c>
      <c r="H3476">
        <f>הגדרות!B8</f>
        <v/>
      </c>
      <c r="I3476">
        <f>F3476*(1-H3476/100)*1.18</f>
        <v/>
      </c>
      <c r="J3476">
        <f>הגדרות!C8</f>
        <v/>
      </c>
      <c r="K3476">
        <f>הגדרות!D8</f>
        <v/>
      </c>
      <c r="L3476">
        <f>I3476*(1+J3476/100)+K3476</f>
        <v/>
      </c>
    </row>
    <row r="3477">
      <c r="A3477" t="inlineStr">
        <is>
          <t>פט-וט ביומד</t>
        </is>
      </c>
      <c r="B3477" t="inlineStr">
        <is>
          <t>WECALM 30tab</t>
        </is>
      </c>
      <c r="C3477" t="inlineStr">
        <is>
          <t>WePharm</t>
        </is>
      </c>
      <c r="D3477" t="inlineStr">
        <is>
          <t>WEPHARM-010095</t>
        </is>
      </c>
      <c r="E3477" t="inlineStr">
        <is>
          <t>2026-05</t>
        </is>
      </c>
      <c r="F3477" t="n">
        <v>95</v>
      </c>
      <c r="G3477" t="n">
        <v>112.1</v>
      </c>
      <c r="H3477">
        <f>הגדרות!B8</f>
        <v/>
      </c>
      <c r="I3477">
        <f>F3477*(1-H3477/100)*1.18</f>
        <v/>
      </c>
      <c r="J3477">
        <f>הגדרות!C8</f>
        <v/>
      </c>
      <c r="K3477">
        <f>הגדרות!D8</f>
        <v/>
      </c>
      <c r="L3477">
        <f>I3477*(1+J3477/100)+K3477</f>
        <v/>
      </c>
    </row>
    <row r="3478">
      <c r="A3478" t="inlineStr">
        <is>
          <t>פט-וט ביומד</t>
        </is>
      </c>
      <c r="B3478" t="inlineStr">
        <is>
          <t>WEFIBER 225g</t>
        </is>
      </c>
      <c r="C3478" t="inlineStr">
        <is>
          <t>WePharm</t>
        </is>
      </c>
      <c r="D3478" t="inlineStr">
        <is>
          <t>WEPHARM-010118</t>
        </is>
      </c>
      <c r="E3478" t="inlineStr">
        <is>
          <t>2026-05</t>
        </is>
      </c>
      <c r="F3478" t="n">
        <v>73</v>
      </c>
      <c r="G3478" t="n">
        <v>86.14</v>
      </c>
      <c r="H3478">
        <f>הגדרות!B8</f>
        <v/>
      </c>
      <c r="I3478">
        <f>F3478*(1-H3478/100)*1.18</f>
        <v/>
      </c>
      <c r="J3478">
        <f>הגדרות!C8</f>
        <v/>
      </c>
      <c r="K3478">
        <f>הגדרות!D8</f>
        <v/>
      </c>
      <c r="L3478">
        <f>I3478*(1+J3478/100)+K3478</f>
        <v/>
      </c>
    </row>
    <row r="3479">
      <c r="A3479" t="inlineStr">
        <is>
          <t>פט-וט ביומד</t>
        </is>
      </c>
      <c r="B3479" t="inlineStr">
        <is>
          <t>WEHEMO ORAL LIQUID 30ml</t>
        </is>
      </c>
      <c r="C3479" t="inlineStr">
        <is>
          <t>WePharm</t>
        </is>
      </c>
      <c r="D3479" t="inlineStr">
        <is>
          <t>WEPHARM-010050</t>
        </is>
      </c>
      <c r="E3479" t="inlineStr">
        <is>
          <t>2026-05</t>
        </is>
      </c>
      <c r="F3479" t="n">
        <v>70</v>
      </c>
      <c r="G3479" t="n">
        <v>82.59999999999999</v>
      </c>
      <c r="H3479">
        <f>הגדרות!B8</f>
        <v/>
      </c>
      <c r="I3479">
        <f>F3479*(1-H3479/100)*1.18</f>
        <v/>
      </c>
      <c r="J3479">
        <f>הגדרות!C8</f>
        <v/>
      </c>
      <c r="K3479">
        <f>הגדרות!D8</f>
        <v/>
      </c>
      <c r="L3479">
        <f>I3479*(1+J3479/100)+K3479</f>
        <v/>
      </c>
    </row>
    <row r="3480">
      <c r="A3480" t="inlineStr">
        <is>
          <t>פט-וט ביומד</t>
        </is>
      </c>
      <c r="B3480" t="inlineStr">
        <is>
          <t>WENEFRO ADVANCED 30ml</t>
        </is>
      </c>
      <c r="C3480" t="inlineStr">
        <is>
          <t>WePharm</t>
        </is>
      </c>
      <c r="D3480" t="inlineStr">
        <is>
          <t>WEPHARM-010063</t>
        </is>
      </c>
      <c r="E3480" t="inlineStr">
        <is>
          <t>2026-05</t>
        </is>
      </c>
      <c r="F3480" t="n">
        <v>60</v>
      </c>
      <c r="G3480" t="n">
        <v>70.8</v>
      </c>
      <c r="H3480">
        <f>הגדרות!B8</f>
        <v/>
      </c>
      <c r="I3480">
        <f>F3480*(1-H3480/100)*1.18</f>
        <v/>
      </c>
      <c r="J3480">
        <f>הגדרות!C8</f>
        <v/>
      </c>
      <c r="K3480">
        <f>הגדרות!D8</f>
        <v/>
      </c>
      <c r="L3480">
        <f>I3480*(1+J3480/100)+K3480</f>
        <v/>
      </c>
    </row>
    <row r="3481">
      <c r="A3481" t="inlineStr">
        <is>
          <t>פט-וט ביומד</t>
        </is>
      </c>
      <c r="B3481" t="inlineStr">
        <is>
          <t>WENEFRO ADVANCED 30tab</t>
        </is>
      </c>
      <c r="C3481" t="inlineStr">
        <is>
          <t>WePharm</t>
        </is>
      </c>
      <c r="D3481" t="inlineStr">
        <is>
          <t>WEPHARM-010062</t>
        </is>
      </c>
      <c r="E3481" t="inlineStr">
        <is>
          <t>2026-05</t>
        </is>
      </c>
      <c r="F3481" t="n">
        <v>85</v>
      </c>
      <c r="G3481" t="n">
        <v>100.3</v>
      </c>
      <c r="H3481">
        <f>הגדרות!B8</f>
        <v/>
      </c>
      <c r="I3481">
        <f>F3481*(1-H3481/100)*1.18</f>
        <v/>
      </c>
      <c r="J3481">
        <f>הגדרות!C8</f>
        <v/>
      </c>
      <c r="K3481">
        <f>הגדרות!D8</f>
        <v/>
      </c>
      <c r="L3481">
        <f>I3481*(1+J3481/100)+K3481</f>
        <v/>
      </c>
    </row>
    <row r="3482">
      <c r="A3482" t="inlineStr">
        <is>
          <t>פט-וט ביומד</t>
        </is>
      </c>
      <c r="B3482" t="inlineStr">
        <is>
          <t>WEMALT 50g</t>
        </is>
      </c>
      <c r="C3482" t="inlineStr">
        <is>
          <t>WePharm</t>
        </is>
      </c>
      <c r="D3482" t="inlineStr">
        <is>
          <t>WEPHARM-010070</t>
        </is>
      </c>
      <c r="E3482" t="inlineStr">
        <is>
          <t>2026-05</t>
        </is>
      </c>
      <c r="F3482" t="n">
        <v>38</v>
      </c>
      <c r="G3482" t="n">
        <v>44.84</v>
      </c>
      <c r="H3482">
        <f>הגדרות!B8</f>
        <v/>
      </c>
      <c r="I3482">
        <f>F3482*(1-H3482/100)*1.18</f>
        <v/>
      </c>
      <c r="J3482">
        <f>הגדרות!C8</f>
        <v/>
      </c>
      <c r="K3482">
        <f>הגדרות!D8</f>
        <v/>
      </c>
      <c r="L3482">
        <f>I3482*(1+J3482/100)+K3482</f>
        <v/>
      </c>
    </row>
    <row r="3483">
      <c r="A3483" t="inlineStr">
        <is>
          <t>פט-וט ביומד</t>
        </is>
      </c>
      <c r="B3483" t="inlineStr">
        <is>
          <t>WEVIT GEL 100ml</t>
        </is>
      </c>
      <c r="C3483" t="inlineStr">
        <is>
          <t>WePharm</t>
        </is>
      </c>
      <c r="D3483" t="inlineStr">
        <is>
          <t>WEPHARM-010032</t>
        </is>
      </c>
      <c r="E3483" t="inlineStr">
        <is>
          <t>2026-05</t>
        </is>
      </c>
      <c r="F3483" t="n">
        <v>50</v>
      </c>
      <c r="G3483" t="n">
        <v>59</v>
      </c>
      <c r="H3483">
        <f>הגדרות!B8</f>
        <v/>
      </c>
      <c r="I3483">
        <f>F3483*(1-H3483/100)*1.18</f>
        <v/>
      </c>
      <c r="J3483">
        <f>הגדרות!C8</f>
        <v/>
      </c>
      <c r="K3483">
        <f>הגדרות!D8</f>
        <v/>
      </c>
      <c r="L3483">
        <f>I3483*(1+J3483/100)+K3483</f>
        <v/>
      </c>
    </row>
    <row r="3484">
      <c r="A3484" t="inlineStr">
        <is>
          <t>פט-וט ביומד</t>
        </is>
      </c>
      <c r="B3484" t="inlineStr">
        <is>
          <t>WEDENTAL GEL 100ml</t>
        </is>
      </c>
      <c r="C3484" t="inlineStr">
        <is>
          <t>WePharm</t>
        </is>
      </c>
      <c r="D3484" t="inlineStr">
        <is>
          <t>WEPHARM-010115</t>
        </is>
      </c>
      <c r="E3484" t="inlineStr">
        <is>
          <t>2026-05</t>
        </is>
      </c>
      <c r="F3484" t="n">
        <v>64</v>
      </c>
      <c r="G3484" t="n">
        <v>75.52</v>
      </c>
      <c r="H3484">
        <f>הגדרות!B8</f>
        <v/>
      </c>
      <c r="I3484">
        <f>F3484*(1-H3484/100)*1.18</f>
        <v/>
      </c>
      <c r="J3484">
        <f>הגדרות!C8</f>
        <v/>
      </c>
      <c r="K3484">
        <f>הגדרות!D8</f>
        <v/>
      </c>
      <c r="L3484">
        <f>I3484*(1+J3484/100)+K3484</f>
        <v/>
      </c>
    </row>
    <row r="3485">
      <c r="A3485" t="inlineStr">
        <is>
          <t>פט-וט ביומד</t>
        </is>
      </c>
      <c r="B3485" t="inlineStr">
        <is>
          <t>WECONFORT 30caps</t>
        </is>
      </c>
      <c r="C3485" t="inlineStr">
        <is>
          <t>WePharm</t>
        </is>
      </c>
      <c r="D3485" t="inlineStr">
        <is>
          <t>WEPHARM-010056</t>
        </is>
      </c>
      <c r="E3485" t="inlineStr">
        <is>
          <t>2026-05</t>
        </is>
      </c>
      <c r="F3485" t="n">
        <v>74</v>
      </c>
      <c r="G3485" t="n">
        <v>87.31999999999999</v>
      </c>
      <c r="H3485">
        <f>הגדרות!B8</f>
        <v/>
      </c>
      <c r="I3485">
        <f>F3485*(1-H3485/100)*1.18</f>
        <v/>
      </c>
      <c r="J3485">
        <f>הגדרות!C8</f>
        <v/>
      </c>
      <c r="K3485">
        <f>הגדרות!D8</f>
        <v/>
      </c>
      <c r="L3485">
        <f>I3485*(1+J3485/100)+K3485</f>
        <v/>
      </c>
    </row>
    <row r="3486">
      <c r="A3486" t="inlineStr">
        <is>
          <t>פט-וט ביומד</t>
        </is>
      </c>
      <c r="B3486" t="inlineStr">
        <is>
          <t>WECOGNI 90g</t>
        </is>
      </c>
      <c r="C3486" t="inlineStr">
        <is>
          <t>WePharm</t>
        </is>
      </c>
      <c r="D3486" t="inlineStr">
        <is>
          <t>WEPHARM-010120</t>
        </is>
      </c>
      <c r="E3486" t="inlineStr">
        <is>
          <t>2026-05</t>
        </is>
      </c>
      <c r="F3486" t="n">
        <v>90</v>
      </c>
      <c r="G3486" t="n">
        <v>106.2</v>
      </c>
      <c r="H3486">
        <f>הגדרות!B8</f>
        <v/>
      </c>
      <c r="I3486">
        <f>F3486*(1-H3486/100)*1.18</f>
        <v/>
      </c>
      <c r="J3486">
        <f>הגדרות!C8</f>
        <v/>
      </c>
      <c r="K3486">
        <f>הגדרות!D8</f>
        <v/>
      </c>
      <c r="L3486">
        <f>I3486*(1+J3486/100)+K3486</f>
        <v/>
      </c>
    </row>
    <row r="3487">
      <c r="A3487" t="inlineStr">
        <is>
          <t>פט-וט ביומד</t>
        </is>
      </c>
      <c r="B3487" t="inlineStr">
        <is>
          <t>WEGASTRO 60ml</t>
        </is>
      </c>
      <c r="C3487" t="inlineStr">
        <is>
          <t>WePharm</t>
        </is>
      </c>
      <c r="D3487" t="inlineStr">
        <is>
          <t>WEPHARM-112</t>
        </is>
      </c>
      <c r="E3487" t="inlineStr">
        <is>
          <t>2026-05</t>
        </is>
      </c>
      <c r="F3487" t="n">
        <v>73</v>
      </c>
      <c r="G3487" t="n">
        <v>86.14</v>
      </c>
      <c r="H3487">
        <f>הגדרות!B8</f>
        <v/>
      </c>
      <c r="I3487">
        <f>F3487*(1-H3487/100)*1.18</f>
        <v/>
      </c>
      <c r="J3487">
        <f>הגדרות!C8</f>
        <v/>
      </c>
      <c r="K3487">
        <f>הגדרות!D8</f>
        <v/>
      </c>
      <c r="L3487">
        <f>I3487*(1+J3487/100)+K3487</f>
        <v/>
      </c>
    </row>
    <row r="3488">
      <c r="A3488" t="inlineStr">
        <is>
          <t>פט-וט ביומד</t>
        </is>
      </c>
      <c r="B3488" t="inlineStr">
        <is>
          <t>WEMUNO 225g</t>
        </is>
      </c>
      <c r="C3488" t="inlineStr">
        <is>
          <t>WePharm</t>
        </is>
      </c>
      <c r="D3488" t="inlineStr">
        <is>
          <t>WEPHARM-114</t>
        </is>
      </c>
      <c r="E3488" t="inlineStr">
        <is>
          <t>2026-05</t>
        </is>
      </c>
      <c r="F3488" t="n">
        <v>85</v>
      </c>
      <c r="G3488" t="n">
        <v>100.3</v>
      </c>
      <c r="H3488">
        <f>הגדרות!B8</f>
        <v/>
      </c>
      <c r="I3488">
        <f>F3488*(1-H3488/100)*1.18</f>
        <v/>
      </c>
      <c r="J3488">
        <f>הגדרות!C8</f>
        <v/>
      </c>
      <c r="K3488">
        <f>הגדרות!D8</f>
        <v/>
      </c>
      <c r="L3488">
        <f>I3488*(1+J3488/100)+K3488</f>
        <v/>
      </c>
    </row>
    <row r="3489">
      <c r="A3489" t="inlineStr">
        <is>
          <t>פט-וט ביומד</t>
        </is>
      </c>
      <c r="B3489" t="inlineStr">
        <is>
          <t>WECYSTO PLUS 30tab</t>
        </is>
      </c>
      <c r="C3489" t="inlineStr">
        <is>
          <t>WePharm</t>
        </is>
      </c>
      <c r="D3489" t="inlineStr">
        <is>
          <t>WEPHARM-010112</t>
        </is>
      </c>
      <c r="E3489" t="inlineStr">
        <is>
          <t>2026-05</t>
        </is>
      </c>
      <c r="F3489" t="n">
        <v>77</v>
      </c>
      <c r="G3489" t="n">
        <v>90.86</v>
      </c>
      <c r="H3489">
        <f>הגדרות!B8</f>
        <v/>
      </c>
      <c r="I3489">
        <f>F3489*(1-H3489/100)*1.18</f>
        <v/>
      </c>
      <c r="J3489">
        <f>הגדרות!C8</f>
        <v/>
      </c>
      <c r="K3489">
        <f>הגדרות!D8</f>
        <v/>
      </c>
      <c r="L3489">
        <f>I3489*(1+J3489/100)+K3489</f>
        <v/>
      </c>
    </row>
    <row r="3490">
      <c r="A3490" t="inlineStr">
        <is>
          <t>פט-וט ביומד</t>
        </is>
      </c>
      <c r="B3490" t="inlineStr">
        <is>
          <t>WECYSTO PLUS GEL 50ml</t>
        </is>
      </c>
      <c r="C3490" t="inlineStr">
        <is>
          <t>WePharm</t>
        </is>
      </c>
      <c r="D3490" t="inlineStr">
        <is>
          <t>WEPHARM-010111</t>
        </is>
      </c>
      <c r="E3490" t="inlineStr">
        <is>
          <t>2026-05</t>
        </is>
      </c>
      <c r="F3490" t="n">
        <v>68</v>
      </c>
      <c r="G3490" t="n">
        <v>80.23999999999999</v>
      </c>
      <c r="H3490">
        <f>הגדרות!B8</f>
        <v/>
      </c>
      <c r="I3490">
        <f>F3490*(1-H3490/100)*1.18</f>
        <v/>
      </c>
      <c r="J3490">
        <f>הגדרות!C8</f>
        <v/>
      </c>
      <c r="K3490">
        <f>הגדרות!D8</f>
        <v/>
      </c>
      <c r="L3490">
        <f>I3490*(1+J3490/100)+K3490</f>
        <v/>
      </c>
    </row>
    <row r="3491">
      <c r="A3491" t="inlineStr">
        <is>
          <t>פט-וט ביומד</t>
        </is>
      </c>
      <c r="B3491" t="inlineStr">
        <is>
          <t>EASY PILL CAT</t>
        </is>
      </c>
      <c r="C3491" t="inlineStr">
        <is>
          <t>VetInnov</t>
        </is>
      </c>
      <c r="D3491" t="inlineStr">
        <is>
          <t>VETIN-EP-CAT</t>
        </is>
      </c>
      <c r="E3491" t="inlineStr">
        <is>
          <t>2026-05</t>
        </is>
      </c>
      <c r="F3491" t="n">
        <v>29</v>
      </c>
      <c r="G3491" t="n">
        <v>34.22</v>
      </c>
      <c r="H3491">
        <f>הגדרות!B8</f>
        <v/>
      </c>
      <c r="I3491">
        <f>F3491*(1-H3491/100)*1.18</f>
        <v/>
      </c>
      <c r="J3491">
        <f>הגדרות!C8</f>
        <v/>
      </c>
      <c r="K3491">
        <f>הגדרות!D8</f>
        <v/>
      </c>
      <c r="L3491">
        <f>I3491*(1+J3491/100)+K3491</f>
        <v/>
      </c>
    </row>
    <row r="3492">
      <c r="A3492" t="inlineStr">
        <is>
          <t>פט-וט ביומד</t>
        </is>
      </c>
      <c r="B3492" t="inlineStr">
        <is>
          <t>EASY PILL CAT 30x10g</t>
        </is>
      </c>
      <c r="C3492" t="inlineStr">
        <is>
          <t>VetInnov</t>
        </is>
      </c>
      <c r="D3492" t="inlineStr">
        <is>
          <t>VETIN-EP-CAT-30</t>
        </is>
      </c>
      <c r="E3492" t="inlineStr">
        <is>
          <t>2026-05</t>
        </is>
      </c>
      <c r="F3492" t="n">
        <v>185</v>
      </c>
      <c r="G3492" t="n">
        <v>218.3</v>
      </c>
      <c r="H3492">
        <f>הגדרות!B8</f>
        <v/>
      </c>
      <c r="I3492">
        <f>F3492*(1-H3492/100)*1.18</f>
        <v/>
      </c>
      <c r="J3492">
        <f>הגדרות!C8</f>
        <v/>
      </c>
      <c r="K3492">
        <f>הגדרות!D8</f>
        <v/>
      </c>
      <c r="L3492">
        <f>I3492*(1+J3492/100)+K3492</f>
        <v/>
      </c>
    </row>
    <row r="3493">
      <c r="A3493" t="inlineStr">
        <is>
          <t>פט-וט ביומד</t>
        </is>
      </c>
      <c r="B3493" t="inlineStr">
        <is>
          <t>EASY PILL HAIRBALL</t>
        </is>
      </c>
      <c r="C3493" t="inlineStr">
        <is>
          <t>VetInnov</t>
        </is>
      </c>
      <c r="D3493" t="inlineStr">
        <is>
          <t>VETIN-EP-HAIRBALL</t>
        </is>
      </c>
      <c r="E3493" t="inlineStr">
        <is>
          <t>2026-05</t>
        </is>
      </c>
      <c r="F3493" t="n">
        <v>40</v>
      </c>
      <c r="G3493" t="n">
        <v>47.2</v>
      </c>
      <c r="H3493">
        <f>הגדרות!B8</f>
        <v/>
      </c>
      <c r="I3493">
        <f>F3493*(1-H3493/100)*1.18</f>
        <v/>
      </c>
      <c r="J3493">
        <f>הגדרות!C8</f>
        <v/>
      </c>
      <c r="K3493">
        <f>הגדרות!D8</f>
        <v/>
      </c>
      <c r="L3493">
        <f>I3493*(1+J3493/100)+K3493</f>
        <v/>
      </c>
    </row>
    <row r="3494">
      <c r="A3494" t="inlineStr">
        <is>
          <t>פט-וט ביומד</t>
        </is>
      </c>
      <c r="B3494" t="inlineStr">
        <is>
          <t>EASY PILL RESOLVIN (JOINT) FLEX</t>
        </is>
      </c>
      <c r="C3494" t="inlineStr">
        <is>
          <t>VetInnov</t>
        </is>
      </c>
      <c r="D3494" t="inlineStr">
        <is>
          <t>VETIN-EP-JOINTF</t>
        </is>
      </c>
      <c r="E3494" t="inlineStr">
        <is>
          <t>2026-05</t>
        </is>
      </c>
      <c r="F3494" t="n">
        <v>55</v>
      </c>
      <c r="G3494" t="n">
        <v>64.90000000000001</v>
      </c>
      <c r="H3494">
        <f>הגדרות!B8</f>
        <v/>
      </c>
      <c r="I3494">
        <f>F3494*(1-H3494/100)*1.18</f>
        <v/>
      </c>
      <c r="J3494">
        <f>הגדרות!C8</f>
        <v/>
      </c>
      <c r="K3494">
        <f>הגדרות!D8</f>
        <v/>
      </c>
      <c r="L3494">
        <f>I3494*(1+J3494/100)+K3494</f>
        <v/>
      </c>
    </row>
    <row r="3495">
      <c r="A3495" t="inlineStr">
        <is>
          <t>פט-וט ביומד</t>
        </is>
      </c>
      <c r="B3495" t="inlineStr">
        <is>
          <t>EASY PILL L-LYSINE</t>
        </is>
      </c>
      <c r="C3495" t="inlineStr">
        <is>
          <t>VetInnov</t>
        </is>
      </c>
      <c r="D3495" t="inlineStr">
        <is>
          <t>VETIN-EP-LYSINE</t>
        </is>
      </c>
      <c r="E3495" t="inlineStr">
        <is>
          <t>2026-05</t>
        </is>
      </c>
      <c r="F3495" t="n">
        <v>40</v>
      </c>
      <c r="G3495" t="n">
        <v>47.2</v>
      </c>
      <c r="H3495">
        <f>הגדרות!B8</f>
        <v/>
      </c>
      <c r="I3495">
        <f>F3495*(1-H3495/100)*1.18</f>
        <v/>
      </c>
      <c r="J3495">
        <f>הגדרות!C8</f>
        <v/>
      </c>
      <c r="K3495">
        <f>הגדרות!D8</f>
        <v/>
      </c>
      <c r="L3495">
        <f>I3495*(1+J3495/100)+K3495</f>
        <v/>
      </c>
    </row>
    <row r="3496">
      <c r="A3496" t="inlineStr">
        <is>
          <t>פט-וט ביומד</t>
        </is>
      </c>
      <c r="B3496" t="inlineStr">
        <is>
          <t>EASY PILL OXA'LESS Cat</t>
        </is>
      </c>
      <c r="C3496" t="inlineStr">
        <is>
          <t>VetInnov</t>
        </is>
      </c>
      <c r="D3496" t="inlineStr">
        <is>
          <t>VETIN-EP-146161</t>
        </is>
      </c>
      <c r="E3496" t="inlineStr">
        <is>
          <t>2026-05</t>
        </is>
      </c>
      <c r="F3496" t="n">
        <v>52</v>
      </c>
      <c r="G3496" t="n">
        <v>61.36</v>
      </c>
      <c r="H3496">
        <f>הגדרות!B8</f>
        <v/>
      </c>
      <c r="I3496">
        <f>F3496*(1-H3496/100)*1.18</f>
        <v/>
      </c>
      <c r="J3496">
        <f>הגדרות!C8</f>
        <v/>
      </c>
      <c r="K3496">
        <f>הגדרות!D8</f>
        <v/>
      </c>
      <c r="L3496">
        <f>I3496*(1+J3496/100)+K3496</f>
        <v/>
      </c>
    </row>
    <row r="3497">
      <c r="A3497" t="inlineStr">
        <is>
          <t>פט-וט ביומד</t>
        </is>
      </c>
      <c r="B3497" t="inlineStr">
        <is>
          <t>EASY PILL STRUV'LESS Cat</t>
        </is>
      </c>
      <c r="C3497" t="inlineStr">
        <is>
          <t>VetInnov</t>
        </is>
      </c>
      <c r="D3497" t="inlineStr">
        <is>
          <t>VETIN-EP-146163</t>
        </is>
      </c>
      <c r="E3497" t="inlineStr">
        <is>
          <t>2026-05</t>
        </is>
      </c>
      <c r="F3497" t="n">
        <v>50</v>
      </c>
      <c r="G3497" t="n">
        <v>59</v>
      </c>
      <c r="H3497">
        <f>הגדרות!B8</f>
        <v/>
      </c>
      <c r="I3497">
        <f>F3497*(1-H3497/100)*1.18</f>
        <v/>
      </c>
      <c r="J3497">
        <f>הגדרות!C8</f>
        <v/>
      </c>
      <c r="K3497">
        <f>הגדרות!D8</f>
        <v/>
      </c>
      <c r="L3497">
        <f>I3497*(1+J3497/100)+K3497</f>
        <v/>
      </c>
    </row>
    <row r="3498">
      <c r="A3498" t="inlineStr">
        <is>
          <t>פט-וט ביומד</t>
        </is>
      </c>
      <c r="B3498" t="inlineStr">
        <is>
          <t>EASY PILL Gingiva</t>
        </is>
      </c>
      <c r="C3498" t="inlineStr">
        <is>
          <t>VetInnov</t>
        </is>
      </c>
      <c r="D3498" t="inlineStr">
        <is>
          <t>VETIN-EP-146154</t>
        </is>
      </c>
      <c r="E3498" t="inlineStr">
        <is>
          <t>2026-05</t>
        </is>
      </c>
      <c r="F3498" t="n">
        <v>55</v>
      </c>
      <c r="G3498" t="n">
        <v>64.90000000000001</v>
      </c>
      <c r="H3498">
        <f>הגדרות!B8</f>
        <v/>
      </c>
      <c r="I3498">
        <f>F3498*(1-H3498/100)*1.18</f>
        <v/>
      </c>
      <c r="J3498">
        <f>הגדרות!C8</f>
        <v/>
      </c>
      <c r="K3498">
        <f>הגדרות!D8</f>
        <v/>
      </c>
      <c r="L3498">
        <f>I3498*(1+J3498/100)+K3498</f>
        <v/>
      </c>
    </row>
    <row r="3499">
      <c r="A3499" t="inlineStr">
        <is>
          <t>פט-וט ביומד</t>
        </is>
      </c>
      <c r="B3499" t="inlineStr">
        <is>
          <t>EASY PILL DOG</t>
        </is>
      </c>
      <c r="C3499" t="inlineStr">
        <is>
          <t>VetInnov</t>
        </is>
      </c>
      <c r="D3499" t="inlineStr">
        <is>
          <t>VETIN-EP-DOG</t>
        </is>
      </c>
      <c r="E3499" t="inlineStr">
        <is>
          <t>2026-05</t>
        </is>
      </c>
      <c r="F3499" t="n">
        <v>29</v>
      </c>
      <c r="G3499" t="n">
        <v>34.22</v>
      </c>
      <c r="H3499">
        <f>הגדרות!B8</f>
        <v/>
      </c>
      <c r="I3499">
        <f>F3499*(1-H3499/100)*1.18</f>
        <v/>
      </c>
      <c r="J3499">
        <f>הגדרות!C8</f>
        <v/>
      </c>
      <c r="K3499">
        <f>הגדרות!D8</f>
        <v/>
      </c>
      <c r="L3499">
        <f>I3499*(1+J3499/100)+K3499</f>
        <v/>
      </c>
    </row>
    <row r="3500">
      <c r="A3500" t="inlineStr">
        <is>
          <t>פט-וט ביומד</t>
        </is>
      </c>
      <c r="B3500" t="inlineStr">
        <is>
          <t>EASY PILL DOG 20x20g</t>
        </is>
      </c>
      <c r="C3500" t="inlineStr">
        <is>
          <t>VetInnov</t>
        </is>
      </c>
      <c r="D3500" t="inlineStr">
        <is>
          <t>VETIN-EP-DOG-20</t>
        </is>
      </c>
      <c r="E3500" t="inlineStr">
        <is>
          <t>2026-05</t>
        </is>
      </c>
      <c r="F3500" t="n">
        <v>185</v>
      </c>
      <c r="G3500" t="n">
        <v>218.3</v>
      </c>
      <c r="H3500">
        <f>הגדרות!B8</f>
        <v/>
      </c>
      <c r="I3500">
        <f>F3500*(1-H3500/100)*1.18</f>
        <v/>
      </c>
      <c r="J3500">
        <f>הגדרות!C8</f>
        <v/>
      </c>
      <c r="K3500">
        <f>הגדרות!D8</f>
        <v/>
      </c>
      <c r="L3500">
        <f>I3500*(1+J3500/100)+K3500</f>
        <v/>
      </c>
    </row>
    <row r="3501">
      <c r="A3501" t="inlineStr">
        <is>
          <t>פט-וט ביומד</t>
        </is>
      </c>
      <c r="B3501" t="inlineStr">
        <is>
          <t>Tablet introducer soft tip, 10 pcs display box</t>
        </is>
      </c>
      <c r="C3501" t="inlineStr">
        <is>
          <t>Fiona</t>
        </is>
      </c>
      <c r="D3501" t="inlineStr">
        <is>
          <t>FIONA-821050</t>
        </is>
      </c>
      <c r="E3501" t="inlineStr">
        <is>
          <t>2026-05</t>
        </is>
      </c>
      <c r="F3501" t="n">
        <v>68</v>
      </c>
      <c r="G3501" t="n">
        <v>80.23999999999999</v>
      </c>
      <c r="H3501">
        <f>הגדרות!B8</f>
        <v/>
      </c>
      <c r="I3501">
        <f>F3501*(1-H3501/100)*1.18</f>
        <v/>
      </c>
      <c r="J3501">
        <f>הגדרות!C8</f>
        <v/>
      </c>
      <c r="K3501">
        <f>הגדרות!D8</f>
        <v/>
      </c>
      <c r="L3501">
        <f>I3501*(1+J3501/100)+K3501</f>
        <v/>
      </c>
    </row>
    <row r="3502">
      <c r="A3502" t="inlineStr">
        <is>
          <t>פט-וט ביומד</t>
        </is>
      </c>
      <c r="B3502" t="inlineStr">
        <is>
          <t>Pill Crusher</t>
        </is>
      </c>
      <c r="C3502" t="inlineStr">
        <is>
          <t>Fiona</t>
        </is>
      </c>
      <c r="D3502" t="inlineStr">
        <is>
          <t>FIONA-821060-1</t>
        </is>
      </c>
      <c r="E3502" t="inlineStr">
        <is>
          <t>2026-05</t>
        </is>
      </c>
      <c r="F3502" t="n">
        <v>15</v>
      </c>
      <c r="G3502" t="n">
        <v>17.7</v>
      </c>
      <c r="H3502">
        <f>הגדרות!B8</f>
        <v/>
      </c>
      <c r="I3502">
        <f>F3502*(1-H3502/100)*1.18</f>
        <v/>
      </c>
      <c r="J3502">
        <f>הגדרות!C8</f>
        <v/>
      </c>
      <c r="K3502">
        <f>הגדרות!D8</f>
        <v/>
      </c>
      <c r="L3502">
        <f>I3502*(1+J3502/100)+K3502</f>
        <v/>
      </c>
    </row>
    <row r="3503">
      <c r="A3503" t="inlineStr">
        <is>
          <t>פט-וט ביומד</t>
        </is>
      </c>
      <c r="B3503" t="inlineStr">
        <is>
          <t>Clinisolv 4/0, 3/0, 2/0 70cm</t>
        </is>
      </c>
      <c r="C3503" t="inlineStr">
        <is>
          <t>חוטי תפירה Clinisut</t>
        </is>
      </c>
      <c r="D3503" t="inlineStr">
        <is>
          <t>CLINISUT-84*/83*/82*</t>
        </is>
      </c>
      <c r="E3503" t="inlineStr">
        <is>
          <t>2026-05</t>
        </is>
      </c>
      <c r="F3503" t="n">
        <v>167</v>
      </c>
      <c r="G3503" t="n">
        <v>197.06</v>
      </c>
      <c r="H3503">
        <f>הגדרות!B8</f>
        <v/>
      </c>
      <c r="I3503">
        <f>F3503*(1-H3503/100)*1.18</f>
        <v/>
      </c>
      <c r="J3503">
        <f>הגדרות!C8</f>
        <v/>
      </c>
      <c r="K3503">
        <f>הגדרות!D8</f>
        <v/>
      </c>
      <c r="L3503">
        <f>I3503*(1+J3503/100)+K3503</f>
        <v/>
      </c>
    </row>
    <row r="3504">
      <c r="A3504" t="inlineStr">
        <is>
          <t>פט-וט ביומד</t>
        </is>
      </c>
      <c r="B3504" t="inlineStr">
        <is>
          <t>Clinisolv 0, 1 70cm</t>
        </is>
      </c>
      <c r="C3504" t="inlineStr">
        <is>
          <t>חוטי תפירה Clinisut</t>
        </is>
      </c>
      <c r="D3504" t="inlineStr">
        <is>
          <t>CLINISUT-80*/81*</t>
        </is>
      </c>
      <c r="E3504" t="inlineStr">
        <is>
          <t>2026-05</t>
        </is>
      </c>
      <c r="F3504" t="n">
        <v>167</v>
      </c>
      <c r="G3504" t="n">
        <v>197.06</v>
      </c>
      <c r="H3504">
        <f>הגדרות!B8</f>
        <v/>
      </c>
      <c r="I3504">
        <f>F3504*(1-H3504/100)*1.18</f>
        <v/>
      </c>
      <c r="J3504">
        <f>הגדרות!C8</f>
        <v/>
      </c>
      <c r="K3504">
        <f>הגדרות!D8</f>
        <v/>
      </c>
      <c r="L3504">
        <f>I3504*(1+J3504/100)+K3504</f>
        <v/>
      </c>
    </row>
    <row r="3505">
      <c r="A3505" t="inlineStr">
        <is>
          <t>פט-וט ביומד</t>
        </is>
      </c>
      <c r="B3505" t="inlineStr">
        <is>
          <t>Clinisorb all sizes but 5/0 70cm</t>
        </is>
      </c>
      <c r="C3505" t="inlineStr">
        <is>
          <t>חוטי תפירה Clinisut</t>
        </is>
      </c>
      <c r="D3505" t="inlineStr">
        <is>
          <t>CLINISUT-3***</t>
        </is>
      </c>
      <c r="E3505" t="inlineStr">
        <is>
          <t>2026-05</t>
        </is>
      </c>
      <c r="F3505" t="n">
        <v>144</v>
      </c>
      <c r="G3505" t="n">
        <v>169.92</v>
      </c>
      <c r="H3505">
        <f>הגדרות!B8</f>
        <v/>
      </c>
      <c r="I3505">
        <f>F3505*(1-H3505/100)*1.18</f>
        <v/>
      </c>
      <c r="J3505">
        <f>הגדרות!C8</f>
        <v/>
      </c>
      <c r="K3505">
        <f>הגדרות!D8</f>
        <v/>
      </c>
      <c r="L3505">
        <f>I3505*(1+J3505/100)+K3505</f>
        <v/>
      </c>
    </row>
    <row r="3506">
      <c r="A3506" t="inlineStr">
        <is>
          <t>פט-וט ביומד</t>
        </is>
      </c>
      <c r="B3506" t="inlineStr">
        <is>
          <t>Clinisorb 5/0 45cm</t>
        </is>
      </c>
      <c r="C3506" t="inlineStr">
        <is>
          <t>חוטי תפירה Clinisut</t>
        </is>
      </c>
      <c r="D3506" t="inlineStr">
        <is>
          <t>CLINISUT-35*</t>
        </is>
      </c>
      <c r="E3506" t="inlineStr">
        <is>
          <t>2026-05</t>
        </is>
      </c>
      <c r="F3506" t="n">
        <v>144</v>
      </c>
      <c r="G3506" t="n">
        <v>169.92</v>
      </c>
      <c r="H3506">
        <f>הגדרות!B8</f>
        <v/>
      </c>
      <c r="I3506">
        <f>F3506*(1-H3506/100)*1.18</f>
        <v/>
      </c>
      <c r="J3506">
        <f>הגדרות!C8</f>
        <v/>
      </c>
      <c r="K3506">
        <f>הגדרות!D8</f>
        <v/>
      </c>
      <c r="L3506">
        <f>I3506*(1+J3506/100)+K3506</f>
        <v/>
      </c>
    </row>
    <row r="3507">
      <c r="A3507" t="inlineStr">
        <is>
          <t>פט-וט ביומד</t>
        </is>
      </c>
      <c r="B3507" t="inlineStr">
        <is>
          <t>0 Chromic Catgut 0 75 m</t>
        </is>
      </c>
      <c r="C3507" t="inlineStr">
        <is>
          <t>חוטי תפירה AIP</t>
        </is>
      </c>
      <c r="D3507" t="inlineStr">
        <is>
          <t>AIP-CATGUT</t>
        </is>
      </c>
      <c r="E3507" t="inlineStr">
        <is>
          <t>2026-05</t>
        </is>
      </c>
      <c r="F3507" t="n">
        <v>320</v>
      </c>
      <c r="G3507" t="n">
        <v>377.6</v>
      </c>
      <c r="H3507">
        <f>הגדרות!B8</f>
        <v/>
      </c>
      <c r="I3507">
        <f>F3507*(1-H3507/100)*1.18</f>
        <v/>
      </c>
      <c r="J3507">
        <f>הגדרות!C8</f>
        <v/>
      </c>
      <c r="K3507">
        <f>הגדרות!D8</f>
        <v/>
      </c>
      <c r="L3507">
        <f>I3507*(1+J3507/100)+K3507</f>
        <v/>
      </c>
    </row>
    <row r="3508">
      <c r="A3508" t="inlineStr">
        <is>
          <t>פט-וט ביומד</t>
        </is>
      </c>
      <c r="B3508" t="inlineStr">
        <is>
          <t>1 Chromic Catgut 1 75m</t>
        </is>
      </c>
      <c r="C3508" t="inlineStr">
        <is>
          <t>חוטי תפירה AIP</t>
        </is>
      </c>
      <c r="D3508" t="inlineStr">
        <is>
          <t>AIP-CATGUT</t>
        </is>
      </c>
      <c r="E3508" t="inlineStr">
        <is>
          <t>2026-05</t>
        </is>
      </c>
      <c r="F3508" t="n">
        <v>380</v>
      </c>
      <c r="G3508" t="n">
        <v>448.4</v>
      </c>
      <c r="H3508">
        <f>הגדרות!B8</f>
        <v/>
      </c>
      <c r="I3508">
        <f>F3508*(1-H3508/100)*1.18</f>
        <v/>
      </c>
      <c r="J3508">
        <f>הגדרות!C8</f>
        <v/>
      </c>
      <c r="K3508">
        <f>הגדרות!D8</f>
        <v/>
      </c>
      <c r="L3508">
        <f>I3508*(1+J3508/100)+K3508</f>
        <v/>
      </c>
    </row>
    <row r="3509">
      <c r="A3509" t="inlineStr">
        <is>
          <t>פט-וט ביומד</t>
        </is>
      </c>
      <c r="B3509" t="inlineStr">
        <is>
          <t>2 Chromic Catgut 2 50m</t>
        </is>
      </c>
      <c r="C3509" t="inlineStr">
        <is>
          <t>חוטי תפירה AIP</t>
        </is>
      </c>
      <c r="D3509" t="inlineStr">
        <is>
          <t>AIP-CATGUT</t>
        </is>
      </c>
      <c r="E3509" t="inlineStr">
        <is>
          <t>2026-05</t>
        </is>
      </c>
      <c r="F3509" t="n">
        <v>320</v>
      </c>
      <c r="G3509" t="n">
        <v>377.6</v>
      </c>
      <c r="H3509">
        <f>הגדרות!B8</f>
        <v/>
      </c>
      <c r="I3509">
        <f>F3509*(1-H3509/100)*1.18</f>
        <v/>
      </c>
      <c r="J3509">
        <f>הגדרות!C8</f>
        <v/>
      </c>
      <c r="K3509">
        <f>הגדרות!D8</f>
        <v/>
      </c>
      <c r="L3509">
        <f>I3509*(1+J3509/100)+K3509</f>
        <v/>
      </c>
    </row>
    <row r="3510">
      <c r="A3510" t="inlineStr">
        <is>
          <t>פט-וט ביומד</t>
        </is>
      </c>
      <c r="B3510" t="inlineStr">
        <is>
          <t>2/0 Chromic Catgut 2/0 100m</t>
        </is>
      </c>
      <c r="C3510" t="inlineStr">
        <is>
          <t>חוטי תפירה AIP</t>
        </is>
      </c>
      <c r="D3510" t="inlineStr">
        <is>
          <t>AIP-CATGUT</t>
        </is>
      </c>
      <c r="E3510" t="inlineStr">
        <is>
          <t>2026-05</t>
        </is>
      </c>
      <c r="F3510" t="n">
        <v>380</v>
      </c>
      <c r="G3510" t="n">
        <v>448.4</v>
      </c>
      <c r="H3510">
        <f>הגדרות!B8</f>
        <v/>
      </c>
      <c r="I3510">
        <f>F3510*(1-H3510/100)*1.18</f>
        <v/>
      </c>
      <c r="J3510">
        <f>הגדרות!C8</f>
        <v/>
      </c>
      <c r="K3510">
        <f>הגדרות!D8</f>
        <v/>
      </c>
      <c r="L3510">
        <f>I3510*(1+J3510/100)+K3510</f>
        <v/>
      </c>
    </row>
    <row r="3511">
      <c r="A3511" t="inlineStr">
        <is>
          <t>פט-וט ביומד</t>
        </is>
      </c>
      <c r="B3511" t="inlineStr">
        <is>
          <t>3/0 Chromic Catgut 3/0 100m</t>
        </is>
      </c>
      <c r="C3511" t="inlineStr">
        <is>
          <t>חוטי תפירה AIP</t>
        </is>
      </c>
      <c r="D3511" t="inlineStr">
        <is>
          <t>AIP-CATGUT</t>
        </is>
      </c>
      <c r="E3511" t="inlineStr">
        <is>
          <t>2026-05</t>
        </is>
      </c>
      <c r="F3511" t="n">
        <v>370</v>
      </c>
      <c r="G3511" t="n">
        <v>436.6</v>
      </c>
      <c r="H3511">
        <f>הגדרות!B8</f>
        <v/>
      </c>
      <c r="I3511">
        <f>F3511*(1-H3511/100)*1.18</f>
        <v/>
      </c>
      <c r="J3511">
        <f>הגדרות!C8</f>
        <v/>
      </c>
      <c r="K3511">
        <f>הגדרות!D8</f>
        <v/>
      </c>
      <c r="L3511">
        <f>I3511*(1+J3511/100)+K3511</f>
        <v/>
      </c>
    </row>
    <row r="3512">
      <c r="A3512" t="inlineStr">
        <is>
          <t>פט-וט ביומד</t>
        </is>
      </c>
      <c r="B3512" t="inlineStr">
        <is>
          <t>0 PDO 0 15m</t>
        </is>
      </c>
      <c r="C3512" t="inlineStr">
        <is>
          <t>חוטי תפירה AIP</t>
        </is>
      </c>
      <c r="D3512" t="inlineStr">
        <is>
          <t>AIP-PDX</t>
        </is>
      </c>
      <c r="E3512" t="inlineStr">
        <is>
          <t>2026-05</t>
        </is>
      </c>
      <c r="F3512" t="n">
        <v>195</v>
      </c>
      <c r="G3512" t="n">
        <v>230.1</v>
      </c>
      <c r="H3512">
        <f>הגדרות!B8</f>
        <v/>
      </c>
      <c r="I3512">
        <f>F3512*(1-H3512/100)*1.18</f>
        <v/>
      </c>
      <c r="J3512">
        <f>הגדרות!C8</f>
        <v/>
      </c>
      <c r="K3512">
        <f>הגדרות!D8</f>
        <v/>
      </c>
      <c r="L3512">
        <f>I3512*(1+J3512/100)+K3512</f>
        <v/>
      </c>
    </row>
    <row r="3513">
      <c r="A3513" t="inlineStr">
        <is>
          <t>פט-וט ביומד</t>
        </is>
      </c>
      <c r="B3513" t="inlineStr">
        <is>
          <t>1 PDO 1 15m</t>
        </is>
      </c>
      <c r="C3513" t="inlineStr">
        <is>
          <t>חוטי תפירה AIP</t>
        </is>
      </c>
      <c r="D3513" t="inlineStr">
        <is>
          <t>AIP-PDX</t>
        </is>
      </c>
      <c r="E3513" t="inlineStr">
        <is>
          <t>2026-05</t>
        </is>
      </c>
      <c r="F3513" t="n">
        <v>195</v>
      </c>
      <c r="G3513" t="n">
        <v>230.1</v>
      </c>
      <c r="H3513">
        <f>הגדרות!B8</f>
        <v/>
      </c>
      <c r="I3513">
        <f>F3513*(1-H3513/100)*1.18</f>
        <v/>
      </c>
      <c r="J3513">
        <f>הגדרות!C8</f>
        <v/>
      </c>
      <c r="K3513">
        <f>הגדרות!D8</f>
        <v/>
      </c>
      <c r="L3513">
        <f>I3513*(1+J3513/100)+K3513</f>
        <v/>
      </c>
    </row>
    <row r="3514">
      <c r="A3514" t="inlineStr">
        <is>
          <t>פט-וט ביומד</t>
        </is>
      </c>
      <c r="B3514" t="inlineStr">
        <is>
          <t>2/0 PDO 2/0 15m</t>
        </is>
      </c>
      <c r="C3514" t="inlineStr">
        <is>
          <t>חוטי תפירה AIP</t>
        </is>
      </c>
      <c r="D3514" t="inlineStr">
        <is>
          <t>AIP-PDX</t>
        </is>
      </c>
      <c r="E3514" t="inlineStr">
        <is>
          <t>2026-05</t>
        </is>
      </c>
      <c r="F3514" t="n">
        <v>195</v>
      </c>
      <c r="G3514" t="n">
        <v>230.1</v>
      </c>
      <c r="H3514">
        <f>הגדרות!B8</f>
        <v/>
      </c>
      <c r="I3514">
        <f>F3514*(1-H3514/100)*1.18</f>
        <v/>
      </c>
      <c r="J3514">
        <f>הגדרות!C8</f>
        <v/>
      </c>
      <c r="K3514">
        <f>הגדרות!D8</f>
        <v/>
      </c>
      <c r="L3514">
        <f>I3514*(1+J3514/100)+K3514</f>
        <v/>
      </c>
    </row>
    <row r="3515">
      <c r="A3515" t="inlineStr">
        <is>
          <t>פט-וט ביומד</t>
        </is>
      </c>
      <c r="B3515" t="inlineStr">
        <is>
          <t>3/0 PDO 3/0 15m</t>
        </is>
      </c>
      <c r="C3515" t="inlineStr">
        <is>
          <t>חוטי תפירה AIP</t>
        </is>
      </c>
      <c r="D3515" t="inlineStr">
        <is>
          <t>AIP-PDX</t>
        </is>
      </c>
      <c r="E3515" t="inlineStr">
        <is>
          <t>2026-05</t>
        </is>
      </c>
      <c r="F3515" t="n">
        <v>195</v>
      </c>
      <c r="G3515" t="n">
        <v>230.1</v>
      </c>
      <c r="H3515">
        <f>הגדרות!B8</f>
        <v/>
      </c>
      <c r="I3515">
        <f>F3515*(1-H3515/100)*1.18</f>
        <v/>
      </c>
      <c r="J3515">
        <f>הגדרות!C8</f>
        <v/>
      </c>
      <c r="K3515">
        <f>הגדרות!D8</f>
        <v/>
      </c>
      <c r="L3515">
        <f>I3515*(1+J3515/100)+K3515</f>
        <v/>
      </c>
    </row>
    <row r="3516">
      <c r="A3516" t="inlineStr">
        <is>
          <t>פט-וט ביומד</t>
        </is>
      </c>
      <c r="B3516" t="inlineStr">
        <is>
          <t>0 PGA 0 15m</t>
        </is>
      </c>
      <c r="C3516" t="inlineStr">
        <is>
          <t>חוטי תפירה AIP</t>
        </is>
      </c>
      <c r="D3516" t="inlineStr">
        <is>
          <t>AIP-PGA</t>
        </is>
      </c>
      <c r="E3516" t="inlineStr">
        <is>
          <t>2026-05</t>
        </is>
      </c>
      <c r="F3516" t="n">
        <v>165</v>
      </c>
      <c r="G3516" t="n">
        <v>194.7</v>
      </c>
      <c r="H3516">
        <f>הגדרות!B8</f>
        <v/>
      </c>
      <c r="I3516">
        <f>F3516*(1-H3516/100)*1.18</f>
        <v/>
      </c>
      <c r="J3516">
        <f>הגדרות!C8</f>
        <v/>
      </c>
      <c r="K3516">
        <f>הגדרות!D8</f>
        <v/>
      </c>
      <c r="L3516">
        <f>I3516*(1+J3516/100)+K3516</f>
        <v/>
      </c>
    </row>
    <row r="3517">
      <c r="A3517" t="inlineStr">
        <is>
          <t>פט-וט ביומד</t>
        </is>
      </c>
      <c r="B3517" t="inlineStr">
        <is>
          <t>1 PGA 1 15m</t>
        </is>
      </c>
      <c r="C3517" t="inlineStr">
        <is>
          <t>חוטי תפירה AIP</t>
        </is>
      </c>
      <c r="D3517" t="inlineStr">
        <is>
          <t>AIP-PGA</t>
        </is>
      </c>
      <c r="E3517" t="inlineStr">
        <is>
          <t>2026-05</t>
        </is>
      </c>
      <c r="F3517" t="n">
        <v>165</v>
      </c>
      <c r="G3517" t="n">
        <v>194.7</v>
      </c>
      <c r="H3517">
        <f>הגדרות!B8</f>
        <v/>
      </c>
      <c r="I3517">
        <f>F3517*(1-H3517/100)*1.18</f>
        <v/>
      </c>
      <c r="J3517">
        <f>הגדרות!C8</f>
        <v/>
      </c>
      <c r="K3517">
        <f>הגדרות!D8</f>
        <v/>
      </c>
      <c r="L3517">
        <f>I3517*(1+J3517/100)+K3517</f>
        <v/>
      </c>
    </row>
    <row r="3518">
      <c r="A3518" t="inlineStr">
        <is>
          <t>פט-וט ביומד</t>
        </is>
      </c>
      <c r="B3518" t="inlineStr">
        <is>
          <t>2 PGA 2 25m</t>
        </is>
      </c>
      <c r="C3518" t="inlineStr">
        <is>
          <t>חוטי תפירה AIP</t>
        </is>
      </c>
      <c r="D3518" t="inlineStr">
        <is>
          <t>AIP-PGA</t>
        </is>
      </c>
      <c r="E3518" t="inlineStr">
        <is>
          <t>2026-05</t>
        </is>
      </c>
      <c r="F3518" t="n">
        <v>165</v>
      </c>
      <c r="G3518" t="n">
        <v>194.7</v>
      </c>
      <c r="H3518">
        <f>הגדרות!B8</f>
        <v/>
      </c>
      <c r="I3518">
        <f>F3518*(1-H3518/100)*1.18</f>
        <v/>
      </c>
      <c r="J3518">
        <f>הגדרות!C8</f>
        <v/>
      </c>
      <c r="K3518">
        <f>הגדרות!D8</f>
        <v/>
      </c>
      <c r="L3518">
        <f>I3518*(1+J3518/100)+K3518</f>
        <v/>
      </c>
    </row>
    <row r="3519">
      <c r="A3519" t="inlineStr">
        <is>
          <t>פט-וט ביומד</t>
        </is>
      </c>
      <c r="B3519" t="inlineStr">
        <is>
          <t>URANOTEST GIARDIA 5 tests</t>
        </is>
      </c>
      <c r="C3519" t="inlineStr">
        <is>
          <t>Uranotest</t>
        </is>
      </c>
      <c r="D3519" t="inlineStr">
        <is>
          <t>URANO-D205</t>
        </is>
      </c>
      <c r="E3519" t="inlineStr">
        <is>
          <t>2026-05</t>
        </is>
      </c>
      <c r="F3519" t="n">
        <v>198</v>
      </c>
      <c r="G3519" t="n">
        <v>233.64</v>
      </c>
      <c r="H3519">
        <f>הגדרות!B8</f>
        <v/>
      </c>
      <c r="I3519">
        <f>F3519*(1-H3519/100)*1.18</f>
        <v/>
      </c>
      <c r="J3519">
        <f>הגדרות!C8</f>
        <v/>
      </c>
      <c r="K3519">
        <f>הגדרות!D8</f>
        <v/>
      </c>
      <c r="L3519">
        <f>I3519*(1+J3519/100)+K3519</f>
        <v/>
      </c>
    </row>
    <row r="3520">
      <c r="A3520" t="inlineStr">
        <is>
          <t>פט-וט ביומד</t>
        </is>
      </c>
      <c r="B3520" t="inlineStr">
        <is>
          <t>URANOTEST FeLV- FIV 5 tests</t>
        </is>
      </c>
      <c r="C3520" t="inlineStr">
        <is>
          <t>Uranotest</t>
        </is>
      </c>
      <c r="D3520" t="inlineStr">
        <is>
          <t>URANO-D210</t>
        </is>
      </c>
      <c r="E3520" t="inlineStr">
        <is>
          <t>2026-05</t>
        </is>
      </c>
      <c r="F3520" t="n">
        <v>220</v>
      </c>
      <c r="G3520" t="n">
        <v>259.6</v>
      </c>
      <c r="H3520">
        <f>הגדרות!B8</f>
        <v/>
      </c>
      <c r="I3520">
        <f>F3520*(1-H3520/100)*1.18</f>
        <v/>
      </c>
      <c r="J3520">
        <f>הגדרות!C8</f>
        <v/>
      </c>
      <c r="K3520">
        <f>הגדרות!D8</f>
        <v/>
      </c>
      <c r="L3520">
        <f>I3520*(1+J3520/100)+K3520</f>
        <v/>
      </c>
    </row>
    <row r="3521">
      <c r="A3521" t="inlineStr">
        <is>
          <t>פט-וט ביומד</t>
        </is>
      </c>
      <c r="B3521" t="inlineStr">
        <is>
          <t>URANOTEST DERMATOFITOS 4 tests</t>
        </is>
      </c>
      <c r="C3521" t="inlineStr">
        <is>
          <t>Uranotest</t>
        </is>
      </c>
      <c r="D3521" t="inlineStr">
        <is>
          <t>URANO-D217</t>
        </is>
      </c>
      <c r="E3521" t="inlineStr">
        <is>
          <t>2026-05</t>
        </is>
      </c>
      <c r="F3521" t="n">
        <v>132</v>
      </c>
      <c r="G3521" t="n">
        <v>155.76</v>
      </c>
      <c r="H3521">
        <f>הגדרות!B8</f>
        <v/>
      </c>
      <c r="I3521">
        <f>F3521*(1-H3521/100)*1.18</f>
        <v/>
      </c>
      <c r="J3521">
        <f>הגדרות!C8</f>
        <v/>
      </c>
      <c r="K3521">
        <f>הגדרות!D8</f>
        <v/>
      </c>
      <c r="L3521">
        <f>I3521*(1+J3521/100)+K3521</f>
        <v/>
      </c>
    </row>
    <row r="3522">
      <c r="A3522" t="inlineStr">
        <is>
          <t>פט-וט ביומד</t>
        </is>
      </c>
      <c r="B3522" t="inlineStr">
        <is>
          <t>URANOTEST PANLEUCOPENIA FELINA 5 tests</t>
        </is>
      </c>
      <c r="C3522" t="inlineStr">
        <is>
          <t>Uranotest</t>
        </is>
      </c>
      <c r="D3522" t="inlineStr">
        <is>
          <t>URANO-D235</t>
        </is>
      </c>
      <c r="E3522" t="inlineStr">
        <is>
          <t>2026-05</t>
        </is>
      </c>
      <c r="F3522" t="n">
        <v>176</v>
      </c>
      <c r="G3522" t="n">
        <v>207.68</v>
      </c>
      <c r="H3522">
        <f>הגדרות!B8</f>
        <v/>
      </c>
      <c r="I3522">
        <f>F3522*(1-H3522/100)*1.18</f>
        <v/>
      </c>
      <c r="J3522">
        <f>הגדרות!C8</f>
        <v/>
      </c>
      <c r="K3522">
        <f>הגדרות!D8</f>
        <v/>
      </c>
      <c r="L3522">
        <f>I3522*(1+J3522/100)+K3522</f>
        <v/>
      </c>
    </row>
    <row r="3523">
      <c r="A3523" t="inlineStr">
        <is>
          <t>פט-וט ביומד</t>
        </is>
      </c>
      <c r="B3523" t="inlineStr">
        <is>
          <t>URANOTEST LEISHMANIA 5 tests</t>
        </is>
      </c>
      <c r="C3523" t="inlineStr">
        <is>
          <t>Uranotest</t>
        </is>
      </c>
      <c r="D3523" t="inlineStr">
        <is>
          <t>URANO-D208</t>
        </is>
      </c>
      <c r="E3523" t="inlineStr">
        <is>
          <t>2026-05</t>
        </is>
      </c>
      <c r="F3523" t="n">
        <v>176</v>
      </c>
      <c r="G3523" t="n">
        <v>207.68</v>
      </c>
      <c r="H3523">
        <f>הגדרות!B8</f>
        <v/>
      </c>
      <c r="I3523">
        <f>F3523*(1-H3523/100)*1.18</f>
        <v/>
      </c>
      <c r="J3523">
        <f>הגדרות!C8</f>
        <v/>
      </c>
      <c r="K3523">
        <f>הגדרות!D8</f>
        <v/>
      </c>
      <c r="L3523">
        <f>I3523*(1+J3523/100)+K3523</f>
        <v/>
      </c>
    </row>
    <row r="3524">
      <c r="A3524" t="inlineStr">
        <is>
          <t>פט-וט ביומד</t>
        </is>
      </c>
      <c r="B3524" t="inlineStr">
        <is>
          <t>URANOTEST PARVO/CORONA/GIARDIA 5 tests</t>
        </is>
      </c>
      <c r="C3524" t="inlineStr">
        <is>
          <t>Uranotest</t>
        </is>
      </c>
      <c r="D3524" t="inlineStr">
        <is>
          <t>URANO-D242</t>
        </is>
      </c>
      <c r="E3524" t="inlineStr">
        <is>
          <t>2026-05</t>
        </is>
      </c>
      <c r="F3524" t="n">
        <v>297</v>
      </c>
      <c r="G3524" t="n">
        <v>350.46</v>
      </c>
      <c r="H3524">
        <f>הגדרות!B8</f>
        <v/>
      </c>
      <c r="I3524">
        <f>F3524*(1-H3524/100)*1.18</f>
        <v/>
      </c>
      <c r="J3524">
        <f>הגדרות!C8</f>
        <v/>
      </c>
      <c r="K3524">
        <f>הגדרות!D8</f>
        <v/>
      </c>
      <c r="L3524">
        <f>I3524*(1+J3524/100)+K3524</f>
        <v/>
      </c>
    </row>
    <row r="3525">
      <c r="A3525" t="inlineStr">
        <is>
          <t>פט-וט ביומד</t>
        </is>
      </c>
      <c r="B3525" t="inlineStr">
        <is>
          <t>URANOTEST QUATTRO 5 tests (LEISHMANIA/ DIROFILAR/ EHRLICHIA/ ANAPL)</t>
        </is>
      </c>
      <c r="C3525" t="inlineStr">
        <is>
          <t>Uranotest</t>
        </is>
      </c>
      <c r="D3525" t="inlineStr">
        <is>
          <t>URANO-D232</t>
        </is>
      </c>
      <c r="E3525" t="inlineStr">
        <is>
          <t>2026-05</t>
        </is>
      </c>
      <c r="F3525" t="n">
        <v>340</v>
      </c>
      <c r="G3525" t="n">
        <v>401.2</v>
      </c>
      <c r="H3525">
        <f>הגדרות!B8</f>
        <v/>
      </c>
      <c r="I3525">
        <f>F3525*(1-H3525/100)*1.18</f>
        <v/>
      </c>
      <c r="J3525">
        <f>הגדרות!C8</f>
        <v/>
      </c>
      <c r="K3525">
        <f>הגדרות!D8</f>
        <v/>
      </c>
      <c r="L3525">
        <f>I3525*(1+J3525/100)+K3525</f>
        <v/>
      </c>
    </row>
    <row r="3526">
      <c r="A3526" t="inlineStr">
        <is>
          <t>פט-וט ביומד</t>
        </is>
      </c>
      <c r="B3526" t="inlineStr">
        <is>
          <t>CANINE DISTEMPER AG TEST BIOGUARD (10T)</t>
        </is>
      </c>
      <c r="C3526" t="inlineStr">
        <is>
          <t>BioGuard</t>
        </is>
      </c>
      <c r="D3526" t="inlineStr">
        <is>
          <t>BIOGUARD-RC03-1</t>
        </is>
      </c>
      <c r="E3526" t="inlineStr">
        <is>
          <t>2026-05</t>
        </is>
      </c>
      <c r="F3526" t="n">
        <v>190</v>
      </c>
      <c r="G3526" t="n">
        <v>224.2</v>
      </c>
      <c r="H3526">
        <f>הגדרות!B8</f>
        <v/>
      </c>
      <c r="I3526">
        <f>F3526*(1-H3526/100)*1.18</f>
        <v/>
      </c>
      <c r="J3526">
        <f>הגדרות!C8</f>
        <v/>
      </c>
      <c r="K3526">
        <f>הגדרות!D8</f>
        <v/>
      </c>
      <c r="L3526">
        <f>I3526*(1+J3526/100)+K3526</f>
        <v/>
      </c>
    </row>
    <row r="3527">
      <c r="A3527" t="inlineStr">
        <is>
          <t>פט-וט ביומד</t>
        </is>
      </c>
      <c r="B3527" t="inlineStr">
        <is>
          <t>CANINE PARVO AG TEST BIOGUARD (10T)</t>
        </is>
      </c>
      <c r="C3527" t="inlineStr">
        <is>
          <t>BioGuard</t>
        </is>
      </c>
      <c r="D3527" t="inlineStr">
        <is>
          <t>BIOGUARD-RC01-1</t>
        </is>
      </c>
      <c r="E3527" t="inlineStr">
        <is>
          <t>2026-05</t>
        </is>
      </c>
      <c r="F3527" t="n">
        <v>180</v>
      </c>
      <c r="G3527" t="n">
        <v>212.4</v>
      </c>
      <c r="H3527">
        <f>הגדרות!B8</f>
        <v/>
      </c>
      <c r="I3527">
        <f>F3527*(1-H3527/100)*1.18</f>
        <v/>
      </c>
      <c r="J3527">
        <f>הגדרות!C8</f>
        <v/>
      </c>
      <c r="K3527">
        <f>הגדרות!D8</f>
        <v/>
      </c>
      <c r="L3527">
        <f>I3527*(1+J3527/100)+K3527</f>
        <v/>
      </c>
    </row>
    <row r="3528">
      <c r="A3528" t="inlineStr">
        <is>
          <t>פט-וט ביומד</t>
        </is>
      </c>
      <c r="B3528" t="inlineStr">
        <is>
          <t>FIV Ab TEST BIOGUARD (10T)</t>
        </is>
      </c>
      <c r="C3528" t="inlineStr">
        <is>
          <t>BioGuard</t>
        </is>
      </c>
      <c r="D3528" t="inlineStr">
        <is>
          <t>BIOGUARD-RV01-1</t>
        </is>
      </c>
      <c r="E3528" t="inlineStr">
        <is>
          <t>2026-05</t>
        </is>
      </c>
      <c r="F3528" t="n">
        <v>255</v>
      </c>
      <c r="G3528" t="n">
        <v>300.9</v>
      </c>
      <c r="H3528">
        <f>הגדרות!B8</f>
        <v/>
      </c>
      <c r="I3528">
        <f>F3528*(1-H3528/100)*1.18</f>
        <v/>
      </c>
      <c r="J3528">
        <f>הגדרות!C8</f>
        <v/>
      </c>
      <c r="K3528">
        <f>הגדרות!D8</f>
        <v/>
      </c>
      <c r="L3528">
        <f>I3528*(1+J3528/100)+K3528</f>
        <v/>
      </c>
    </row>
    <row r="3529">
      <c r="A3529" t="inlineStr">
        <is>
          <t>פט-וט ביומד</t>
        </is>
      </c>
      <c r="B3529" t="inlineStr">
        <is>
          <t>E. CANIS AB TEST (5T)</t>
        </is>
      </c>
      <c r="C3529" t="inlineStr">
        <is>
          <t>BioGuard</t>
        </is>
      </c>
      <c r="D3529" t="inlineStr">
        <is>
          <t>BIOGUARD-RC07-0</t>
        </is>
      </c>
      <c r="E3529" t="inlineStr">
        <is>
          <t>2026-05</t>
        </is>
      </c>
      <c r="F3529" t="n">
        <v>190</v>
      </c>
      <c r="G3529" t="n">
        <v>224.2</v>
      </c>
      <c r="H3529">
        <f>הגדרות!B8</f>
        <v/>
      </c>
      <c r="I3529">
        <f>F3529*(1-H3529/100)*1.18</f>
        <v/>
      </c>
      <c r="J3529">
        <f>הגדרות!C8</f>
        <v/>
      </c>
      <c r="K3529">
        <f>הגדרות!D8</f>
        <v/>
      </c>
      <c r="L3529">
        <f>I3529*(1+J3529/100)+K3529</f>
        <v/>
      </c>
    </row>
    <row r="3530">
      <c r="A3530" t="inlineStr">
        <is>
          <t>פט-וט ביומד</t>
        </is>
      </c>
      <c r="B3530" t="inlineStr">
        <is>
          <t>TOXOPLASMA IgM/IgG Ab (10T)</t>
        </is>
      </c>
      <c r="C3530" t="inlineStr">
        <is>
          <t>BioGuard</t>
        </is>
      </c>
      <c r="D3530" t="inlineStr">
        <is>
          <t>BIOGUARD-RF04-1</t>
        </is>
      </c>
      <c r="E3530" t="inlineStr">
        <is>
          <t>2026-05</t>
        </is>
      </c>
      <c r="F3530" t="n">
        <v>340</v>
      </c>
      <c r="G3530" t="n">
        <v>401.2</v>
      </c>
      <c r="H3530">
        <f>הגדרות!B8</f>
        <v/>
      </c>
      <c r="I3530">
        <f>F3530*(1-H3530/100)*1.18</f>
        <v/>
      </c>
      <c r="J3530">
        <f>הגדרות!C8</f>
        <v/>
      </c>
      <c r="K3530">
        <f>הגדרות!D8</f>
        <v/>
      </c>
      <c r="L3530">
        <f>I3530*(1+J3530/100)+K3530</f>
        <v/>
      </c>
    </row>
    <row r="3531">
      <c r="A3531" t="inlineStr">
        <is>
          <t>פט-וט ביומד</t>
        </is>
      </c>
      <c r="B3531" t="inlineStr">
        <is>
          <t>Leptospira IgM/IgG Ab Test (5T)</t>
        </is>
      </c>
      <c r="C3531" t="inlineStr">
        <is>
          <t>BioGuard</t>
        </is>
      </c>
      <c r="D3531" t="inlineStr">
        <is>
          <t>BIOGUARD-RC26-0</t>
        </is>
      </c>
      <c r="E3531" t="inlineStr">
        <is>
          <t>2026-05</t>
        </is>
      </c>
      <c r="F3531" t="n">
        <v>210</v>
      </c>
      <c r="G3531" t="n">
        <v>247.8</v>
      </c>
      <c r="H3531">
        <f>הגדרות!B8</f>
        <v/>
      </c>
      <c r="I3531">
        <f>F3531*(1-H3531/100)*1.18</f>
        <v/>
      </c>
      <c r="J3531">
        <f>הגדרות!C8</f>
        <v/>
      </c>
      <c r="K3531">
        <f>הגדרות!D8</f>
        <v/>
      </c>
      <c r="L3531">
        <f>I3531*(1+J3531/100)+K3531</f>
        <v/>
      </c>
    </row>
    <row r="3532">
      <c r="A3532" t="inlineStr">
        <is>
          <t>פט-וט ביומד</t>
        </is>
      </c>
      <c r="B3532" t="inlineStr">
        <is>
          <t>FCV Ag/ FHV Ag Combo Test (5T)</t>
        </is>
      </c>
      <c r="C3532" t="inlineStr">
        <is>
          <t>BioGuard</t>
        </is>
      </c>
      <c r="D3532" t="inlineStr">
        <is>
          <t>BIOGUARD-RF10-0</t>
        </is>
      </c>
      <c r="E3532" t="inlineStr">
        <is>
          <t>2026-05</t>
        </is>
      </c>
      <c r="F3532" t="n">
        <v>235</v>
      </c>
      <c r="G3532" t="n">
        <v>277.3</v>
      </c>
      <c r="H3532">
        <f>הגדרות!B8</f>
        <v/>
      </c>
      <c r="I3532">
        <f>F3532*(1-H3532/100)*1.18</f>
        <v/>
      </c>
      <c r="J3532">
        <f>הגדרות!C8</f>
        <v/>
      </c>
      <c r="K3532">
        <f>הגדרות!D8</f>
        <v/>
      </c>
      <c r="L3532">
        <f>I3532*(1+J3532/100)+K3532</f>
        <v/>
      </c>
    </row>
    <row r="3533">
      <c r="A3533" t="inlineStr">
        <is>
          <t>פט-וט ביומד</t>
        </is>
      </c>
      <c r="B3533" t="inlineStr">
        <is>
          <t>FCoV Ab Test (5T)</t>
        </is>
      </c>
      <c r="C3533" t="inlineStr">
        <is>
          <t>BioGuard</t>
        </is>
      </c>
      <c r="D3533" t="inlineStr">
        <is>
          <t>BIOGUARD-RF05-0</t>
        </is>
      </c>
      <c r="E3533" t="inlineStr">
        <is>
          <t>2026-05</t>
        </is>
      </c>
      <c r="F3533" t="n">
        <v>160</v>
      </c>
      <c r="G3533" t="n">
        <v>188.8</v>
      </c>
      <c r="H3533">
        <f>הגדרות!B8</f>
        <v/>
      </c>
      <c r="I3533">
        <f>F3533*(1-H3533/100)*1.18</f>
        <v/>
      </c>
      <c r="J3533">
        <f>הגדרות!C8</f>
        <v/>
      </c>
      <c r="K3533">
        <f>הגדרות!D8</f>
        <v/>
      </c>
      <c r="L3533">
        <f>I3533*(1+J3533/100)+K3533</f>
        <v/>
      </c>
    </row>
    <row r="3534">
      <c r="A3534" t="inlineStr">
        <is>
          <t>פט-וט ביומד</t>
        </is>
      </c>
      <c r="B3534" t="inlineStr">
        <is>
          <t>C. Brucella Ab Test (5T)</t>
        </is>
      </c>
      <c r="C3534" t="inlineStr">
        <is>
          <t>BioGuard</t>
        </is>
      </c>
      <c r="D3534" t="inlineStr">
        <is>
          <t>BIOGUARD-RC22-0</t>
        </is>
      </c>
      <c r="E3534" t="inlineStr">
        <is>
          <t>2026-05</t>
        </is>
      </c>
      <c r="F3534" t="n">
        <v>190</v>
      </c>
      <c r="G3534" t="n">
        <v>224.2</v>
      </c>
      <c r="H3534">
        <f>הגדרות!B8</f>
        <v/>
      </c>
      <c r="I3534">
        <f>F3534*(1-H3534/100)*1.18</f>
        <v/>
      </c>
      <c r="J3534">
        <f>הגדרות!C8</f>
        <v/>
      </c>
      <c r="K3534">
        <f>הגדרות!D8</f>
        <v/>
      </c>
      <c r="L3534">
        <f>I3534*(1+J3534/100)+K3534</f>
        <v/>
      </c>
    </row>
    <row r="3535">
      <c r="A3535" t="inlineStr">
        <is>
          <t>פט-וט ביומד</t>
        </is>
      </c>
      <c r="B3535" t="inlineStr">
        <is>
          <t>cPL Test (5T)</t>
        </is>
      </c>
      <c r="C3535" t="inlineStr">
        <is>
          <t>BioGuard</t>
        </is>
      </c>
      <c r="D3535" t="inlineStr">
        <is>
          <t>BIOGUARD-RC32-0</t>
        </is>
      </c>
      <c r="E3535" t="inlineStr">
        <is>
          <t>2026-05</t>
        </is>
      </c>
      <c r="F3535" t="n">
        <v>210</v>
      </c>
      <c r="G3535" t="n">
        <v>247.8</v>
      </c>
      <c r="H3535">
        <f>הגדרות!B8</f>
        <v/>
      </c>
      <c r="I3535">
        <f>F3535*(1-H3535/100)*1.18</f>
        <v/>
      </c>
      <c r="J3535">
        <f>הגדרות!C8</f>
        <v/>
      </c>
      <c r="K3535">
        <f>הגדרות!D8</f>
        <v/>
      </c>
      <c r="L3535">
        <f>I3535*(1+J3535/100)+K3535</f>
        <v/>
      </c>
    </row>
    <row r="3536">
      <c r="A3536" t="inlineStr">
        <is>
          <t>פט-וט ביומד</t>
        </is>
      </c>
      <c r="B3536" t="inlineStr">
        <is>
          <t>CURAVET OvaDiagnost 50/pk</t>
        </is>
      </c>
      <c r="C3536" t="inlineStr">
        <is>
          <t>Fiona</t>
        </is>
      </c>
      <c r="D3536" t="inlineStr">
        <is>
          <t>FIONA-211040</t>
        </is>
      </c>
      <c r="E3536" t="inlineStr">
        <is>
          <t>2026-05</t>
        </is>
      </c>
      <c r="F3536" t="n">
        <v>109</v>
      </c>
      <c r="G3536" t="n">
        <v>128.62</v>
      </c>
      <c r="H3536">
        <f>הגדרות!B8</f>
        <v/>
      </c>
      <c r="I3536">
        <f>F3536*(1-H3536/100)*1.18</f>
        <v/>
      </c>
      <c r="J3536">
        <f>הגדרות!C8</f>
        <v/>
      </c>
      <c r="K3536">
        <f>הגדרות!D8</f>
        <v/>
      </c>
      <c r="L3536">
        <f>I3536*(1+J3536/100)+K3536</f>
        <v/>
      </c>
    </row>
    <row r="3537">
      <c r="A3537" t="inlineStr">
        <is>
          <t>פט-וט ביומד</t>
        </is>
      </c>
      <c r="B3537" t="inlineStr">
        <is>
          <t>CURAVET Flotation solution, 1 L</t>
        </is>
      </c>
      <c r="C3537" t="inlineStr">
        <is>
          <t>Fiona</t>
        </is>
      </c>
      <c r="D3537" t="inlineStr">
        <is>
          <t>FIONA-216050</t>
        </is>
      </c>
      <c r="E3537" t="inlineStr">
        <is>
          <t>2026-05</t>
        </is>
      </c>
      <c r="F3537" t="n">
        <v>105</v>
      </c>
      <c r="G3537" t="n">
        <v>123.9</v>
      </c>
      <c r="H3537">
        <f>הגדרות!B8</f>
        <v/>
      </c>
      <c r="I3537">
        <f>F3537*(1-H3537/100)*1.18</f>
        <v/>
      </c>
      <c r="J3537">
        <f>הגדרות!C8</f>
        <v/>
      </c>
      <c r="K3537">
        <f>הגדרות!D8</f>
        <v/>
      </c>
      <c r="L3537">
        <f>I3537*(1+J3537/100)+K3537</f>
        <v/>
      </c>
    </row>
    <row r="3538">
      <c r="A3538" t="inlineStr">
        <is>
          <t>פט-וט ביומד</t>
        </is>
      </c>
      <c r="B3538" t="inlineStr">
        <is>
          <t>Fluorescein Test sterile 100 un.</t>
        </is>
      </c>
      <c r="C3538" t="inlineStr">
        <is>
          <t>Fiona</t>
        </is>
      </c>
      <c r="D3538" t="inlineStr">
        <is>
          <t>FIONA-1191-1</t>
        </is>
      </c>
      <c r="E3538" t="inlineStr">
        <is>
          <t>2026-05</t>
        </is>
      </c>
      <c r="F3538" t="n">
        <v>120</v>
      </c>
      <c r="G3538" t="n">
        <v>141.6</v>
      </c>
      <c r="H3538">
        <f>הגדרות!B8</f>
        <v/>
      </c>
      <c r="I3538">
        <f>F3538*(1-H3538/100)*1.18</f>
        <v/>
      </c>
      <c r="J3538">
        <f>הגדרות!C8</f>
        <v/>
      </c>
      <c r="K3538">
        <f>הגדרות!D8</f>
        <v/>
      </c>
      <c r="L3538">
        <f>I3538*(1+J3538/100)+K3538</f>
        <v/>
      </c>
    </row>
    <row r="3539">
      <c r="A3539" t="inlineStr">
        <is>
          <t>פט-וט ביומד</t>
        </is>
      </c>
      <c r="B3539" t="inlineStr">
        <is>
          <t>Schirmer Test Strip with Blue Band,, 100/pk, Ster</t>
        </is>
      </c>
      <c r="C3539" t="inlineStr">
        <is>
          <t>Fiona</t>
        </is>
      </c>
      <c r="D3539" t="inlineStr">
        <is>
          <t>FIONA-1195-1</t>
        </is>
      </c>
      <c r="E3539" t="inlineStr">
        <is>
          <t>2026-05</t>
        </is>
      </c>
      <c r="F3539" t="n">
        <v>120</v>
      </c>
      <c r="G3539" t="n">
        <v>141.6</v>
      </c>
      <c r="H3539">
        <f>הגדרות!B8</f>
        <v/>
      </c>
      <c r="I3539">
        <f>F3539*(1-H3539/100)*1.18</f>
        <v/>
      </c>
      <c r="J3539">
        <f>הגדרות!C8</f>
        <v/>
      </c>
      <c r="K3539">
        <f>הגדרות!D8</f>
        <v/>
      </c>
      <c r="L3539">
        <f>I3539*(1+J3539/100)+K3539</f>
        <v/>
      </c>
    </row>
    <row r="3540">
      <c r="A3540" t="inlineStr">
        <is>
          <t>פט-וט ביומד</t>
        </is>
      </c>
      <c r="B3540" t="inlineStr">
        <is>
          <t>Rose Bengal Test Strip, 100/pk, Sterile</t>
        </is>
      </c>
      <c r="C3540" t="inlineStr">
        <is>
          <t>Fiona</t>
        </is>
      </c>
      <c r="D3540" t="inlineStr">
        <is>
          <t>FIONA-1198-1</t>
        </is>
      </c>
      <c r="E3540" t="inlineStr">
        <is>
          <t>2026-05</t>
        </is>
      </c>
      <c r="F3540" t="n">
        <v>120</v>
      </c>
      <c r="G3540" t="n">
        <v>141.6</v>
      </c>
      <c r="H3540">
        <f>הגדרות!B8</f>
        <v/>
      </c>
      <c r="I3540">
        <f>F3540*(1-H3540/100)*1.18</f>
        <v/>
      </c>
      <c r="J3540">
        <f>הגדרות!C8</f>
        <v/>
      </c>
      <c r="K3540">
        <f>הגדרות!D8</f>
        <v/>
      </c>
      <c r="L3540">
        <f>I3540*(1+J3540/100)+K3540</f>
        <v/>
      </c>
    </row>
    <row r="3541">
      <c r="A3541" t="inlineStr">
        <is>
          <t>פט-וט ביומד</t>
        </is>
      </c>
      <c r="B3541" t="inlineStr">
        <is>
          <t>Cutanplast Dental 1 un.</t>
        </is>
      </c>
      <c r="C3541" t="inlineStr">
        <is>
          <t>Cutanplast</t>
        </is>
      </c>
      <c r="D3541" t="inlineStr">
        <is>
          <t>SION-05610101</t>
        </is>
      </c>
      <c r="E3541" t="inlineStr">
        <is>
          <t>2026-05</t>
        </is>
      </c>
      <c r="F3541" t="n">
        <v>8</v>
      </c>
      <c r="G3541" t="n">
        <v>9.44</v>
      </c>
      <c r="H3541">
        <f>הגדרות!B8</f>
        <v/>
      </c>
      <c r="I3541">
        <f>F3541*(1-H3541/100)*1.18</f>
        <v/>
      </c>
      <c r="J3541">
        <f>הגדרות!C8</f>
        <v/>
      </c>
      <c r="K3541">
        <f>הגדרות!D8</f>
        <v/>
      </c>
      <c r="L3541">
        <f>I3541*(1+J3541/100)+K3541</f>
        <v/>
      </c>
    </row>
    <row r="3542">
      <c r="A3542" t="inlineStr">
        <is>
          <t>פט-וט ביומד</t>
        </is>
      </c>
      <c r="B3542" t="inlineStr">
        <is>
          <t>Cutanplast standart 70x50mm 1 un.</t>
        </is>
      </c>
      <c r="C3542" t="inlineStr">
        <is>
          <t>Cutanplast</t>
        </is>
      </c>
      <c r="D3542" t="inlineStr">
        <is>
          <t>SION-789750</t>
        </is>
      </c>
      <c r="E3542" t="inlineStr">
        <is>
          <t>2026-05</t>
        </is>
      </c>
      <c r="F3542" t="n">
        <v>20</v>
      </c>
      <c r="G3542" t="n">
        <v>23.6</v>
      </c>
      <c r="H3542">
        <f>הגדרות!B8</f>
        <v/>
      </c>
      <c r="I3542">
        <f>F3542*(1-H3542/100)*1.18</f>
        <v/>
      </c>
      <c r="J3542">
        <f>הגדרות!C8</f>
        <v/>
      </c>
      <c r="K3542">
        <f>הגדרות!D8</f>
        <v/>
      </c>
      <c r="L3542">
        <f>I3542*(1+J3542/100)+K3542</f>
        <v/>
      </c>
    </row>
    <row r="3543">
      <c r="A3543" t="inlineStr">
        <is>
          <t>פט-וט ביומד</t>
        </is>
      </c>
      <c r="B3543" t="inlineStr">
        <is>
          <t>FREEPLAST ADHESIVE REMOVER 125ML</t>
        </is>
      </c>
      <c r="C3543" t="inlineStr">
        <is>
          <t>Genia</t>
        </is>
      </c>
      <c r="D3543" t="inlineStr">
        <is>
          <t>GENIA-307268-1</t>
        </is>
      </c>
      <c r="E3543" t="inlineStr">
        <is>
          <t>2026-05</t>
        </is>
      </c>
      <c r="F3543" t="n">
        <v>50</v>
      </c>
      <c r="G3543" t="n">
        <v>59</v>
      </c>
      <c r="H3543">
        <f>הגדרות!B8</f>
        <v/>
      </c>
      <c r="I3543">
        <f>F3543*(1-H3543/100)*1.18</f>
        <v/>
      </c>
      <c r="J3543">
        <f>הגדרות!C8</f>
        <v/>
      </c>
      <c r="K3543">
        <f>הגדרות!D8</f>
        <v/>
      </c>
      <c r="L3543">
        <f>I3543*(1+J3543/100)+K3543</f>
        <v/>
      </c>
    </row>
    <row r="3544">
      <c r="A3544" t="inlineStr">
        <is>
          <t>פט-וט ביומד</t>
        </is>
      </c>
      <c r="B3544" t="inlineStr">
        <is>
          <t>(CPM) Medbond</t>
        </is>
      </c>
      <c r="C3544" t="inlineStr">
        <is>
          <t>RVP</t>
        </is>
      </c>
      <c r="D3544" t="inlineStr">
        <is>
          <t>RVP-TA-01</t>
        </is>
      </c>
      <c r="E3544" t="inlineStr">
        <is>
          <t>2026-05</t>
        </is>
      </c>
      <c r="F3544" t="n">
        <v>89</v>
      </c>
      <c r="G3544" t="n">
        <v>105.02</v>
      </c>
      <c r="H3544">
        <f>הגדרות!B8</f>
        <v/>
      </c>
      <c r="I3544">
        <f>F3544*(1-H3544/100)*1.18</f>
        <v/>
      </c>
      <c r="J3544">
        <f>הגדרות!C8</f>
        <v/>
      </c>
      <c r="K3544">
        <f>הגדרות!D8</f>
        <v/>
      </c>
      <c r="L3544">
        <f>I3544*(1+J3544/100)+K3544</f>
        <v/>
      </c>
    </row>
    <row r="3545">
      <c r="A3545" t="inlineStr">
        <is>
          <t>פט-וט ביומד</t>
        </is>
      </c>
      <c r="B3545" t="inlineStr">
        <is>
          <t>Adbone VCP Granules 0.5-1mm 1g*5un.</t>
        </is>
      </c>
      <c r="C3545" t="inlineStr">
        <is>
          <t>MedBone</t>
        </is>
      </c>
      <c r="D3545" t="inlineStr">
        <is>
          <t>MEDBONE-VCP050110P</t>
        </is>
      </c>
      <c r="E3545" t="inlineStr">
        <is>
          <t>2026-05</t>
        </is>
      </c>
      <c r="F3545" t="n">
        <v>480</v>
      </c>
      <c r="G3545" t="n">
        <v>566.4</v>
      </c>
      <c r="H3545">
        <f>הגדרות!B8</f>
        <v/>
      </c>
      <c r="I3545">
        <f>F3545*(1-H3545/100)*1.18</f>
        <v/>
      </c>
      <c r="J3545">
        <f>הגדרות!C8</f>
        <v/>
      </c>
      <c r="K3545">
        <f>הגדרות!D8</f>
        <v/>
      </c>
      <c r="L3545">
        <f>I3545*(1+J3545/100)+K3545</f>
        <v/>
      </c>
    </row>
    <row r="3546">
      <c r="A3546" t="inlineStr">
        <is>
          <t>פט-וט ביומד</t>
        </is>
      </c>
      <c r="B3546" t="inlineStr">
        <is>
          <t>Adpaste VET Syringe 1cc*3units</t>
        </is>
      </c>
      <c r="C3546" t="inlineStr">
        <is>
          <t>MedBone</t>
        </is>
      </c>
      <c r="D3546" t="inlineStr">
        <is>
          <t>MEDBONE-ADP101030S</t>
        </is>
      </c>
      <c r="E3546" t="inlineStr">
        <is>
          <t>2026-05</t>
        </is>
      </c>
      <c r="F3546" t="n">
        <v>390</v>
      </c>
      <c r="G3546" t="n">
        <v>460.2</v>
      </c>
      <c r="H3546">
        <f>הגדרות!B8</f>
        <v/>
      </c>
      <c r="I3546">
        <f>F3546*(1-H3546/100)*1.18</f>
        <v/>
      </c>
      <c r="J3546">
        <f>הגדרות!C8</f>
        <v/>
      </c>
      <c r="K3546">
        <f>הגדרות!D8</f>
        <v/>
      </c>
      <c r="L3546">
        <f>I3546*(1+J3546/100)+K3546</f>
        <v/>
      </c>
    </row>
    <row r="3547">
      <c r="A3547" t="inlineStr">
        <is>
          <t>פט-וט ביומד</t>
        </is>
      </c>
      <c r="B3547" t="inlineStr">
        <is>
          <t>VetSleeve 1"x16" Solid Black</t>
        </is>
      </c>
      <c r="C3547" t="inlineStr">
        <is>
          <t>VS</t>
        </is>
      </c>
      <c r="D3547" t="inlineStr">
        <is>
          <t>VS-VS116SB</t>
        </is>
      </c>
      <c r="E3547" t="inlineStr">
        <is>
          <t>2026-05</t>
        </is>
      </c>
      <c r="F3547" t="n">
        <v>160</v>
      </c>
      <c r="G3547" t="n">
        <v>188.8</v>
      </c>
      <c r="H3547">
        <f>הגדרות!B8</f>
        <v/>
      </c>
      <c r="I3547">
        <f>F3547*(1-H3547/100)*1.18</f>
        <v/>
      </c>
      <c r="J3547">
        <f>הגדרות!C8</f>
        <v/>
      </c>
      <c r="K3547">
        <f>הגדרות!D8</f>
        <v/>
      </c>
      <c r="L3547">
        <f>I3547*(1+J3547/100)+K3547</f>
        <v/>
      </c>
    </row>
    <row r="3548">
      <c r="A3548" t="inlineStr">
        <is>
          <t>פט-וט ביומד</t>
        </is>
      </c>
      <c r="B3548" t="inlineStr">
        <is>
          <t>VetSleeve 2"x5" Vented White</t>
        </is>
      </c>
      <c r="C3548" t="inlineStr">
        <is>
          <t>VS</t>
        </is>
      </c>
      <c r="D3548" t="inlineStr">
        <is>
          <t>VS-VS25VW</t>
        </is>
      </c>
      <c r="E3548" t="inlineStr">
        <is>
          <t>2026-05</t>
        </is>
      </c>
      <c r="F3548" t="n">
        <v>160</v>
      </c>
      <c r="G3548" t="n">
        <v>188.8</v>
      </c>
      <c r="H3548">
        <f>הגדרות!B8</f>
        <v/>
      </c>
      <c r="I3548">
        <f>F3548*(1-H3548/100)*1.18</f>
        <v/>
      </c>
      <c r="J3548">
        <f>הגדרות!C8</f>
        <v/>
      </c>
      <c r="K3548">
        <f>הגדרות!D8</f>
        <v/>
      </c>
      <c r="L3548">
        <f>I3548*(1+J3548/100)+K3548</f>
        <v/>
      </c>
    </row>
    <row r="3549">
      <c r="A3549" t="inlineStr">
        <is>
          <t>פט-וט ביומד</t>
        </is>
      </c>
      <c r="B3549" t="inlineStr">
        <is>
          <t>CURAVET Dog Protection Collar 7.5 cm ת חא הדיחי</t>
        </is>
      </c>
      <c r="C3549" t="inlineStr">
        <is>
          <t>Fiona</t>
        </is>
      </c>
      <c r="D3549" t="inlineStr">
        <is>
          <t>FIONA-111101-1</t>
        </is>
      </c>
      <c r="E3549" t="inlineStr">
        <is>
          <t>2026-05</t>
        </is>
      </c>
      <c r="F3549" t="n">
        <v>7</v>
      </c>
      <c r="G3549" t="n">
        <v>8.26</v>
      </c>
      <c r="H3549">
        <f>הגדרות!B8</f>
        <v/>
      </c>
      <c r="I3549">
        <f>F3549*(1-H3549/100)*1.18</f>
        <v/>
      </c>
      <c r="J3549">
        <f>הגדרות!C8</f>
        <v/>
      </c>
      <c r="K3549">
        <f>הגדרות!D8</f>
        <v/>
      </c>
      <c r="L3549">
        <f>I3549*(1+J3549/100)+K3549</f>
        <v/>
      </c>
    </row>
    <row r="3550">
      <c r="A3550" t="inlineStr">
        <is>
          <t>פט-וט ביומד</t>
        </is>
      </c>
      <c r="B3550" t="inlineStr">
        <is>
          <t>CURAVET Dog Protection Collar 10 cm ת חא הדיחי</t>
        </is>
      </c>
      <c r="C3550" t="inlineStr">
        <is>
          <t>Fiona</t>
        </is>
      </c>
      <c r="D3550" t="inlineStr">
        <is>
          <t>FIONA-111102-1</t>
        </is>
      </c>
      <c r="E3550" t="inlineStr">
        <is>
          <t>2026-05</t>
        </is>
      </c>
      <c r="F3550" t="n">
        <v>9</v>
      </c>
      <c r="G3550" t="n">
        <v>10.62</v>
      </c>
      <c r="H3550">
        <f>הגדרות!B8</f>
        <v/>
      </c>
      <c r="I3550">
        <f>F3550*(1-H3550/100)*1.18</f>
        <v/>
      </c>
      <c r="J3550">
        <f>הגדרות!C8</f>
        <v/>
      </c>
      <c r="K3550">
        <f>הגדרות!D8</f>
        <v/>
      </c>
      <c r="L3550">
        <f>I3550*(1+J3550/100)+K3550</f>
        <v/>
      </c>
    </row>
    <row r="3551">
      <c r="A3551" t="inlineStr">
        <is>
          <t>פט-וט ביומד</t>
        </is>
      </c>
      <c r="B3551" t="inlineStr">
        <is>
          <t>CURAVET Dog Protection Collar 12.5 cm ת חא הדיחי</t>
        </is>
      </c>
      <c r="C3551" t="inlineStr">
        <is>
          <t>Fiona</t>
        </is>
      </c>
      <c r="D3551" t="inlineStr">
        <is>
          <t>FIONA-111103-1</t>
        </is>
      </c>
      <c r="E3551" t="inlineStr">
        <is>
          <t>2026-05</t>
        </is>
      </c>
      <c r="F3551" t="n">
        <v>11</v>
      </c>
      <c r="G3551" t="n">
        <v>12.98</v>
      </c>
      <c r="H3551">
        <f>הגדרות!B8</f>
        <v/>
      </c>
      <c r="I3551">
        <f>F3551*(1-H3551/100)*1.18</f>
        <v/>
      </c>
      <c r="J3551">
        <f>הגדרות!C8</f>
        <v/>
      </c>
      <c r="K3551">
        <f>הגדרות!D8</f>
        <v/>
      </c>
      <c r="L3551">
        <f>I3551*(1+J3551/100)+K3551</f>
        <v/>
      </c>
    </row>
    <row r="3552">
      <c r="A3552" t="inlineStr">
        <is>
          <t>פט-וט ביומד</t>
        </is>
      </c>
      <c r="B3552" t="inlineStr">
        <is>
          <t>CURAVET Dog Protection Collar 15 cm ת חא הדיחי</t>
        </is>
      </c>
      <c r="C3552" t="inlineStr">
        <is>
          <t>Fiona</t>
        </is>
      </c>
      <c r="D3552" t="inlineStr">
        <is>
          <t>FIONA-111104-1</t>
        </is>
      </c>
      <c r="E3552" t="inlineStr">
        <is>
          <t>2026-05</t>
        </is>
      </c>
      <c r="F3552" t="n">
        <v>15</v>
      </c>
      <c r="G3552" t="n">
        <v>17.7</v>
      </c>
      <c r="H3552">
        <f>הגדרות!B8</f>
        <v/>
      </c>
      <c r="I3552">
        <f>F3552*(1-H3552/100)*1.18</f>
        <v/>
      </c>
      <c r="J3552">
        <f>הגדרות!C8</f>
        <v/>
      </c>
      <c r="K3552">
        <f>הגדרות!D8</f>
        <v/>
      </c>
      <c r="L3552">
        <f>I3552*(1+J3552/100)+K3552</f>
        <v/>
      </c>
    </row>
    <row r="3553">
      <c r="A3553" t="inlineStr">
        <is>
          <t>פט-וט ביומד</t>
        </is>
      </c>
      <c r="B3553" t="inlineStr">
        <is>
          <t>CURAVET Dog Protection Collar 20 cm ת חא הדיחי</t>
        </is>
      </c>
      <c r="C3553" t="inlineStr">
        <is>
          <t>Fiona</t>
        </is>
      </c>
      <c r="D3553" t="inlineStr">
        <is>
          <t>FIONA-111105-1</t>
        </is>
      </c>
      <c r="E3553" t="inlineStr">
        <is>
          <t>2026-05</t>
        </is>
      </c>
      <c r="F3553" t="n">
        <v>19</v>
      </c>
      <c r="G3553" t="n">
        <v>22.42</v>
      </c>
      <c r="H3553">
        <f>הגדרות!B8</f>
        <v/>
      </c>
      <c r="I3553">
        <f>F3553*(1-H3553/100)*1.18</f>
        <v/>
      </c>
      <c r="J3553">
        <f>הגדרות!C8</f>
        <v/>
      </c>
      <c r="K3553">
        <f>הגדרות!D8</f>
        <v/>
      </c>
      <c r="L3553">
        <f>I3553*(1+J3553/100)+K3553</f>
        <v/>
      </c>
    </row>
    <row r="3554">
      <c r="A3554" t="inlineStr">
        <is>
          <t>פט-וט ביומד</t>
        </is>
      </c>
      <c r="B3554" t="inlineStr">
        <is>
          <t>CURAVET Dog Protection Collar 25 cm ת חא הדיחי</t>
        </is>
      </c>
      <c r="C3554" t="inlineStr">
        <is>
          <t>Fiona</t>
        </is>
      </c>
      <c r="D3554" t="inlineStr">
        <is>
          <t>FIONA-111106-1</t>
        </is>
      </c>
      <c r="E3554" t="inlineStr">
        <is>
          <t>2026-05</t>
        </is>
      </c>
      <c r="F3554" t="n">
        <v>25</v>
      </c>
      <c r="G3554" t="n">
        <v>29.5</v>
      </c>
      <c r="H3554">
        <f>הגדרות!B8</f>
        <v/>
      </c>
      <c r="I3554">
        <f>F3554*(1-H3554/100)*1.18</f>
        <v/>
      </c>
      <c r="J3554">
        <f>הגדרות!C8</f>
        <v/>
      </c>
      <c r="K3554">
        <f>הגדרות!D8</f>
        <v/>
      </c>
      <c r="L3554">
        <f>I3554*(1+J3554/100)+K3554</f>
        <v/>
      </c>
    </row>
    <row r="3555">
      <c r="A3555" t="inlineStr">
        <is>
          <t>פט-וט ביומד</t>
        </is>
      </c>
      <c r="B3555" t="inlineStr">
        <is>
          <t>CURAVET Dog Protection Collar 30 cm ת חא הדיחי</t>
        </is>
      </c>
      <c r="C3555" t="inlineStr">
        <is>
          <t>Fiona</t>
        </is>
      </c>
      <c r="D3555" t="inlineStr">
        <is>
          <t>FIONA-111107-1</t>
        </is>
      </c>
      <c r="E3555" t="inlineStr">
        <is>
          <t>2026-05</t>
        </is>
      </c>
      <c r="F3555" t="n">
        <v>33</v>
      </c>
      <c r="G3555" t="n">
        <v>38.94</v>
      </c>
      <c r="H3555">
        <f>הגדרות!B8</f>
        <v/>
      </c>
      <c r="I3555">
        <f>F3555*(1-H3555/100)*1.18</f>
        <v/>
      </c>
      <c r="J3555">
        <f>הגדרות!C8</f>
        <v/>
      </c>
      <c r="K3555">
        <f>הגדרות!D8</f>
        <v/>
      </c>
      <c r="L3555">
        <f>I3555*(1+J3555/100)+K3555</f>
        <v/>
      </c>
    </row>
    <row r="3556">
      <c r="A3556" t="inlineStr">
        <is>
          <t>פט-וט ביומד</t>
        </is>
      </c>
      <c r="B3556" t="inlineStr">
        <is>
          <t>CuraVet Collar Snap N Go 7,5cm ת חא הדיחי</t>
        </is>
      </c>
      <c r="C3556" t="inlineStr">
        <is>
          <t>Fiona</t>
        </is>
      </c>
      <c r="D3556" t="inlineStr">
        <is>
          <t>FIONA-28761-1</t>
        </is>
      </c>
      <c r="E3556" t="inlineStr">
        <is>
          <t>2026-05</t>
        </is>
      </c>
      <c r="F3556" t="n">
        <v>7</v>
      </c>
      <c r="G3556" t="n">
        <v>8.26</v>
      </c>
      <c r="H3556">
        <f>הגדרות!B8</f>
        <v/>
      </c>
      <c r="I3556">
        <f>F3556*(1-H3556/100)*1.18</f>
        <v/>
      </c>
      <c r="J3556">
        <f>הגדרות!C8</f>
        <v/>
      </c>
      <c r="K3556">
        <f>הגדרות!D8</f>
        <v/>
      </c>
      <c r="L3556">
        <f>I3556*(1+J3556/100)+K3556</f>
        <v/>
      </c>
    </row>
    <row r="3557">
      <c r="A3557" t="inlineStr">
        <is>
          <t>פט-וט ביומד</t>
        </is>
      </c>
      <c r="B3557" t="inlineStr">
        <is>
          <t>CuraVet Collar Snap N Go 10cm ת חא הדיחי</t>
        </is>
      </c>
      <c r="C3557" t="inlineStr">
        <is>
          <t>Fiona</t>
        </is>
      </c>
      <c r="D3557" t="inlineStr">
        <is>
          <t>FIONA-28762-1</t>
        </is>
      </c>
      <c r="E3557" t="inlineStr">
        <is>
          <t>2026-05</t>
        </is>
      </c>
      <c r="F3557" t="n">
        <v>9</v>
      </c>
      <c r="G3557" t="n">
        <v>10.62</v>
      </c>
      <c r="H3557">
        <f>הגדרות!B8</f>
        <v/>
      </c>
      <c r="I3557">
        <f>F3557*(1-H3557/100)*1.18</f>
        <v/>
      </c>
      <c r="J3557">
        <f>הגדרות!C8</f>
        <v/>
      </c>
      <c r="K3557">
        <f>הגדרות!D8</f>
        <v/>
      </c>
      <c r="L3557">
        <f>I3557*(1+J3557/100)+K3557</f>
        <v/>
      </c>
    </row>
    <row r="3558">
      <c r="A3558" t="inlineStr">
        <is>
          <t>פט-וט ביומד</t>
        </is>
      </c>
      <c r="B3558" t="inlineStr">
        <is>
          <t>CuraVet Collar Snap N Go 12.5cm ת חא הדיחי</t>
        </is>
      </c>
      <c r="C3558" t="inlineStr">
        <is>
          <t>Fiona</t>
        </is>
      </c>
      <c r="D3558" t="inlineStr">
        <is>
          <t>FIONA-28763-1</t>
        </is>
      </c>
      <c r="E3558" t="inlineStr">
        <is>
          <t>2026-05</t>
        </is>
      </c>
      <c r="F3558" t="n">
        <v>11</v>
      </c>
      <c r="G3558" t="n">
        <v>12.98</v>
      </c>
      <c r="H3558">
        <f>הגדרות!B8</f>
        <v/>
      </c>
      <c r="I3558">
        <f>F3558*(1-H3558/100)*1.18</f>
        <v/>
      </c>
      <c r="J3558">
        <f>הגדרות!C8</f>
        <v/>
      </c>
      <c r="K3558">
        <f>הגדרות!D8</f>
        <v/>
      </c>
      <c r="L3558">
        <f>I3558*(1+J3558/100)+K3558</f>
        <v/>
      </c>
    </row>
    <row r="3559">
      <c r="A3559" t="inlineStr">
        <is>
          <t>פט-וט ביומד</t>
        </is>
      </c>
      <c r="B3559" t="inlineStr">
        <is>
          <t>CuraVet Collar Snap N Go 15cm ת חא הדיחי</t>
        </is>
      </c>
      <c r="C3559" t="inlineStr">
        <is>
          <t>Fiona</t>
        </is>
      </c>
      <c r="D3559" t="inlineStr">
        <is>
          <t>FIONA-28764-1</t>
        </is>
      </c>
      <c r="E3559" t="inlineStr">
        <is>
          <t>2026-05</t>
        </is>
      </c>
      <c r="F3559" t="n">
        <v>15</v>
      </c>
      <c r="G3559" t="n">
        <v>17.7</v>
      </c>
      <c r="H3559">
        <f>הגדרות!B8</f>
        <v/>
      </c>
      <c r="I3559">
        <f>F3559*(1-H3559/100)*1.18</f>
        <v/>
      </c>
      <c r="J3559">
        <f>הגדרות!C8</f>
        <v/>
      </c>
      <c r="K3559">
        <f>הגדרות!D8</f>
        <v/>
      </c>
      <c r="L3559">
        <f>I3559*(1+J3559/100)+K3559</f>
        <v/>
      </c>
    </row>
    <row r="3560">
      <c r="A3560" t="inlineStr">
        <is>
          <t>פט-וט ביומד</t>
        </is>
      </c>
      <c r="B3560" t="inlineStr">
        <is>
          <t>CuraVet Collar Snap N Go 20cm ת חא הדיחי</t>
        </is>
      </c>
      <c r="C3560" t="inlineStr">
        <is>
          <t>Fiona</t>
        </is>
      </c>
      <c r="D3560" t="inlineStr">
        <is>
          <t>FIONA-28765-1</t>
        </is>
      </c>
      <c r="E3560" t="inlineStr">
        <is>
          <t>2026-05</t>
        </is>
      </c>
      <c r="F3560" t="n">
        <v>19</v>
      </c>
      <c r="G3560" t="n">
        <v>22.42</v>
      </c>
      <c r="H3560">
        <f>הגדרות!B8</f>
        <v/>
      </c>
      <c r="I3560">
        <f>F3560*(1-H3560/100)*1.18</f>
        <v/>
      </c>
      <c r="J3560">
        <f>הגדרות!C8</f>
        <v/>
      </c>
      <c r="K3560">
        <f>הגדרות!D8</f>
        <v/>
      </c>
      <c r="L3560">
        <f>I3560*(1+J3560/100)+K3560</f>
        <v/>
      </c>
    </row>
    <row r="3561">
      <c r="A3561" t="inlineStr">
        <is>
          <t>פט-וט ביומד</t>
        </is>
      </c>
      <c r="B3561" t="inlineStr">
        <is>
          <t>CuraVet Collar Snap N Go 25cm ת חא הדיחי</t>
        </is>
      </c>
      <c r="C3561" t="inlineStr">
        <is>
          <t>Fiona</t>
        </is>
      </c>
      <c r="D3561" t="inlineStr">
        <is>
          <t>FIONA-28766-1</t>
        </is>
      </c>
      <c r="E3561" t="inlineStr">
        <is>
          <t>2026-05</t>
        </is>
      </c>
      <c r="F3561" t="n">
        <v>25</v>
      </c>
      <c r="G3561" t="n">
        <v>29.5</v>
      </c>
      <c r="H3561">
        <f>הגדרות!B8</f>
        <v/>
      </c>
      <c r="I3561">
        <f>F3561*(1-H3561/100)*1.18</f>
        <v/>
      </c>
      <c r="J3561">
        <f>הגדרות!C8</f>
        <v/>
      </c>
      <c r="K3561">
        <f>הגדרות!D8</f>
        <v/>
      </c>
      <c r="L3561">
        <f>I3561*(1+J3561/100)+K3561</f>
        <v/>
      </c>
    </row>
    <row r="3562">
      <c r="A3562" t="inlineStr">
        <is>
          <t>פט-וט ביומד</t>
        </is>
      </c>
      <c r="B3562" t="inlineStr">
        <is>
          <t>CuraVet Collar Snap N Go 30cm ת חא הדיחי</t>
        </is>
      </c>
      <c r="C3562" t="inlineStr">
        <is>
          <t>Fiona</t>
        </is>
      </c>
      <c r="D3562" t="inlineStr">
        <is>
          <t>FIONA-28767-1</t>
        </is>
      </c>
      <c r="E3562" t="inlineStr">
        <is>
          <t>2026-05</t>
        </is>
      </c>
      <c r="F3562" t="n">
        <v>33</v>
      </c>
      <c r="G3562" t="n">
        <v>38.94</v>
      </c>
      <c r="H3562">
        <f>הגדרות!B8</f>
        <v/>
      </c>
      <c r="I3562">
        <f>F3562*(1-H3562/100)*1.18</f>
        <v/>
      </c>
      <c r="J3562">
        <f>הגדרות!C8</f>
        <v/>
      </c>
      <c r="K3562">
        <f>הגדרות!D8</f>
        <v/>
      </c>
      <c r="L3562">
        <f>I3562*(1+J3562/100)+K3562</f>
        <v/>
      </c>
    </row>
    <row r="3563">
      <c r="A3563" t="inlineStr">
        <is>
          <t>פט-וט ביומד</t>
        </is>
      </c>
      <c r="B3563" t="inlineStr">
        <is>
          <t>VELFAST SELF GRIPPING DOG COLLARS T7.5 *1 ת חא הדיחי</t>
        </is>
      </c>
      <c r="C3563" t="inlineStr">
        <is>
          <t>Genia</t>
        </is>
      </c>
      <c r="D3563" t="inlineStr">
        <is>
          <t>GENIA-306450-1</t>
        </is>
      </c>
      <c r="E3563" t="inlineStr">
        <is>
          <t>2026-05</t>
        </is>
      </c>
      <c r="F3563" t="n">
        <v>31</v>
      </c>
      <c r="G3563" t="n">
        <v>36.58</v>
      </c>
      <c r="H3563">
        <f>הגדרות!B8</f>
        <v/>
      </c>
      <c r="I3563">
        <f>F3563*(1-H3563/100)*1.18</f>
        <v/>
      </c>
      <c r="J3563">
        <f>הגדרות!C8</f>
        <v/>
      </c>
      <c r="K3563">
        <f>הגדרות!D8</f>
        <v/>
      </c>
      <c r="L3563">
        <f>I3563*(1+J3563/100)+K3563</f>
        <v/>
      </c>
    </row>
    <row r="3564">
      <c r="A3564" t="inlineStr">
        <is>
          <t>פט-וט ביומד</t>
        </is>
      </c>
      <c r="B3564" t="inlineStr">
        <is>
          <t>VELFAST SELF GRIPPING DOG COLLARS T10*1 ת חא הדיחי</t>
        </is>
      </c>
      <c r="C3564" t="inlineStr">
        <is>
          <t>Genia</t>
        </is>
      </c>
      <c r="D3564" t="inlineStr">
        <is>
          <t>GENIA-306452-1</t>
        </is>
      </c>
      <c r="E3564" t="inlineStr">
        <is>
          <t>2026-05</t>
        </is>
      </c>
      <c r="F3564" t="n">
        <v>34</v>
      </c>
      <c r="G3564" t="n">
        <v>40.12</v>
      </c>
      <c r="H3564">
        <f>הגדרות!B8</f>
        <v/>
      </c>
      <c r="I3564">
        <f>F3564*(1-H3564/100)*1.18</f>
        <v/>
      </c>
      <c r="J3564">
        <f>הגדרות!C8</f>
        <v/>
      </c>
      <c r="K3564">
        <f>הגדרות!D8</f>
        <v/>
      </c>
      <c r="L3564">
        <f>I3564*(1+J3564/100)+K3564</f>
        <v/>
      </c>
    </row>
    <row r="3565">
      <c r="A3565" t="inlineStr">
        <is>
          <t>פט-וט ביומד</t>
        </is>
      </c>
      <c r="B3565" t="inlineStr">
        <is>
          <t>VELFAST SELF GRIPPING DOG COLLARS T12.5*1 ת חא הדיחי</t>
        </is>
      </c>
      <c r="C3565" t="inlineStr">
        <is>
          <t>Genia</t>
        </is>
      </c>
      <c r="D3565" t="inlineStr">
        <is>
          <t>GENIA-306454-1</t>
        </is>
      </c>
      <c r="E3565" t="inlineStr">
        <is>
          <t>2026-05</t>
        </is>
      </c>
      <c r="F3565" t="n">
        <v>39</v>
      </c>
      <c r="G3565" t="n">
        <v>46.02</v>
      </c>
      <c r="H3565">
        <f>הגדרות!B8</f>
        <v/>
      </c>
      <c r="I3565">
        <f>F3565*(1-H3565/100)*1.18</f>
        <v/>
      </c>
      <c r="J3565">
        <f>הגדרות!C8</f>
        <v/>
      </c>
      <c r="K3565">
        <f>הגדרות!D8</f>
        <v/>
      </c>
      <c r="L3565">
        <f>I3565*(1+J3565/100)+K3565</f>
        <v/>
      </c>
    </row>
    <row r="3566">
      <c r="A3566" t="inlineStr">
        <is>
          <t>פט-וט ביומד</t>
        </is>
      </c>
      <c r="B3566" t="inlineStr">
        <is>
          <t>VELFAST SELF GRIPPING DOG COLLARS T15*1 ת חא הדיחי</t>
        </is>
      </c>
      <c r="C3566" t="inlineStr">
        <is>
          <t>Genia</t>
        </is>
      </c>
      <c r="D3566" t="inlineStr">
        <is>
          <t>GENIA-306456-1</t>
        </is>
      </c>
      <c r="E3566" t="inlineStr">
        <is>
          <t>2026-05</t>
        </is>
      </c>
      <c r="F3566" t="n">
        <v>44</v>
      </c>
      <c r="G3566" t="n">
        <v>51.92</v>
      </c>
      <c r="H3566">
        <f>הגדרות!B8</f>
        <v/>
      </c>
      <c r="I3566">
        <f>F3566*(1-H3566/100)*1.18</f>
        <v/>
      </c>
      <c r="J3566">
        <f>הגדרות!C8</f>
        <v/>
      </c>
      <c r="K3566">
        <f>הגדרות!D8</f>
        <v/>
      </c>
      <c r="L3566">
        <f>I3566*(1+J3566/100)+K3566</f>
        <v/>
      </c>
    </row>
    <row r="3567">
      <c r="A3567" t="inlineStr">
        <is>
          <t>פט-וט ביומד</t>
        </is>
      </c>
      <c r="B3567" t="inlineStr">
        <is>
          <t>VELFAST SELF GRIPPING DOG COLLARS T20*1 ת חא הדיחי</t>
        </is>
      </c>
      <c r="C3567" t="inlineStr">
        <is>
          <t>Genia</t>
        </is>
      </c>
      <c r="D3567" t="inlineStr">
        <is>
          <t>GENIA-306458-1</t>
        </is>
      </c>
      <c r="E3567" t="inlineStr">
        <is>
          <t>2026-05</t>
        </is>
      </c>
      <c r="F3567" t="n">
        <v>52</v>
      </c>
      <c r="G3567" t="n">
        <v>61.36</v>
      </c>
      <c r="H3567">
        <f>הגדרות!B8</f>
        <v/>
      </c>
      <c r="I3567">
        <f>F3567*(1-H3567/100)*1.18</f>
        <v/>
      </c>
      <c r="J3567">
        <f>הגדרות!C8</f>
        <v/>
      </c>
      <c r="K3567">
        <f>הגדרות!D8</f>
        <v/>
      </c>
      <c r="L3567">
        <f>I3567*(1+J3567/100)+K3567</f>
        <v/>
      </c>
    </row>
    <row r="3568">
      <c r="A3568" t="inlineStr">
        <is>
          <t>פט-וט ביומד</t>
        </is>
      </c>
      <c r="B3568" t="inlineStr">
        <is>
          <t>VELFAST SELF GRIPPING DOG COLLARS T25*1 ת חא הדיחי</t>
        </is>
      </c>
      <c r="C3568" t="inlineStr">
        <is>
          <t>Genia</t>
        </is>
      </c>
      <c r="D3568" t="inlineStr">
        <is>
          <t>GENIA-306460-1</t>
        </is>
      </c>
      <c r="E3568" t="inlineStr">
        <is>
          <t>2026-05</t>
        </is>
      </c>
      <c r="F3568" t="n">
        <v>63</v>
      </c>
      <c r="G3568" t="n">
        <v>74.34</v>
      </c>
      <c r="H3568">
        <f>הגדרות!B8</f>
        <v/>
      </c>
      <c r="I3568">
        <f>F3568*(1-H3568/100)*1.18</f>
        <v/>
      </c>
      <c r="J3568">
        <f>הגדרות!C8</f>
        <v/>
      </c>
      <c r="K3568">
        <f>הגדרות!D8</f>
        <v/>
      </c>
      <c r="L3568">
        <f>I3568*(1+J3568/100)+K3568</f>
        <v/>
      </c>
    </row>
    <row r="3569">
      <c r="A3569" t="inlineStr">
        <is>
          <t>פט-וט ביומד</t>
        </is>
      </c>
      <c r="B3569" t="inlineStr">
        <is>
          <t>VELFAST SELF GRIPPING DOG COLLARS T30*1 ת חא הדיחי</t>
        </is>
      </c>
      <c r="C3569" t="inlineStr">
        <is>
          <t>Genia</t>
        </is>
      </c>
      <c r="D3569" t="inlineStr">
        <is>
          <t>GENIA-306462-1</t>
        </is>
      </c>
      <c r="E3569" t="inlineStr">
        <is>
          <t>2026-05</t>
        </is>
      </c>
      <c r="F3569" t="n">
        <v>76</v>
      </c>
      <c r="G3569" t="n">
        <v>89.68000000000001</v>
      </c>
      <c r="H3569">
        <f>הגדרות!B8</f>
        <v/>
      </c>
      <c r="I3569">
        <f>F3569*(1-H3569/100)*1.18</f>
        <v/>
      </c>
      <c r="J3569">
        <f>הגדרות!C8</f>
        <v/>
      </c>
      <c r="K3569">
        <f>הגדרות!D8</f>
        <v/>
      </c>
      <c r="L3569">
        <f>I3569*(1+J3569/100)+K3569</f>
        <v/>
      </c>
    </row>
    <row r="3570">
      <c r="A3570" t="inlineStr">
        <is>
          <t>פט-וט ביומד</t>
        </is>
      </c>
      <c r="B3570" t="inlineStr">
        <is>
          <t>Tomcat Cath. w-out stylet 1.25x140mm 3.5 10pack</t>
        </is>
      </c>
      <c r="C3570" t="inlineStr">
        <is>
          <t>Fiona</t>
        </is>
      </c>
      <c r="D3570" t="inlineStr">
        <is>
          <t>FIONA-561001</t>
        </is>
      </c>
      <c r="E3570" t="inlineStr">
        <is>
          <t>2026-05</t>
        </is>
      </c>
      <c r="F3570" t="n">
        <v>215</v>
      </c>
      <c r="G3570" t="n">
        <v>253.7</v>
      </c>
      <c r="H3570">
        <f>הגדרות!B8</f>
        <v/>
      </c>
      <c r="I3570">
        <f>F3570*(1-H3570/100)*1.18</f>
        <v/>
      </c>
      <c r="J3570">
        <f>הגדרות!C8</f>
        <v/>
      </c>
      <c r="K3570">
        <f>הגדרות!D8</f>
        <v/>
      </c>
      <c r="L3570">
        <f>I3570*(1+J3570/100)+K3570</f>
        <v/>
      </c>
    </row>
    <row r="3571">
      <c r="A3571" t="inlineStr">
        <is>
          <t>פט-וט ביומד</t>
        </is>
      </c>
      <c r="B3571" t="inlineStr">
        <is>
          <t>CURAVET Dog Urin.Cathreter 1.3x500mm 4FG</t>
        </is>
      </c>
      <c r="C3571" t="inlineStr">
        <is>
          <t>Fiona</t>
        </is>
      </c>
      <c r="D3571" t="inlineStr">
        <is>
          <t>FIONA-561201-1</t>
        </is>
      </c>
      <c r="E3571" t="inlineStr">
        <is>
          <t>2026-05</t>
        </is>
      </c>
      <c r="F3571" t="n">
        <v>14</v>
      </c>
      <c r="G3571" t="n">
        <v>16.52</v>
      </c>
      <c r="H3571">
        <f>הגדרות!B8</f>
        <v/>
      </c>
      <c r="I3571">
        <f>F3571*(1-H3571/100)*1.18</f>
        <v/>
      </c>
      <c r="J3571">
        <f>הגדרות!C8</f>
        <v/>
      </c>
      <c r="K3571">
        <f>הגדרות!D8</f>
        <v/>
      </c>
      <c r="L3571">
        <f>I3571*(1+J3571/100)+K3571</f>
        <v/>
      </c>
    </row>
    <row r="3572">
      <c r="A3572" t="inlineStr">
        <is>
          <t>פט-וט ביומד</t>
        </is>
      </c>
      <c r="B3572" t="inlineStr">
        <is>
          <t>CURAVET Dog Urin.Cathreter 2.0x500mm 6FG</t>
        </is>
      </c>
      <c r="C3572" t="inlineStr">
        <is>
          <t>Fiona</t>
        </is>
      </c>
      <c r="D3572" t="inlineStr">
        <is>
          <t>FIONA-561202-1</t>
        </is>
      </c>
      <c r="E3572" t="inlineStr">
        <is>
          <t>2026-05</t>
        </is>
      </c>
      <c r="F3572" t="n">
        <v>14</v>
      </c>
      <c r="G3572" t="n">
        <v>16.52</v>
      </c>
      <c r="H3572">
        <f>הגדרות!B8</f>
        <v/>
      </c>
      <c r="I3572">
        <f>F3572*(1-H3572/100)*1.18</f>
        <v/>
      </c>
      <c r="J3572">
        <f>הגדרות!C8</f>
        <v/>
      </c>
      <c r="K3572">
        <f>הגדרות!D8</f>
        <v/>
      </c>
      <c r="L3572">
        <f>I3572*(1+J3572/100)+K3572</f>
        <v/>
      </c>
    </row>
    <row r="3573">
      <c r="A3573" t="inlineStr">
        <is>
          <t>פט-וט ביומד</t>
        </is>
      </c>
      <c r="B3573" t="inlineStr">
        <is>
          <t>CURAVET Dog Urin.Cathreter 2.6x500mm 8FG</t>
        </is>
      </c>
      <c r="C3573" t="inlineStr">
        <is>
          <t>Fiona</t>
        </is>
      </c>
      <c r="D3573" t="inlineStr">
        <is>
          <t>FIONA-561203-1</t>
        </is>
      </c>
      <c r="E3573" t="inlineStr">
        <is>
          <t>2026-05</t>
        </is>
      </c>
      <c r="F3573" t="n">
        <v>14</v>
      </c>
      <c r="G3573" t="n">
        <v>16.52</v>
      </c>
      <c r="H3573">
        <f>הגדרות!B8</f>
        <v/>
      </c>
      <c r="I3573">
        <f>F3573*(1-H3573/100)*1.18</f>
        <v/>
      </c>
      <c r="J3573">
        <f>הגדרות!C8</f>
        <v/>
      </c>
      <c r="K3573">
        <f>הגדרות!D8</f>
        <v/>
      </c>
      <c r="L3573">
        <f>I3573*(1+J3573/100)+K3573</f>
        <v/>
      </c>
    </row>
    <row r="3574">
      <c r="A3574" t="inlineStr">
        <is>
          <t>פט-וט ביומד</t>
        </is>
      </c>
      <c r="B3574" t="inlineStr">
        <is>
          <t>CURAVET Prem Cat Urin. Catheter 1x130mm 3FG</t>
        </is>
      </c>
      <c r="C3574" t="inlineStr">
        <is>
          <t>Fiona</t>
        </is>
      </c>
      <c r="D3574" t="inlineStr">
        <is>
          <t>FIONA-561230-1</t>
        </is>
      </c>
      <c r="E3574" t="inlineStr">
        <is>
          <t>2026-05</t>
        </is>
      </c>
      <c r="F3574" t="n">
        <v>14</v>
      </c>
      <c r="G3574" t="n">
        <v>16.52</v>
      </c>
      <c r="H3574">
        <f>הגדרות!B8</f>
        <v/>
      </c>
      <c r="I3574">
        <f>F3574*(1-H3574/100)*1.18</f>
        <v/>
      </c>
      <c r="J3574">
        <f>הגדרות!C8</f>
        <v/>
      </c>
      <c r="K3574">
        <f>הגדרות!D8</f>
        <v/>
      </c>
      <c r="L3574">
        <f>I3574*(1+J3574/100)+K3574</f>
        <v/>
      </c>
    </row>
    <row r="3575">
      <c r="A3575" t="inlineStr">
        <is>
          <t>פט-וט ביומד</t>
        </is>
      </c>
      <c r="B3575" t="inlineStr">
        <is>
          <t>CURAVET Prem Cat Urin.Cathreter 1.3x130mm 4F</t>
        </is>
      </c>
      <c r="C3575" t="inlineStr">
        <is>
          <t>Fiona</t>
        </is>
      </c>
      <c r="D3575" t="inlineStr">
        <is>
          <t>FIONA-561240-1</t>
        </is>
      </c>
      <c r="E3575" t="inlineStr">
        <is>
          <t>2026-05</t>
        </is>
      </c>
      <c r="F3575" t="n">
        <v>14</v>
      </c>
      <c r="G3575" t="n">
        <v>16.52</v>
      </c>
      <c r="H3575">
        <f>הגדרות!B8</f>
        <v/>
      </c>
      <c r="I3575">
        <f>F3575*(1-H3575/100)*1.18</f>
        <v/>
      </c>
      <c r="J3575">
        <f>הגדרות!C8</f>
        <v/>
      </c>
      <c r="K3575">
        <f>הגדרות!D8</f>
        <v/>
      </c>
      <c r="L3575">
        <f>I3575*(1+J3575/100)+K3575</f>
        <v/>
      </c>
    </row>
    <row r="3576">
      <c r="A3576" t="inlineStr">
        <is>
          <t>פט-וט ביומד</t>
        </is>
      </c>
      <c r="B3576" t="inlineStr">
        <is>
          <t>CURAVET Prem.Jackson Urin.Catheter 1.0x130mm</t>
        </is>
      </c>
      <c r="C3576" t="inlineStr">
        <is>
          <t>Fiona</t>
        </is>
      </c>
      <c r="D3576" t="inlineStr">
        <is>
          <t>FIONA-561250-1</t>
        </is>
      </c>
      <c r="E3576" t="inlineStr">
        <is>
          <t>2026-05</t>
        </is>
      </c>
      <c r="F3576" t="n">
        <v>22</v>
      </c>
      <c r="G3576" t="n">
        <v>25.96</v>
      </c>
      <c r="H3576">
        <f>הגדרות!B8</f>
        <v/>
      </c>
      <c r="I3576">
        <f>F3576*(1-H3576/100)*1.18</f>
        <v/>
      </c>
      <c r="J3576">
        <f>הגדרות!C8</f>
        <v/>
      </c>
      <c r="K3576">
        <f>הגדרות!D8</f>
        <v/>
      </c>
      <c r="L3576">
        <f>I3576*(1+J3576/100)+K3576</f>
        <v/>
      </c>
    </row>
    <row r="3577">
      <c r="A3577" t="inlineStr">
        <is>
          <t>פט-וט ביומד</t>
        </is>
      </c>
      <c r="B3577" t="inlineStr">
        <is>
          <t>CURAVET Prem.Jackson Urin.Catheter 1.3x130mm</t>
        </is>
      </c>
      <c r="C3577" t="inlineStr">
        <is>
          <t>Fiona</t>
        </is>
      </c>
      <c r="D3577" t="inlineStr">
        <is>
          <t>FIONA-561260-1</t>
        </is>
      </c>
      <c r="E3577" t="inlineStr">
        <is>
          <t>2026-05</t>
        </is>
      </c>
      <c r="F3577" t="n">
        <v>22</v>
      </c>
      <c r="G3577" t="n">
        <v>25.96</v>
      </c>
      <c r="H3577">
        <f>הגדרות!B8</f>
        <v/>
      </c>
      <c r="I3577">
        <f>F3577*(1-H3577/100)*1.18</f>
        <v/>
      </c>
      <c r="J3577">
        <f>הגדרות!C8</f>
        <v/>
      </c>
      <c r="K3577">
        <f>הגדרות!D8</f>
        <v/>
      </c>
      <c r="L3577">
        <f>I3577*(1+J3577/100)+K3577</f>
        <v/>
      </c>
    </row>
    <row r="3578">
      <c r="A3578" t="inlineStr">
        <is>
          <t>פט-וט ביומד</t>
        </is>
      </c>
      <c r="B3578" t="inlineStr">
        <is>
          <t>Fioniavet Feeding Tube 5FR 1,7mm SINGLE</t>
        </is>
      </c>
      <c r="C3578" t="inlineStr">
        <is>
          <t>Fiona</t>
        </is>
      </c>
      <c r="D3578" t="inlineStr">
        <is>
          <t>FIONA-562010-1</t>
        </is>
      </c>
      <c r="E3578" t="inlineStr">
        <is>
          <t>2026-05</t>
        </is>
      </c>
      <c r="F3578" t="n">
        <v>6</v>
      </c>
      <c r="G3578" t="n">
        <v>7.08</v>
      </c>
      <c r="H3578">
        <f>הגדרות!B8</f>
        <v/>
      </c>
      <c r="I3578">
        <f>F3578*(1-H3578/100)*1.18</f>
        <v/>
      </c>
      <c r="J3578">
        <f>הגדרות!C8</f>
        <v/>
      </c>
      <c r="K3578">
        <f>הגדרות!D8</f>
        <v/>
      </c>
      <c r="L3578">
        <f>I3578*(1+J3578/100)+K3578</f>
        <v/>
      </c>
    </row>
    <row r="3579">
      <c r="A3579" t="inlineStr">
        <is>
          <t>פט-וט ביומד</t>
        </is>
      </c>
      <c r="B3579" t="inlineStr">
        <is>
          <t>Fioniavet Feeding Tube 6FR 2mm SINGLE</t>
        </is>
      </c>
      <c r="C3579" t="inlineStr">
        <is>
          <t>Fiona</t>
        </is>
      </c>
      <c r="D3579" t="inlineStr">
        <is>
          <t>FIONA-562020-1</t>
        </is>
      </c>
      <c r="E3579" t="inlineStr">
        <is>
          <t>2026-05</t>
        </is>
      </c>
      <c r="F3579" t="n">
        <v>6</v>
      </c>
      <c r="G3579" t="n">
        <v>7.08</v>
      </c>
      <c r="H3579">
        <f>הגדרות!B8</f>
        <v/>
      </c>
      <c r="I3579">
        <f>F3579*(1-H3579/100)*1.18</f>
        <v/>
      </c>
      <c r="J3579">
        <f>הגדרות!C8</f>
        <v/>
      </c>
      <c r="K3579">
        <f>הגדרות!D8</f>
        <v/>
      </c>
      <c r="L3579">
        <f>I3579*(1+J3579/100)+K3579</f>
        <v/>
      </c>
    </row>
    <row r="3580">
      <c r="A3580" t="inlineStr">
        <is>
          <t>פט-וט ביומד</t>
        </is>
      </c>
      <c r="B3580" t="inlineStr">
        <is>
          <t>Fioniavet Feeding Tube 10FR 3.3mm SINGLE</t>
        </is>
      </c>
      <c r="C3580" t="inlineStr">
        <is>
          <t>Fiona</t>
        </is>
      </c>
      <c r="D3580" t="inlineStr">
        <is>
          <t>FIONA-562030-1</t>
        </is>
      </c>
      <c r="E3580" t="inlineStr">
        <is>
          <t>2026-05</t>
        </is>
      </c>
      <c r="F3580" t="n">
        <v>6</v>
      </c>
      <c r="G3580" t="n">
        <v>7.08</v>
      </c>
      <c r="H3580">
        <f>הגדרות!B8</f>
        <v/>
      </c>
      <c r="I3580">
        <f>F3580*(1-H3580/100)*1.18</f>
        <v/>
      </c>
      <c r="J3580">
        <f>הגדרות!C8</f>
        <v/>
      </c>
      <c r="K3580">
        <f>הגדרות!D8</f>
        <v/>
      </c>
      <c r="L3580">
        <f>I3580*(1+J3580/100)+K3580</f>
        <v/>
      </c>
    </row>
    <row r="3581">
      <c r="A3581" t="inlineStr">
        <is>
          <t>פט-וט ביומד</t>
        </is>
      </c>
      <c r="B3581" t="inlineStr">
        <is>
          <t>Fioniavet Feeding Tube 14FR 4.7mm SINGLE</t>
        </is>
      </c>
      <c r="C3581" t="inlineStr">
        <is>
          <t>Fiona</t>
        </is>
      </c>
      <c r="D3581" t="inlineStr">
        <is>
          <t>FIONA-562050-1</t>
        </is>
      </c>
      <c r="E3581" t="inlineStr">
        <is>
          <t>2026-05</t>
        </is>
      </c>
      <c r="F3581" t="n">
        <v>6</v>
      </c>
      <c r="G3581" t="n">
        <v>7.08</v>
      </c>
      <c r="H3581">
        <f>הגדרות!B8</f>
        <v/>
      </c>
      <c r="I3581">
        <f>F3581*(1-H3581/100)*1.18</f>
        <v/>
      </c>
      <c r="J3581">
        <f>הגדרות!C8</f>
        <v/>
      </c>
      <c r="K3581">
        <f>הגדרות!D8</f>
        <v/>
      </c>
      <c r="L3581">
        <f>I3581*(1+J3581/100)+K3581</f>
        <v/>
      </c>
    </row>
    <row r="3582">
      <c r="A3582" t="inlineStr">
        <is>
          <t>פט-וט ביומד</t>
        </is>
      </c>
      <c r="B3582" t="inlineStr">
        <is>
          <t>IV set 20 drop/ml 240cm 2 x Y-Inj. SINGLE</t>
        </is>
      </c>
      <c r="C3582" t="inlineStr">
        <is>
          <t>Fiona</t>
        </is>
      </c>
      <c r="D3582" t="inlineStr">
        <is>
          <t>FIONA-654020-1</t>
        </is>
      </c>
      <c r="E3582" t="inlineStr">
        <is>
          <t>2026-05</t>
        </is>
      </c>
      <c r="F3582" t="n">
        <v>7</v>
      </c>
      <c r="G3582" t="n">
        <v>8.26</v>
      </c>
      <c r="H3582">
        <f>הגדרות!B8</f>
        <v/>
      </c>
      <c r="I3582">
        <f>F3582*(1-H3582/100)*1.18</f>
        <v/>
      </c>
      <c r="J3582">
        <f>הגדרות!C8</f>
        <v/>
      </c>
      <c r="K3582">
        <f>הגדרות!D8</f>
        <v/>
      </c>
      <c r="L3582">
        <f>I3582*(1+J3582/100)+K3582</f>
        <v/>
      </c>
    </row>
    <row r="3583">
      <c r="A3583" t="inlineStr">
        <is>
          <t>פט-וט ביומד</t>
        </is>
      </c>
      <c r="B3583" t="inlineStr">
        <is>
          <t>IV Set Standard Veterinary 230cm</t>
        </is>
      </c>
      <c r="C3583" t="inlineStr">
        <is>
          <t>Cutanplast</t>
        </is>
      </c>
      <c r="D3583" t="inlineStr">
        <is>
          <t>SIOM-IVS21001</t>
        </is>
      </c>
      <c r="E3583" t="inlineStr">
        <is>
          <t>2026-05</t>
        </is>
      </c>
      <c r="F3583" t="n">
        <v>4</v>
      </c>
      <c r="G3583" t="n">
        <v>4.72</v>
      </c>
      <c r="H3583">
        <f>הגדרות!B8</f>
        <v/>
      </c>
      <c r="I3583">
        <f>F3583*(1-H3583/100)*1.18</f>
        <v/>
      </c>
      <c r="J3583">
        <f>הגדרות!C8</f>
        <v/>
      </c>
      <c r="K3583">
        <f>הגדרות!D8</f>
        <v/>
      </c>
      <c r="L3583">
        <f>I3583*(1+J3583/100)+K3583</f>
        <v/>
      </c>
    </row>
    <row r="3584">
      <c r="A3584" t="inlineStr">
        <is>
          <t>פט-וט ביומד</t>
        </is>
      </c>
      <c r="B3584" t="inlineStr">
        <is>
          <t>Padded Splint S BLUE</t>
        </is>
      </c>
      <c r="C3584" t="inlineStr">
        <is>
          <t>Genia</t>
        </is>
      </c>
      <c r="D3584" t="inlineStr">
        <is>
          <t>GENIA-307800</t>
        </is>
      </c>
      <c r="E3584" t="inlineStr">
        <is>
          <t>2026-05</t>
        </is>
      </c>
      <c r="F3584" t="n">
        <v>40</v>
      </c>
      <c r="G3584" t="n">
        <v>47.2</v>
      </c>
      <c r="H3584">
        <f>הגדרות!B8</f>
        <v/>
      </c>
      <c r="I3584">
        <f>F3584*(1-H3584/100)*1.18</f>
        <v/>
      </c>
      <c r="J3584">
        <f>הגדרות!C8</f>
        <v/>
      </c>
      <c r="K3584">
        <f>הגדרות!D8</f>
        <v/>
      </c>
      <c r="L3584">
        <f>I3584*(1+J3584/100)+K3584</f>
        <v/>
      </c>
    </row>
    <row r="3585">
      <c r="A3585" t="inlineStr">
        <is>
          <t>פט-וט ביומד</t>
        </is>
      </c>
      <c r="B3585" t="inlineStr">
        <is>
          <t>Padded Splint M RED</t>
        </is>
      </c>
      <c r="C3585" t="inlineStr">
        <is>
          <t>Genia</t>
        </is>
      </c>
      <c r="D3585" t="inlineStr">
        <is>
          <t>GENIA-307805</t>
        </is>
      </c>
      <c r="E3585" t="inlineStr">
        <is>
          <t>2026-05</t>
        </is>
      </c>
      <c r="F3585" t="n">
        <v>46</v>
      </c>
      <c r="G3585" t="n">
        <v>54.28</v>
      </c>
      <c r="H3585">
        <f>הגדרות!B8</f>
        <v/>
      </c>
      <c r="I3585">
        <f>F3585*(1-H3585/100)*1.18</f>
        <v/>
      </c>
      <c r="J3585">
        <f>הגדרות!C8</f>
        <v/>
      </c>
      <c r="K3585">
        <f>הגדרות!D8</f>
        <v/>
      </c>
      <c r="L3585">
        <f>I3585*(1+J3585/100)+K3585</f>
        <v/>
      </c>
    </row>
    <row r="3586">
      <c r="A3586" t="inlineStr">
        <is>
          <t>פט-וט ביומד</t>
        </is>
      </c>
      <c r="B3586" t="inlineStr">
        <is>
          <t>Padded Splint L GREEN</t>
        </is>
      </c>
      <c r="C3586" t="inlineStr">
        <is>
          <t>Genia</t>
        </is>
      </c>
      <c r="D3586" t="inlineStr">
        <is>
          <t>GENIA-307810</t>
        </is>
      </c>
      <c r="E3586" t="inlineStr">
        <is>
          <t>2026-05</t>
        </is>
      </c>
      <c r="F3586" t="n">
        <v>53</v>
      </c>
      <c r="G3586" t="n">
        <v>62.54</v>
      </c>
      <c r="H3586">
        <f>הגדרות!B8</f>
        <v/>
      </c>
      <c r="I3586">
        <f>F3586*(1-H3586/100)*1.18</f>
        <v/>
      </c>
      <c r="J3586">
        <f>הגדרות!C8</f>
        <v/>
      </c>
      <c r="K3586">
        <f>הגדרות!D8</f>
        <v/>
      </c>
      <c r="L3586">
        <f>I3586*(1+J3586/100)+K3586</f>
        <v/>
      </c>
    </row>
    <row r="3587">
      <c r="A3587" t="inlineStr">
        <is>
          <t>פט-וט ביומד</t>
        </is>
      </c>
      <c r="B3587" t="inlineStr">
        <is>
          <t>Handy Canis Hund Back XS</t>
        </is>
      </c>
      <c r="C3587" t="inlineStr">
        <is>
          <t>Genia</t>
        </is>
      </c>
      <c r="D3587" t="inlineStr">
        <is>
          <t>GENIA-227250</t>
        </is>
      </c>
      <c r="E3587" t="inlineStr">
        <is>
          <t>2026-05</t>
        </is>
      </c>
      <c r="F3587" t="n">
        <v>290</v>
      </c>
      <c r="G3587" t="n">
        <v>342.2</v>
      </c>
      <c r="H3587">
        <f>הגדרות!B8</f>
        <v/>
      </c>
      <c r="I3587">
        <f>F3587*(1-H3587/100)*1.18</f>
        <v/>
      </c>
      <c r="J3587">
        <f>הגדרות!C8</f>
        <v/>
      </c>
      <c r="K3587">
        <f>הגדרות!D8</f>
        <v/>
      </c>
      <c r="L3587">
        <f>I3587*(1+J3587/100)+K3587</f>
        <v/>
      </c>
    </row>
    <row r="3588">
      <c r="A3588" t="inlineStr">
        <is>
          <t>פט-וט ביומד</t>
        </is>
      </c>
      <c r="B3588" t="inlineStr">
        <is>
          <t>Handy Canis Hund Back S</t>
        </is>
      </c>
      <c r="C3588" t="inlineStr">
        <is>
          <t>Genia</t>
        </is>
      </c>
      <c r="D3588" t="inlineStr">
        <is>
          <t>GENIA-227252</t>
        </is>
      </c>
      <c r="E3588" t="inlineStr">
        <is>
          <t>2026-05</t>
        </is>
      </c>
      <c r="F3588" t="n">
        <v>290</v>
      </c>
      <c r="G3588" t="n">
        <v>342.2</v>
      </c>
      <c r="H3588">
        <f>הגדרות!B8</f>
        <v/>
      </c>
      <c r="I3588">
        <f>F3588*(1-H3588/100)*1.18</f>
        <v/>
      </c>
      <c r="J3588">
        <f>הגדרות!C8</f>
        <v/>
      </c>
      <c r="K3588">
        <f>הגדרות!D8</f>
        <v/>
      </c>
      <c r="L3588">
        <f>I3588*(1+J3588/100)+K3588</f>
        <v/>
      </c>
    </row>
    <row r="3589">
      <c r="A3589" t="inlineStr">
        <is>
          <t>פט-וט ביומד</t>
        </is>
      </c>
      <c r="B3589" t="inlineStr">
        <is>
          <t>Handy Canis Hund Back M</t>
        </is>
      </c>
      <c r="C3589" t="inlineStr">
        <is>
          <t>Genia</t>
        </is>
      </c>
      <c r="D3589" t="inlineStr">
        <is>
          <t>GENIA-227254</t>
        </is>
      </c>
      <c r="E3589" t="inlineStr">
        <is>
          <t>2026-05</t>
        </is>
      </c>
      <c r="F3589" t="n">
        <v>300</v>
      </c>
      <c r="G3589" t="n">
        <v>354</v>
      </c>
      <c r="H3589">
        <f>הגדרות!B8</f>
        <v/>
      </c>
      <c r="I3589">
        <f>F3589*(1-H3589/100)*1.18</f>
        <v/>
      </c>
      <c r="J3589">
        <f>הגדרות!C8</f>
        <v/>
      </c>
      <c r="K3589">
        <f>הגדרות!D8</f>
        <v/>
      </c>
      <c r="L3589">
        <f>I3589*(1+J3589/100)+K3589</f>
        <v/>
      </c>
    </row>
    <row r="3590">
      <c r="A3590" t="inlineStr">
        <is>
          <t>פט-וט ביומד</t>
        </is>
      </c>
      <c r="B3590" t="inlineStr">
        <is>
          <t>Handy Canis Hund Back L</t>
        </is>
      </c>
      <c r="C3590" t="inlineStr">
        <is>
          <t>Genia</t>
        </is>
      </c>
      <c r="D3590" t="inlineStr">
        <is>
          <t>GENIA-227256</t>
        </is>
      </c>
      <c r="E3590" t="inlineStr">
        <is>
          <t>2026-05</t>
        </is>
      </c>
      <c r="F3590" t="n">
        <v>300</v>
      </c>
      <c r="G3590" t="n">
        <v>354</v>
      </c>
      <c r="H3590">
        <f>הגדרות!B8</f>
        <v/>
      </c>
      <c r="I3590">
        <f>F3590*(1-H3590/100)*1.18</f>
        <v/>
      </c>
      <c r="J3590">
        <f>הגדרות!C8</f>
        <v/>
      </c>
      <c r="K3590">
        <f>הגדרות!D8</f>
        <v/>
      </c>
      <c r="L3590">
        <f>I3590*(1+J3590/100)+K3590</f>
        <v/>
      </c>
    </row>
    <row r="3591">
      <c r="A3591" t="inlineStr">
        <is>
          <t>פט-וט ביומד</t>
        </is>
      </c>
      <c r="B3591" t="inlineStr">
        <is>
          <t>Handy Canis Hund Back XL</t>
        </is>
      </c>
      <c r="C3591" t="inlineStr">
        <is>
          <t>Genia</t>
        </is>
      </c>
      <c r="D3591" t="inlineStr">
        <is>
          <t>GENIA-227258</t>
        </is>
      </c>
      <c r="E3591" t="inlineStr">
        <is>
          <t>2026-05</t>
        </is>
      </c>
      <c r="F3591" t="n">
        <v>330</v>
      </c>
      <c r="G3591" t="n">
        <v>389.4</v>
      </c>
      <c r="H3591">
        <f>הגדרות!B8</f>
        <v/>
      </c>
      <c r="I3591">
        <f>F3591*(1-H3591/100)*1.18</f>
        <v/>
      </c>
      <c r="J3591">
        <f>הגדרות!C8</f>
        <v/>
      </c>
      <c r="K3591">
        <f>הגדרות!D8</f>
        <v/>
      </c>
      <c r="L3591">
        <f>I3591*(1+J3591/100)+K3591</f>
        <v/>
      </c>
    </row>
    <row r="3592">
      <c r="A3592" t="inlineStr">
        <is>
          <t>פט-וט ביומד</t>
        </is>
      </c>
      <c r="B3592" t="inlineStr">
        <is>
          <t>ADEQID MICROCHIP 8*1.4mm</t>
        </is>
      </c>
      <c r="C3592" t="inlineStr">
        <is>
          <t>שבבי זיהוי</t>
        </is>
      </c>
      <c r="D3592" t="inlineStr">
        <is>
          <t>ADEQID-08MM</t>
        </is>
      </c>
      <c r="E3592" t="inlineStr">
        <is>
          <t>2026-05</t>
        </is>
      </c>
      <c r="F3592" t="n">
        <v>14</v>
      </c>
      <c r="G3592" t="n">
        <v>16.52</v>
      </c>
      <c r="H3592">
        <f>הגדרות!B8</f>
        <v/>
      </c>
      <c r="I3592">
        <f>F3592*(1-H3592/100)*1.18</f>
        <v/>
      </c>
      <c r="J3592">
        <f>הגדרות!C8</f>
        <v/>
      </c>
      <c r="K3592">
        <f>הגדרות!D8</f>
        <v/>
      </c>
      <c r="L3592">
        <f>I3592*(1+J3592/100)+K3592</f>
        <v/>
      </c>
    </row>
    <row r="3593">
      <c r="A3593" t="inlineStr">
        <is>
          <t>פט-וט ביומד</t>
        </is>
      </c>
      <c r="B3593" t="inlineStr">
        <is>
          <t>Animal ID Pocket Reader</t>
        </is>
      </c>
      <c r="C3593" t="inlineStr">
        <is>
          <t>חוטי תפירה AIP</t>
        </is>
      </c>
      <c r="D3593" t="inlineStr">
        <is>
          <t>AIP-FRD5910</t>
        </is>
      </c>
      <c r="E3593" t="inlineStr">
        <is>
          <t>2026-05</t>
        </is>
      </c>
      <c r="F3593" t="n">
        <v>590</v>
      </c>
      <c r="G3593" t="n">
        <v>696.2</v>
      </c>
      <c r="H3593">
        <f>הגדרות!B8</f>
        <v/>
      </c>
      <c r="I3593">
        <f>F3593*(1-H3593/100)*1.18</f>
        <v/>
      </c>
      <c r="J3593">
        <f>הגדרות!C8</f>
        <v/>
      </c>
      <c r="K3593">
        <f>הגדרות!D8</f>
        <v/>
      </c>
      <c r="L3593">
        <f>I3593*(1+J3593/100)+K3593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2026-08-26T12:03:24Z</dcterms:created>
  <dcterms:modified xmlns:dcterms="http://purl.org/dc/terms/" xmlns:xsi="http://www.w3.org/2001/XMLSchema-instance" xsi:type="dcterms:W3CDTF">2026-08-26T12:03:27Z</dcterms:modified>
</cp:coreProperties>
</file>